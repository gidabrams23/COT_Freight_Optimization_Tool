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0" yWindow="-90" windowWidth="19380" windowHeight="11460" tabRatio="932" firstSheet="0" activeTab="0" autoFilterDateGrouping="1"/>
  </bookViews>
  <sheets>
    <sheet xmlns:r="http://schemas.openxmlformats.org/officeDocument/2006/relationships" name="15-26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BACK40">#REF!</definedName>
    <definedName name="_xlnm.Print_Area" localSheetId="0">'15-26'!$A$2:$X$48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mm/dd/yy"/>
    <numFmt numFmtId="165" formatCode="&quot;$&quot;#,##0.00"/>
    <numFmt numFmtId="166" formatCode="[$-F800]dddd\,\ mmmm\ dd\,\ yyyy"/>
    <numFmt numFmtId="167" formatCode="0.000"/>
    <numFmt numFmtId="168" formatCode="0.0000%"/>
    <numFmt numFmtId="169" formatCode="0.0%"/>
    <numFmt numFmtId="170" formatCode="[$-409]mmmm\ d\,\ yyyy;@"/>
    <numFmt numFmtId="171" formatCode="m/d/yy;@"/>
    <numFmt numFmtId="172" formatCode="00000"/>
    <numFmt numFmtId="173" formatCode="_(&quot;$&quot;* #,##0.00_);_(&quot;$&quot;* \(#,##0.00\);_(&quot;$&quot;* &quot;-&quot;??_);_(@_)"/>
    <numFmt numFmtId="174" formatCode="m/d;@"/>
    <numFmt numFmtId="175" formatCode="m/d"/>
  </numFmts>
  <fonts count="83">
    <font>
      <name val="MS Sans Serif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MS Sans Serif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Tahoma"/>
      <family val="2"/>
      <sz val="10"/>
    </font>
    <font>
      <name val="Arial"/>
      <family val="2"/>
      <color theme="1"/>
      <sz val="11"/>
    </font>
    <font>
      <name val="Franklin Gothic Book"/>
      <family val="2"/>
      <color theme="1"/>
      <sz val="9"/>
    </font>
    <font>
      <name val="Calibri"/>
      <family val="2"/>
      <color theme="0"/>
      <sz val="10"/>
    </font>
    <font>
      <name val="Calibri"/>
      <family val="2"/>
      <sz val="10"/>
    </font>
    <font>
      <name val="Calibri"/>
      <family val="2"/>
      <sz val="11"/>
    </font>
    <font>
      <name val="Calibri"/>
      <family val="2"/>
      <b val="1"/>
      <sz val="10"/>
    </font>
    <font>
      <name val="Calibri"/>
      <family val="2"/>
      <sz val="9"/>
    </font>
    <font>
      <name val="Calibri"/>
      <family val="2"/>
      <b val="1"/>
      <color indexed="10"/>
      <sz val="12"/>
    </font>
    <font>
      <name val="Calibri"/>
      <family val="2"/>
      <b val="1"/>
      <sz val="10"/>
      <u val="single"/>
    </font>
    <font>
      <name val="Calibri"/>
      <family val="2"/>
      <b val="1"/>
      <color indexed="10"/>
      <sz val="10"/>
    </font>
    <font>
      <name val="Calibri"/>
      <family val="2"/>
      <b val="1"/>
      <sz val="12"/>
    </font>
    <font>
      <name val="Calibri"/>
      <family val="2"/>
      <b val="1"/>
      <sz val="8.5"/>
    </font>
    <font>
      <name val="Calibri"/>
      <family val="2"/>
      <sz val="8.5"/>
    </font>
    <font>
      <name val="Calibri"/>
      <family val="2"/>
      <b val="1"/>
      <sz val="11"/>
    </font>
    <font>
      <name val="Calibri"/>
      <family val="2"/>
      <b val="1"/>
      <color indexed="10"/>
      <sz val="14"/>
    </font>
    <font>
      <name val="Calibri"/>
      <family val="2"/>
      <b val="1"/>
      <sz val="14"/>
    </font>
    <font>
      <name val="Calibri"/>
      <family val="2"/>
      <b val="1"/>
      <sz val="12"/>
      <u val="single"/>
    </font>
    <font>
      <name val="Calibri"/>
      <family val="2"/>
      <sz val="12"/>
    </font>
    <font>
      <name val="Calibri"/>
      <family val="2"/>
      <b val="1"/>
      <color rgb="FFFF0000"/>
      <sz val="10"/>
    </font>
    <font>
      <name val="Calibri"/>
      <family val="2"/>
      <b val="1"/>
      <sz val="11"/>
      <u val="single"/>
    </font>
    <font>
      <name val="Calibri"/>
      <family val="2"/>
      <color theme="1"/>
      <sz val="12"/>
    </font>
    <font>
      <name val="Calibri"/>
      <family val="2"/>
      <color theme="0"/>
      <sz val="12"/>
    </font>
    <font>
      <name val="Calibri"/>
      <family val="2"/>
      <b val="1"/>
      <color indexed="10"/>
      <sz val="16"/>
      <u val="single"/>
    </font>
    <font>
      <name val="Calibri"/>
      <family val="2"/>
      <b val="1"/>
      <sz val="18"/>
    </font>
    <font>
      <name val="Calibri"/>
      <family val="2"/>
      <color theme="0"/>
      <sz val="8"/>
    </font>
    <font>
      <name val="Calibri"/>
      <family val="2"/>
      <b val="1"/>
      <color theme="0"/>
      <sz val="12"/>
    </font>
    <font>
      <name val="Calibri"/>
      <family val="2"/>
      <b val="1"/>
      <color rgb="FFFF0000"/>
      <sz val="12"/>
    </font>
    <font>
      <name val="Calibri"/>
      <family val="2"/>
      <b val="1"/>
      <color theme="1"/>
      <sz val="9"/>
    </font>
    <font>
      <name val="Calibri"/>
      <family val="2"/>
      <b val="1"/>
      <color theme="1"/>
      <sz val="14"/>
    </font>
    <font>
      <name val="Calibri"/>
      <family val="2"/>
      <sz val="8"/>
    </font>
    <font>
      <name val="Calibri"/>
      <family val="2"/>
      <b val="1"/>
      <color indexed="9"/>
      <sz val="12"/>
    </font>
    <font>
      <name val="Calibri"/>
      <family val="2"/>
      <color theme="0"/>
      <sz val="9"/>
    </font>
    <font>
      <name val="Calibri"/>
      <family val="2"/>
      <b val="1"/>
      <sz val="9"/>
    </font>
    <font>
      <name val="Calibri"/>
      <family val="2"/>
      <b val="1"/>
      <color theme="0"/>
      <sz val="10"/>
    </font>
    <font>
      <name val="Calibri"/>
      <family val="2"/>
      <b val="1"/>
      <i val="1"/>
      <color indexed="10"/>
      <sz val="12"/>
    </font>
    <font>
      <name val="Calibri"/>
      <family val="2"/>
      <b val="1"/>
      <i val="1"/>
      <sz val="12"/>
    </font>
    <font>
      <name val="Calibri"/>
      <family val="2"/>
      <color indexed="10"/>
      <sz val="10"/>
    </font>
    <font>
      <name val="Calibri"/>
      <family val="2"/>
      <b val="1"/>
      <i val="1"/>
      <sz val="11"/>
    </font>
    <font>
      <name val="Calibri"/>
      <family val="2"/>
      <b val="1"/>
      <color rgb="FFFF0000"/>
      <sz val="11"/>
    </font>
    <font>
      <name val="Calibri"/>
      <family val="2"/>
      <b val="1"/>
      <i val="1"/>
      <color indexed="10"/>
      <sz val="10"/>
    </font>
    <font>
      <name val="Calibri"/>
      <family val="2"/>
      <sz val="7"/>
    </font>
    <font>
      <name val="Arial"/>
      <family val="2"/>
      <sz val="8"/>
    </font>
    <font>
      <name val="Calibri"/>
      <family val="2"/>
      <color theme="1"/>
      <sz val="10"/>
    </font>
    <font>
      <name val="Free 3 of 9 Extended"/>
      <sz val="72"/>
    </font>
    <font>
      <name val="Calibri"/>
      <family val="2"/>
      <color theme="3" tint="0.3999755851924192"/>
      <sz val="9"/>
    </font>
    <font>
      <name val="MS Sans Serif"/>
      <sz val="10"/>
    </font>
    <font>
      <name val="Arial"/>
      <family val="2"/>
      <b val="1"/>
      <color rgb="FFFF0000"/>
      <sz val="8"/>
    </font>
    <font>
      <name val="Arial"/>
      <family val="2"/>
      <color rgb="FF0000FF"/>
      <sz val="8"/>
    </font>
    <font>
      <name val="Arial"/>
      <family val="2"/>
      <color indexed="12"/>
      <sz val="8"/>
    </font>
    <font>
      <name val="MS Sans Serif"/>
      <sz val="8"/>
    </font>
    <font>
      <name val="Arial"/>
      <family val="2"/>
      <b val="1"/>
      <color rgb="FF2911D9"/>
      <sz val="8"/>
    </font>
    <font>
      <name val="Arial"/>
      <family val="2"/>
      <color rgb="FF2911D9"/>
      <sz val="8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10"/>
    </font>
    <font>
      <name val="Calibri"/>
      <family val="2"/>
      <color rgb="FFFFFDEB"/>
      <sz val="10"/>
    </font>
    <font>
      <name val="Calibri"/>
      <b val="1"/>
      <color rgb="FF111827"/>
      <sz val="10"/>
    </font>
    <font>
      <name val="Calibri"/>
      <color rgb="FF111827"/>
      <sz val="10"/>
    </font>
    <font>
      <name val="Calibri"/>
      <b val="1"/>
      <color rgb="FF0F172A"/>
      <sz val="10"/>
    </font>
  </fonts>
  <fills count="45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A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EC79"/>
        <bgColor indexed="64"/>
      </patternFill>
    </fill>
    <fill>
      <patternFill patternType="solid">
        <fgColor rgb="FFFFFDEB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FAFB"/>
      </patternFill>
    </fill>
  </fills>
  <borders count="7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medium">
        <color rgb="FF6B7280"/>
      </top>
      <bottom style="thin">
        <color rgb="FFD1D5DB"/>
      </bottom>
    </border>
    <border>
      <left style="medium">
        <color rgb="FF6B7280"/>
      </left>
      <right style="thin">
        <color rgb="FFD1D5DB"/>
      </right>
      <top style="medium">
        <color rgb="FF6B7280"/>
      </top>
      <bottom style="thin">
        <color rgb="FFD1D5DB"/>
      </bottom>
    </border>
    <border>
      <left style="thin">
        <color rgb="FFD1D5DB"/>
      </left>
      <right style="medium">
        <color rgb="FF6B7280"/>
      </right>
      <top style="medium">
        <color rgb="FF6B7280"/>
      </top>
      <bottom style="thin">
        <color rgb="FFD1D5DB"/>
      </bottom>
    </border>
    <border>
      <left style="medium">
        <color rgb="FF6B7280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medium">
        <color rgb="FF6B7280"/>
      </right>
      <top style="thin">
        <color rgb="FFD1D5DB"/>
      </top>
      <bottom style="thin">
        <color rgb="FFD1D5DB"/>
      </bottom>
    </border>
  </borders>
  <cellStyleXfs count="98">
    <xf numFmtId="0" fontId="69" fillId="0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13" borderId="0"/>
    <xf numFmtId="0" fontId="6" fillId="14" borderId="0"/>
    <xf numFmtId="0" fontId="6" fillId="15" borderId="0"/>
    <xf numFmtId="0" fontId="6" fillId="16" borderId="0"/>
    <xf numFmtId="0" fontId="6" fillId="11" borderId="0"/>
    <xf numFmtId="0" fontId="6" fillId="14" borderId="0"/>
    <xf numFmtId="0" fontId="6" fillId="17" borderId="0"/>
    <xf numFmtId="0" fontId="7" fillId="18" borderId="0"/>
    <xf numFmtId="0" fontId="7" fillId="15" borderId="0"/>
    <xf numFmtId="0" fontId="7" fillId="16" borderId="0"/>
    <xf numFmtId="0" fontId="7" fillId="19" borderId="0"/>
    <xf numFmtId="0" fontId="7" fillId="20" borderId="0"/>
    <xf numFmtId="0" fontId="7" fillId="21" borderId="0"/>
    <xf numFmtId="0" fontId="7" fillId="22" borderId="0"/>
    <xf numFmtId="0" fontId="7" fillId="23" borderId="0"/>
    <xf numFmtId="0" fontId="7" fillId="24" borderId="0"/>
    <xf numFmtId="0" fontId="7" fillId="19" borderId="0"/>
    <xf numFmtId="0" fontId="7" fillId="20" borderId="0"/>
    <xf numFmtId="0" fontId="7" fillId="25" borderId="0"/>
    <xf numFmtId="0" fontId="8" fillId="9" borderId="0"/>
    <xf numFmtId="0" fontId="9" fillId="26" borderId="32"/>
    <xf numFmtId="0" fontId="10" fillId="27" borderId="33"/>
    <xf numFmtId="43" fontId="5" fillId="0" borderId="0"/>
    <xf numFmtId="43" fontId="5" fillId="0" borderId="0"/>
    <xf numFmtId="43" fontId="23" fillId="0" borderId="0"/>
    <xf numFmtId="44" fontId="25" fillId="0" borderId="0"/>
    <xf numFmtId="0" fontId="11" fillId="0" borderId="0"/>
    <xf numFmtId="0" fontId="12" fillId="10" borderId="0"/>
    <xf numFmtId="0" fontId="13" fillId="0" borderId="34"/>
    <xf numFmtId="0" fontId="14" fillId="0" borderId="35"/>
    <xf numFmtId="0" fontId="15" fillId="0" borderId="36"/>
    <xf numFmtId="0" fontId="15" fillId="0" borderId="0"/>
    <xf numFmtId="0" fontId="16" fillId="13" borderId="32"/>
    <xf numFmtId="0" fontId="17" fillId="0" borderId="37"/>
    <xf numFmtId="0" fontId="18" fillId="28" borderId="0"/>
    <xf numFmtId="0" fontId="23" fillId="0" borderId="0"/>
    <xf numFmtId="0" fontId="5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3" fillId="0" borderId="0"/>
    <xf numFmtId="0" fontId="5" fillId="0" borderId="0"/>
    <xf numFmtId="0" fontId="25" fillId="0" borderId="0"/>
    <xf numFmtId="0" fontId="6" fillId="29" borderId="38"/>
    <xf numFmtId="0" fontId="19" fillId="26" borderId="39"/>
    <xf numFmtId="9" fontId="25" fillId="0" borderId="0"/>
    <xf numFmtId="0" fontId="20" fillId="0" borderId="0"/>
    <xf numFmtId="0" fontId="21" fillId="0" borderId="40"/>
    <xf numFmtId="0" fontId="2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4" fontId="69" fillId="0" borderId="0"/>
    <xf numFmtId="0" fontId="78" fillId="0" borderId="0"/>
    <xf numFmtId="0" fontId="78" fillId="0" borderId="0"/>
    <xf numFmtId="44" fontId="78" fillId="0" borderId="0"/>
    <xf numFmtId="0" fontId="4" fillId="0" borderId="0"/>
    <xf numFmtId="0" fontId="7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8" fillId="0" borderId="0"/>
    <xf numFmtId="0" fontId="4" fillId="0" borderId="0"/>
  </cellStyleXfs>
  <cellXfs count="502">
    <xf numFmtId="0" fontId="0" fillId="0" borderId="0" pivotButton="0" quotePrefix="0" xfId="0"/>
    <xf numFmtId="0" fontId="26" fillId="0" borderId="0" applyProtection="1" pivotButton="0" quotePrefix="0" xfId="0">
      <protection locked="1" hidden="1"/>
    </xf>
    <xf numFmtId="164" fontId="27" fillId="0" borderId="0" applyAlignment="1" applyProtection="1" pivotButton="0" quotePrefix="0" xfId="0">
      <alignment horizontal="right"/>
      <protection locked="0" hidden="0"/>
    </xf>
    <xf numFmtId="49" fontId="28" fillId="0" borderId="0" applyAlignment="1" applyProtection="1" pivotButton="0" quotePrefix="0" xfId="0">
      <alignment horizontal="left"/>
      <protection locked="0" hidden="0"/>
    </xf>
    <xf numFmtId="0" fontId="28" fillId="0" borderId="0" applyProtection="1" pivotButton="0" quotePrefix="0" xfId="0">
      <protection locked="0" hidden="0"/>
    </xf>
    <xf numFmtId="0" fontId="29" fillId="0" borderId="0" applyAlignment="1" applyProtection="1" pivotButton="0" quotePrefix="0" xfId="0">
      <alignment horizontal="center"/>
      <protection locked="0" hidden="0"/>
    </xf>
    <xf numFmtId="0" fontId="27" fillId="0" borderId="0" applyAlignment="1" applyProtection="1" pivotButton="0" quotePrefix="0" xfId="0">
      <alignment horizontal="left"/>
      <protection locked="0" hidden="0"/>
    </xf>
    <xf numFmtId="165" fontId="27" fillId="0" borderId="0" applyAlignment="1" applyProtection="1" pivotButton="0" quotePrefix="0" xfId="0">
      <alignment horizontal="right"/>
      <protection locked="0" hidden="0"/>
    </xf>
    <xf numFmtId="4" fontId="30" fillId="0" borderId="0" applyProtection="1" pivotButton="0" quotePrefix="0" xfId="0">
      <protection locked="0" hidden="0"/>
    </xf>
    <xf numFmtId="0" fontId="27" fillId="0" borderId="0" pivotButton="0" quotePrefix="0" xfId="0"/>
    <xf numFmtId="0" fontId="29" fillId="0" borderId="0" applyProtection="1" pivotButton="0" quotePrefix="0" xfId="0">
      <protection locked="0" hidden="0"/>
    </xf>
    <xf numFmtId="0" fontId="29" fillId="0" borderId="0" pivotButton="0" quotePrefix="0" xfId="0"/>
    <xf numFmtId="49" fontId="31" fillId="0" borderId="0" applyAlignment="1" applyProtection="1" pivotButton="0" quotePrefix="0" xfId="0">
      <alignment horizontal="right"/>
      <protection locked="0" hidden="0"/>
    </xf>
    <xf numFmtId="0" fontId="33" fillId="0" borderId="0" applyAlignment="1" applyProtection="1" pivotButton="0" quotePrefix="0" xfId="0">
      <alignment horizontal="center"/>
      <protection locked="0" hidden="0"/>
    </xf>
    <xf numFmtId="0" fontId="32" fillId="3" borderId="0" applyAlignment="1" applyProtection="1" pivotButton="0" quotePrefix="0" xfId="0">
      <alignment horizontal="left"/>
      <protection locked="0" hidden="0"/>
    </xf>
    <xf numFmtId="164" fontId="35" fillId="0" borderId="0" applyAlignment="1" applyProtection="1" pivotButton="0" quotePrefix="0" xfId="0">
      <alignment horizontal="left"/>
      <protection locked="0" hidden="0"/>
    </xf>
    <xf numFmtId="164" fontId="36" fillId="0" borderId="0" applyAlignment="1" applyProtection="1" pivotButton="0" quotePrefix="0" xfId="0">
      <alignment horizontal="left"/>
      <protection locked="0" hidden="0"/>
    </xf>
    <xf numFmtId="164" fontId="36" fillId="0" borderId="0" applyAlignment="1" applyProtection="1" pivotButton="0" quotePrefix="0" xfId="0">
      <alignment horizontal="right"/>
      <protection locked="0" hidden="0"/>
    </xf>
    <xf numFmtId="166" fontId="31" fillId="0" borderId="0" applyAlignment="1" applyProtection="1" pivotButton="0" quotePrefix="0" xfId="0">
      <alignment horizontal="right"/>
      <protection locked="0" hidden="0"/>
    </xf>
    <xf numFmtId="1" fontId="32" fillId="0" borderId="0" applyAlignment="1" applyProtection="1" pivotButton="0" quotePrefix="0" xfId="0">
      <alignment horizontal="left"/>
      <protection locked="0" hidden="0"/>
    </xf>
    <xf numFmtId="0" fontId="32" fillId="0" borderId="0" applyProtection="1" pivotButton="0" quotePrefix="0" xfId="0">
      <protection locked="0" hidden="0"/>
    </xf>
    <xf numFmtId="164" fontId="35" fillId="0" borderId="0" applyAlignment="1" applyProtection="1" pivotButton="0" quotePrefix="0" xfId="0">
      <alignment horizontal="left" shrinkToFit="1"/>
      <protection locked="0" hidden="0"/>
    </xf>
    <xf numFmtId="166" fontId="36" fillId="0" borderId="0" applyAlignment="1" applyProtection="1" pivotButton="0" quotePrefix="0" xfId="0">
      <alignment shrinkToFit="1"/>
      <protection locked="0" hidden="0"/>
    </xf>
    <xf numFmtId="49" fontId="33" fillId="0" borderId="0" applyAlignment="1" applyProtection="1" pivotButton="0" quotePrefix="0" xfId="0">
      <alignment horizontal="center"/>
      <protection locked="0" hidden="0"/>
    </xf>
    <xf numFmtId="0" fontId="32" fillId="0" borderId="0" applyAlignment="1" applyProtection="1" pivotButton="0" quotePrefix="0" xfId="0">
      <alignment horizontal="left" shrinkToFit="1"/>
      <protection locked="0" hidden="0"/>
    </xf>
    <xf numFmtId="0" fontId="43" fillId="0" borderId="0" applyAlignment="1" applyProtection="1" pivotButton="0" quotePrefix="0" xfId="0">
      <alignment horizontal="left" shrinkToFit="1"/>
      <protection locked="0" hidden="0"/>
    </xf>
    <xf numFmtId="0" fontId="45" fillId="0" borderId="0" applyProtection="1" pivotButton="0" quotePrefix="0" xfId="0">
      <protection locked="1" hidden="1"/>
    </xf>
    <xf numFmtId="0" fontId="41" fillId="0" borderId="0" applyAlignment="1" applyProtection="1" pivotButton="0" quotePrefix="0" xfId="0">
      <alignment shrinkToFit="1"/>
      <protection locked="0" hidden="0"/>
    </xf>
    <xf numFmtId="0" fontId="46" fillId="0" borderId="7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8" fillId="7" borderId="0" applyProtection="1" pivotButton="0" quotePrefix="0" xfId="0">
      <protection locked="1" hidden="1"/>
    </xf>
    <xf numFmtId="0" fontId="40" fillId="0" borderId="0" applyProtection="1" pivotButton="0" quotePrefix="0" xfId="0">
      <protection locked="0" hidden="0"/>
    </xf>
    <xf numFmtId="0" fontId="49" fillId="7" borderId="0" applyAlignment="1" applyProtection="1" pivotButton="0" quotePrefix="0" xfId="0">
      <alignment vertical="center"/>
      <protection locked="0" hidden="0"/>
    </xf>
    <xf numFmtId="0" fontId="34" fillId="7" borderId="0" applyAlignment="1" applyProtection="1" pivotButton="0" quotePrefix="0" xfId="0">
      <alignment vertical="center"/>
      <protection locked="0" hidden="0"/>
    </xf>
    <xf numFmtId="4" fontId="48" fillId="7" borderId="0" applyAlignment="1" applyProtection="1" pivotButton="0" quotePrefix="0" xfId="0">
      <alignment horizontal="center"/>
      <protection locked="0" hidden="0"/>
    </xf>
    <xf numFmtId="0" fontId="41" fillId="0" borderId="0" applyAlignment="1" applyProtection="1" pivotButton="0" quotePrefix="0" xfId="0">
      <alignment horizontal="center"/>
      <protection locked="0" hidden="0"/>
    </xf>
    <xf numFmtId="0" fontId="51" fillId="7" borderId="0" applyAlignment="1" applyProtection="1" pivotButton="0" quotePrefix="0" xfId="0">
      <alignment horizontal="center" vertical="center"/>
      <protection locked="0" hidden="0"/>
    </xf>
    <xf numFmtId="4" fontId="30" fillId="0" borderId="0" applyAlignment="1" applyProtection="1" pivotButton="0" quotePrefix="0" xfId="0">
      <alignment horizontal="center"/>
      <protection locked="0" hidden="0"/>
    </xf>
    <xf numFmtId="0" fontId="27" fillId="0" borderId="0" applyAlignment="1" applyProtection="1" pivotButton="0" quotePrefix="0" xfId="0">
      <alignment horizontal="center" shrinkToFit="1"/>
      <protection locked="0" hidden="0"/>
    </xf>
    <xf numFmtId="0" fontId="27" fillId="0" borderId="0" applyAlignment="1" applyProtection="1" pivotButton="0" quotePrefix="0" xfId="0">
      <alignment horizontal="center"/>
      <protection locked="1" hidden="1"/>
    </xf>
    <xf numFmtId="0" fontId="34" fillId="0" borderId="0" pivotButton="0" quotePrefix="0" xfId="0"/>
    <xf numFmtId="3" fontId="27" fillId="0" borderId="0" applyAlignment="1" applyProtection="1" pivotButton="0" quotePrefix="0" xfId="0">
      <alignment horizontal="center"/>
      <protection locked="0" hidden="0"/>
    </xf>
    <xf numFmtId="0" fontId="41" fillId="0" borderId="0" applyProtection="1" pivotButton="0" quotePrefix="0" xfId="0">
      <protection locked="0" hidden="0"/>
    </xf>
    <xf numFmtId="4" fontId="41" fillId="0" borderId="0" applyProtection="1" pivotButton="0" quotePrefix="0" xfId="0">
      <protection locked="0" hidden="0"/>
    </xf>
    <xf numFmtId="167" fontId="54" fillId="4" borderId="0" applyAlignment="1" applyProtection="1" pivotButton="0" quotePrefix="0" xfId="0">
      <alignment horizontal="center"/>
      <protection locked="0" hidden="0"/>
    </xf>
    <xf numFmtId="168" fontId="55" fillId="0" borderId="0" applyAlignment="1" applyProtection="1" pivotButton="0" quotePrefix="0" xfId="0">
      <alignment horizontal="center"/>
      <protection locked="0" hidden="0"/>
    </xf>
    <xf numFmtId="0" fontId="29" fillId="0" borderId="0" applyAlignment="1" pivotButton="0" quotePrefix="0" xfId="0">
      <alignment horizontal="center"/>
    </xf>
    <xf numFmtId="169" fontId="26" fillId="0" borderId="0" applyAlignment="1" pivotButton="0" quotePrefix="0" xfId="0">
      <alignment horizontal="center" shrinkToFit="1"/>
    </xf>
    <xf numFmtId="0" fontId="57" fillId="0" borderId="0" applyAlignment="1" applyProtection="1" pivotButton="0" quotePrefix="0" xfId="0">
      <alignment horizontal="center"/>
      <protection locked="1" hidden="1"/>
    </xf>
    <xf numFmtId="164" fontId="29" fillId="33" borderId="10" applyAlignment="1" applyProtection="1" pivotButton="0" quotePrefix="0" xfId="0">
      <alignment horizontal="center" wrapText="1"/>
      <protection locked="0" hidden="0"/>
    </xf>
    <xf numFmtId="0" fontId="29" fillId="33" borderId="11" applyAlignment="1" applyProtection="1" pivotButton="0" quotePrefix="0" xfId="0">
      <alignment horizontal="center" wrapText="1"/>
      <protection locked="0" hidden="0"/>
    </xf>
    <xf numFmtId="49" fontId="37" fillId="33" borderId="11" applyAlignment="1" applyProtection="1" pivotButton="0" quotePrefix="0" xfId="0">
      <alignment horizontal="center" wrapText="1"/>
      <protection locked="0" hidden="0"/>
    </xf>
    <xf numFmtId="4" fontId="29" fillId="33" borderId="11" applyAlignment="1" applyProtection="1" pivotButton="0" quotePrefix="0" xfId="0">
      <alignment horizontal="center" wrapText="1"/>
      <protection locked="0" hidden="0"/>
    </xf>
    <xf numFmtId="165" fontId="29" fillId="33" borderId="11" applyAlignment="1" applyProtection="1" pivotButton="0" quotePrefix="0" xfId="0">
      <alignment horizontal="center" wrapText="1"/>
      <protection locked="0" hidden="0"/>
    </xf>
    <xf numFmtId="4" fontId="27" fillId="33" borderId="11" applyAlignment="1" applyProtection="1" pivotButton="0" quotePrefix="0" xfId="0">
      <alignment horizontal="center" wrapText="1"/>
      <protection locked="0" hidden="0"/>
    </xf>
    <xf numFmtId="4" fontId="29" fillId="33" borderId="53" applyAlignment="1" applyProtection="1" pivotButton="0" quotePrefix="0" xfId="0">
      <alignment horizontal="center" wrapText="1"/>
      <protection locked="0" hidden="0"/>
    </xf>
    <xf numFmtId="0" fontId="29" fillId="33" borderId="12" applyAlignment="1" pivotButton="0" quotePrefix="0" xfId="0">
      <alignment horizontal="center" wrapText="1"/>
    </xf>
    <xf numFmtId="169" fontId="26" fillId="0" borderId="0" applyAlignment="1" applyProtection="1" pivotButton="0" quotePrefix="0" xfId="0">
      <alignment horizontal="center"/>
      <protection locked="1" hidden="1"/>
    </xf>
    <xf numFmtId="165" fontId="26" fillId="0" borderId="0" applyProtection="1" pivotButton="0" quotePrefix="0" xfId="0">
      <protection locked="1" hidden="1"/>
    </xf>
    <xf numFmtId="49" fontId="28" fillId="0" borderId="2" applyAlignment="1" applyProtection="1" pivotButton="0" quotePrefix="0" xfId="0">
      <alignment horizontal="left" shrinkToFit="1"/>
      <protection locked="0" hidden="0"/>
    </xf>
    <xf numFmtId="49" fontId="28" fillId="0" borderId="2" applyAlignment="1" applyProtection="1" pivotButton="0" quotePrefix="0" xfId="0">
      <alignment horizontal="center" shrinkToFit="1"/>
      <protection locked="0" hidden="0"/>
    </xf>
    <xf numFmtId="49" fontId="37" fillId="0" borderId="2" applyAlignment="1" applyProtection="1" pivotButton="0" quotePrefix="0" xfId="0">
      <alignment horizontal="center" shrinkToFit="1"/>
      <protection locked="0" hidden="0"/>
    </xf>
    <xf numFmtId="49" fontId="28" fillId="0" borderId="3" applyAlignment="1" applyProtection="1" pivotButton="0" quotePrefix="0" xfId="0">
      <alignment horizontal="center" shrinkToFit="1"/>
      <protection locked="0" hidden="0"/>
    </xf>
    <xf numFmtId="1" fontId="27" fillId="0" borderId="3" applyAlignment="1" applyProtection="1" pivotButton="0" quotePrefix="0" xfId="0">
      <alignment horizontal="center" shrinkToFit="1"/>
      <protection locked="0" hidden="0"/>
    </xf>
    <xf numFmtId="40" fontId="28" fillId="0" borderId="2" applyAlignment="1" applyProtection="1" pivotButton="0" quotePrefix="1" xfId="0">
      <alignment horizontal="right" shrinkToFit="1"/>
      <protection locked="0" hidden="0"/>
    </xf>
    <xf numFmtId="4" fontId="28" fillId="0" borderId="2" applyAlignment="1" applyProtection="1" pivotButton="0" quotePrefix="0" xfId="0">
      <alignment horizontal="center" shrinkToFit="1"/>
      <protection locked="0" hidden="0"/>
    </xf>
    <xf numFmtId="4" fontId="28" fillId="2" borderId="13" applyAlignment="1" applyProtection="1" pivotButton="0" quotePrefix="0" xfId="0">
      <alignment horizontal="right" shrinkToFit="1"/>
      <protection locked="0" hidden="0"/>
    </xf>
    <xf numFmtId="4" fontId="28" fillId="0" borderId="13" applyAlignment="1" applyProtection="1" pivotButton="0" quotePrefix="0" xfId="0">
      <alignment horizontal="right" shrinkToFit="1"/>
      <protection locked="0" hidden="0"/>
    </xf>
    <xf numFmtId="165" fontId="28" fillId="0" borderId="2" applyAlignment="1" applyProtection="1" pivotButton="0" quotePrefix="0" xfId="0">
      <alignment horizontal="right" shrinkToFit="1"/>
      <protection locked="0" hidden="0"/>
    </xf>
    <xf numFmtId="49" fontId="28" fillId="0" borderId="6" applyAlignment="1" applyProtection="1" pivotButton="0" quotePrefix="0" xfId="0">
      <alignment horizontal="left" shrinkToFit="1"/>
      <protection locked="0" hidden="0"/>
    </xf>
    <xf numFmtId="49" fontId="28" fillId="0" borderId="6" applyAlignment="1" applyProtection="1" pivotButton="0" quotePrefix="0" xfId="0">
      <alignment horizontal="center" shrinkToFit="1"/>
      <protection locked="0" hidden="0"/>
    </xf>
    <xf numFmtId="49" fontId="37" fillId="0" borderId="6" applyAlignment="1" applyProtection="1" pivotButton="0" quotePrefix="0" xfId="0">
      <alignment horizontal="center" shrinkToFit="1"/>
      <protection locked="0" hidden="0"/>
    </xf>
    <xf numFmtId="49" fontId="28" fillId="0" borderId="4" applyAlignment="1" applyProtection="1" pivotButton="0" quotePrefix="0" xfId="0">
      <alignment horizontal="center" shrinkToFit="1"/>
      <protection locked="0" hidden="0"/>
    </xf>
    <xf numFmtId="4" fontId="28" fillId="0" borderId="6" applyAlignment="1" applyProtection="1" pivotButton="0" quotePrefix="0" xfId="0">
      <alignment horizontal="center" shrinkToFit="1"/>
      <protection locked="0" hidden="0"/>
    </xf>
    <xf numFmtId="49" fontId="28" fillId="0" borderId="43" applyAlignment="1" applyProtection="1" pivotButton="0" quotePrefix="0" xfId="0">
      <alignment horizontal="right" shrinkToFit="1"/>
      <protection locked="0" hidden="0"/>
    </xf>
    <xf numFmtId="49" fontId="28" fillId="0" borderId="10" applyAlignment="1" applyProtection="1" pivotButton="0" quotePrefix="0" xfId="0">
      <alignment horizontal="center" shrinkToFit="1"/>
      <protection locked="0" hidden="0"/>
    </xf>
    <xf numFmtId="1" fontId="28" fillId="0" borderId="12" applyAlignment="1" applyProtection="1" pivotButton="0" quotePrefix="0" xfId="0">
      <alignment horizontal="center" shrinkToFit="1"/>
      <protection locked="0" hidden="0"/>
    </xf>
    <xf numFmtId="49" fontId="28" fillId="0" borderId="44" applyAlignment="1" applyProtection="1" pivotButton="0" quotePrefix="0" xfId="0">
      <alignment horizontal="center" shrinkToFit="1"/>
      <protection locked="0" hidden="0"/>
    </xf>
    <xf numFmtId="2" fontId="26" fillId="0" borderId="0" applyProtection="1" pivotButton="0" quotePrefix="0" xfId="0">
      <protection locked="1" hidden="1"/>
    </xf>
    <xf numFmtId="1" fontId="26" fillId="0" borderId="0" applyProtection="1" pivotButton="0" quotePrefix="0" xfId="0">
      <protection locked="1" hidden="1"/>
    </xf>
    <xf numFmtId="49" fontId="27" fillId="0" borderId="0" applyAlignment="1" applyProtection="1" pivotButton="0" quotePrefix="0" xfId="0">
      <alignment horizontal="left"/>
      <protection locked="0" hidden="0"/>
    </xf>
    <xf numFmtId="49" fontId="27" fillId="0" borderId="0" applyAlignment="1" applyProtection="1" pivotButton="0" quotePrefix="0" xfId="0">
      <alignment horizontal="center"/>
      <protection locked="0" hidden="0"/>
    </xf>
    <xf numFmtId="0" fontId="28" fillId="0" borderId="0" applyAlignment="1" applyProtection="1" pivotButton="0" quotePrefix="0" xfId="0">
      <alignment horizontal="left"/>
      <protection locked="0" hidden="0"/>
    </xf>
    <xf numFmtId="0" fontId="58" fillId="0" borderId="0" applyProtection="1" pivotButton="0" quotePrefix="0" xfId="0">
      <protection locked="0" hidden="0"/>
    </xf>
    <xf numFmtId="0" fontId="27" fillId="0" borderId="0" applyAlignment="1" applyProtection="1" pivotButton="0" quotePrefix="0" xfId="0">
      <alignment horizontal="center"/>
      <protection locked="0" hidden="0"/>
    </xf>
    <xf numFmtId="165" fontId="29" fillId="2" borderId="9" applyAlignment="1" applyProtection="1" pivotButton="0" quotePrefix="0" xfId="0">
      <alignment horizontal="right" shrinkToFit="1"/>
      <protection locked="0" hidden="0"/>
    </xf>
    <xf numFmtId="165" fontId="29" fillId="0" borderId="9" applyAlignment="1" applyProtection="1" pivotButton="0" quotePrefix="0" xfId="0">
      <alignment horizontal="right"/>
      <protection locked="0" hidden="0"/>
    </xf>
    <xf numFmtId="10" fontId="29" fillId="2" borderId="9" applyAlignment="1" applyProtection="1" pivotButton="0" quotePrefix="0" xfId="0">
      <alignment horizontal="right"/>
      <protection locked="0" hidden="0"/>
    </xf>
    <xf numFmtId="2" fontId="45" fillId="0" borderId="0" applyProtection="1" pivotButton="0" quotePrefix="0" xfId="0">
      <protection locked="1" hidden="1"/>
    </xf>
    <xf numFmtId="164" fontId="59" fillId="0" borderId="0" applyProtection="1" pivotButton="0" quotePrefix="0" xfId="0">
      <protection locked="0" hidden="0"/>
    </xf>
    <xf numFmtId="1" fontId="29" fillId="0" borderId="0" applyAlignment="1" applyProtection="1" pivotButton="0" quotePrefix="0" xfId="0">
      <alignment horizontal="right"/>
      <protection locked="0" hidden="0"/>
    </xf>
    <xf numFmtId="0" fontId="29" fillId="0" borderId="41" applyAlignment="1" applyProtection="1" pivotButton="0" quotePrefix="0" xfId="0">
      <alignment horizontal="center"/>
      <protection locked="0" hidden="0"/>
    </xf>
    <xf numFmtId="49" fontId="29" fillId="5" borderId="4" applyAlignment="1" applyProtection="1" pivotButton="0" quotePrefix="0" xfId="0">
      <alignment horizontal="center"/>
      <protection locked="0" hidden="0"/>
    </xf>
    <xf numFmtId="9" fontId="29" fillId="5" borderId="6" applyAlignment="1" applyProtection="1" pivotButton="0" quotePrefix="0" xfId="0">
      <alignment horizontal="center"/>
      <protection locked="0" hidden="0"/>
    </xf>
    <xf numFmtId="165" fontId="56" fillId="0" borderId="0" applyProtection="1" pivotButton="0" quotePrefix="0" xfId="0">
      <protection locked="0" hidden="0"/>
    </xf>
    <xf numFmtId="10" fontId="27" fillId="0" borderId="0" applyAlignment="1" applyProtection="1" pivotButton="0" quotePrefix="0" xfId="0">
      <alignment horizontal="center"/>
      <protection locked="0" hidden="0"/>
    </xf>
    <xf numFmtId="165" fontId="60" fillId="0" borderId="0" applyAlignment="1" applyProtection="1" pivotButton="0" quotePrefix="0" xfId="0">
      <alignment horizontal="right"/>
      <protection locked="0" hidden="0"/>
    </xf>
    <xf numFmtId="2" fontId="49" fillId="0" borderId="0" applyProtection="1" pivotButton="0" quotePrefix="0" xfId="0">
      <protection locked="1" hidden="1"/>
    </xf>
    <xf numFmtId="0" fontId="40" fillId="0" borderId="0" applyAlignment="1" applyProtection="1" pivotButton="0" quotePrefix="0" xfId="0">
      <alignment horizontal="right"/>
      <protection locked="0" hidden="0"/>
    </xf>
    <xf numFmtId="170" fontId="61" fillId="0" borderId="0" applyAlignment="1" applyProtection="1" pivotButton="0" quotePrefix="0" xfId="0">
      <alignment horizontal="left"/>
      <protection locked="0" hidden="0"/>
    </xf>
    <xf numFmtId="0" fontId="29" fillId="0" borderId="25" applyAlignment="1" applyProtection="1" pivotButton="0" quotePrefix="0" xfId="0">
      <alignment horizontal="center"/>
      <protection locked="0" hidden="0"/>
    </xf>
    <xf numFmtId="0" fontId="34" fillId="0" borderId="0" applyAlignment="1" applyProtection="1" pivotButton="0" quotePrefix="0" xfId="0">
      <alignment horizontal="center" vertical="center"/>
      <protection locked="0" hidden="0"/>
    </xf>
    <xf numFmtId="165" fontId="30" fillId="0" borderId="0" applyProtection="1" pivotButton="0" quotePrefix="0" xfId="0">
      <protection locked="0" hidden="0"/>
    </xf>
    <xf numFmtId="170" fontId="61" fillId="0" borderId="0" applyProtection="1" pivotButton="0" quotePrefix="0" xfId="0">
      <protection locked="0" hidden="0"/>
    </xf>
    <xf numFmtId="0" fontId="29" fillId="0" borderId="26" applyAlignment="1" applyProtection="1" pivotButton="0" quotePrefix="0" xfId="0">
      <alignment horizontal="center"/>
      <protection locked="0" hidden="0"/>
    </xf>
    <xf numFmtId="0" fontId="26" fillId="0" borderId="0" pivotButton="0" quotePrefix="0" xfId="0"/>
    <xf numFmtId="164" fontId="27" fillId="0" borderId="0" applyAlignment="1" applyProtection="1" pivotButton="0" quotePrefix="0" xfId="0">
      <alignment horizontal="right"/>
      <protection locked="1" hidden="1"/>
    </xf>
    <xf numFmtId="1" fontId="27" fillId="0" borderId="0" applyAlignment="1" applyProtection="1" pivotButton="0" quotePrefix="0" xfId="0">
      <alignment horizontal="left"/>
      <protection locked="1" hidden="1"/>
    </xf>
    <xf numFmtId="4" fontId="61" fillId="0" borderId="0" applyAlignment="1" applyProtection="1" pivotButton="0" quotePrefix="0" xfId="0">
      <alignment shrinkToFit="1"/>
      <protection locked="0" hidden="0"/>
    </xf>
    <xf numFmtId="4" fontId="61" fillId="0" borderId="0" applyAlignment="1" applyProtection="1" pivotButton="0" quotePrefix="0" xfId="0">
      <alignment horizontal="right" shrinkToFit="1"/>
      <protection locked="0" hidden="0"/>
    </xf>
    <xf numFmtId="10" fontId="56" fillId="0" borderId="0" applyAlignment="1" applyProtection="1" pivotButton="0" quotePrefix="0" xfId="0">
      <alignment horizontal="left"/>
      <protection locked="0" hidden="0"/>
    </xf>
    <xf numFmtId="49" fontId="28" fillId="0" borderId="0" applyProtection="1" pivotButton="0" quotePrefix="0" xfId="0">
      <protection locked="0" hidden="0"/>
    </xf>
    <xf numFmtId="4" fontId="61" fillId="34" borderId="0" applyAlignment="1" applyProtection="1" pivotButton="0" quotePrefix="0" xfId="0">
      <alignment horizontal="center"/>
      <protection locked="0" hidden="0"/>
    </xf>
    <xf numFmtId="4" fontId="28" fillId="0" borderId="0" applyProtection="1" pivotButton="0" quotePrefix="0" xfId="0">
      <protection locked="0" hidden="0"/>
    </xf>
    <xf numFmtId="0" fontId="57" fillId="0" borderId="0" applyProtection="1" pivotButton="0" quotePrefix="0" xfId="0">
      <protection locked="1" hidden="1"/>
    </xf>
    <xf numFmtId="164" fontId="29" fillId="0" borderId="0" applyAlignment="1" applyProtection="1" pivotButton="0" quotePrefix="0" xfId="0">
      <alignment horizontal="right"/>
      <protection locked="0" hidden="0"/>
    </xf>
    <xf numFmtId="0" fontId="29" fillId="0" borderId="0" applyAlignment="1" applyProtection="1" pivotButton="0" quotePrefix="0" xfId="0">
      <alignment horizontal="left"/>
      <protection locked="0" hidden="0"/>
    </xf>
    <xf numFmtId="4" fontId="29" fillId="0" borderId="0" applyAlignment="1" applyProtection="1" pivotButton="0" quotePrefix="0" xfId="0">
      <alignment horizontal="center"/>
      <protection locked="0" hidden="0"/>
    </xf>
    <xf numFmtId="4" fontId="29" fillId="0" borderId="0" applyAlignment="1" applyProtection="1" pivotButton="0" quotePrefix="0" xfId="0">
      <alignment horizontal="right"/>
      <protection locked="0" hidden="0"/>
    </xf>
    <xf numFmtId="165" fontId="27" fillId="0" borderId="0" applyAlignment="1" applyProtection="1" pivotButton="0" quotePrefix="0" xfId="0">
      <alignment horizontal="left"/>
      <protection locked="0" hidden="0"/>
    </xf>
    <xf numFmtId="4" fontId="30" fillId="0" borderId="0" applyAlignment="1" applyProtection="1" pivotButton="0" quotePrefix="0" xfId="0">
      <alignment horizontal="left"/>
      <protection locked="0" hidden="0"/>
    </xf>
    <xf numFmtId="0" fontId="64" fillId="0" borderId="0" applyAlignment="1" pivotButton="0" quotePrefix="0" xfId="0">
      <alignment vertical="top"/>
    </xf>
    <xf numFmtId="165" fontId="29" fillId="0" borderId="0" applyAlignment="1" applyProtection="1" pivotButton="0" quotePrefix="0" xfId="0">
      <alignment horizontal="right"/>
      <protection locked="0" hidden="0"/>
    </xf>
    <xf numFmtId="0" fontId="41" fillId="0" borderId="5" applyAlignment="1" applyProtection="1" pivotButton="0" quotePrefix="0" xfId="0">
      <alignment horizontal="right" shrinkToFit="1"/>
      <protection locked="0" hidden="0"/>
    </xf>
    <xf numFmtId="0" fontId="41" fillId="0" borderId="14" applyAlignment="1" applyProtection="1" pivotButton="0" quotePrefix="0" xfId="0">
      <alignment horizontal="left" shrinkToFit="1"/>
      <protection locked="0" hidden="0"/>
    </xf>
    <xf numFmtId="0" fontId="41" fillId="0" borderId="14" applyAlignment="1" applyProtection="1" pivotButton="0" quotePrefix="0" xfId="0">
      <alignment horizontal="right" shrinkToFit="1"/>
      <protection locked="0" hidden="0"/>
    </xf>
    <xf numFmtId="0" fontId="34" fillId="0" borderId="0" applyProtection="1" pivotButton="0" quotePrefix="0" xfId="0">
      <protection locked="0" hidden="0"/>
    </xf>
    <xf numFmtId="0" fontId="41" fillId="0" borderId="31" applyAlignment="1" applyProtection="1" pivotButton="0" quotePrefix="0" xfId="0">
      <alignment horizontal="left" shrinkToFit="1"/>
      <protection locked="0" hidden="0"/>
    </xf>
    <xf numFmtId="0" fontId="34" fillId="6" borderId="9" applyAlignment="1" applyProtection="1" pivotButton="0" quotePrefix="0" xfId="0">
      <alignment horizontal="center" shrinkToFit="1"/>
      <protection locked="0" hidden="0"/>
    </xf>
    <xf numFmtId="49" fontId="34" fillId="6" borderId="29" applyAlignment="1" applyProtection="1" pivotButton="0" quotePrefix="0" xfId="0">
      <alignment horizontal="center" shrinkToFit="1"/>
      <protection locked="0" hidden="0"/>
    </xf>
    <xf numFmtId="49" fontId="53" fillId="6" borderId="29" applyAlignment="1" applyProtection="1" pivotButton="0" quotePrefix="0" xfId="0">
      <alignment horizontal="center" shrinkToFit="1"/>
      <protection locked="0" hidden="0"/>
    </xf>
    <xf numFmtId="0" fontId="32" fillId="0" borderId="0" applyAlignment="1" applyProtection="1" pivotButton="0" quotePrefix="0" xfId="0">
      <alignment horizontal="left"/>
      <protection locked="0" hidden="0"/>
    </xf>
    <xf numFmtId="0" fontId="41" fillId="0" borderId="0" applyAlignment="1" applyProtection="1" pivotButton="0" quotePrefix="0" xfId="0">
      <alignment horizontal="left" shrinkToFit="1"/>
      <protection locked="0" hidden="0"/>
    </xf>
    <xf numFmtId="4" fontId="27" fillId="0" borderId="0" applyAlignment="1" applyProtection="1" pivotButton="0" quotePrefix="0" xfId="0">
      <alignment horizontal="right"/>
      <protection locked="0" hidden="0"/>
    </xf>
    <xf numFmtId="0" fontId="41" fillId="0" borderId="5" applyAlignment="1" applyProtection="1" pivotButton="0" quotePrefix="0" xfId="0">
      <alignment horizontal="left" shrinkToFit="1"/>
      <protection locked="0" hidden="0"/>
    </xf>
    <xf numFmtId="0" fontId="41" fillId="6" borderId="29" applyAlignment="1" applyProtection="1" pivotButton="0" quotePrefix="0" xfId="0">
      <alignment horizontal="center" shrinkToFit="1"/>
      <protection locked="0" hidden="0"/>
    </xf>
    <xf numFmtId="9" fontId="29" fillId="0" borderId="0" applyAlignment="1" applyProtection="1" pivotButton="0" quotePrefix="0" xfId="0">
      <alignment horizontal="center"/>
      <protection locked="0" hidden="0"/>
    </xf>
    <xf numFmtId="167" fontId="54" fillId="0" borderId="0" applyAlignment="1" applyProtection="1" pivotButton="0" quotePrefix="0" xfId="0">
      <alignment horizontal="center"/>
      <protection locked="0" hidden="0"/>
    </xf>
    <xf numFmtId="0" fontId="44" fillId="7" borderId="0" applyAlignment="1" applyProtection="1" pivotButton="0" quotePrefix="0" xfId="0">
      <alignment vertical="center"/>
      <protection locked="0" hidden="1"/>
    </xf>
    <xf numFmtId="4" fontId="27" fillId="33" borderId="10" applyAlignment="1" applyProtection="1" pivotButton="0" quotePrefix="0" xfId="0">
      <alignment horizontal="center" wrapText="1"/>
      <protection locked="0" hidden="0"/>
    </xf>
    <xf numFmtId="4" fontId="27" fillId="33" borderId="12" applyAlignment="1" applyProtection="1" pivotButton="0" quotePrefix="0" xfId="0">
      <alignment horizontal="center" wrapText="1"/>
      <protection locked="0" hidden="0"/>
    </xf>
    <xf numFmtId="4" fontId="28" fillId="0" borderId="56" applyAlignment="1" applyProtection="1" pivotButton="0" quotePrefix="0" xfId="0">
      <alignment horizontal="center" shrinkToFit="1"/>
      <protection locked="0" hidden="0"/>
    </xf>
    <xf numFmtId="4" fontId="27" fillId="35" borderId="10" applyAlignment="1" applyProtection="1" pivotButton="0" quotePrefix="0" xfId="0">
      <alignment horizontal="center" wrapText="1"/>
      <protection locked="0" hidden="0"/>
    </xf>
    <xf numFmtId="4" fontId="27" fillId="35" borderId="12" applyAlignment="1" applyProtection="1" pivotButton="0" quotePrefix="0" xfId="0">
      <alignment horizontal="center" wrapText="1"/>
      <protection locked="0" hidden="0"/>
    </xf>
    <xf numFmtId="4" fontId="28" fillId="36" borderId="56" applyAlignment="1" applyProtection="1" pivotButton="0" quotePrefix="0" xfId="0">
      <alignment horizontal="center" shrinkToFit="1"/>
      <protection locked="0" hidden="0"/>
    </xf>
    <xf numFmtId="4" fontId="28" fillId="36" borderId="57" applyAlignment="1" applyProtection="1" pivotButton="0" quotePrefix="0" xfId="0">
      <alignment horizontal="center" shrinkToFit="1"/>
      <protection locked="0" hidden="0"/>
    </xf>
    <xf numFmtId="4" fontId="28" fillId="0" borderId="55" applyAlignment="1" applyProtection="1" pivotButton="0" quotePrefix="0" xfId="0">
      <alignment horizontal="center"/>
      <protection locked="0" hidden="0"/>
    </xf>
    <xf numFmtId="169" fontId="27" fillId="36" borderId="55" applyAlignment="1" applyProtection="1" pivotButton="0" quotePrefix="0" xfId="0">
      <alignment horizontal="center" shrinkToFit="1"/>
      <protection locked="0" hidden="0"/>
    </xf>
    <xf numFmtId="169" fontId="27" fillId="36" borderId="52" applyAlignment="1" applyProtection="1" pivotButton="0" quotePrefix="0" xfId="0">
      <alignment horizontal="center" shrinkToFit="1"/>
      <protection locked="0" hidden="0"/>
    </xf>
    <xf numFmtId="4" fontId="27" fillId="0" borderId="0" applyAlignment="1" applyProtection="1" pivotButton="0" quotePrefix="0" xfId="0">
      <alignment horizontal="center"/>
      <protection locked="0" hidden="0"/>
    </xf>
    <xf numFmtId="0" fontId="34" fillId="7" borderId="0" applyAlignment="1" applyProtection="1" pivotButton="0" quotePrefix="0" xfId="0">
      <alignment horizontal="center" vertical="center"/>
      <protection locked="0" hidden="0"/>
    </xf>
    <xf numFmtId="0" fontId="41" fillId="7" borderId="0" applyAlignment="1" applyProtection="1" pivotButton="0" quotePrefix="0" xfId="0">
      <alignment horizontal="center" vertical="center"/>
      <protection locked="0" hidden="0"/>
    </xf>
    <xf numFmtId="0" fontId="49" fillId="7" borderId="0" applyAlignment="1" applyProtection="1" pivotButton="0" quotePrefix="0" xfId="0">
      <alignment horizontal="center" vertical="center"/>
      <protection locked="0" hidden="0"/>
    </xf>
    <xf numFmtId="169" fontId="27" fillId="0" borderId="9" applyAlignment="1" applyProtection="1" pivotButton="0" quotePrefix="0" xfId="0">
      <alignment horizontal="center"/>
      <protection locked="0" hidden="0"/>
    </xf>
    <xf numFmtId="4" fontId="28" fillId="36" borderId="42" applyAlignment="1" applyProtection="1" pivotButton="0" quotePrefix="0" xfId="0">
      <alignment horizontal="center" shrinkToFit="1"/>
      <protection locked="0" hidden="0"/>
    </xf>
    <xf numFmtId="0" fontId="29" fillId="0" borderId="0" applyProtection="1" pivotButton="0" quotePrefix="0" xfId="0">
      <protection locked="1" hidden="1"/>
    </xf>
    <xf numFmtId="0" fontId="29" fillId="0" borderId="0" applyAlignment="1" applyProtection="1" pivotButton="0" quotePrefix="0" xfId="0">
      <alignment horizontal="center"/>
      <protection locked="1" hidden="1"/>
    </xf>
    <xf numFmtId="0" fontId="30" fillId="0" borderId="0" applyAlignment="1" applyProtection="1" pivotButton="0" quotePrefix="0" xfId="0">
      <alignment horizontal="left"/>
      <protection locked="1" hidden="1"/>
    </xf>
    <xf numFmtId="0" fontId="27" fillId="0" borderId="22" applyAlignment="1" applyProtection="1" pivotButton="0" quotePrefix="0" xfId="0">
      <alignment horizontal="center"/>
      <protection locked="1" hidden="1"/>
    </xf>
    <xf numFmtId="0" fontId="34" fillId="0" borderId="0" applyProtection="1" pivotButton="0" quotePrefix="0" xfId="0">
      <protection locked="1" hidden="1"/>
    </xf>
    <xf numFmtId="1" fontId="41" fillId="0" borderId="2" applyAlignment="1" applyProtection="1" pivotButton="0" quotePrefix="0" xfId="0">
      <alignment horizontal="center"/>
      <protection locked="1" hidden="1"/>
    </xf>
    <xf numFmtId="0" fontId="56" fillId="30" borderId="0" applyAlignment="1" applyProtection="1" pivotButton="0" quotePrefix="0" xfId="0">
      <alignment horizontal="center" vertical="top" wrapText="1"/>
      <protection locked="1" hidden="1"/>
    </xf>
    <xf numFmtId="0" fontId="30" fillId="0" borderId="0" applyProtection="1" pivotButton="0" quotePrefix="0" xfId="0">
      <protection locked="1" hidden="1"/>
    </xf>
    <xf numFmtId="0" fontId="30" fillId="0" borderId="0" applyAlignment="1" applyProtection="1" pivotButton="0" quotePrefix="0" xfId="0">
      <alignment horizontal="center"/>
      <protection locked="1" hidden="1"/>
    </xf>
    <xf numFmtId="2" fontId="27" fillId="0" borderId="2" applyAlignment="1" applyProtection="1" pivotButton="0" quotePrefix="0" xfId="0">
      <alignment horizontal="center"/>
      <protection locked="1" hidden="1"/>
    </xf>
    <xf numFmtId="169" fontId="29" fillId="0" borderId="2" applyAlignment="1" applyProtection="1" pivotButton="0" quotePrefix="0" xfId="0">
      <alignment horizontal="center"/>
      <protection locked="1" hidden="1"/>
    </xf>
    <xf numFmtId="165" fontId="29" fillId="0" borderId="2" applyAlignment="1" applyProtection="1" pivotButton="0" quotePrefix="0" xfId="0">
      <alignment horizontal="center"/>
      <protection locked="1" hidden="1"/>
    </xf>
    <xf numFmtId="165" fontId="27" fillId="0" borderId="0" applyAlignment="1" applyProtection="1" pivotButton="0" quotePrefix="0" xfId="0">
      <alignment horizontal="center"/>
      <protection locked="1" hidden="1"/>
    </xf>
    <xf numFmtId="169" fontId="29" fillId="0" borderId="6" applyAlignment="1" applyProtection="1" pivotButton="0" quotePrefix="0" xfId="0">
      <alignment horizontal="center"/>
      <protection locked="1" hidden="1"/>
    </xf>
    <xf numFmtId="0" fontId="27" fillId="0" borderId="0" applyProtection="1" pivotButton="0" quotePrefix="0" xfId="0">
      <protection locked="1" hidden="1"/>
    </xf>
    <xf numFmtId="169" fontId="35" fillId="0" borderId="6" applyAlignment="1" applyProtection="1" pivotButton="0" quotePrefix="0" xfId="0">
      <alignment horizontal="center"/>
      <protection locked="1" hidden="1"/>
    </xf>
    <xf numFmtId="169" fontId="34" fillId="0" borderId="6" applyAlignment="1" applyProtection="1" pivotButton="0" quotePrefix="0" xfId="0">
      <alignment horizontal="center"/>
      <protection locked="1" hidden="1"/>
    </xf>
    <xf numFmtId="0" fontId="35" fillId="0" borderId="0" applyProtection="1" pivotButton="0" quotePrefix="0" xfId="0">
      <protection locked="1" hidden="1"/>
    </xf>
    <xf numFmtId="49" fontId="41" fillId="0" borderId="2" applyAlignment="1" applyProtection="1" pivotButton="0" quotePrefix="0" xfId="0">
      <alignment horizontal="left" shrinkToFit="1"/>
      <protection locked="0" hidden="0"/>
    </xf>
    <xf numFmtId="49" fontId="41" fillId="0" borderId="2" applyAlignment="1" applyProtection="1" pivotButton="0" quotePrefix="0" xfId="0">
      <alignment horizontal="center" shrinkToFit="1"/>
      <protection locked="0" hidden="0"/>
    </xf>
    <xf numFmtId="49" fontId="41" fillId="0" borderId="6" applyAlignment="1" applyProtection="1" pivotButton="0" quotePrefix="0" xfId="0">
      <alignment horizontal="left" shrinkToFit="1"/>
      <protection locked="0" hidden="0"/>
    </xf>
    <xf numFmtId="49" fontId="41" fillId="0" borderId="6" applyAlignment="1" applyProtection="1" pivotButton="0" quotePrefix="0" xfId="0">
      <alignment horizontal="center" shrinkToFit="1"/>
      <protection locked="0" hidden="0"/>
    </xf>
    <xf numFmtId="0" fontId="66" fillId="7" borderId="0" applyAlignment="1" applyProtection="1" pivotButton="0" quotePrefix="0" xfId="0">
      <alignment horizontal="right" vertical="center"/>
      <protection locked="0" hidden="1"/>
    </xf>
    <xf numFmtId="4" fontId="37" fillId="0" borderId="0" applyAlignment="1" applyProtection="1" pivotButton="0" quotePrefix="0" xfId="0">
      <alignment shrinkToFit="1"/>
      <protection locked="0" hidden="0"/>
    </xf>
    <xf numFmtId="4" fontId="39" fillId="0" borderId="0" applyAlignment="1" applyProtection="1" pivotButton="0" quotePrefix="0" xfId="0">
      <alignment shrinkToFit="1"/>
      <protection locked="0" hidden="0"/>
    </xf>
    <xf numFmtId="0" fontId="42" fillId="0" borderId="0" applyAlignment="1" applyProtection="1" pivotButton="0" quotePrefix="0" xfId="0">
      <alignment horizontal="left"/>
      <protection locked="0" hidden="0"/>
    </xf>
    <xf numFmtId="4" fontId="34" fillId="0" borderId="0" applyProtection="1" pivotButton="0" quotePrefix="0" xfId="0">
      <protection locked="0" hidden="0"/>
    </xf>
    <xf numFmtId="0" fontId="42" fillId="0" borderId="0" applyAlignment="1" applyProtection="1" pivotButton="0" quotePrefix="0" xfId="0">
      <alignment horizontal="center"/>
      <protection locked="0" hidden="0"/>
    </xf>
    <xf numFmtId="4" fontId="37" fillId="0" borderId="0" applyAlignment="1" applyProtection="1" pivotButton="0" quotePrefix="0" xfId="0">
      <alignment horizontal="center"/>
      <protection locked="0" hidden="0"/>
    </xf>
    <xf numFmtId="171" fontId="29" fillId="3" borderId="0" applyAlignment="1" applyProtection="1" pivotButton="0" quotePrefix="0" xfId="0">
      <alignment horizontal="center"/>
      <protection locked="0" hidden="0"/>
    </xf>
    <xf numFmtId="165" fontId="56" fillId="30" borderId="0" applyAlignment="1" applyProtection="1" pivotButton="0" quotePrefix="0" xfId="0">
      <alignment horizontal="center" vertical="top" wrapText="1"/>
      <protection locked="1" hidden="1"/>
    </xf>
    <xf numFmtId="165" fontId="29" fillId="0" borderId="46" applyProtection="1" pivotButton="0" quotePrefix="0" xfId="0">
      <protection locked="0" hidden="0"/>
    </xf>
    <xf numFmtId="165" fontId="37" fillId="32" borderId="14" applyProtection="1" pivotButton="0" quotePrefix="0" xfId="0">
      <protection locked="0" hidden="0"/>
    </xf>
    <xf numFmtId="1" fontId="37" fillId="0" borderId="0" applyAlignment="1" applyProtection="1" pivotButton="0" quotePrefix="0" xfId="0">
      <alignment shrinkToFit="1"/>
      <protection locked="0" hidden="0"/>
    </xf>
    <xf numFmtId="172" fontId="29" fillId="0" borderId="0" applyProtection="1" pivotButton="0" quotePrefix="0" xfId="0">
      <protection locked="1" hidden="1"/>
    </xf>
    <xf numFmtId="49" fontId="34" fillId="0" borderId="0" applyAlignment="1" applyProtection="1" pivotButton="0" quotePrefix="0" xfId="0">
      <alignment shrinkToFit="1"/>
      <protection locked="0" hidden="0"/>
    </xf>
    <xf numFmtId="10" fontId="62" fillId="0" borderId="0" applyProtection="1" pivotButton="0" quotePrefix="0" xfId="0">
      <protection locked="0" hidden="0"/>
    </xf>
    <xf numFmtId="0" fontId="64" fillId="0" borderId="0" applyAlignment="1" applyProtection="1" pivotButton="0" quotePrefix="0" xfId="0">
      <alignment horizontal="center" vertical="top"/>
      <protection locked="0" hidden="0"/>
    </xf>
    <xf numFmtId="165" fontId="27" fillId="0" borderId="0" applyProtection="1" pivotButton="0" quotePrefix="0" xfId="0">
      <protection locked="0" hidden="0"/>
    </xf>
    <xf numFmtId="4" fontId="68" fillId="0" borderId="0" applyProtection="1" pivotButton="0" quotePrefix="0" xfId="0">
      <protection locked="0" hidden="0"/>
    </xf>
    <xf numFmtId="0" fontId="74" fillId="0" borderId="6" applyAlignment="1" applyProtection="1" pivotButton="0" quotePrefix="0" xfId="0">
      <alignment horizontal="left"/>
      <protection locked="1" hidden="1"/>
    </xf>
    <xf numFmtId="172" fontId="75" fillId="0" borderId="6" applyAlignment="1" applyProtection="1" pivotButton="0" quotePrefix="0" xfId="0">
      <alignment horizontal="left"/>
      <protection locked="1" hidden="1"/>
    </xf>
    <xf numFmtId="0" fontId="70" fillId="0" borderId="6" applyAlignment="1" applyProtection="1" pivotButton="0" quotePrefix="0" xfId="0">
      <alignment horizontal="left"/>
      <protection locked="1" hidden="1"/>
    </xf>
    <xf numFmtId="0" fontId="65" fillId="0" borderId="6" applyAlignment="1" applyProtection="1" pivotButton="0" quotePrefix="0" xfId="0">
      <alignment horizontal="left"/>
      <protection locked="1" hidden="1"/>
    </xf>
    <xf numFmtId="0" fontId="65" fillId="0" borderId="6" applyAlignment="1" applyProtection="1" pivotButton="0" quotePrefix="0" xfId="0">
      <alignment horizontal="center"/>
      <protection locked="1" hidden="1"/>
    </xf>
    <xf numFmtId="1" fontId="65" fillId="0" borderId="6" applyAlignment="1" applyProtection="1" pivotButton="0" quotePrefix="0" xfId="0">
      <alignment horizontal="center"/>
      <protection locked="1" hidden="1"/>
    </xf>
    <xf numFmtId="173" fontId="65" fillId="0" borderId="6" applyAlignment="1" applyProtection="1" pivotButton="0" quotePrefix="0" xfId="72">
      <alignment horizontal="right"/>
      <protection locked="1" hidden="1"/>
    </xf>
    <xf numFmtId="174" fontId="65" fillId="0" borderId="6" applyAlignment="1" applyProtection="1" pivotButton="0" quotePrefix="0" xfId="0">
      <alignment horizontal="center"/>
      <protection locked="1" hidden="1"/>
    </xf>
    <xf numFmtId="175" fontId="65" fillId="0" borderId="6" applyAlignment="1" applyProtection="1" pivotButton="0" quotePrefix="0" xfId="0">
      <alignment horizontal="center"/>
      <protection locked="1" hidden="1"/>
    </xf>
    <xf numFmtId="174" fontId="65" fillId="37" borderId="6" applyAlignment="1" applyProtection="1" pivotButton="0" quotePrefix="0" xfId="72">
      <alignment horizontal="center"/>
      <protection locked="1" hidden="1"/>
    </xf>
    <xf numFmtId="165" fontId="29" fillId="0" borderId="0" applyAlignment="1" applyProtection="1" pivotButton="0" quotePrefix="0" xfId="0">
      <alignment horizontal="right"/>
      <protection locked="1" hidden="1"/>
    </xf>
    <xf numFmtId="172" fontId="71" fillId="0" borderId="6" applyAlignment="1" applyProtection="1" pivotButton="0" quotePrefix="0" xfId="0">
      <alignment horizontal="left"/>
      <protection locked="1" hidden="1"/>
    </xf>
    <xf numFmtId="0" fontId="72" fillId="0" borderId="6" applyAlignment="1" applyProtection="1" pivotButton="0" quotePrefix="0" xfId="0">
      <alignment horizontal="left"/>
      <protection locked="1" hidden="1"/>
    </xf>
    <xf numFmtId="4" fontId="65" fillId="0" borderId="6" applyAlignment="1" applyProtection="1" pivotButton="0" quotePrefix="0" xfId="0">
      <alignment horizontal="center"/>
      <protection locked="1" hidden="1"/>
    </xf>
    <xf numFmtId="49" fontId="65" fillId="0" borderId="6" applyAlignment="1" applyProtection="1" pivotButton="0" quotePrefix="0" xfId="0">
      <alignment horizontal="center"/>
      <protection locked="1" hidden="1"/>
    </xf>
    <xf numFmtId="165" fontId="65" fillId="0" borderId="6" applyAlignment="1" applyProtection="1" pivotButton="0" quotePrefix="0" xfId="72">
      <alignment horizontal="right"/>
      <protection locked="1" hidden="1"/>
    </xf>
    <xf numFmtId="0" fontId="77" fillId="39" borderId="6" applyAlignment="1" applyProtection="1" pivotButton="0" quotePrefix="0" xfId="75">
      <alignment horizontal="center"/>
      <protection locked="1" hidden="1"/>
    </xf>
    <xf numFmtId="0" fontId="65" fillId="40" borderId="6" applyAlignment="1" applyProtection="1" pivotButton="0" quotePrefix="0" xfId="0">
      <alignment wrapText="1"/>
      <protection locked="1" hidden="1"/>
    </xf>
    <xf numFmtId="174" fontId="65" fillId="39" borderId="6" applyAlignment="1" applyProtection="1" pivotButton="0" quotePrefix="0" xfId="75">
      <alignment horizontal="center"/>
      <protection locked="1" hidden="1"/>
    </xf>
    <xf numFmtId="43" fontId="65" fillId="39" borderId="6" applyAlignment="1" applyProtection="1" pivotButton="0" quotePrefix="0" xfId="74">
      <alignment horizontal="center"/>
      <protection locked="1" hidden="1"/>
    </xf>
    <xf numFmtId="1" fontId="65" fillId="39" borderId="6" applyAlignment="1" applyProtection="1" pivotButton="0" quotePrefix="0" xfId="74">
      <alignment horizontal="center"/>
      <protection locked="1" hidden="1"/>
    </xf>
    <xf numFmtId="0" fontId="65" fillId="0" borderId="6" applyAlignment="1" applyProtection="1" pivotButton="0" quotePrefix="0" xfId="74">
      <alignment horizontal="center"/>
      <protection locked="1" hidden="1"/>
    </xf>
    <xf numFmtId="0" fontId="65" fillId="38" borderId="6" applyAlignment="1" applyProtection="1" pivotButton="0" quotePrefix="0" xfId="75">
      <alignment horizontal="center"/>
      <protection locked="1" hidden="1"/>
    </xf>
    <xf numFmtId="1" fontId="65" fillId="0" borderId="6" applyAlignment="1" applyProtection="1" pivotButton="0" quotePrefix="0" xfId="74">
      <alignment horizontal="center"/>
      <protection locked="1" hidden="1"/>
    </xf>
    <xf numFmtId="0" fontId="65" fillId="0" borderId="6" applyProtection="1" pivotButton="0" quotePrefix="0" xfId="74">
      <protection locked="1" hidden="1"/>
    </xf>
    <xf numFmtId="172" fontId="65" fillId="39" borderId="6" applyAlignment="1" applyProtection="1" pivotButton="0" quotePrefix="0" xfId="74">
      <alignment horizontal="center"/>
      <protection locked="1" hidden="1"/>
    </xf>
    <xf numFmtId="0" fontId="65" fillId="39" borderId="6" applyAlignment="1" applyProtection="1" pivotButton="0" quotePrefix="0" xfId="74">
      <alignment horizontal="center"/>
      <protection locked="1" hidden="1"/>
    </xf>
    <xf numFmtId="164" fontId="29" fillId="0" borderId="0" applyAlignment="1" applyProtection="1" pivotButton="0" quotePrefix="0" xfId="0">
      <alignment horizontal="right"/>
      <protection locked="1" hidden="1"/>
    </xf>
    <xf numFmtId="0" fontId="29" fillId="0" borderId="0" applyAlignment="1" applyProtection="1" pivotButton="0" quotePrefix="0" xfId="0">
      <alignment horizontal="left"/>
      <protection locked="1" hidden="1"/>
    </xf>
    <xf numFmtId="4" fontId="29" fillId="0" borderId="0" applyAlignment="1" applyProtection="1" pivotButton="0" quotePrefix="0" xfId="0">
      <alignment horizontal="center"/>
      <protection locked="1" hidden="1"/>
    </xf>
    <xf numFmtId="4" fontId="29" fillId="0" borderId="0" applyAlignment="1" applyProtection="1" pivotButton="0" quotePrefix="0" xfId="0">
      <alignment horizontal="right"/>
      <protection locked="1" hidden="1"/>
    </xf>
    <xf numFmtId="1" fontId="37" fillId="0" borderId="0" applyAlignment="1" applyProtection="1" pivotButton="0" quotePrefix="0" xfId="0">
      <alignment horizontal="center" shrinkToFit="1"/>
      <protection locked="0" hidden="0"/>
    </xf>
    <xf numFmtId="0" fontId="42" fillId="0" borderId="0" applyAlignment="1" applyProtection="1" pivotButton="0" quotePrefix="0" xfId="0">
      <alignment horizontal="right"/>
      <protection locked="0" hidden="0"/>
    </xf>
    <xf numFmtId="1" fontId="29" fillId="0" borderId="0" applyAlignment="1" applyProtection="1" pivotButton="0" quotePrefix="0" xfId="0">
      <alignment horizontal="center"/>
      <protection locked="1" hidden="1"/>
    </xf>
    <xf numFmtId="4" fontId="28" fillId="31" borderId="59" applyAlignment="1" applyProtection="1" pivotButton="0" quotePrefix="0" xfId="0">
      <alignment horizontal="center" shrinkToFit="1"/>
      <protection locked="0" hidden="0"/>
    </xf>
    <xf numFmtId="4" fontId="28" fillId="31" borderId="60" applyAlignment="1" applyProtection="1" pivotButton="0" quotePrefix="0" xfId="0">
      <alignment horizontal="center" shrinkToFit="1"/>
      <protection locked="0" hidden="0"/>
    </xf>
    <xf numFmtId="4" fontId="28" fillId="31" borderId="61" applyAlignment="1" applyProtection="1" pivotButton="0" quotePrefix="0" xfId="0">
      <alignment horizontal="center" shrinkToFit="1"/>
      <protection locked="0" hidden="0"/>
    </xf>
    <xf numFmtId="4" fontId="37" fillId="31" borderId="9" applyAlignment="1" applyProtection="1" pivotButton="0" quotePrefix="0" xfId="0">
      <alignment horizontal="center" wrapText="1"/>
      <protection locked="0" hidden="0"/>
    </xf>
    <xf numFmtId="4" fontId="41" fillId="36" borderId="53" applyAlignment="1" applyProtection="1" pivotButton="0" quotePrefix="0" xfId="0">
      <alignment horizontal="center" wrapText="1"/>
      <protection locked="0" hidden="0"/>
    </xf>
    <xf numFmtId="4" fontId="27" fillId="36" borderId="11" applyAlignment="1" applyProtection="1" pivotButton="0" quotePrefix="0" xfId="0">
      <alignment horizontal="center" wrapText="1"/>
      <protection locked="0" hidden="0"/>
    </xf>
    <xf numFmtId="4" fontId="28" fillId="36" borderId="2" applyAlignment="1" applyProtection="1" pivotButton="0" quotePrefix="0" xfId="0">
      <alignment horizontal="center" shrinkToFit="1"/>
      <protection locked="0" hidden="0"/>
    </xf>
    <xf numFmtId="0" fontId="41" fillId="0" borderId="14" applyAlignment="1" applyProtection="1" pivotButton="0" quotePrefix="0" xfId="0">
      <alignment horizontal="left" vertical="center" shrinkToFit="1"/>
      <protection locked="0" hidden="0"/>
    </xf>
    <xf numFmtId="0" fontId="34" fillId="0" borderId="0" applyAlignment="1" applyProtection="1" pivotButton="0" quotePrefix="0" xfId="0">
      <alignment horizontal="right" shrinkToFit="1"/>
      <protection locked="0" hidden="0"/>
    </xf>
    <xf numFmtId="0" fontId="34" fillId="41" borderId="0" applyAlignment="1" applyProtection="1" pivotButton="0" quotePrefix="0" xfId="0">
      <alignment horizontal="left" shrinkToFit="1"/>
      <protection locked="0" hidden="0"/>
    </xf>
    <xf numFmtId="0" fontId="41" fillId="0" borderId="0" applyProtection="1" pivotButton="0" quotePrefix="0" xfId="0">
      <protection locked="1" hidden="1"/>
    </xf>
    <xf numFmtId="0" fontId="27" fillId="0" borderId="0" applyAlignment="1" applyProtection="1" pivotButton="0" quotePrefix="0" xfId="0">
      <alignment horizontal="left"/>
      <protection locked="1" hidden="1"/>
    </xf>
    <xf numFmtId="0" fontId="27" fillId="0" borderId="0" applyAlignment="1" pivotButton="0" quotePrefix="0" xfId="0">
      <alignment horizontal="center"/>
    </xf>
    <xf numFmtId="0" fontId="79" fillId="0" borderId="0" applyAlignment="1" applyProtection="1" pivotButton="0" quotePrefix="0" xfId="0">
      <alignment horizontal="center"/>
      <protection locked="1" hidden="1"/>
    </xf>
    <xf numFmtId="1" fontId="26" fillId="0" borderId="0" applyAlignment="1" applyProtection="1" pivotButton="0" quotePrefix="0" xfId="0">
      <alignment horizontal="center"/>
      <protection locked="1" hidden="1"/>
    </xf>
    <xf numFmtId="169" fontId="54" fillId="42" borderId="0" applyAlignment="1" applyProtection="1" pivotButton="0" quotePrefix="0" xfId="0">
      <alignment horizontal="center"/>
      <protection locked="0" hidden="0"/>
    </xf>
    <xf numFmtId="169" fontId="27" fillId="36" borderId="3" applyAlignment="1" applyProtection="1" pivotButton="0" quotePrefix="0" xfId="0">
      <alignment horizontal="center" shrinkToFit="1"/>
      <protection locked="0" hidden="0"/>
    </xf>
    <xf numFmtId="169" fontId="27" fillId="0" borderId="2" applyAlignment="1" applyProtection="1" pivotButton="0" quotePrefix="0" xfId="0">
      <alignment horizontal="center" shrinkToFit="1"/>
      <protection locked="0" hidden="0"/>
    </xf>
    <xf numFmtId="4" fontId="56" fillId="41" borderId="0" applyProtection="1" pivotButton="0" quotePrefix="0" xfId="0">
      <protection locked="0" hidden="0"/>
    </xf>
    <xf numFmtId="169" fontId="27" fillId="0" borderId="6" applyAlignment="1" applyProtection="1" pivotButton="0" quotePrefix="0" xfId="0">
      <alignment horizontal="center" shrinkToFit="1"/>
      <protection locked="0" hidden="0"/>
    </xf>
    <xf numFmtId="0" fontId="64" fillId="0" borderId="47" applyAlignment="1" pivotButton="0" quotePrefix="0" xfId="0">
      <alignment horizontal="center" vertical="top"/>
    </xf>
    <xf numFmtId="0" fontId="40" fillId="0" borderId="0" applyAlignment="1" applyProtection="1" pivotButton="0" quotePrefix="0" xfId="0">
      <alignment horizontal="left"/>
      <protection locked="0" hidden="0"/>
    </xf>
    <xf numFmtId="1" fontId="34" fillId="0" borderId="27" applyAlignment="1" applyProtection="1" pivotButton="0" quotePrefix="0" xfId="0">
      <alignment horizontal="center"/>
      <protection locked="0" hidden="0"/>
    </xf>
    <xf numFmtId="0" fontId="34" fillId="0" borderId="27" applyAlignment="1" applyProtection="1" pivotButton="0" quotePrefix="0" xfId="0">
      <alignment horizontal="center"/>
      <protection locked="0" hidden="0"/>
    </xf>
    <xf numFmtId="0" fontId="34" fillId="0" borderId="28" applyAlignment="1" applyProtection="1" pivotButton="0" quotePrefix="0" xfId="0">
      <alignment horizontal="center"/>
      <protection locked="0" hidden="0"/>
    </xf>
    <xf numFmtId="4" fontId="27" fillId="0" borderId="0" applyAlignment="1" pivotButton="0" quotePrefix="0" xfId="0">
      <alignment horizontal="right"/>
    </xf>
    <xf numFmtId="49" fontId="28" fillId="0" borderId="0" applyAlignment="1" pivotButton="0" quotePrefix="0" xfId="0">
      <alignment horizontal="center" shrinkToFit="1"/>
    </xf>
    <xf numFmtId="4" fontId="29" fillId="0" borderId="0" applyAlignment="1" pivotButton="0" quotePrefix="0" xfId="0">
      <alignment horizontal="right"/>
    </xf>
    <xf numFmtId="4" fontId="61" fillId="34" borderId="46" applyAlignment="1" applyProtection="1" pivotButton="0" quotePrefix="0" xfId="0">
      <alignment horizontal="center" shrinkToFit="1"/>
      <protection locked="0" hidden="0"/>
    </xf>
    <xf numFmtId="4" fontId="63" fillId="0" borderId="0" applyAlignment="1" applyProtection="1" pivotButton="0" quotePrefix="0" xfId="0">
      <alignment horizontal="center"/>
      <protection locked="0" hidden="0"/>
    </xf>
    <xf numFmtId="0" fontId="28" fillId="0" borderId="15" applyAlignment="1" applyProtection="1" pivotButton="0" quotePrefix="0" xfId="0">
      <alignment horizontal="left" shrinkToFit="1"/>
      <protection locked="0" hidden="0"/>
    </xf>
    <xf numFmtId="0" fontId="28" fillId="0" borderId="4" applyAlignment="1" applyProtection="1" pivotButton="0" quotePrefix="0" xfId="0">
      <alignment horizontal="left" shrinkToFit="1"/>
      <protection locked="0" hidden="0"/>
    </xf>
    <xf numFmtId="0" fontId="58" fillId="0" borderId="18" applyAlignment="1" applyProtection="1" pivotButton="0" quotePrefix="0" xfId="0">
      <alignment horizontal="center"/>
      <protection locked="0" hidden="0"/>
    </xf>
    <xf numFmtId="0" fontId="58" fillId="0" borderId="54" applyAlignment="1" applyProtection="1" pivotButton="0" quotePrefix="0" xfId="0">
      <alignment horizontal="center"/>
      <protection locked="0" hidden="0"/>
    </xf>
    <xf numFmtId="0" fontId="58" fillId="0" borderId="19" applyAlignment="1" applyProtection="1" pivotButton="0" quotePrefix="0" xfId="0">
      <alignment horizontal="center"/>
      <protection locked="0" hidden="0"/>
    </xf>
    <xf numFmtId="0" fontId="29" fillId="0" borderId="0" applyAlignment="1" applyProtection="1" pivotButton="0" quotePrefix="0" xfId="0">
      <alignment horizontal="right"/>
      <protection locked="0" hidden="0"/>
    </xf>
    <xf numFmtId="0" fontId="29" fillId="0" borderId="7" applyAlignment="1" applyProtection="1" pivotButton="0" quotePrefix="0" xfId="0">
      <alignment horizontal="right"/>
      <protection locked="0" hidden="0"/>
    </xf>
    <xf numFmtId="0" fontId="29" fillId="0" borderId="50" applyAlignment="1" applyProtection="1" pivotButton="0" quotePrefix="0" xfId="0">
      <alignment horizontal="right"/>
      <protection locked="0" hidden="0"/>
    </xf>
    <xf numFmtId="0" fontId="34" fillId="0" borderId="45" applyAlignment="1" applyProtection="1" pivotButton="0" quotePrefix="0" xfId="0">
      <alignment horizontal="center"/>
      <protection locked="0" hidden="0"/>
    </xf>
    <xf numFmtId="0" fontId="34" fillId="0" borderId="42" applyAlignment="1" applyProtection="1" pivotButton="0" quotePrefix="0" xfId="0">
      <alignment horizontal="center"/>
      <protection locked="0" hidden="0"/>
    </xf>
    <xf numFmtId="4" fontId="27" fillId="0" borderId="0" applyAlignment="1" applyProtection="1" pivotButton="0" quotePrefix="0" xfId="0">
      <alignment horizontal="right"/>
      <protection locked="0" hidden="0"/>
    </xf>
    <xf numFmtId="0" fontId="34" fillId="0" borderId="6" applyAlignment="1" applyProtection="1" pivotButton="0" quotePrefix="0" xfId="0">
      <alignment horizontal="center"/>
      <protection locked="0" hidden="0"/>
    </xf>
    <xf numFmtId="0" fontId="34" fillId="0" borderId="23" applyAlignment="1" applyProtection="1" pivotButton="0" quotePrefix="0" xfId="0">
      <alignment horizontal="center"/>
      <protection locked="0" hidden="0"/>
    </xf>
    <xf numFmtId="0" fontId="41" fillId="0" borderId="0" applyAlignment="1" applyProtection="1" pivotButton="0" quotePrefix="0" xfId="0">
      <alignment horizontal="center" vertical="center"/>
      <protection locked="0" hidden="0"/>
    </xf>
    <xf numFmtId="10" fontId="41" fillId="36" borderId="43" applyAlignment="1" applyProtection="1" pivotButton="0" quotePrefix="0" xfId="0">
      <alignment horizontal="center"/>
      <protection locked="0" hidden="0"/>
    </xf>
    <xf numFmtId="10" fontId="41" fillId="36" borderId="44" applyAlignment="1" applyProtection="1" pivotButton="0" quotePrefix="0" xfId="0">
      <alignment horizontal="center"/>
      <protection locked="0" hidden="0"/>
    </xf>
    <xf numFmtId="0" fontId="56" fillId="30" borderId="41" applyAlignment="1" applyProtection="1" pivotButton="0" quotePrefix="0" xfId="0">
      <alignment horizontal="center" vertical="top" wrapText="1"/>
      <protection locked="1" hidden="1"/>
    </xf>
    <xf numFmtId="0" fontId="56" fillId="30" borderId="26" applyAlignment="1" applyProtection="1" pivotButton="0" quotePrefix="0" xfId="0">
      <alignment horizontal="center" vertical="top" wrapText="1"/>
      <protection locked="1" hidden="1"/>
    </xf>
    <xf numFmtId="0" fontId="56" fillId="30" borderId="42" applyAlignment="1" applyProtection="1" pivotButton="0" quotePrefix="0" xfId="0">
      <alignment horizontal="center" vertical="top" wrapText="1"/>
      <protection locked="1" hidden="1"/>
    </xf>
    <xf numFmtId="0" fontId="56" fillId="30" borderId="28" applyAlignment="1" applyProtection="1" pivotButton="0" quotePrefix="0" xfId="0">
      <alignment horizontal="center" vertical="top" wrapText="1"/>
      <protection locked="1" hidden="1"/>
    </xf>
    <xf numFmtId="0" fontId="37" fillId="33" borderId="11" applyAlignment="1" applyProtection="1" pivotButton="0" quotePrefix="0" xfId="0">
      <alignment horizontal="center" wrapText="1"/>
      <protection locked="0" hidden="0"/>
    </xf>
    <xf numFmtId="0" fontId="52" fillId="7" borderId="0" applyAlignment="1" applyProtection="1" pivotButton="0" quotePrefix="0" xfId="0">
      <alignment horizontal="center" vertical="center"/>
      <protection locked="0" hidden="0"/>
    </xf>
    <xf numFmtId="0" fontId="41" fillId="0" borderId="5" applyAlignment="1" applyProtection="1" pivotButton="0" quotePrefix="0" xfId="0">
      <alignment horizontal="left" shrinkToFit="1"/>
      <protection locked="0" hidden="0"/>
    </xf>
    <xf numFmtId="0" fontId="41" fillId="0" borderId="31" applyAlignment="1" applyProtection="1" pivotButton="0" quotePrefix="0" xfId="0">
      <alignment horizontal="center" shrinkToFit="1"/>
      <protection locked="0" hidden="0"/>
    </xf>
    <xf numFmtId="0" fontId="41" fillId="0" borderId="62" applyAlignment="1" applyProtection="1" pivotButton="0" quotePrefix="0" xfId="0">
      <alignment horizontal="center" shrinkToFit="1"/>
      <protection locked="0" hidden="0"/>
    </xf>
    <xf numFmtId="0" fontId="41" fillId="6" borderId="24" applyAlignment="1" applyProtection="1" pivotButton="0" quotePrefix="0" xfId="0">
      <alignment horizontal="center" shrinkToFit="1"/>
      <protection locked="0" hidden="0"/>
    </xf>
    <xf numFmtId="0" fontId="41" fillId="6" borderId="29" applyAlignment="1" applyProtection="1" pivotButton="0" quotePrefix="0" xfId="0">
      <alignment horizontal="center" shrinkToFit="1"/>
      <protection locked="0" hidden="0"/>
    </xf>
    <xf numFmtId="0" fontId="41" fillId="6" borderId="30" applyAlignment="1" applyProtection="1" pivotButton="0" quotePrefix="0" xfId="0">
      <alignment horizontal="center" shrinkToFit="1"/>
      <protection locked="0" hidden="0"/>
    </xf>
    <xf numFmtId="2" fontId="34" fillId="0" borderId="0" applyAlignment="1" applyProtection="1" pivotButton="0" quotePrefix="0" xfId="0">
      <alignment horizontal="center"/>
      <protection locked="0" hidden="0"/>
    </xf>
    <xf numFmtId="0" fontId="34" fillId="7" borderId="0" applyAlignment="1" applyProtection="1" pivotButton="0" quotePrefix="0" xfId="0">
      <alignment horizontal="left" vertical="center"/>
      <protection locked="0" hidden="0"/>
    </xf>
    <xf numFmtId="0" fontId="50" fillId="7" borderId="48" applyAlignment="1" applyProtection="1" pivotButton="0" quotePrefix="0" xfId="0">
      <alignment horizontal="center" vertical="center"/>
      <protection locked="0" hidden="0"/>
    </xf>
    <xf numFmtId="0" fontId="50" fillId="7" borderId="49" applyAlignment="1" applyProtection="1" pivotButton="0" quotePrefix="0" xfId="0">
      <alignment horizontal="center" vertical="center"/>
      <protection locked="0" hidden="0"/>
    </xf>
    <xf numFmtId="0" fontId="41" fillId="0" borderId="14" applyAlignment="1" applyProtection="1" pivotButton="0" quotePrefix="0" xfId="0">
      <alignment horizontal="center" shrinkToFit="1"/>
      <protection locked="0" hidden="0"/>
    </xf>
    <xf numFmtId="0" fontId="30" fillId="7" borderId="51" applyAlignment="1" applyProtection="1" pivotButton="0" quotePrefix="0" xfId="0">
      <alignment horizontal="center" vertical="center"/>
      <protection locked="0" hidden="0"/>
    </xf>
    <xf numFmtId="0" fontId="30" fillId="7" borderId="52" applyAlignment="1" applyProtection="1" pivotButton="0" quotePrefix="0" xfId="0">
      <alignment horizontal="center" vertical="center"/>
      <protection locked="0" hidden="0"/>
    </xf>
    <xf numFmtId="0" fontId="41" fillId="7" borderId="58" applyAlignment="1" applyProtection="1" pivotButton="0" quotePrefix="0" xfId="0">
      <alignment horizontal="center" vertical="center"/>
      <protection locked="0" hidden="0"/>
    </xf>
    <xf numFmtId="0" fontId="41" fillId="7" borderId="57" applyAlignment="1" applyProtection="1" pivotButton="0" quotePrefix="0" xfId="0">
      <alignment horizontal="center" vertical="center"/>
      <protection locked="0" hidden="0"/>
    </xf>
    <xf numFmtId="0" fontId="30" fillId="7" borderId="0" applyAlignment="1" applyProtection="1" pivotButton="0" quotePrefix="0" xfId="0">
      <alignment horizontal="center" vertical="center"/>
      <protection locked="0" hidden="0"/>
    </xf>
    <xf numFmtId="0" fontId="46" fillId="0" borderId="7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 vertical="center"/>
    </xf>
    <xf numFmtId="0" fontId="47" fillId="0" borderId="7" applyAlignment="1" applyProtection="1" pivotButton="0" quotePrefix="0" xfId="0">
      <alignment horizontal="center" vertical="center"/>
      <protection locked="0" hidden="0"/>
    </xf>
    <xf numFmtId="0" fontId="47" fillId="0" borderId="0" applyAlignment="1" applyProtection="1" pivotButton="0" quotePrefix="0" xfId="0">
      <alignment horizontal="center" vertical="center"/>
      <protection locked="0" hidden="0"/>
    </xf>
    <xf numFmtId="1" fontId="67" fillId="0" borderId="0" applyAlignment="1" pivotButton="0" quotePrefix="0" xfId="0">
      <alignment horizontal="center" vertical="center" shrinkToFit="1"/>
    </xf>
    <xf numFmtId="4" fontId="37" fillId="0" borderId="15" applyAlignment="1" applyProtection="1" pivotButton="0" quotePrefix="0" xfId="0">
      <alignment horizontal="center" shrinkToFit="1"/>
      <protection locked="0" hidden="0"/>
    </xf>
    <xf numFmtId="4" fontId="37" fillId="0" borderId="14" applyAlignment="1" applyProtection="1" pivotButton="0" quotePrefix="0" xfId="0">
      <alignment horizontal="center" shrinkToFit="1"/>
      <protection locked="0" hidden="0"/>
    </xf>
    <xf numFmtId="4" fontId="37" fillId="0" borderId="4" applyAlignment="1" applyProtection="1" pivotButton="0" quotePrefix="0" xfId="0">
      <alignment horizontal="center" shrinkToFit="1"/>
      <protection locked="0" hidden="0"/>
    </xf>
    <xf numFmtId="0" fontId="28" fillId="3" borderId="54" applyAlignment="1" applyProtection="1" pivotButton="0" quotePrefix="0" xfId="0">
      <alignment horizontal="center" vertical="center" wrapText="1"/>
      <protection locked="0" hidden="0"/>
    </xf>
    <xf numFmtId="0" fontId="28" fillId="3" borderId="19" applyAlignment="1" applyProtection="1" pivotButton="0" quotePrefix="0" xfId="0">
      <alignment horizontal="center" vertical="center" wrapText="1"/>
      <protection locked="0" hidden="0"/>
    </xf>
    <xf numFmtId="0" fontId="28" fillId="3" borderId="0" applyAlignment="1" applyProtection="1" pivotButton="0" quotePrefix="0" xfId="0">
      <alignment horizontal="center" vertical="center" wrapText="1"/>
      <protection locked="0" hidden="0"/>
    </xf>
    <xf numFmtId="0" fontId="28" fillId="3" borderId="8" applyAlignment="1" applyProtection="1" pivotButton="0" quotePrefix="0" xfId="0">
      <alignment horizontal="center" vertical="center" wrapText="1"/>
      <protection locked="0" hidden="0"/>
    </xf>
    <xf numFmtId="0" fontId="28" fillId="3" borderId="20" applyAlignment="1" applyProtection="1" pivotButton="0" quotePrefix="0" xfId="0">
      <alignment horizontal="center" vertical="center" wrapText="1"/>
      <protection locked="0" hidden="0"/>
    </xf>
    <xf numFmtId="0" fontId="28" fillId="3" borderId="21" applyAlignment="1" applyProtection="1" pivotButton="0" quotePrefix="0" xfId="0">
      <alignment horizontal="center" vertical="center" wrapText="1"/>
      <protection locked="0" hidden="0"/>
    </xf>
    <xf numFmtId="0" fontId="41" fillId="0" borderId="0" applyAlignment="1" applyProtection="1" pivotButton="0" quotePrefix="0" xfId="0">
      <alignment horizontal="left" shrinkToFit="1"/>
      <protection locked="0" hidden="0"/>
    </xf>
    <xf numFmtId="0" fontId="42" fillId="0" borderId="0" applyAlignment="1" pivotButton="0" quotePrefix="0" xfId="0">
      <alignment horizontal="right" shrinkToFit="1"/>
    </xf>
    <xf numFmtId="49" fontId="37" fillId="0" borderId="15" applyAlignment="1" applyProtection="1" pivotButton="0" quotePrefix="0" xfId="0">
      <alignment horizontal="center" shrinkToFit="1"/>
      <protection locked="0" hidden="0"/>
    </xf>
    <xf numFmtId="49" fontId="37" fillId="0" borderId="14" applyAlignment="1" applyProtection="1" pivotButton="0" quotePrefix="0" xfId="0">
      <alignment horizontal="center" shrinkToFit="1"/>
      <protection locked="0" hidden="0"/>
    </xf>
    <xf numFmtId="49" fontId="37" fillId="0" borderId="4" applyAlignment="1" applyProtection="1" pivotButton="0" quotePrefix="0" xfId="0">
      <alignment horizontal="center" shrinkToFit="1"/>
      <protection locked="0" hidden="0"/>
    </xf>
    <xf numFmtId="0" fontId="41" fillId="0" borderId="5" applyAlignment="1" applyProtection="1" pivotButton="0" quotePrefix="0" xfId="0">
      <alignment horizontal="center" shrinkToFit="1"/>
      <protection locked="0" hidden="0"/>
    </xf>
    <xf numFmtId="4" fontId="39" fillId="43" borderId="15" applyAlignment="1" applyProtection="1" pivotButton="0" quotePrefix="0" xfId="0">
      <alignment horizontal="center" shrinkToFit="1"/>
      <protection locked="0" hidden="0"/>
    </xf>
    <xf numFmtId="4" fontId="39" fillId="43" borderId="14" applyAlignment="1" applyProtection="1" pivotButton="0" quotePrefix="0" xfId="0">
      <alignment horizontal="center" shrinkToFit="1"/>
      <protection locked="0" hidden="0"/>
    </xf>
    <xf numFmtId="4" fontId="39" fillId="43" borderId="4" applyAlignment="1" applyProtection="1" pivotButton="0" quotePrefix="0" xfId="0">
      <alignment horizontal="center" shrinkToFit="1"/>
      <protection locked="0" hidden="0"/>
    </xf>
    <xf numFmtId="0" fontId="32" fillId="0" borderId="0" applyAlignment="1" applyProtection="1" pivotButton="0" quotePrefix="0" xfId="0">
      <alignment horizontal="left"/>
      <protection locked="0" hidden="0"/>
    </xf>
    <xf numFmtId="4" fontId="34" fillId="32" borderId="5" applyAlignment="1" applyProtection="1" pivotButton="0" quotePrefix="0" xfId="0">
      <alignment horizontal="center" shrinkToFit="1"/>
      <protection locked="0" hidden="0"/>
    </xf>
    <xf numFmtId="4" fontId="65" fillId="0" borderId="1" applyAlignment="1" applyProtection="1" pivotButton="0" quotePrefix="0" xfId="0">
      <alignment horizontal="center"/>
      <protection locked="0" hidden="0"/>
    </xf>
    <xf numFmtId="0" fontId="38" fillId="3" borderId="19" applyAlignment="1" applyProtection="1" pivotButton="0" quotePrefix="0" xfId="0">
      <alignment horizontal="center" vertical="center"/>
      <protection locked="0" hidden="0"/>
    </xf>
    <xf numFmtId="0" fontId="38" fillId="3" borderId="21" applyAlignment="1" applyProtection="1" pivotButton="0" quotePrefix="0" xfId="0">
      <alignment horizontal="center" vertical="center"/>
      <protection locked="0" hidden="0"/>
    </xf>
    <xf numFmtId="1" fontId="39" fillId="3" borderId="16" applyAlignment="1" applyProtection="1" pivotButton="0" quotePrefix="0" xfId="0">
      <alignment horizontal="center" vertical="center" shrinkToFit="1"/>
      <protection locked="0" hidden="0"/>
    </xf>
    <xf numFmtId="1" fontId="39" fillId="3" borderId="17" applyAlignment="1" applyProtection="1" pivotButton="0" quotePrefix="0" xfId="0">
      <alignment horizontal="center" vertical="center" shrinkToFit="1"/>
      <protection locked="0" hidden="0"/>
    </xf>
    <xf numFmtId="49" fontId="33" fillId="0" borderId="0" applyAlignment="1" applyProtection="1" pivotButton="0" quotePrefix="0" xfId="0">
      <alignment horizontal="right"/>
      <protection locked="0" hidden="0"/>
    </xf>
    <xf numFmtId="49" fontId="80" fillId="0" borderId="77" applyAlignment="1" applyProtection="1" pivotButton="0" quotePrefix="0" xfId="0">
      <alignment horizontal="left" vertical="center" wrapText="1"/>
      <protection locked="0" hidden="0"/>
    </xf>
    <xf numFmtId="0" fontId="80" fillId="0" borderId="73" applyAlignment="1" applyProtection="1" pivotButton="0" quotePrefix="0" xfId="0">
      <alignment horizontal="left" vertical="center" wrapText="1"/>
      <protection locked="0" hidden="0"/>
    </xf>
    <xf numFmtId="0" fontId="0" fillId="0" borderId="73" applyAlignment="1" applyProtection="1" pivotButton="0" quotePrefix="0" xfId="0">
      <alignment horizontal="left" vertical="center" wrapText="1"/>
      <protection locked="0" hidden="0"/>
    </xf>
    <xf numFmtId="0" fontId="80" fillId="3" borderId="73" applyAlignment="1" applyProtection="1" pivotButton="0" quotePrefix="0" xfId="0">
      <alignment horizontal="left" vertical="center" wrapText="1"/>
      <protection locked="0" hidden="0"/>
    </xf>
    <xf numFmtId="4" fontId="80" fillId="0" borderId="78" applyAlignment="1" applyProtection="1" pivotButton="0" quotePrefix="0" xfId="0">
      <alignment horizontal="left" vertical="center" wrapText="1"/>
      <protection locked="0" hidden="0"/>
    </xf>
    <xf numFmtId="4" fontId="80" fillId="0" borderId="0" applyAlignment="1" applyProtection="1" pivotButton="0" quotePrefix="0" xfId="0">
      <alignment horizontal="left" vertical="center" wrapText="1"/>
      <protection locked="0" hidden="0"/>
    </xf>
    <xf numFmtId="4" fontId="80" fillId="32" borderId="5" applyAlignment="1" applyProtection="1" pivotButton="0" quotePrefix="0" xfId="0">
      <alignment horizontal="left" vertical="center" wrapText="1"/>
      <protection locked="0" hidden="0"/>
    </xf>
    <xf numFmtId="0" fontId="0" fillId="0" borderId="5" applyAlignment="1" applyProtection="1" pivotButton="0" quotePrefix="0" xfId="0">
      <alignment horizontal="left" vertical="center" wrapText="1"/>
      <protection locked="0" hidden="0"/>
    </xf>
    <xf numFmtId="4" fontId="80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32" fillId="0" borderId="73" applyAlignment="1" applyProtection="1" pivotButton="0" quotePrefix="0" xfId="0">
      <alignment horizontal="left" vertical="center" wrapText="1"/>
      <protection locked="0" hidden="0"/>
    </xf>
    <xf numFmtId="171" fontId="29" fillId="3" borderId="78" applyAlignment="1" applyProtection="1" pivotButton="0" quotePrefix="0" xfId="0">
      <alignment horizontal="left" vertical="center" wrapText="1"/>
      <protection locked="0" hidden="0"/>
    </xf>
    <xf numFmtId="4" fontId="37" fillId="0" borderId="6" applyAlignment="1" applyProtection="1" pivotButton="0" quotePrefix="0" xfId="0">
      <alignment horizontal="left" vertical="center" wrapText="1"/>
      <protection locked="0" hidden="0"/>
    </xf>
    <xf numFmtId="0" fontId="0" fillId="0" borderId="14" applyAlignment="1" applyProtection="1" pivotButton="0" quotePrefix="0" xfId="0">
      <alignment horizontal="left" vertical="center" wrapText="1"/>
      <protection locked="0" hidden="0"/>
    </xf>
    <xf numFmtId="0" fontId="0" fillId="0" borderId="4" applyAlignment="1" applyProtection="1" pivotButton="0" quotePrefix="0" xfId="0">
      <alignment horizontal="left" vertical="center" wrapText="1"/>
      <protection locked="0" hidden="0"/>
    </xf>
    <xf numFmtId="0" fontId="80" fillId="3" borderId="30" applyAlignment="1" applyProtection="1" pivotButton="0" quotePrefix="0" xfId="0">
      <alignment horizontal="left" vertical="center" wrapText="1"/>
      <protection locked="0" hidden="0"/>
    </xf>
    <xf numFmtId="1" fontId="80" fillId="3" borderId="9" applyAlignment="1" applyProtection="1" pivotButton="0" quotePrefix="0" xfId="0">
      <alignment horizontal="left" vertical="center" wrapText="1"/>
      <protection locked="0" hidden="0"/>
    </xf>
    <xf numFmtId="166" fontId="80" fillId="0" borderId="77" applyAlignment="1" applyProtection="1" pivotButton="0" quotePrefix="0" xfId="0">
      <alignment horizontal="left" vertical="center" wrapText="1"/>
      <protection locked="0" hidden="0"/>
    </xf>
    <xf numFmtId="1" fontId="80" fillId="0" borderId="73" applyAlignment="1" applyProtection="1" pivotButton="0" quotePrefix="0" xfId="0">
      <alignment horizontal="left" vertical="center" wrapText="1"/>
      <protection locked="0" hidden="0"/>
    </xf>
    <xf numFmtId="49" fontId="80" fillId="0" borderId="73" applyAlignment="1" applyProtection="1" pivotButton="0" quotePrefix="0" xfId="0">
      <alignment horizontal="left" vertical="center" wrapText="1"/>
      <protection locked="0" hidden="0"/>
    </xf>
    <xf numFmtId="1" fontId="80" fillId="0" borderId="78" applyAlignment="1" applyProtection="1" pivotButton="0" quotePrefix="0" xfId="0">
      <alignment horizontal="left" vertical="center" wrapText="1"/>
      <protection locked="0" hidden="0"/>
    </xf>
    <xf numFmtId="0" fontId="0" fillId="0" borderId="21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49" fontId="34" fillId="0" borderId="73" applyAlignment="1" applyProtection="1" pivotButton="0" quotePrefix="0" xfId="0">
      <alignment horizontal="left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80" fillId="0" borderId="77" applyAlignment="1" applyProtection="1" pivotButton="0" quotePrefix="0" xfId="0">
      <alignment horizontal="left" vertical="center" wrapText="1"/>
      <protection locked="0" hidden="0"/>
    </xf>
    <xf numFmtId="0" fontId="80" fillId="41" borderId="73" applyAlignment="1" applyProtection="1" pivotButton="0" quotePrefix="0" xfId="0">
      <alignment horizontal="left" vertical="center" wrapText="1"/>
      <protection locked="0" hidden="0"/>
    </xf>
    <xf numFmtId="0" fontId="80" fillId="0" borderId="73" applyAlignment="1" pivotButton="0" quotePrefix="0" xfId="0">
      <alignment horizontal="left" vertical="center" wrapText="1"/>
    </xf>
    <xf numFmtId="0" fontId="0" fillId="0" borderId="73" applyAlignment="1" pivotButton="0" quotePrefix="0" xfId="0">
      <alignment horizontal="left" vertical="center" wrapText="1"/>
    </xf>
    <xf numFmtId="0" fontId="43" fillId="0" borderId="73" applyAlignment="1" applyProtection="1" pivotButton="0" quotePrefix="0" xfId="0">
      <alignment horizontal="left" vertical="center" wrapText="1"/>
      <protection locked="0" hidden="0"/>
    </xf>
    <xf numFmtId="0" fontId="66" fillId="7" borderId="73" applyAlignment="1" applyProtection="1" pivotButton="0" quotePrefix="0" xfId="0">
      <alignment horizontal="left" vertical="center" wrapText="1"/>
      <protection locked="0" hidden="1"/>
    </xf>
    <xf numFmtId="4" fontId="37" fillId="0" borderId="78" applyAlignment="1" applyProtection="1" pivotButton="0" quotePrefix="0" xfId="0">
      <alignment horizontal="left" vertical="center" wrapText="1"/>
      <protection locked="0" hidden="0"/>
    </xf>
    <xf numFmtId="49" fontId="37" fillId="0" borderId="6" applyAlignment="1" applyProtection="1" pivotButton="0" quotePrefix="0" xfId="0">
      <alignment horizontal="left" vertical="center" wrapText="1"/>
      <protection locked="0" hidden="0"/>
    </xf>
    <xf numFmtId="0" fontId="0" fillId="0" borderId="0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4" fontId="81" fillId="43" borderId="6" applyAlignment="1" applyProtection="1" pivotButton="0" quotePrefix="0" xfId="0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82" fillId="0" borderId="77" applyAlignment="1" applyProtection="1" pivotButton="0" quotePrefix="0" xfId="0">
      <alignment horizontal="left" shrinkToFit="1"/>
      <protection locked="0" hidden="0"/>
    </xf>
    <xf numFmtId="0" fontId="82" fillId="0" borderId="73" applyProtection="1" pivotButton="0" quotePrefix="0" xfId="0">
      <protection locked="0" hidden="0"/>
    </xf>
    <xf numFmtId="0" fontId="82" fillId="0" borderId="73" applyAlignment="1" applyProtection="1" pivotButton="0" quotePrefix="0" xfId="0">
      <alignment horizontal="left" shrinkToFit="1"/>
      <protection locked="0" hidden="0"/>
    </xf>
    <xf numFmtId="0" fontId="82" fillId="0" borderId="73" applyAlignment="1" applyProtection="1" pivotButton="0" quotePrefix="0" xfId="0">
      <alignment horizontal="center" shrinkToFit="1"/>
      <protection locked="0" hidden="0"/>
    </xf>
    <xf numFmtId="0" fontId="82" fillId="0" borderId="78" applyAlignment="1" applyProtection="1" pivotButton="0" quotePrefix="0" xfId="0">
      <alignment horizontal="right" shrinkToFit="1"/>
      <protection locked="0" hidden="0"/>
    </xf>
    <xf numFmtId="0" fontId="82" fillId="0" borderId="0" applyAlignment="1" applyProtection="1" pivotButton="0" quotePrefix="0" xfId="0">
      <alignment shrinkToFit="1"/>
      <protection locked="0" hidden="0"/>
    </xf>
    <xf numFmtId="0" fontId="81" fillId="0" borderId="7" applyAlignment="1" pivotButton="0" quotePrefix="0" xfId="0">
      <alignment horizontal="left" vertical="center" wrapText="1"/>
    </xf>
    <xf numFmtId="0" fontId="0" fillId="0" borderId="7" pivotButton="0" quotePrefix="0" xfId="0"/>
    <xf numFmtId="0" fontId="81" fillId="0" borderId="7" applyAlignment="1" applyProtection="1" pivotButton="0" quotePrefix="0" xfId="0">
      <alignment horizontal="left" vertical="center" wrapTex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81" fillId="7" borderId="0" applyAlignment="1" applyProtection="1" pivotButton="0" quotePrefix="0" xfId="0">
      <alignment horizontal="left" vertical="center" wrapText="1"/>
      <protection locked="1" hidden="1"/>
    </xf>
    <xf numFmtId="0" fontId="82" fillId="0" borderId="78" applyAlignment="1" applyProtection="1" pivotButton="0" quotePrefix="0" xfId="0">
      <alignment horizontal="left" vertical="center" wrapText="1"/>
      <protection locked="0" hidden="0"/>
    </xf>
    <xf numFmtId="1" fontId="82" fillId="0" borderId="0" applyAlignment="1" pivotButton="0" quotePrefix="0" xfId="0">
      <alignment horizontal="left" vertical="center" wrapText="1"/>
    </xf>
    <xf numFmtId="0" fontId="82" fillId="0" borderId="0" pivotButton="0" quotePrefix="0" xfId="0"/>
    <xf numFmtId="4" fontId="81" fillId="7" borderId="0" applyAlignment="1" applyProtection="1" pivotButton="0" quotePrefix="0" xfId="0">
      <alignment horizontal="left" vertical="center" wrapText="1"/>
      <protection locked="0" hidden="0"/>
    </xf>
    <xf numFmtId="0" fontId="82" fillId="0" borderId="77" applyAlignment="1" applyProtection="1" pivotButton="0" quotePrefix="0" xfId="0">
      <alignment horizontal="left" vertical="center" wrapText="1"/>
      <protection locked="0" hidden="0"/>
    </xf>
    <xf numFmtId="0" fontId="82" fillId="0" borderId="73" applyAlignment="1" applyProtection="1" pivotButton="0" quotePrefix="0" xfId="0">
      <alignment horizontal="left" vertical="center" wrapText="1"/>
      <protection locked="0" hidden="0"/>
    </xf>
    <xf numFmtId="0" fontId="81" fillId="7" borderId="65" applyAlignment="1" applyProtection="1" pivotButton="0" quotePrefix="0" xfId="0">
      <alignment horizontal="left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82" fillId="0" borderId="73" applyAlignment="1" applyProtection="1" pivotButton="0" quotePrefix="0" xfId="0">
      <alignment horizontal="left" vertical="center" shrinkToFit="1"/>
      <protection locked="0" hidden="0"/>
    </xf>
    <xf numFmtId="0" fontId="81" fillId="7" borderId="26" applyAlignment="1" applyProtection="1" pivotButton="0" quotePrefix="0" xfId="0">
      <alignment horizontal="left" vertical="center" wrapText="1"/>
      <protection locked="0" hidden="0"/>
    </xf>
    <xf numFmtId="0" fontId="81" fillId="7" borderId="28" applyAlignment="1" applyProtection="1" pivotButton="0" quotePrefix="0" xfId="0">
      <alignment horizontal="left" vertical="center" wrapText="1"/>
      <protection locked="0" hidden="0"/>
    </xf>
    <xf numFmtId="0" fontId="82" fillId="6" borderId="78" applyAlignment="1" applyProtection="1" pivotButton="0" quotePrefix="0" xfId="0">
      <alignment horizontal="left" vertical="center" wrapText="1"/>
      <protection locked="0" hidden="0"/>
    </xf>
    <xf numFmtId="0" fontId="0" fillId="0" borderId="52" applyProtection="1" pivotButton="0" quotePrefix="0" xfId="0">
      <protection locked="0" hidden="0"/>
    </xf>
    <xf numFmtId="0" fontId="0" fillId="0" borderId="57" applyProtection="1" pivotButton="0" quotePrefix="0" xfId="0">
      <protection locked="0" hidden="0"/>
    </xf>
    <xf numFmtId="0" fontId="82" fillId="6" borderId="77" applyAlignment="1" applyProtection="1" pivotButton="0" quotePrefix="0" xfId="0">
      <alignment horizontal="center" shrinkToFit="1"/>
      <protection locked="0" hidden="0"/>
    </xf>
    <xf numFmtId="0" fontId="82" fillId="6" borderId="73" applyAlignment="1" applyProtection="1" pivotButton="0" quotePrefix="0" xfId="0">
      <alignment horizontal="center" shrinkToFit="1"/>
      <protection locked="0" hidden="0"/>
    </xf>
    <xf numFmtId="49" fontId="82" fillId="6" borderId="73" applyAlignment="1" applyProtection="1" pivotButton="0" quotePrefix="0" xfId="0">
      <alignment horizontal="left" vertical="center" wrapText="1"/>
      <protection locked="0" hidden="0"/>
    </xf>
    <xf numFmtId="0" fontId="82" fillId="0" borderId="0" applyProtection="1" pivotButton="0" quotePrefix="0" xfId="0">
      <protection locked="0" hidden="0"/>
    </xf>
    <xf numFmtId="2" fontId="82" fillId="0" borderId="0" applyAlignment="1" applyProtection="1" pivotButton="0" quotePrefix="0" xfId="0">
      <alignment horizontal="center"/>
      <protection locked="0" hidden="0"/>
    </xf>
    <xf numFmtId="0" fontId="41" fillId="0" borderId="77" applyAlignment="1" applyProtection="1" pivotButton="0" quotePrefix="0" xfId="0">
      <alignment horizontal="center" vertical="center"/>
      <protection locked="0" hidden="0"/>
    </xf>
    <xf numFmtId="0" fontId="0" fillId="0" borderId="73" applyProtection="1" pivotButton="0" quotePrefix="0" xfId="0">
      <protection locked="0" hidden="0"/>
    </xf>
    <xf numFmtId="3" fontId="81" fillId="0" borderId="78" applyAlignment="1" applyProtection="1" pivotButton="0" quotePrefix="0" xfId="0">
      <alignment horizontal="left" vertical="center" wrapText="1"/>
      <protection locked="0" hidden="0"/>
    </xf>
    <xf numFmtId="169" fontId="81" fillId="0" borderId="9" applyAlignment="1" applyProtection="1" pivotButton="0" quotePrefix="0" xfId="0">
      <alignment horizontal="left" vertical="center" wrapText="1"/>
      <protection locked="0" hidden="0"/>
    </xf>
    <xf numFmtId="167" fontId="54" fillId="0" borderId="0" applyAlignment="1" applyProtection="1" pivotButton="0" quotePrefix="0" xfId="0">
      <alignment horizontal="center"/>
      <protection locked="0" hidden="0"/>
    </xf>
    <xf numFmtId="167" fontId="81" fillId="4" borderId="0" applyAlignment="1" applyProtection="1" pivotButton="0" quotePrefix="0" xfId="0">
      <alignment horizontal="left" vertical="center" wrapText="1"/>
      <protection locked="0" hidden="0"/>
    </xf>
    <xf numFmtId="10" fontId="81" fillId="36" borderId="22" applyAlignment="1" applyProtection="1" pivotButton="0" quotePrefix="0" xfId="0">
      <alignment horizontal="left" vertical="center" wrapText="1"/>
      <protection locked="0" hidden="0"/>
    </xf>
    <xf numFmtId="0" fontId="0" fillId="0" borderId="44" applyProtection="1" pivotButton="0" quotePrefix="0" xfId="0">
      <protection locked="0" hidden="0"/>
    </xf>
    <xf numFmtId="169" fontId="81" fillId="42" borderId="0" applyAlignment="1" applyProtection="1" pivotButton="0" quotePrefix="0" xfId="0">
      <alignment horizontal="left" vertical="center" wrapText="1"/>
      <protection locked="0" hidden="0"/>
    </xf>
    <xf numFmtId="168" fontId="55" fillId="0" borderId="0" applyAlignment="1" applyProtection="1" pivotButton="0" quotePrefix="0" xfId="0">
      <alignment horizontal="center"/>
      <protection locked="0" hidden="0"/>
    </xf>
    <xf numFmtId="164" fontId="80" fillId="33" borderId="75" applyAlignment="1" applyProtection="1" pivotButton="0" quotePrefix="0" xfId="0">
      <alignment horizontal="center" vertical="center" wrapText="1"/>
      <protection locked="0" hidden="0"/>
    </xf>
    <xf numFmtId="0" fontId="80" fillId="33" borderId="74" applyAlignment="1" applyProtection="1" pivotButton="0" quotePrefix="0" xfId="0">
      <alignment horizontal="center" vertical="center" wrapText="1"/>
      <protection locked="0" hidden="0"/>
    </xf>
    <xf numFmtId="49" fontId="80" fillId="33" borderId="74" applyAlignment="1" applyProtection="1" pivotButton="0" quotePrefix="0" xfId="0">
      <alignment horizontal="center" vertical="center" wrapText="1"/>
      <protection locked="0" hidden="0"/>
    </xf>
    <xf numFmtId="0" fontId="0" fillId="0" borderId="74" applyAlignment="1" applyProtection="1" pivotButton="0" quotePrefix="0" xfId="0">
      <alignment horizontal="center" vertical="center" wrapText="1"/>
      <protection locked="0" hidden="0"/>
    </xf>
    <xf numFmtId="4" fontId="80" fillId="33" borderId="74" applyAlignment="1" applyProtection="1" pivotButton="0" quotePrefix="0" xfId="0">
      <alignment horizontal="center" vertical="center" wrapText="1"/>
      <protection locked="0" hidden="0"/>
    </xf>
    <xf numFmtId="165" fontId="80" fillId="33" borderId="74" applyAlignment="1" applyProtection="1" pivotButton="0" quotePrefix="0" xfId="0">
      <alignment horizontal="center" vertical="center" wrapText="1"/>
      <protection locked="0" hidden="0"/>
    </xf>
    <xf numFmtId="4" fontId="80" fillId="35" borderId="74" applyAlignment="1" applyProtection="1" pivotButton="0" quotePrefix="0" xfId="0">
      <alignment horizontal="center" vertical="center" wrapText="1"/>
      <protection locked="0" hidden="0"/>
    </xf>
    <xf numFmtId="4" fontId="80" fillId="31" borderId="74" applyAlignment="1" applyProtection="1" pivotButton="0" quotePrefix="0" xfId="0">
      <alignment horizontal="center" vertical="center" wrapText="1"/>
      <protection locked="0" hidden="0"/>
    </xf>
    <xf numFmtId="4" fontId="80" fillId="36" borderId="74" applyAlignment="1" applyProtection="1" pivotButton="0" quotePrefix="0" xfId="0">
      <alignment horizontal="center" vertical="center" wrapText="1"/>
      <protection locked="0" hidden="0"/>
    </xf>
    <xf numFmtId="0" fontId="80" fillId="33" borderId="76" applyAlignment="1" pivotButton="0" quotePrefix="0" xfId="0">
      <alignment horizontal="center" vertical="center" wrapText="1"/>
    </xf>
    <xf numFmtId="0" fontId="0" fillId="0" borderId="55" applyProtection="1" pivotButton="0" quotePrefix="0" xfId="0">
      <protection locked="1" hidden="1"/>
    </xf>
    <xf numFmtId="0" fontId="0" fillId="0" borderId="56" applyProtection="1" pivotButton="0" quotePrefix="0" xfId="0">
      <protection locked="1" hidden="1"/>
    </xf>
    <xf numFmtId="49" fontId="41" fillId="0" borderId="77" applyAlignment="1" applyProtection="1" pivotButton="0" quotePrefix="0" xfId="0">
      <alignment horizontal="left" shrinkToFit="1"/>
      <protection locked="0" hidden="0"/>
    </xf>
    <xf numFmtId="49" fontId="41" fillId="0" borderId="73" applyAlignment="1" applyProtection="1" pivotButton="0" quotePrefix="0" xfId="0">
      <alignment horizontal="center" shrinkToFit="1"/>
      <protection locked="0" hidden="0"/>
    </xf>
    <xf numFmtId="49" fontId="28" fillId="0" borderId="73" applyAlignment="1" applyProtection="1" pivotButton="0" quotePrefix="0" xfId="0">
      <alignment horizontal="center" shrinkToFit="1"/>
      <protection locked="0" hidden="0"/>
    </xf>
    <xf numFmtId="49" fontId="81" fillId="0" borderId="73" applyAlignment="1" applyProtection="1" pivotButton="0" quotePrefix="0" xfId="0">
      <alignment horizontal="left" vertical="center" wrapText="1"/>
      <protection locked="0" hidden="0"/>
    </xf>
    <xf numFmtId="0" fontId="28" fillId="0" borderId="73" applyAlignment="1" applyProtection="1" pivotButton="0" quotePrefix="0" xfId="0">
      <alignment horizontal="left" shrinkToFit="1"/>
      <protection locked="0" hidden="0"/>
    </xf>
    <xf numFmtId="49" fontId="37" fillId="0" borderId="73" applyAlignment="1" applyProtection="1" pivotButton="0" quotePrefix="0" xfId="0">
      <alignment horizontal="center" shrinkToFit="1"/>
      <protection locked="0" hidden="0"/>
    </xf>
    <xf numFmtId="49" fontId="28" fillId="0" borderId="73" applyAlignment="1" applyProtection="1" pivotButton="0" quotePrefix="0" xfId="0">
      <alignment horizontal="left" shrinkToFit="1"/>
      <protection locked="0" hidden="0"/>
    </xf>
    <xf numFmtId="3" fontId="81" fillId="0" borderId="73" applyAlignment="1" applyProtection="1" pivotButton="0" quotePrefix="0" xfId="0">
      <alignment horizontal="right" vertical="center" wrapText="1"/>
      <protection locked="0" hidden="0"/>
    </xf>
    <xf numFmtId="40" fontId="28" fillId="0" borderId="73" applyAlignment="1" applyProtection="1" pivotButton="0" quotePrefix="1" xfId="0">
      <alignment horizontal="right" shrinkToFit="1"/>
      <protection locked="0" hidden="0"/>
    </xf>
    <xf numFmtId="4" fontId="28" fillId="0" borderId="73" applyAlignment="1" applyProtection="1" pivotButton="0" quotePrefix="0" xfId="0">
      <alignment horizontal="center" shrinkToFit="1"/>
      <protection locked="0" hidden="0"/>
    </xf>
    <xf numFmtId="169" fontId="27" fillId="36" borderId="73" applyAlignment="1" applyProtection="1" pivotButton="0" quotePrefix="0" xfId="0">
      <alignment horizontal="center" shrinkToFit="1"/>
      <protection locked="0" hidden="0"/>
    </xf>
    <xf numFmtId="4" fontId="28" fillId="36" borderId="73" applyAlignment="1" applyProtection="1" pivotButton="0" quotePrefix="0" xfId="0">
      <alignment horizontal="center" shrinkToFit="1"/>
      <protection locked="0" hidden="0"/>
    </xf>
    <xf numFmtId="4" fontId="28" fillId="0" borderId="73" applyAlignment="1" applyProtection="1" pivotButton="0" quotePrefix="0" xfId="0">
      <alignment horizontal="center"/>
      <protection locked="0" hidden="0"/>
    </xf>
    <xf numFmtId="169" fontId="27" fillId="0" borderId="73" applyAlignment="1" applyProtection="1" pivotButton="0" quotePrefix="0" xfId="0">
      <alignment horizontal="center" shrinkToFit="1"/>
      <protection locked="0" hidden="0"/>
    </xf>
    <xf numFmtId="4" fontId="28" fillId="31" borderId="73" applyAlignment="1" applyProtection="1" pivotButton="0" quotePrefix="0" xfId="0">
      <alignment horizontal="center" shrinkToFit="1"/>
      <protection locked="0" hidden="0"/>
    </xf>
    <xf numFmtId="4" fontId="28" fillId="2" borderId="73" applyAlignment="1" applyProtection="1" pivotButton="0" quotePrefix="0" xfId="0">
      <alignment horizontal="right" shrinkToFit="1"/>
      <protection locked="0" hidden="0"/>
    </xf>
    <xf numFmtId="4" fontId="28" fillId="0" borderId="73" applyAlignment="1" applyProtection="1" pivotButton="0" quotePrefix="0" xfId="0">
      <alignment horizontal="right" shrinkToFit="1"/>
      <protection locked="0" hidden="0"/>
    </xf>
    <xf numFmtId="165" fontId="28" fillId="0" borderId="78" applyAlignment="1" applyProtection="1" pivotButton="0" quotePrefix="0" xfId="0">
      <alignment horizontal="right" shrinkToFit="1"/>
      <protection locked="0" hidden="0"/>
    </xf>
    <xf numFmtId="169" fontId="29" fillId="0" borderId="2" applyAlignment="1" applyProtection="1" pivotButton="0" quotePrefix="0" xfId="0">
      <alignment horizontal="center"/>
      <protection locked="1" hidden="1"/>
    </xf>
    <xf numFmtId="49" fontId="41" fillId="44" borderId="77" applyAlignment="1" applyProtection="1" pivotButton="0" quotePrefix="0" xfId="0">
      <alignment horizontal="left" shrinkToFit="1"/>
      <protection locked="0" hidden="0"/>
    </xf>
    <xf numFmtId="49" fontId="41" fillId="44" borderId="73" applyAlignment="1" applyProtection="1" pivotButton="0" quotePrefix="0" xfId="0">
      <alignment horizontal="center" shrinkToFit="1"/>
      <protection locked="0" hidden="0"/>
    </xf>
    <xf numFmtId="49" fontId="28" fillId="44" borderId="73" applyAlignment="1" applyProtection="1" pivotButton="0" quotePrefix="0" xfId="0">
      <alignment horizontal="center" shrinkToFit="1"/>
      <protection locked="0" hidden="0"/>
    </xf>
    <xf numFmtId="49" fontId="81" fillId="44" borderId="73" applyAlignment="1" applyProtection="1" pivotButton="0" quotePrefix="0" xfId="0">
      <alignment horizontal="left" vertical="center" wrapText="1"/>
      <protection locked="0" hidden="0"/>
    </xf>
    <xf numFmtId="0" fontId="28" fillId="44" borderId="73" applyAlignment="1" applyProtection="1" pivotButton="0" quotePrefix="0" xfId="0">
      <alignment horizontal="left" shrinkToFit="1"/>
      <protection locked="0" hidden="0"/>
    </xf>
    <xf numFmtId="0" fontId="0" fillId="44" borderId="73" applyProtection="1" pivotButton="0" quotePrefix="0" xfId="0">
      <protection locked="0" hidden="0"/>
    </xf>
    <xf numFmtId="49" fontId="37" fillId="44" borderId="73" applyAlignment="1" applyProtection="1" pivotButton="0" quotePrefix="0" xfId="0">
      <alignment horizontal="center" shrinkToFit="1"/>
      <protection locked="0" hidden="0"/>
    </xf>
    <xf numFmtId="49" fontId="28" fillId="44" borderId="73" applyAlignment="1" applyProtection="1" pivotButton="0" quotePrefix="0" xfId="0">
      <alignment horizontal="left" shrinkToFit="1"/>
      <protection locked="0" hidden="0"/>
    </xf>
    <xf numFmtId="1" fontId="81" fillId="44" borderId="73" applyAlignment="1" applyProtection="1" pivotButton="0" quotePrefix="0" xfId="0">
      <alignment horizontal="right" vertical="center" wrapText="1"/>
      <protection locked="0" hidden="0"/>
    </xf>
    <xf numFmtId="40" fontId="28" fillId="44" borderId="73" applyAlignment="1" applyProtection="1" pivotButton="0" quotePrefix="1" xfId="0">
      <alignment horizontal="right" shrinkToFit="1"/>
      <protection locked="0" hidden="0"/>
    </xf>
    <xf numFmtId="4" fontId="28" fillId="44" borderId="73" applyAlignment="1" applyProtection="1" pivotButton="0" quotePrefix="0" xfId="0">
      <alignment horizontal="center" shrinkToFit="1"/>
      <protection locked="0" hidden="0"/>
    </xf>
    <xf numFmtId="169" fontId="27" fillId="44" borderId="73" applyAlignment="1" applyProtection="1" pivotButton="0" quotePrefix="0" xfId="0">
      <alignment horizontal="center" shrinkToFit="1"/>
      <protection locked="0" hidden="0"/>
    </xf>
    <xf numFmtId="4" fontId="28" fillId="44" borderId="73" applyAlignment="1" applyProtection="1" pivotButton="0" quotePrefix="0" xfId="0">
      <alignment horizontal="center"/>
      <protection locked="0" hidden="0"/>
    </xf>
    <xf numFmtId="4" fontId="28" fillId="44" borderId="73" applyAlignment="1" applyProtection="1" pivotButton="0" quotePrefix="0" xfId="0">
      <alignment horizontal="right" shrinkToFit="1"/>
      <protection locked="0" hidden="0"/>
    </xf>
    <xf numFmtId="165" fontId="28" fillId="44" borderId="78" applyAlignment="1" applyProtection="1" pivotButton="0" quotePrefix="0" xfId="0">
      <alignment horizontal="right" shrinkToFit="1"/>
      <protection locked="0" hidden="0"/>
    </xf>
    <xf numFmtId="169" fontId="29" fillId="0" borderId="6" applyAlignment="1" applyProtection="1" pivotButton="0" quotePrefix="0" xfId="0">
      <alignment horizontal="center"/>
      <protection locked="1" hidden="1"/>
    </xf>
    <xf numFmtId="1" fontId="81" fillId="0" borderId="73" applyAlignment="1" applyProtection="1" pivotButton="0" quotePrefix="0" xfId="0">
      <alignment horizontal="right" vertical="center" wrapText="1"/>
      <protection locked="0" hidden="0"/>
    </xf>
    <xf numFmtId="169" fontId="35" fillId="0" borderId="6" applyAlignment="1" applyProtection="1" pivotButton="0" quotePrefix="0" xfId="0">
      <alignment horizontal="center"/>
      <protection locked="1" hidden="1"/>
    </xf>
    <xf numFmtId="49" fontId="28" fillId="0" borderId="77" applyAlignment="1" applyProtection="1" pivotButton="0" quotePrefix="0" xfId="0">
      <alignment horizontal="left" shrinkToFit="1"/>
      <protection locked="0" hidden="0"/>
    </xf>
    <xf numFmtId="0" fontId="81" fillId="0" borderId="73" applyAlignment="1" applyProtection="1" pivotButton="0" quotePrefix="0" xfId="0">
      <alignment horizontal="left" vertical="center" wrapText="1"/>
      <protection locked="0" hidden="0"/>
    </xf>
    <xf numFmtId="49" fontId="28" fillId="0" borderId="73" applyAlignment="1" applyProtection="1" pivotButton="0" quotePrefix="0" xfId="0">
      <alignment horizontal="right" shrinkToFit="1"/>
      <protection locked="0" hidden="0"/>
    </xf>
    <xf numFmtId="40" fontId="81" fillId="0" borderId="73" applyAlignment="1" applyProtection="1" pivotButton="0" quotePrefix="1" xfId="0">
      <alignment horizontal="left" vertical="center" wrapText="1"/>
      <protection locked="0" hidden="0"/>
    </xf>
    <xf numFmtId="169" fontId="81" fillId="36" borderId="73" applyAlignment="1" applyProtection="1" pivotButton="0" quotePrefix="0" xfId="0">
      <alignment horizontal="left" vertical="center" wrapText="1"/>
      <protection locked="0" hidden="0"/>
    </xf>
    <xf numFmtId="4" fontId="81" fillId="36" borderId="73" applyAlignment="1" applyProtection="1" pivotButton="0" quotePrefix="0" xfId="0">
      <alignment horizontal="left" vertical="center" wrapText="1"/>
      <protection locked="0" hidden="0"/>
    </xf>
    <xf numFmtId="4" fontId="81" fillId="0" borderId="73" applyAlignment="1" applyProtection="1" pivotButton="0" quotePrefix="0" xfId="0">
      <alignment horizontal="left" vertical="center" wrapText="1"/>
      <protection locked="0" hidden="0"/>
    </xf>
    <xf numFmtId="4" fontId="81" fillId="2" borderId="73" applyAlignment="1" applyProtection="1" pivotButton="0" quotePrefix="0" xfId="0">
      <alignment horizontal="left" vertical="center" wrapText="1"/>
      <protection locked="0" hidden="0"/>
    </xf>
    <xf numFmtId="165" fontId="81" fillId="0" borderId="78" applyAlignment="1" applyProtection="1" pivotButton="0" quotePrefix="0" xfId="0">
      <alignment horizontal="left" vertical="center" wrapText="1"/>
      <protection locked="0" hidden="0"/>
    </xf>
    <xf numFmtId="169" fontId="34" fillId="0" borderId="6" applyAlignment="1" applyProtection="1" pivotButton="0" quotePrefix="0" xfId="0">
      <alignment horizontal="center"/>
      <protection locked="1" hidden="1"/>
    </xf>
    <xf numFmtId="0" fontId="81" fillId="0" borderId="16" applyAlignment="1" applyProtection="1" pivotButton="0" quotePrefix="0" xfId="0">
      <alignment horizontal="left" vertical="center" wrapText="1"/>
      <protection locked="0" hidden="0"/>
    </xf>
    <xf numFmtId="0" fontId="0" fillId="0" borderId="54" applyProtection="1" pivotButton="0" quotePrefix="0" xfId="0">
      <protection locked="0" hidden="0"/>
    </xf>
    <xf numFmtId="0" fontId="81" fillId="0" borderId="0" applyAlignment="1" applyProtection="1" pivotButton="0" quotePrefix="0" xfId="0">
      <alignment horizontal="left" vertical="center" wrapText="1"/>
      <protection locked="0" hidden="0"/>
    </xf>
    <xf numFmtId="0" fontId="81" fillId="0" borderId="8" applyAlignment="1" applyProtection="1" pivotButton="0" quotePrefix="0" xfId="0">
      <alignment horizontal="left" vertical="center" wrapText="1"/>
      <protection locked="0" hidden="0"/>
    </xf>
    <xf numFmtId="165" fontId="81" fillId="0" borderId="9" applyAlignment="1" applyProtection="1" pivotButton="0" quotePrefix="0" xfId="0">
      <alignment horizontal="left" vertical="center" wrapText="1"/>
      <protection locked="0" hidden="0"/>
    </xf>
    <xf numFmtId="10" fontId="81" fillId="2" borderId="9" applyAlignment="1" applyProtection="1" pivotButton="0" quotePrefix="0" xfId="0">
      <alignment horizontal="left" vertical="center" wrapText="1"/>
      <protection locked="0" hidden="0"/>
    </xf>
    <xf numFmtId="164" fontId="81" fillId="0" borderId="0" applyAlignment="1" applyProtection="1" pivotButton="0" quotePrefix="0" xfId="0">
      <alignment horizontal="center" vertical="center" wrapText="1"/>
      <protection locked="0" hidden="0"/>
    </xf>
    <xf numFmtId="0" fontId="81" fillId="0" borderId="41" applyAlignment="1" applyProtection="1" pivotButton="0" quotePrefix="0" xfId="0">
      <alignment horizontal="left" vertical="center" wrapText="1"/>
      <protection locked="0" hidden="0"/>
    </xf>
    <xf numFmtId="0" fontId="0" fillId="0" borderId="70" applyProtection="1" pivotButton="0" quotePrefix="0" xfId="0">
      <protection locked="0" hidden="0"/>
    </xf>
    <xf numFmtId="0" fontId="0" fillId="0" borderId="71" applyProtection="1" pivotButton="0" quotePrefix="0" xfId="0">
      <protection locked="0" hidden="0"/>
    </xf>
    <xf numFmtId="4" fontId="81" fillId="0" borderId="0" applyAlignment="1" applyProtection="1" pivotButton="0" quotePrefix="0" xfId="0">
      <alignment horizontal="left" vertical="center" wrapText="1"/>
      <protection locked="0" hidden="0"/>
    </xf>
    <xf numFmtId="165" fontId="81" fillId="0" borderId="0" applyAlignment="1" applyProtection="1" pivotButton="0" quotePrefix="0" xfId="0">
      <alignment horizontal="left" vertical="center" wrapText="1"/>
      <protection locked="0" hidden="0"/>
    </xf>
    <xf numFmtId="0" fontId="81" fillId="0" borderId="0" applyAlignment="1" applyProtection="1" pivotButton="0" quotePrefix="0" xfId="0">
      <alignment horizontal="center" vertical="center" wrapText="1"/>
      <protection locked="0" hidden="0"/>
    </xf>
    <xf numFmtId="170" fontId="81" fillId="0" borderId="0" applyAlignment="1" applyProtection="1" pivotButton="0" quotePrefix="0" xfId="0">
      <alignment horizontal="left" vertical="center" wrapText="1"/>
      <protection locked="0" hidden="0"/>
    </xf>
    <xf numFmtId="0" fontId="81" fillId="0" borderId="25" applyAlignment="1" applyProtection="1" pivotButton="0" quotePrefix="0" xfId="0">
      <alignment horizontal="left" vertical="center" wrapText="1"/>
      <protection locked="0" hidden="0"/>
    </xf>
    <xf numFmtId="170" fontId="61" fillId="0" borderId="0" applyProtection="1" pivotButton="0" quotePrefix="0" xfId="0">
      <protection locked="0" hidden="0"/>
    </xf>
    <xf numFmtId="0" fontId="81" fillId="0" borderId="26" applyAlignment="1" applyProtection="1" pivotButton="0" quotePrefix="0" xfId="0">
      <alignment horizontal="left" vertical="center" wrapText="1"/>
      <protection locked="0" hidden="0"/>
    </xf>
    <xf numFmtId="1" fontId="81" fillId="0" borderId="27" applyAlignment="1" applyProtection="1" pivotButton="0" quotePrefix="0" xfId="0">
      <alignment horizontal="left" vertical="center" wrapText="1"/>
      <protection locked="0" hidden="0"/>
    </xf>
    <xf numFmtId="0" fontId="0" fillId="0" borderId="31" applyProtection="1" pivotButton="0" quotePrefix="0" xfId="0">
      <protection locked="0" hidden="0"/>
    </xf>
    <xf numFmtId="0" fontId="0" fillId="0" borderId="72" applyProtection="1" pivotButton="0" quotePrefix="0" xfId="0">
      <protection locked="0" hidden="0"/>
    </xf>
    <xf numFmtId="164" fontId="81" fillId="0" borderId="0" applyAlignment="1" applyProtection="1" pivotButton="0" quotePrefix="0" xfId="0">
      <alignment horizontal="center" vertical="center" wrapText="1"/>
      <protection locked="1" hidden="1"/>
    </xf>
    <xf numFmtId="1" fontId="81" fillId="0" borderId="0" applyAlignment="1" applyProtection="1" pivotButton="0" quotePrefix="0" xfId="0">
      <alignment horizontal="center" vertical="center" wrapText="1"/>
      <protection locked="1" hidden="1"/>
    </xf>
    <xf numFmtId="49" fontId="81" fillId="0" borderId="0" applyAlignment="1" pivotButton="0" quotePrefix="0" xfId="0">
      <alignment horizontal="left" vertical="center" wrapText="1"/>
    </xf>
    <xf numFmtId="4" fontId="81" fillId="0" borderId="0" applyAlignment="1" pivotButton="0" quotePrefix="0" xfId="0">
      <alignment horizontal="left" vertical="center" wrapText="1"/>
    </xf>
    <xf numFmtId="4" fontId="81" fillId="34" borderId="0" applyAlignment="1" applyProtection="1" pivotButton="0" quotePrefix="0" xfId="0">
      <alignment horizontal="left" vertical="center" wrapText="1"/>
      <protection locked="0" hidden="0"/>
    </xf>
    <xf numFmtId="0" fontId="0" fillId="0" borderId="46" applyProtection="1" pivotButton="0" quotePrefix="0" xfId="0">
      <protection locked="0" hidden="0"/>
    </xf>
    <xf numFmtId="10" fontId="81" fillId="0" borderId="0" applyAlignment="1" applyProtection="1" pivotButton="0" quotePrefix="0" xfId="0">
      <alignment horizontal="left" vertical="center" wrapText="1"/>
      <protection locked="0" hidden="0"/>
    </xf>
    <xf numFmtId="0" fontId="81" fillId="0" borderId="47" applyAlignment="1" pivotButton="0" quotePrefix="0" xfId="0">
      <alignment horizontal="left" vertical="center" wrapText="1"/>
    </xf>
    <xf numFmtId="0" fontId="0" fillId="0" borderId="47" pivotButton="0" quotePrefix="0" xfId="0"/>
    <xf numFmtId="174" fontId="65" fillId="0" borderId="6" applyAlignment="1" applyProtection="1" pivotButton="0" quotePrefix="0" xfId="0">
      <alignment horizontal="center"/>
      <protection locked="1" hidden="1"/>
    </xf>
    <xf numFmtId="175" fontId="65" fillId="0" borderId="6" applyAlignment="1" applyProtection="1" pivotButton="0" quotePrefix="0" xfId="0">
      <alignment horizontal="center"/>
      <protection locked="1" hidden="1"/>
    </xf>
    <xf numFmtId="174" fontId="65" fillId="37" borderId="6" applyAlignment="1" applyProtection="1" pivotButton="0" quotePrefix="0" xfId="72">
      <alignment horizontal="center"/>
      <protection locked="1" hidden="1"/>
    </xf>
    <xf numFmtId="174" fontId="65" fillId="39" borderId="6" applyAlignment="1" applyProtection="1" pivotButton="0" quotePrefix="0" xfId="75">
      <alignment horizontal="center"/>
      <protection locked="1" hidden="1"/>
    </xf>
    <xf numFmtId="173" fontId="65" fillId="0" borderId="6" applyAlignment="1" applyProtection="1" pivotButton="0" quotePrefix="0" xfId="72">
      <alignment horizontal="right"/>
      <protection locked="1" hidden="1"/>
    </xf>
  </cellXfs>
  <cellStyles count="98">
    <cellStyle name="Normal" xfId="0" builtinId="0"/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2" xfId="28"/>
    <cellStyle name="Comma 3" xfId="29"/>
    <cellStyle name="Comma 5 2" xfId="30"/>
    <cellStyle name="Currency 2" xfId="31"/>
    <cellStyle name="Explanatory Text 2" xfId="32"/>
    <cellStyle name="Good 2" xfId="33"/>
    <cellStyle name="Heading 1 2" xfId="34"/>
    <cellStyle name="Heading 2 2" xfId="35"/>
    <cellStyle name="Heading 3 2" xfId="36"/>
    <cellStyle name="Heading 4 2" xfId="37"/>
    <cellStyle name="Input 2" xfId="38"/>
    <cellStyle name="Linked Cell 2" xfId="39"/>
    <cellStyle name="Neutral 2" xfId="40"/>
    <cellStyle name="Normal 13 2" xfId="41"/>
    <cellStyle name="Normal 2" xfId="42"/>
    <cellStyle name="Normal 2 2" xfId="43"/>
    <cellStyle name="Normal 2 3" xfId="44"/>
    <cellStyle name="Normal 2 3 2" xfId="45"/>
    <cellStyle name="Normal 2 3 2 2" xfId="46"/>
    <cellStyle name="Normal 2 3 3" xfId="47"/>
    <cellStyle name="Normal 2 4" xfId="48"/>
    <cellStyle name="Normal 2 4 2" xfId="49"/>
    <cellStyle name="Normal 2 4 3" xfId="50"/>
    <cellStyle name="Normal 2 5" xfId="51"/>
    <cellStyle name="Normal 2 6" xfId="52"/>
    <cellStyle name="Normal 2 7" xfId="53"/>
    <cellStyle name="Normal 3" xfId="54"/>
    <cellStyle name="Normal 4" xfId="55"/>
    <cellStyle name="Normal 5" xfId="56"/>
    <cellStyle name="Note 2" xfId="57"/>
    <cellStyle name="Output 2" xfId="58"/>
    <cellStyle name="Percent 2" xfId="59"/>
    <cellStyle name="Title 2" xfId="60"/>
    <cellStyle name="Total 2" xfId="61"/>
    <cellStyle name="Warning Text 2" xfId="62"/>
    <cellStyle name="Normal 2 3 4" xfId="63"/>
    <cellStyle name="Normal 2 3 2 3" xfId="64"/>
    <cellStyle name="Normal 2 3 2 2 2" xfId="65"/>
    <cellStyle name="Normal 2 3 3 2" xfId="66"/>
    <cellStyle name="Normal 2 4 4" xfId="67"/>
    <cellStyle name="Normal 2 4 3 2" xfId="68"/>
    <cellStyle name="Normal 2 5 2" xfId="69"/>
    <cellStyle name="Normal 2 6 2" xfId="70"/>
    <cellStyle name="Normal 2 7 2" xfId="71"/>
    <cellStyle name="Currency" xfId="72" builtinId="4"/>
    <cellStyle name="Normal 3 3" xfId="73"/>
    <cellStyle name="Normal 6" xfId="74"/>
    <cellStyle name="Currency 2 2" xfId="75"/>
    <cellStyle name="Normal 15" xfId="76"/>
    <cellStyle name="Normal 2 2 2" xfId="77"/>
    <cellStyle name="Normal 2 3 5" xfId="78"/>
    <cellStyle name="Normal 2 3 2 4" xfId="79"/>
    <cellStyle name="Normal 2 3 2 2 3" xfId="80"/>
    <cellStyle name="Normal 2 3 3 3" xfId="81"/>
    <cellStyle name="Normal 2 4 5" xfId="82"/>
    <cellStyle name="Normal 2 4 3 3" xfId="83"/>
    <cellStyle name="Normal 2 5 3" xfId="84"/>
    <cellStyle name="Normal 2 6 3" xfId="85"/>
    <cellStyle name="Normal 2 7 3" xfId="86"/>
    <cellStyle name="Normal 2 3 4 2" xfId="87"/>
    <cellStyle name="Normal 2 3 2 3 2" xfId="88"/>
    <cellStyle name="Normal 2 3 2 2 2 2" xfId="89"/>
    <cellStyle name="Normal 2 3 3 2 2" xfId="90"/>
    <cellStyle name="Normal 2 4 4 2" xfId="91"/>
    <cellStyle name="Normal 2 4 3 2 2" xfId="92"/>
    <cellStyle name="Normal 2 5 2 2" xfId="93"/>
    <cellStyle name="Normal 2 6 2 2" xfId="94"/>
    <cellStyle name="Normal 2 7 2 2" xfId="95"/>
    <cellStyle name="Normal 6 2" xfId="96"/>
    <cellStyle name="Normal 15 2" xfId="97"/>
  </cellStyles>
  <dxfs count="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/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/>
      <fill>
        <patternFill>
          <bgColor rgb="FFFF0000"/>
        </patternFill>
      </fill>
    </dxf>
    <dxf>
      <font>
        <i val="1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476375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LoadSheetsV2/Shared%20Documents/DSR.Forms/DSR%20Forms%20Master.xlsx" TargetMode="External" Id="rId3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../../LoadSheetsV2/Shared%20Documents/DSR.Forms/SKU.LIST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Freight"/>
      <sheetName val="MSRP"/>
      <sheetName val="2017.18.prices"/>
      <sheetName val="FLOOR PLANS"/>
      <sheetName val="06.01.11 Prices"/>
      <sheetName val="Territory.Region"/>
      <sheetName val="TW.tiers"/>
      <sheetName val="TW VENDOR JJ"/>
      <sheetName val="Trailer World Warehouses"/>
      <sheetName val="Totals"/>
      <sheetName val="Sales.MTD"/>
      <sheetName val="Text2.Col"/>
      <sheetName val="2015.2016.prices"/>
      <sheetName val="DSR.by.WHSE"/>
      <sheetName val="Sheet2"/>
      <sheetName val="JL"/>
      <sheetName val="Weights"/>
      <sheetName val="Sheet1"/>
      <sheetName val="MSRP.New"/>
      <sheetName val="Step.Deck"/>
      <sheetName val="NE.Freight.Program"/>
      <sheetName val="DSR Forms Master"/>
      <sheetName val="PHONE &amp; FAX"/>
      <sheetName val="Quote Form"/>
    </sheetNames>
    <sheetDataSet>
      <sheetData sheetId="0">
        <row r="1">
          <cell r="P1">
            <v>4.3</v>
          </cell>
          <cell r="Q1"/>
          <cell r="R1">
            <v>4.3</v>
          </cell>
          <cell r="S1"/>
          <cell r="T1">
            <v>4.3</v>
          </cell>
          <cell r="V1">
            <v>4.3</v>
          </cell>
          <cell r="X1">
            <v>4.3</v>
          </cell>
          <cell r="Z1">
            <v>4.3</v>
          </cell>
          <cell r="AB1">
            <v>4.3</v>
          </cell>
          <cell r="AD1">
            <v>4.3</v>
          </cell>
          <cell r="AE1"/>
          <cell r="AG1"/>
          <cell r="AH1"/>
          <cell r="AI1"/>
          <cell r="AT1" t="str"/>
        </row>
        <row r="2">
          <cell r="J2"/>
          <cell r="K2"/>
          <cell r="O2" t="str">
            <v>MP</v>
          </cell>
          <cell r="P2" t="str">
            <v>Semi/Cab Over</v>
          </cell>
          <cell r="Q2" t="str">
            <v>GA</v>
          </cell>
          <cell r="R2" t="str">
            <v>Semi/Cab Over</v>
          </cell>
          <cell r="S2" t="str">
            <v>IDAHO</v>
          </cell>
          <cell r="T2" t="str">
            <v>Semi/Cab Over</v>
          </cell>
          <cell r="U2" t="str">
            <v>Madill, OK</v>
          </cell>
          <cell r="V2" t="str">
            <v>Semi/Cab Over</v>
          </cell>
          <cell r="W2" t="str">
            <v>Wills Point, TX</v>
          </cell>
          <cell r="X2" t="str">
            <v>Semi/Cab Over</v>
          </cell>
          <cell r="Y2" t="str">
            <v>Chambersburg, PA</v>
          </cell>
          <cell r="Z2" t="str">
            <v>Semi/Cab Over</v>
          </cell>
          <cell r="AA2" t="str">
            <v>Batavia, OH 45103</v>
          </cell>
          <cell r="AB2" t="str">
            <v>Semi/Cab Over</v>
          </cell>
          <cell r="AC2" t="str">
            <v>Batavia, OH 45103</v>
          </cell>
          <cell r="AD2" t="str">
            <v>Semi/Cab Over</v>
          </cell>
          <cell r="AE2" t="str">
            <v>Desired Freight % per Plant</v>
          </cell>
          <cell r="AF2"/>
          <cell r="AG2"/>
          <cell r="AH2"/>
          <cell r="AI2"/>
          <cell r="AJ2"/>
          <cell r="AK2"/>
          <cell r="AL2"/>
          <cell r="AM2"/>
        </row>
        <row r="3">
          <cell r="A3" t="str">
            <v>Customer</v>
          </cell>
          <cell r="B3" t="str">
            <v>Name</v>
          </cell>
          <cell r="C3" t="str">
            <v>Master #</v>
          </cell>
          <cell r="D3" t="str">
            <v>Freight Code</v>
          </cell>
          <cell r="E3" t="str">
            <v>Terms Code</v>
          </cell>
          <cell r="F3" t="str">
            <v>MSO</v>
          </cell>
          <cell r="G3" t="str">
            <v>HOME</v>
          </cell>
          <cell r="H3" t="str">
            <v>Cat</v>
          </cell>
          <cell r="I3" t="str">
            <v>Level</v>
          </cell>
          <cell r="J3" t="str">
            <v>Salesperson</v>
          </cell>
          <cell r="K3" t="str">
            <v>CITY</v>
          </cell>
          <cell r="L3" t="str">
            <v>ST</v>
          </cell>
          <cell r="M3" t="str">
            <v>Fax</v>
          </cell>
          <cell r="N3" t="str">
            <v>NOTES</v>
          </cell>
          <cell r="O3"/>
          <cell r="P3">
            <v>2.9</v>
          </cell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 t="str">
            <v>MP</v>
          </cell>
          <cell r="AF3" t="str">
            <v>GA</v>
          </cell>
          <cell r="AG3" t="str">
            <v>ID</v>
          </cell>
          <cell r="AH3" t="str">
            <v>OK</v>
          </cell>
          <cell r="AI3" t="str">
            <v>Wills Point</v>
          </cell>
          <cell r="AJ3" t="str">
            <v>Disc %</v>
          </cell>
          <cell r="AK3" t="str">
            <v>Dlr Tier</v>
          </cell>
          <cell r="AL3" t="str">
            <v>DSR #</v>
          </cell>
          <cell r="AM3" t="str">
            <v>BTA</v>
          </cell>
          <cell r="AN3" t="str">
            <v>Type</v>
          </cell>
          <cell r="AO3" t="str">
            <v>Region</v>
          </cell>
          <cell r="AP3" t="str">
            <v>Territory</v>
          </cell>
          <cell r="AQ3" t="str">
            <v>ZIP</v>
          </cell>
          <cell r="AR3" t="str">
            <v>Prev Year</v>
          </cell>
          <cell r="AS3" t="str">
            <v>Current</v>
          </cell>
        </row>
        <row r="4">
          <cell r="A4">
            <v>10353</v>
          </cell>
          <cell r="B4" t="str">
            <v>NEW DEALER CLEARING</v>
          </cell>
          <cell r="C4"/>
          <cell r="D4" t="str">
            <v>C.O.D</v>
          </cell>
          <cell r="E4"/>
          <cell r="F4"/>
          <cell r="G4" t="str">
            <v>TX</v>
          </cell>
          <cell r="H4"/>
          <cell r="I4">
            <v>0.66500000000000004</v>
          </cell>
          <cell r="J4" t="str">
            <v>Jake McEntee</v>
          </cell>
          <cell r="K4"/>
          <cell r="L4"/>
          <cell r="M4" t="str">
            <v>800-577-8858</v>
          </cell>
          <cell r="N4"/>
          <cell r="O4" t="str"/>
          <cell r="P4" t="str"/>
          <cell r="Q4" t="str"/>
          <cell r="R4" t="str"/>
          <cell r="S4" t="str"/>
          <cell r="T4" t="str"/>
          <cell r="U4"/>
          <cell r="V4">
            <v>0</v>
          </cell>
          <cell r="W4" t="str"/>
          <cell r="X4" t="str"/>
          <cell r="Y4"/>
          <cell r="Z4">
            <v>0</v>
          </cell>
          <cell r="AA4"/>
          <cell r="AB4" t="str">
            <v>n/a</v>
          </cell>
          <cell r="AC4"/>
          <cell r="AD4" t="str">
            <v>n/a</v>
          </cell>
          <cell r="AE4" t="str"/>
          <cell r="AF4"/>
          <cell r="AG4" t="str"/>
          <cell r="AH4" t="str"/>
          <cell r="AI4" t="str"/>
          <cell r="AJ4">
            <v>0</v>
          </cell>
          <cell r="AK4"/>
          <cell r="AL4">
            <v>161</v>
          </cell>
          <cell r="AM4"/>
          <cell r="AN4" t="str"/>
          <cell r="AO4" t="str"/>
          <cell r="AQ4"/>
          <cell r="AR4">
            <v>0</v>
          </cell>
          <cell r="AS4">
            <v>0</v>
          </cell>
        </row>
        <row r="5">
          <cell r="A5" t="str">
            <v>13000S</v>
          </cell>
          <cell r="B5" t="str">
            <v>Sample</v>
          </cell>
          <cell r="C5"/>
          <cell r="D5" t="str">
            <v>C.O.D</v>
          </cell>
          <cell r="E5" t="str">
            <v>CO</v>
          </cell>
          <cell r="F5" t="str">
            <v>Yes</v>
          </cell>
          <cell r="G5" t="str">
            <v>TX</v>
          </cell>
          <cell r="H5">
            <v>7</v>
          </cell>
          <cell r="I5">
            <v>0.7</v>
          </cell>
          <cell r="J5" t="str">
            <v>Your DSR</v>
          </cell>
          <cell r="K5"/>
          <cell r="L5"/>
          <cell r="M5" t="str">
            <v>800-577-8858</v>
          </cell>
          <cell r="N5"/>
          <cell r="O5" t="str"/>
          <cell r="P5" t="str"/>
          <cell r="Q5" t="str"/>
          <cell r="R5" t="str"/>
          <cell r="S5" t="str"/>
          <cell r="T5" t="str"/>
          <cell r="U5" t="str"/>
          <cell r="V5" t="str"/>
          <cell r="W5" t="str"/>
          <cell r="X5" t="str"/>
          <cell r="Y5"/>
          <cell r="Z5">
            <v>0</v>
          </cell>
          <cell r="AA5"/>
          <cell r="AB5" t="str">
            <v>n/a</v>
          </cell>
          <cell r="AC5"/>
          <cell r="AD5" t="str">
            <v>n/a</v>
          </cell>
          <cell r="AE5" t="str"/>
          <cell r="AF5"/>
          <cell r="AG5" t="str"/>
          <cell r="AH5" t="str"/>
          <cell r="AI5" t="str"/>
          <cell r="AJ5">
            <v>0</v>
          </cell>
          <cell r="AK5"/>
          <cell r="AL5"/>
          <cell r="AM5"/>
          <cell r="AN5" t="str"/>
          <cell r="AO5" t="str"/>
          <cell r="AQ5"/>
          <cell r="AR5">
            <v>0</v>
          </cell>
          <cell r="AS5">
            <v>0</v>
          </cell>
          <cell r="AT5"/>
        </row>
        <row r="6">
          <cell r="A6">
            <v>14000</v>
          </cell>
          <cell r="B6" t="str">
            <v>Sample</v>
          </cell>
          <cell r="C6"/>
          <cell r="D6" t="str">
            <v>C.O.D</v>
          </cell>
          <cell r="E6" t="str">
            <v>CO</v>
          </cell>
          <cell r="F6" t="str">
            <v>Yes</v>
          </cell>
          <cell r="G6" t="str">
            <v>TX</v>
          </cell>
          <cell r="H6">
            <v>7</v>
          </cell>
          <cell r="I6">
            <v>0.68200000000000005</v>
          </cell>
          <cell r="J6" t="str">
            <v>Your DSR</v>
          </cell>
          <cell r="K6"/>
          <cell r="L6"/>
          <cell r="M6" t="str">
            <v>800-577-8858</v>
          </cell>
          <cell r="N6"/>
          <cell r="O6" t="str"/>
          <cell r="P6" t="str"/>
          <cell r="Q6" t="str"/>
          <cell r="R6" t="str"/>
          <cell r="S6" t="str"/>
          <cell r="T6" t="str"/>
          <cell r="U6" t="str"/>
          <cell r="V6" t="str"/>
          <cell r="W6" t="str"/>
          <cell r="X6" t="str"/>
          <cell r="Y6"/>
          <cell r="Z6">
            <v>0</v>
          </cell>
          <cell r="AA6"/>
          <cell r="AB6" t="str">
            <v>n/a</v>
          </cell>
          <cell r="AC6"/>
          <cell r="AD6" t="str">
            <v>n/a</v>
          </cell>
          <cell r="AE6" t="str"/>
          <cell r="AF6"/>
          <cell r="AG6" t="str"/>
          <cell r="AH6" t="str"/>
          <cell r="AI6" t="str"/>
          <cell r="AJ6">
            <v>0</v>
          </cell>
          <cell r="AK6"/>
          <cell r="AL6"/>
          <cell r="AM6"/>
          <cell r="AN6" t="str"/>
          <cell r="AO6" t="str"/>
          <cell r="AQ6"/>
          <cell r="AR6">
            <v>0</v>
          </cell>
          <cell r="AS6">
            <v>0</v>
          </cell>
        </row>
        <row r="7">
          <cell r="A7">
            <v>15000</v>
          </cell>
          <cell r="B7" t="str">
            <v>Sample</v>
          </cell>
          <cell r="C7"/>
          <cell r="D7" t="str">
            <v>C.O.D</v>
          </cell>
          <cell r="E7" t="str">
            <v>CO</v>
          </cell>
          <cell r="F7" t="str">
            <v>Yes</v>
          </cell>
          <cell r="G7" t="str">
            <v>TX</v>
          </cell>
          <cell r="H7">
            <v>7</v>
          </cell>
          <cell r="I7">
            <v>0.66500000000000004</v>
          </cell>
          <cell r="J7" t="str">
            <v>Your DSR</v>
          </cell>
          <cell r="K7"/>
          <cell r="L7"/>
          <cell r="M7" t="str">
            <v>800-577-8858</v>
          </cell>
          <cell r="N7"/>
          <cell r="O7" t="str"/>
          <cell r="P7" t="str"/>
          <cell r="Q7" t="str"/>
          <cell r="R7" t="str"/>
          <cell r="S7" t="str"/>
          <cell r="T7" t="str"/>
          <cell r="U7" t="str"/>
          <cell r="V7" t="str"/>
          <cell r="W7" t="str"/>
          <cell r="X7" t="str"/>
          <cell r="Y7"/>
          <cell r="Z7">
            <v>0</v>
          </cell>
          <cell r="AA7"/>
          <cell r="AB7" t="str">
            <v>n/a</v>
          </cell>
          <cell r="AC7"/>
          <cell r="AD7" t="str">
            <v>n/a</v>
          </cell>
          <cell r="AE7" t="str"/>
          <cell r="AF7"/>
          <cell r="AG7" t="str"/>
          <cell r="AH7" t="str"/>
          <cell r="AI7" t="str"/>
          <cell r="AJ7">
            <v>0</v>
          </cell>
          <cell r="AK7"/>
          <cell r="AL7"/>
          <cell r="AM7"/>
          <cell r="AN7" t="str"/>
          <cell r="AO7" t="str"/>
          <cell r="AQ7"/>
          <cell r="AR7">
            <v>0</v>
          </cell>
          <cell r="AS7">
            <v>0</v>
          </cell>
        </row>
        <row r="8">
          <cell r="A8" t="str">
            <v>NATDA</v>
          </cell>
          <cell r="B8" t="str">
            <v>NATDA SHOW LOAD</v>
          </cell>
          <cell r="C8"/>
          <cell r="D8" t="str">
            <v>C.O.D</v>
          </cell>
          <cell r="E8" t="str">
            <v>?</v>
          </cell>
          <cell r="F8" t="str">
            <v>Yes</v>
          </cell>
          <cell r="G8" t="str">
            <v>TX</v>
          </cell>
          <cell r="H8">
            <v>7</v>
          </cell>
          <cell r="I8">
            <v>0.66500000000000004</v>
          </cell>
          <cell r="J8" t="str">
            <v>Your DSR</v>
          </cell>
          <cell r="K8"/>
          <cell r="L8"/>
          <cell r="M8" t="str">
            <v>800-577-8858</v>
          </cell>
          <cell r="N8" t="str">
            <v>FREIGHT WILL BE YOUR NORMAL RATES FROM EACH PLANT</v>
          </cell>
          <cell r="O8"/>
          <cell r="P8">
            <v>0</v>
          </cell>
          <cell r="Q8"/>
          <cell r="R8">
            <v>0</v>
          </cell>
          <cell r="S8"/>
          <cell r="T8">
            <v>0</v>
          </cell>
          <cell r="U8"/>
          <cell r="V8">
            <v>0</v>
          </cell>
          <cell r="W8"/>
          <cell r="X8">
            <v>0</v>
          </cell>
          <cell r="Y8"/>
          <cell r="Z8">
            <v>0</v>
          </cell>
          <cell r="AA8"/>
          <cell r="AB8" t="str">
            <v>n/a</v>
          </cell>
          <cell r="AC8"/>
          <cell r="AD8" t="str">
            <v>n/a</v>
          </cell>
          <cell r="AE8"/>
          <cell r="AF8"/>
          <cell r="AG8"/>
          <cell r="AH8"/>
          <cell r="AI8"/>
          <cell r="AJ8">
            <v>0</v>
          </cell>
          <cell r="AK8"/>
          <cell r="AL8"/>
          <cell r="AM8"/>
          <cell r="AN8" t="str"/>
          <cell r="AO8" t="str"/>
          <cell r="AQ8"/>
          <cell r="AR8">
            <v>0</v>
          </cell>
          <cell r="AS8">
            <v>0</v>
          </cell>
        </row>
        <row r="9">
          <cell r="A9">
            <v>16000</v>
          </cell>
          <cell r="B9" t="str">
            <v>Sample</v>
          </cell>
          <cell r="C9"/>
          <cell r="D9" t="str">
            <v>C.O.D</v>
          </cell>
          <cell r="E9" t="str">
            <v>CO</v>
          </cell>
          <cell r="F9" t="str">
            <v>Yes</v>
          </cell>
          <cell r="G9" t="str">
            <v>TX</v>
          </cell>
          <cell r="H9">
            <v>7</v>
          </cell>
          <cell r="I9">
            <v>0.63</v>
          </cell>
          <cell r="J9" t="str">
            <v>Your DSR</v>
          </cell>
          <cell r="K9"/>
          <cell r="L9"/>
          <cell r="M9" t="str">
            <v>800-577-8858</v>
          </cell>
          <cell r="N9"/>
          <cell r="O9" t="str"/>
          <cell r="P9" t="str"/>
          <cell r="Q9" t="str"/>
          <cell r="R9" t="str"/>
          <cell r="S9" t="str"/>
          <cell r="T9" t="str"/>
          <cell r="U9" t="str"/>
          <cell r="V9" t="str"/>
          <cell r="W9" t="str"/>
          <cell r="X9" t="str"/>
          <cell r="Y9"/>
          <cell r="Z9">
            <v>0</v>
          </cell>
          <cell r="AA9"/>
          <cell r="AB9" t="str">
            <v>n/a</v>
          </cell>
          <cell r="AC9"/>
          <cell r="AD9" t="str">
            <v>n/a</v>
          </cell>
          <cell r="AE9" t="str"/>
          <cell r="AF9"/>
          <cell r="AG9" t="str"/>
          <cell r="AH9" t="str"/>
          <cell r="AI9" t="str"/>
          <cell r="AJ9">
            <v>0</v>
          </cell>
          <cell r="AK9"/>
          <cell r="AL9"/>
          <cell r="AM9"/>
          <cell r="AN9" t="str"/>
          <cell r="AO9" t="str"/>
          <cell r="AQ9"/>
          <cell r="AR9">
            <v>0</v>
          </cell>
          <cell r="AS9">
            <v>0</v>
          </cell>
        </row>
        <row r="10">
          <cell r="A10">
            <v>10212</v>
          </cell>
          <cell r="B10" t="str">
            <v>FLEET TDO</v>
          </cell>
          <cell r="C10" t="str">
            <v>M03662</v>
          </cell>
          <cell r="D10" t="str">
            <v>No Freight</v>
          </cell>
          <cell r="E10" t="str">
            <v>Transfer</v>
          </cell>
          <cell r="F10" t="str">
            <v>No</v>
          </cell>
          <cell r="G10" t="str">
            <v>TX</v>
          </cell>
          <cell r="H10">
            <v>3</v>
          </cell>
          <cell r="I10">
            <v>0.66500000000000004</v>
          </cell>
          <cell r="J10" t="str">
            <v>Orphaned Acct</v>
          </cell>
          <cell r="K10" t="str">
            <v>MT. PLEASANT</v>
          </cell>
          <cell r="L10" t="str">
            <v>TX</v>
          </cell>
          <cell r="M10" t="str">
            <v>800-577-8858</v>
          </cell>
          <cell r="N10" t="str">
            <v>DO NOT INVOICE, PLEASE TRANSFER TRAILERS IN SYSTEM</v>
          </cell>
          <cell r="O10">
            <v>0</v>
          </cell>
          <cell r="P10">
            <v>0</v>
          </cell>
          <cell r="Q10" t="str"/>
          <cell r="R10" t="str"/>
          <cell r="S10" t="str"/>
          <cell r="T10" t="str"/>
          <cell r="U10">
            <v>167</v>
          </cell>
          <cell r="V10">
            <v>718.1</v>
          </cell>
          <cell r="W10">
            <v>83</v>
          </cell>
          <cell r="X10">
            <v>356.9</v>
          </cell>
          <cell r="Y10"/>
          <cell r="Z10">
            <v>0</v>
          </cell>
          <cell r="AA10"/>
          <cell r="AB10">
            <v>0</v>
          </cell>
          <cell r="AC10"/>
          <cell r="AD10">
            <v>0</v>
          </cell>
          <cell r="AE10" t="str"/>
          <cell r="AF10"/>
          <cell r="AG10" t="str"/>
          <cell r="AH10" t="str"/>
          <cell r="AI10" t="str"/>
          <cell r="AJ10">
            <v>0</v>
          </cell>
          <cell r="AK10" t="str">
            <v>3P</v>
          </cell>
          <cell r="AL10">
            <v>213</v>
          </cell>
          <cell r="AM10"/>
          <cell r="AN10" t="str">
            <v>07 I/C</v>
          </cell>
          <cell r="AO10" t="str">
            <v>South Central</v>
          </cell>
          <cell r="AP10" t="str">
            <v>Central</v>
          </cell>
          <cell r="AQ10"/>
          <cell r="AR10">
            <v>0</v>
          </cell>
          <cell r="AS10">
            <v>0</v>
          </cell>
        </row>
        <row r="11">
          <cell r="A11" t="str">
            <v>TDO</v>
          </cell>
          <cell r="B11" t="str">
            <v>FLEET SALES - TDO</v>
          </cell>
          <cell r="C11"/>
          <cell r="D11" t="str">
            <v>C.O.D</v>
          </cell>
          <cell r="E11" t="str">
            <v>CASH</v>
          </cell>
          <cell r="F11" t="str">
            <v>Yes</v>
          </cell>
          <cell r="G11" t="str">
            <v>TX</v>
          </cell>
          <cell r="H11">
            <v>7</v>
          </cell>
          <cell r="I11">
            <v>0.7</v>
          </cell>
          <cell r="J11" t="str">
            <v>Randy Domino</v>
          </cell>
          <cell r="K11"/>
          <cell r="L11"/>
          <cell r="M11" t="str">
            <v>800-577-8858</v>
          </cell>
          <cell r="N11"/>
          <cell r="O11" t="str"/>
          <cell r="P11" t="str"/>
          <cell r="Q11" t="str"/>
          <cell r="R11" t="str"/>
          <cell r="S11" t="str"/>
          <cell r="T11" t="str"/>
          <cell r="U11" t="str"/>
          <cell r="V11" t="str"/>
          <cell r="W11" t="str"/>
          <cell r="X11" t="str"/>
          <cell r="Y11"/>
          <cell r="Z11">
            <v>0</v>
          </cell>
          <cell r="AA11"/>
          <cell r="AB11">
            <v>0</v>
          </cell>
          <cell r="AC11"/>
          <cell r="AD11">
            <v>0</v>
          </cell>
          <cell r="AE11" t="str"/>
          <cell r="AF11"/>
          <cell r="AG11" t="str"/>
          <cell r="AH11" t="str"/>
          <cell r="AI11" t="str"/>
          <cell r="AJ11">
            <v>0</v>
          </cell>
          <cell r="AK11" t="str">
            <v>FLEET</v>
          </cell>
          <cell r="AL11"/>
          <cell r="AM11"/>
          <cell r="AN11" t="str"/>
          <cell r="AO11" t="str"/>
          <cell r="AQ11"/>
          <cell r="AR11">
            <v>0</v>
          </cell>
          <cell r="AS11">
            <v>0</v>
          </cell>
        </row>
        <row r="12">
          <cell r="A12">
            <v>12005</v>
          </cell>
          <cell r="B12" t="str">
            <v>FLEET SALES - GEORGIA</v>
          </cell>
          <cell r="C12"/>
          <cell r="D12" t="str">
            <v>C.O.D</v>
          </cell>
          <cell r="E12" t="str">
            <v>CASH</v>
          </cell>
          <cell r="F12" t="str">
            <v>Yes</v>
          </cell>
          <cell r="G12" t="str">
            <v>TX</v>
          </cell>
          <cell r="H12">
            <v>7</v>
          </cell>
          <cell r="I12">
            <v>0.7</v>
          </cell>
          <cell r="J12" t="str">
            <v>Robby Stripling</v>
          </cell>
          <cell r="K12" t="str">
            <v>CORDELE</v>
          </cell>
          <cell r="L12" t="str">
            <v>GA</v>
          </cell>
          <cell r="M12" t="str">
            <v>800-577-8858</v>
          </cell>
          <cell r="N12"/>
          <cell r="O12" t="str"/>
          <cell r="P12" t="str"/>
          <cell r="Q12" t="str"/>
          <cell r="R12" t="str"/>
          <cell r="S12" t="str"/>
          <cell r="T12" t="str"/>
          <cell r="U12" t="str"/>
          <cell r="V12" t="str"/>
          <cell r="W12" t="str"/>
          <cell r="X12" t="str"/>
          <cell r="Y12"/>
          <cell r="Z12">
            <v>0</v>
          </cell>
          <cell r="AA12"/>
          <cell r="AB12">
            <v>0</v>
          </cell>
          <cell r="AC12"/>
          <cell r="AD12">
            <v>0</v>
          </cell>
          <cell r="AE12" t="str"/>
          <cell r="AF12"/>
          <cell r="AG12" t="str"/>
          <cell r="AH12" t="str"/>
          <cell r="AI12" t="str"/>
          <cell r="AJ12">
            <v>0</v>
          </cell>
          <cell r="AK12" t="str">
            <v>FLEET</v>
          </cell>
          <cell r="AL12">
            <v>161</v>
          </cell>
          <cell r="AM12"/>
          <cell r="AN12" t="str">
            <v>07 I/C</v>
          </cell>
          <cell r="AO12" t="str">
            <v>Southeast</v>
          </cell>
          <cell r="AP12" t="str">
            <v>Central</v>
          </cell>
          <cell r="AQ12"/>
          <cell r="AR12">
            <v>0</v>
          </cell>
          <cell r="AS12">
            <v>0</v>
          </cell>
        </row>
        <row r="13">
          <cell r="A13">
            <v>13584</v>
          </cell>
          <cell r="B13" t="str">
            <v>CM TRUCKBEDS</v>
          </cell>
          <cell r="C13" t="str">
            <v>M11023</v>
          </cell>
          <cell r="D13" t="str">
            <v>No Freight</v>
          </cell>
          <cell r="E13">
            <v>30</v>
          </cell>
          <cell r="F13" t="str">
            <v>Yes</v>
          </cell>
          <cell r="G13" t="str">
            <v>OK</v>
          </cell>
          <cell r="H13">
            <v>10</v>
          </cell>
          <cell r="I13">
            <v>0.66500000000000004</v>
          </cell>
          <cell r="J13" t="str">
            <v>Jake McEntee</v>
          </cell>
          <cell r="K13" t="str">
            <v>MADILL</v>
          </cell>
          <cell r="L13" t="str">
            <v>OK</v>
          </cell>
          <cell r="M13" t="str">
            <v>NOT APPLICABLE</v>
          </cell>
          <cell r="N13" t="str">
            <v>CM TRUCKBEDS BUILT IN MADIL</v>
          </cell>
          <cell r="O13">
            <v>167</v>
          </cell>
          <cell r="P13">
            <v>718.1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/>
          <cell r="AF13"/>
          <cell r="AG13"/>
          <cell r="AH13"/>
          <cell r="AI13"/>
          <cell r="AJ13">
            <v>0</v>
          </cell>
          <cell r="AK13" t="str">
            <v>IC</v>
          </cell>
          <cell r="AL13">
            <v>161</v>
          </cell>
          <cell r="AM13"/>
          <cell r="AN13" t="str">
            <v>07 I/C</v>
          </cell>
          <cell r="AO13" t="str">
            <v>South Central</v>
          </cell>
          <cell r="AP13" t="str">
            <v>Central</v>
          </cell>
          <cell r="AQ13"/>
          <cell r="AR13">
            <v>0</v>
          </cell>
          <cell r="AS13">
            <v>0</v>
          </cell>
        </row>
        <row r="14">
          <cell r="A14">
            <v>13592</v>
          </cell>
          <cell r="B14" t="str">
            <v>BIG TEX - MP</v>
          </cell>
          <cell r="C14"/>
          <cell r="D14"/>
          <cell r="E14" t="str">
            <v>Trnsfr</v>
          </cell>
          <cell r="F14" t="str">
            <v>Yes</v>
          </cell>
          <cell r="G14" t="str">
            <v>OK</v>
          </cell>
          <cell r="H14">
            <v>10</v>
          </cell>
          <cell r="I14">
            <v>0.66500000000000004</v>
          </cell>
          <cell r="J14" t="str">
            <v>Jake McEntee</v>
          </cell>
          <cell r="K14" t="str">
            <v>MT. PLEASANT</v>
          </cell>
          <cell r="L14" t="str">
            <v>TX</v>
          </cell>
          <cell r="M14" t="str">
            <v>NOT APPLICABLE</v>
          </cell>
          <cell r="N14" t="str">
            <v>Transfer Load between plants, Do Not Invoice</v>
          </cell>
          <cell r="O14">
            <v>0</v>
          </cell>
          <cell r="P14">
            <v>0</v>
          </cell>
          <cell r="Q14">
            <v>747</v>
          </cell>
          <cell r="R14">
            <v>3212.1</v>
          </cell>
          <cell r="S14">
            <v>1725</v>
          </cell>
          <cell r="T14">
            <v>7417.5</v>
          </cell>
          <cell r="U14">
            <v>167</v>
          </cell>
          <cell r="V14">
            <v>718.1</v>
          </cell>
          <cell r="W14">
            <v>83</v>
          </cell>
          <cell r="X14">
            <v>356.9</v>
          </cell>
          <cell r="Y14">
            <v>838</v>
          </cell>
          <cell r="Z14">
            <v>3603.3999999999996</v>
          </cell>
          <cell r="AA14">
            <v>838</v>
          </cell>
          <cell r="AB14">
            <v>3603.3999999999996</v>
          </cell>
          <cell r="AC14">
            <v>838</v>
          </cell>
          <cell r="AD14">
            <v>3603.3999999999996</v>
          </cell>
          <cell r="AE14"/>
          <cell r="AF14"/>
          <cell r="AG14"/>
          <cell r="AH14"/>
          <cell r="AI14"/>
          <cell r="AJ14">
            <v>0</v>
          </cell>
          <cell r="AK14" t="str">
            <v>TF</v>
          </cell>
          <cell r="AL14">
            <v>161</v>
          </cell>
          <cell r="AM14"/>
          <cell r="AN14" t="str"/>
          <cell r="AO14" t="str"/>
          <cell r="AQ14"/>
          <cell r="AR14">
            <v>0</v>
          </cell>
          <cell r="AS14">
            <v>0</v>
          </cell>
        </row>
        <row r="15">
          <cell r="A15">
            <v>13593</v>
          </cell>
          <cell r="B15" t="str">
            <v>BIG TEX - MADILL</v>
          </cell>
          <cell r="C15"/>
          <cell r="D15"/>
          <cell r="E15" t="str">
            <v>Trnsfr</v>
          </cell>
          <cell r="F15" t="str">
            <v>Yes</v>
          </cell>
          <cell r="G15" t="str">
            <v>WP</v>
          </cell>
          <cell r="H15">
            <v>10</v>
          </cell>
          <cell r="I15">
            <v>0.66500000000000004</v>
          </cell>
          <cell r="J15" t="str">
            <v>Jake McEntee</v>
          </cell>
          <cell r="K15" t="str">
            <v>MADILL</v>
          </cell>
          <cell r="L15" t="str">
            <v>OK</v>
          </cell>
          <cell r="M15" t="str">
            <v>NOT APPLICABLE</v>
          </cell>
          <cell r="N15" t="str">
            <v>Transfer Load between plants, Do Not Invoice</v>
          </cell>
          <cell r="O15">
            <v>167</v>
          </cell>
          <cell r="P15">
            <v>718.1</v>
          </cell>
          <cell r="Q15">
            <v>909</v>
          </cell>
          <cell r="R15">
            <v>3908.7</v>
          </cell>
          <cell r="S15">
            <v>1723</v>
          </cell>
          <cell r="T15">
            <v>7408.9</v>
          </cell>
          <cell r="U15">
            <v>0</v>
          </cell>
          <cell r="V15">
            <v>0</v>
          </cell>
          <cell r="W15">
            <v>132</v>
          </cell>
          <cell r="X15">
            <v>567.6</v>
          </cell>
          <cell r="Y15">
            <v>948</v>
          </cell>
          <cell r="Z15">
            <v>4076.3999999999996</v>
          </cell>
          <cell r="AA15">
            <v>948</v>
          </cell>
          <cell r="AB15">
            <v>4076.3999999999996</v>
          </cell>
          <cell r="AC15">
            <v>948</v>
          </cell>
          <cell r="AD15">
            <v>4076.3999999999996</v>
          </cell>
          <cell r="AE15"/>
          <cell r="AF15"/>
          <cell r="AG15"/>
          <cell r="AH15"/>
          <cell r="AI15"/>
          <cell r="AJ15">
            <v>0</v>
          </cell>
          <cell r="AK15" t="str">
            <v>TF</v>
          </cell>
          <cell r="AL15">
            <v>161</v>
          </cell>
          <cell r="AM15"/>
          <cell r="AN15" t="str"/>
          <cell r="AO15" t="str"/>
          <cell r="AQ15"/>
          <cell r="AR15">
            <v>0</v>
          </cell>
          <cell r="AS15">
            <v>0</v>
          </cell>
        </row>
        <row r="16">
          <cell r="A16">
            <v>13595</v>
          </cell>
          <cell r="B16" t="str">
            <v>BIG TEX - OHIO</v>
          </cell>
          <cell r="C16"/>
          <cell r="D16"/>
          <cell r="E16" t="str">
            <v>Trnsfr</v>
          </cell>
          <cell r="F16" t="str">
            <v>Yes</v>
          </cell>
          <cell r="G16" t="str">
            <v>WP</v>
          </cell>
          <cell r="H16">
            <v>10</v>
          </cell>
          <cell r="I16">
            <v>0.66500000000000004</v>
          </cell>
          <cell r="J16" t="str">
            <v>Jake McEntee</v>
          </cell>
          <cell r="K16" t="str">
            <v>BATAVIA</v>
          </cell>
          <cell r="L16" t="str">
            <v>OH</v>
          </cell>
          <cell r="M16" t="str">
            <v>NOT APPLICABLE</v>
          </cell>
          <cell r="N16" t="str">
            <v>Transfer Load between plants, Do Not Invoice</v>
          </cell>
          <cell r="O16">
            <v>836</v>
          </cell>
          <cell r="P16">
            <v>3594.7999999999997</v>
          </cell>
          <cell r="Q16">
            <v>917</v>
          </cell>
          <cell r="R16">
            <v>3943.1</v>
          </cell>
          <cell r="S16">
            <v>1985</v>
          </cell>
          <cell r="T16">
            <v>8535.5</v>
          </cell>
          <cell r="U16">
            <v>948</v>
          </cell>
          <cell r="V16">
            <v>4076.3999999999996</v>
          </cell>
          <cell r="W16">
            <v>917</v>
          </cell>
          <cell r="X16">
            <v>3943.1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/>
          <cell r="AI16"/>
          <cell r="AJ16">
            <v>0</v>
          </cell>
          <cell r="AK16" t="str">
            <v>TF</v>
          </cell>
          <cell r="AL16">
            <v>161</v>
          </cell>
          <cell r="AM16"/>
          <cell r="AN16" t="str"/>
          <cell r="AO16" t="str"/>
          <cell r="AQ16"/>
          <cell r="AR16">
            <v>0</v>
          </cell>
          <cell r="AS16">
            <v>0</v>
          </cell>
        </row>
        <row r="17">
          <cell r="A17">
            <v>13597</v>
          </cell>
          <cell r="B17" t="str">
            <v>BIG TEX - WILLS POINT</v>
          </cell>
          <cell r="C17"/>
          <cell r="D17"/>
          <cell r="E17" t="str">
            <v>Trnsfr</v>
          </cell>
          <cell r="F17" t="str">
            <v>Yes</v>
          </cell>
          <cell r="G17" t="str">
            <v>OK</v>
          </cell>
          <cell r="H17">
            <v>10</v>
          </cell>
          <cell r="I17">
            <v>0.66500000000000004</v>
          </cell>
          <cell r="J17" t="str">
            <v>Jake McEntee</v>
          </cell>
          <cell r="K17" t="str">
            <v>WILLS POINT</v>
          </cell>
          <cell r="L17" t="str">
            <v>TX</v>
          </cell>
          <cell r="M17" t="str">
            <v>NOT APPLICABLE</v>
          </cell>
          <cell r="N17" t="str">
            <v>Transfer Load between plants, Do Not Invoice</v>
          </cell>
          <cell r="O17">
            <v>83</v>
          </cell>
          <cell r="P17">
            <v>356.9</v>
          </cell>
          <cell r="Q17">
            <v>1675</v>
          </cell>
          <cell r="R17">
            <v>7202.5</v>
          </cell>
          <cell r="S17">
            <v>1685</v>
          </cell>
          <cell r="T17">
            <v>7245.5</v>
          </cell>
          <cell r="U17">
            <v>132</v>
          </cell>
          <cell r="V17">
            <v>567.6</v>
          </cell>
          <cell r="W17">
            <v>0</v>
          </cell>
          <cell r="X17">
            <v>0</v>
          </cell>
          <cell r="Y17">
            <v>917</v>
          </cell>
          <cell r="Z17">
            <v>3943.1</v>
          </cell>
          <cell r="AA17">
            <v>917</v>
          </cell>
          <cell r="AB17">
            <v>3943.1</v>
          </cell>
          <cell r="AC17">
            <v>917</v>
          </cell>
          <cell r="AD17">
            <v>3943.1</v>
          </cell>
          <cell r="AE17"/>
          <cell r="AF17"/>
          <cell r="AG17"/>
          <cell r="AH17"/>
          <cell r="AI17"/>
          <cell r="AJ17">
            <v>0</v>
          </cell>
          <cell r="AK17" t="str">
            <v>TF</v>
          </cell>
          <cell r="AL17">
            <v>161</v>
          </cell>
          <cell r="AM17"/>
          <cell r="AN17" t="str"/>
          <cell r="AO17" t="str"/>
          <cell r="AQ17"/>
          <cell r="AR17">
            <v>0</v>
          </cell>
          <cell r="AS17">
            <v>0</v>
          </cell>
        </row>
        <row r="18">
          <cell r="A18">
            <v>13594</v>
          </cell>
          <cell r="B18" t="str">
            <v>BIG TEX - GEORGIA</v>
          </cell>
          <cell r="C18"/>
          <cell r="D18"/>
          <cell r="E18" t="str">
            <v>Trnsfr</v>
          </cell>
          <cell r="F18" t="str">
            <v>Yes</v>
          </cell>
          <cell r="G18" t="str">
            <v>TX</v>
          </cell>
          <cell r="H18">
            <v>10</v>
          </cell>
          <cell r="I18">
            <v>0.66500000000000004</v>
          </cell>
          <cell r="J18" t="str">
            <v>Jake McEntee</v>
          </cell>
          <cell r="K18" t="str">
            <v>CORDELE</v>
          </cell>
          <cell r="L18" t="str">
            <v>GA</v>
          </cell>
          <cell r="M18" t="str">
            <v>NOT APPLICABLE</v>
          </cell>
          <cell r="N18" t="str">
            <v>Transfer Load between plants, Do Not Invoice</v>
          </cell>
          <cell r="O18">
            <v>740</v>
          </cell>
          <cell r="P18">
            <v>3182</v>
          </cell>
          <cell r="Q18">
            <v>0</v>
          </cell>
          <cell r="R18">
            <v>0</v>
          </cell>
          <cell r="S18">
            <v>2338</v>
          </cell>
          <cell r="T18">
            <v>10053.4</v>
          </cell>
          <cell r="U18">
            <v>905</v>
          </cell>
          <cell r="V18">
            <v>3891.5</v>
          </cell>
          <cell r="W18">
            <v>1675</v>
          </cell>
          <cell r="X18">
            <v>7202.5</v>
          </cell>
          <cell r="Y18">
            <v>624</v>
          </cell>
          <cell r="Z18">
            <v>2683.2</v>
          </cell>
          <cell r="AA18">
            <v>624</v>
          </cell>
          <cell r="AB18">
            <v>2683.2</v>
          </cell>
          <cell r="AC18">
            <v>624</v>
          </cell>
          <cell r="AD18">
            <v>2683.2</v>
          </cell>
          <cell r="AE18"/>
          <cell r="AF18"/>
          <cell r="AG18"/>
          <cell r="AH18"/>
          <cell r="AI18"/>
          <cell r="AJ18">
            <v>0</v>
          </cell>
          <cell r="AK18" t="str">
            <v>TF</v>
          </cell>
          <cell r="AL18">
            <v>161</v>
          </cell>
          <cell r="AM18"/>
          <cell r="AN18" t="str"/>
          <cell r="AO18" t="str"/>
          <cell r="AQ18"/>
          <cell r="AR18">
            <v>0</v>
          </cell>
          <cell r="AS18">
            <v>0</v>
          </cell>
        </row>
        <row r="19">
          <cell r="A19">
            <v>13596</v>
          </cell>
          <cell r="B19" t="str">
            <v>BIG TEX - MT. ORAB</v>
          </cell>
          <cell r="C19"/>
          <cell r="D19"/>
          <cell r="E19" t="str">
            <v>Trnsfr</v>
          </cell>
          <cell r="F19" t="str">
            <v>Yes</v>
          </cell>
          <cell r="G19" t="str">
            <v>TX</v>
          </cell>
          <cell r="H19">
            <v>10</v>
          </cell>
          <cell r="I19">
            <v>0.66500000000000004</v>
          </cell>
          <cell r="J19" t="str">
            <v>Jake McEntee</v>
          </cell>
          <cell r="K19" t="str">
            <v>MT. ORAB</v>
          </cell>
          <cell r="L19" t="str">
            <v>OH</v>
          </cell>
          <cell r="M19" t="str">
            <v>NOT APPLICABLE</v>
          </cell>
          <cell r="N19" t="str">
            <v>Transfer Load between plants, Do Not Invoice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/>
          <cell r="AI19"/>
          <cell r="AJ19">
            <v>0</v>
          </cell>
          <cell r="AK19" t="str">
            <v>TF</v>
          </cell>
          <cell r="AL19">
            <v>161</v>
          </cell>
          <cell r="AM19"/>
          <cell r="AN19" t="str"/>
          <cell r="AO19" t="str"/>
          <cell r="AQ19"/>
          <cell r="AR19">
            <v>0</v>
          </cell>
          <cell r="AS19">
            <v>0</v>
          </cell>
        </row>
        <row r="20">
          <cell r="A20">
            <v>13101</v>
          </cell>
          <cell r="B20" t="str">
            <v>CARRY-ON</v>
          </cell>
          <cell r="C20" t="str">
            <v>M11023</v>
          </cell>
          <cell r="D20" t="str">
            <v>Net 30, no pink card</v>
          </cell>
          <cell r="E20">
            <v>30</v>
          </cell>
          <cell r="F20" t="str">
            <v>No</v>
          </cell>
          <cell r="G20" t="str">
            <v>GA</v>
          </cell>
          <cell r="H20">
            <v>11</v>
          </cell>
          <cell r="I20">
            <v>0.66500000000000004</v>
          </cell>
          <cell r="J20" t="str">
            <v>Jake McEntee</v>
          </cell>
          <cell r="K20" t="str">
            <v>LAVONIA</v>
          </cell>
          <cell r="L20" t="str">
            <v>GA</v>
          </cell>
          <cell r="M20" t="str">
            <v>800-577-8858</v>
          </cell>
          <cell r="N20" t="str">
            <v>Mail all paperwork to Lavonia, GA</v>
          </cell>
          <cell r="O20">
            <v>792</v>
          </cell>
          <cell r="P20">
            <v>3405.6</v>
          </cell>
          <cell r="Q20">
            <v>231</v>
          </cell>
          <cell r="R20">
            <v>993.3</v>
          </cell>
          <cell r="S20">
            <v>2275</v>
          </cell>
          <cell r="T20">
            <v>9782.5</v>
          </cell>
          <cell r="U20">
            <v>927</v>
          </cell>
          <cell r="V20">
            <v>3986.1</v>
          </cell>
          <cell r="W20">
            <v>829</v>
          </cell>
          <cell r="X20">
            <v>3564.7</v>
          </cell>
          <cell r="Y20"/>
          <cell r="Z20">
            <v>0</v>
          </cell>
          <cell r="AA20"/>
          <cell r="AB20">
            <v>0</v>
          </cell>
          <cell r="AC20"/>
          <cell r="AD20">
            <v>0</v>
          </cell>
          <cell r="AE20" t="str"/>
          <cell r="AF20"/>
          <cell r="AG20" t="str"/>
          <cell r="AH20" t="str"/>
          <cell r="AI20" t="str"/>
          <cell r="AJ20">
            <v>0</v>
          </cell>
          <cell r="AK20" t="str">
            <v>IC</v>
          </cell>
          <cell r="AL20">
            <v>161</v>
          </cell>
          <cell r="AM20">
            <v>16</v>
          </cell>
          <cell r="AN20" t="str">
            <v>07 I/C</v>
          </cell>
          <cell r="AO20" t="str">
            <v>Southeast</v>
          </cell>
          <cell r="AP20" t="str">
            <v>South</v>
          </cell>
          <cell r="AQ20"/>
          <cell r="AR20">
            <v>0</v>
          </cell>
          <cell r="AS20">
            <v>0</v>
          </cell>
        </row>
        <row r="21">
          <cell r="A21" t="str">
            <v>13101A</v>
          </cell>
          <cell r="B21" t="str">
            <v>CARRY-ON</v>
          </cell>
          <cell r="C21" t="str">
            <v>M11023</v>
          </cell>
          <cell r="D21" t="str">
            <v>Net 30, no pink card</v>
          </cell>
          <cell r="E21">
            <v>30</v>
          </cell>
          <cell r="F21" t="str">
            <v>No</v>
          </cell>
          <cell r="G21" t="str">
            <v>GA</v>
          </cell>
          <cell r="H21">
            <v>11</v>
          </cell>
          <cell r="I21">
            <v>0.66500000000000004</v>
          </cell>
          <cell r="J21" t="str">
            <v>Jake McEntee</v>
          </cell>
          <cell r="K21" t="str">
            <v>LAVONIA</v>
          </cell>
          <cell r="L21" t="str">
            <v>GA</v>
          </cell>
          <cell r="M21" t="str">
            <v>800-577-8858</v>
          </cell>
          <cell r="N21" t="str">
            <v>Mail all paperwork to Lavonia, GA</v>
          </cell>
          <cell r="O21">
            <v>792</v>
          </cell>
          <cell r="P21">
            <v>3405.6</v>
          </cell>
          <cell r="Q21">
            <v>231</v>
          </cell>
          <cell r="R21">
            <v>993.3</v>
          </cell>
          <cell r="S21">
            <v>2275</v>
          </cell>
          <cell r="T21">
            <v>9782.5</v>
          </cell>
          <cell r="U21">
            <v>927</v>
          </cell>
          <cell r="V21">
            <v>3986.1</v>
          </cell>
          <cell r="W21">
            <v>829</v>
          </cell>
          <cell r="X21">
            <v>3564.7</v>
          </cell>
          <cell r="Y21"/>
          <cell r="Z21">
            <v>0</v>
          </cell>
          <cell r="AA21"/>
          <cell r="AB21">
            <v>0</v>
          </cell>
          <cell r="AC21"/>
          <cell r="AD21">
            <v>0</v>
          </cell>
          <cell r="AE21"/>
          <cell r="AF21"/>
          <cell r="AG21"/>
          <cell r="AH21"/>
          <cell r="AI21"/>
          <cell r="AJ21">
            <v>0</v>
          </cell>
          <cell r="AK21" t="str">
            <v>IC</v>
          </cell>
          <cell r="AL21">
            <v>161</v>
          </cell>
          <cell r="AM21">
            <v>16</v>
          </cell>
          <cell r="AN21" t="str">
            <v>07 I/C</v>
          </cell>
          <cell r="AO21" t="str">
            <v>Southeast</v>
          </cell>
          <cell r="AP21" t="str">
            <v>South</v>
          </cell>
          <cell r="AQ21"/>
          <cell r="AR21">
            <v>0</v>
          </cell>
          <cell r="AS21">
            <v>0</v>
          </cell>
        </row>
        <row r="22">
          <cell r="A22" t="str">
            <v>13101D</v>
          </cell>
          <cell r="B22" t="str">
            <v>CARRY-ON</v>
          </cell>
          <cell r="C22" t="str">
            <v>M11023</v>
          </cell>
          <cell r="D22" t="str">
            <v>Net 30, no pink card</v>
          </cell>
          <cell r="E22">
            <v>30</v>
          </cell>
          <cell r="F22" t="str">
            <v>No</v>
          </cell>
          <cell r="G22" t="str">
            <v>TX</v>
          </cell>
          <cell r="H22">
            <v>11</v>
          </cell>
          <cell r="I22">
            <v>0.66500000000000004</v>
          </cell>
          <cell r="J22" t="str">
            <v>Jake McEntee</v>
          </cell>
          <cell r="K22" t="str">
            <v>MISSOURI VALLEY</v>
          </cell>
          <cell r="L22" t="str">
            <v>IA</v>
          </cell>
          <cell r="M22" t="str">
            <v>800-577-8858</v>
          </cell>
          <cell r="N22" t="str">
            <v>Mail all paperwork to Lavonia, GA</v>
          </cell>
          <cell r="O22">
            <v>643</v>
          </cell>
          <cell r="P22">
            <v>2764.9</v>
          </cell>
          <cell r="Q22">
            <v>1143</v>
          </cell>
          <cell r="R22">
            <v>4914.8999999999996</v>
          </cell>
          <cell r="S22">
            <v>1276</v>
          </cell>
          <cell r="T22">
            <v>5486.8</v>
          </cell>
          <cell r="U22">
            <v>601</v>
          </cell>
          <cell r="V22">
            <v>2584.2999999999997</v>
          </cell>
          <cell r="W22">
            <v>673</v>
          </cell>
          <cell r="X22">
            <v>2893.9</v>
          </cell>
          <cell r="Y22">
            <v>750</v>
          </cell>
          <cell r="Z22">
            <v>3225</v>
          </cell>
          <cell r="AA22">
            <v>750</v>
          </cell>
          <cell r="AB22">
            <v>3225</v>
          </cell>
          <cell r="AC22">
            <v>750</v>
          </cell>
          <cell r="AD22">
            <v>3225</v>
          </cell>
          <cell r="AE22"/>
          <cell r="AF22"/>
          <cell r="AG22"/>
          <cell r="AH22"/>
          <cell r="AI22"/>
          <cell r="AJ22">
            <v>0</v>
          </cell>
          <cell r="AK22" t="str">
            <v>IC</v>
          </cell>
          <cell r="AL22">
            <v>161</v>
          </cell>
          <cell r="AM22">
            <v>332</v>
          </cell>
          <cell r="AN22" t="str">
            <v>07 I/C</v>
          </cell>
          <cell r="AO22" t="str">
            <v>Midwest</v>
          </cell>
          <cell r="AP22" t="str">
            <v>Central</v>
          </cell>
          <cell r="AQ22"/>
          <cell r="AR22">
            <v>0</v>
          </cell>
          <cell r="AS22">
            <v>0</v>
          </cell>
          <cell r="AT22"/>
        </row>
        <row r="23">
          <cell r="A23" t="str">
            <v>13101G</v>
          </cell>
          <cell r="B23" t="str">
            <v>CARRY-ON</v>
          </cell>
          <cell r="C23" t="str">
            <v>M11023</v>
          </cell>
          <cell r="D23" t="str">
            <v>Net 30, no pink card</v>
          </cell>
          <cell r="E23">
            <v>30</v>
          </cell>
          <cell r="F23" t="str">
            <v>No</v>
          </cell>
          <cell r="G23" t="str">
            <v>GA</v>
          </cell>
          <cell r="H23">
            <v>11</v>
          </cell>
          <cell r="I23">
            <v>0.66500000000000004</v>
          </cell>
          <cell r="J23" t="str">
            <v>Jake McEntee</v>
          </cell>
          <cell r="K23" t="str">
            <v>NAMPA</v>
          </cell>
          <cell r="L23" t="str">
            <v>ID</v>
          </cell>
          <cell r="M23" t="str">
            <v>800-577-8858</v>
          </cell>
          <cell r="N23" t="str">
            <v>Mail all paperwork to Lavonia, GA</v>
          </cell>
          <cell r="O23"/>
          <cell r="P23">
            <v>0</v>
          </cell>
          <cell r="Q23"/>
          <cell r="R23">
            <v>0</v>
          </cell>
          <cell r="S23">
            <v>8</v>
          </cell>
          <cell r="T23">
            <v>34.4</v>
          </cell>
          <cell r="U23">
            <v>927</v>
          </cell>
          <cell r="V23">
            <v>3986.1</v>
          </cell>
          <cell r="W23">
            <v>829</v>
          </cell>
          <cell r="X23">
            <v>3564.7</v>
          </cell>
          <cell r="Y23"/>
          <cell r="Z23">
            <v>0</v>
          </cell>
          <cell r="AA23"/>
          <cell r="AB23">
            <v>0</v>
          </cell>
          <cell r="AC23"/>
          <cell r="AD23">
            <v>0</v>
          </cell>
          <cell r="AE23"/>
          <cell r="AF23"/>
          <cell r="AG23"/>
          <cell r="AH23"/>
          <cell r="AI23"/>
          <cell r="AJ23">
            <v>0</v>
          </cell>
          <cell r="AK23" t="str">
            <v>IC</v>
          </cell>
          <cell r="AL23">
            <v>161</v>
          </cell>
          <cell r="AM23">
            <v>50</v>
          </cell>
          <cell r="AN23" t="str">
            <v>07 I/C</v>
          </cell>
          <cell r="AO23" t="str">
            <v>Northwest</v>
          </cell>
          <cell r="AP23" t="str">
            <v>West</v>
          </cell>
          <cell r="AQ23"/>
          <cell r="AR23">
            <v>0</v>
          </cell>
          <cell r="AS23">
            <v>0</v>
          </cell>
        </row>
        <row r="24">
          <cell r="A24" t="str">
            <v>13101B</v>
          </cell>
          <cell r="B24" t="str">
            <v>CARRY-ON</v>
          </cell>
          <cell r="C24" t="str">
            <v>M11023</v>
          </cell>
          <cell r="D24" t="str">
            <v>Net 30, no pink card</v>
          </cell>
          <cell r="E24">
            <v>30</v>
          </cell>
          <cell r="F24" t="str">
            <v>No</v>
          </cell>
          <cell r="G24" t="str">
            <v>ID</v>
          </cell>
          <cell r="H24">
            <v>11</v>
          </cell>
          <cell r="I24">
            <v>0.66500000000000004</v>
          </cell>
          <cell r="J24" t="str">
            <v>Jake McEntee</v>
          </cell>
          <cell r="K24" t="str">
            <v>WINNEMUCCA</v>
          </cell>
          <cell r="L24" t="str">
            <v>NV</v>
          </cell>
          <cell r="M24" t="str">
            <v>800-577-8858</v>
          </cell>
          <cell r="N24" t="str">
            <v>Mail all paperwork to Lavonia, GA</v>
          </cell>
          <cell r="O24">
            <v>1692</v>
          </cell>
          <cell r="P24">
            <v>7275.5999999999995</v>
          </cell>
          <cell r="Q24">
            <v>2367</v>
          </cell>
          <cell r="R24">
            <v>10178.1</v>
          </cell>
          <cell r="S24">
            <v>243</v>
          </cell>
          <cell r="T24">
            <v>1044.8999999999999</v>
          </cell>
          <cell r="U24">
            <v>1661</v>
          </cell>
          <cell r="V24">
            <v>7142.2999999999993</v>
          </cell>
          <cell r="W24">
            <v>1650</v>
          </cell>
          <cell r="X24">
            <v>7095</v>
          </cell>
          <cell r="Y24"/>
          <cell r="Z24">
            <v>0</v>
          </cell>
          <cell r="AA24"/>
          <cell r="AB24">
            <v>0</v>
          </cell>
          <cell r="AC24"/>
          <cell r="AD24">
            <v>0</v>
          </cell>
          <cell r="AE24"/>
          <cell r="AF24"/>
          <cell r="AG24"/>
          <cell r="AH24"/>
          <cell r="AI24"/>
          <cell r="AJ24">
            <v>0</v>
          </cell>
          <cell r="AK24" t="str">
            <v>IC</v>
          </cell>
          <cell r="AL24">
            <v>161</v>
          </cell>
          <cell r="AM24">
            <v>372</v>
          </cell>
          <cell r="AN24" t="str">
            <v>07 I/C</v>
          </cell>
          <cell r="AO24" t="str">
            <v>Southwest</v>
          </cell>
          <cell r="AP24" t="str">
            <v>West</v>
          </cell>
          <cell r="AQ24"/>
          <cell r="AR24">
            <v>0</v>
          </cell>
          <cell r="AS24">
            <v>0</v>
          </cell>
        </row>
        <row r="25">
          <cell r="A25" t="str">
            <v>13101E</v>
          </cell>
          <cell r="B25" t="str">
            <v>CARRY-ON</v>
          </cell>
          <cell r="C25" t="str">
            <v>M11023</v>
          </cell>
          <cell r="D25" t="str">
            <v>Net 30, no pink card</v>
          </cell>
          <cell r="E25">
            <v>30</v>
          </cell>
          <cell r="F25" t="str">
            <v>No</v>
          </cell>
          <cell r="G25" t="str">
            <v>GA</v>
          </cell>
          <cell r="H25">
            <v>11</v>
          </cell>
          <cell r="I25">
            <v>0.66500000000000004</v>
          </cell>
          <cell r="J25" t="str">
            <v>Jake McEntee</v>
          </cell>
          <cell r="K25" t="str">
            <v>EUGENE</v>
          </cell>
          <cell r="L25" t="str">
            <v>OR</v>
          </cell>
          <cell r="M25" t="str">
            <v>800-577-8858</v>
          </cell>
          <cell r="N25" t="str">
            <v>Mail all paperwork to Lavonia, GA</v>
          </cell>
          <cell r="O25"/>
          <cell r="P25">
            <v>0</v>
          </cell>
          <cell r="Q25"/>
          <cell r="R25">
            <v>0</v>
          </cell>
          <cell r="S25">
            <v>415</v>
          </cell>
          <cell r="T25">
            <v>1784.5</v>
          </cell>
          <cell r="U25">
            <v>927</v>
          </cell>
          <cell r="V25">
            <v>3986.1</v>
          </cell>
          <cell r="W25">
            <v>829</v>
          </cell>
          <cell r="X25">
            <v>3564.7</v>
          </cell>
          <cell r="Y25"/>
          <cell r="Z25">
            <v>0</v>
          </cell>
          <cell r="AA25"/>
          <cell r="AB25">
            <v>0</v>
          </cell>
          <cell r="AC25"/>
          <cell r="AD25">
            <v>0</v>
          </cell>
          <cell r="AE25"/>
          <cell r="AF25"/>
          <cell r="AG25"/>
          <cell r="AH25"/>
          <cell r="AI25"/>
          <cell r="AJ25">
            <v>0</v>
          </cell>
          <cell r="AK25" t="str">
            <v>IC</v>
          </cell>
          <cell r="AL25">
            <v>161</v>
          </cell>
          <cell r="AM25">
            <v>133</v>
          </cell>
          <cell r="AN25" t="str">
            <v>07 I/C</v>
          </cell>
          <cell r="AO25" t="str">
            <v>Northwest</v>
          </cell>
          <cell r="AP25" t="str">
            <v>West</v>
          </cell>
          <cell r="AQ25"/>
          <cell r="AR25">
            <v>0</v>
          </cell>
          <cell r="AS25">
            <v>0</v>
          </cell>
        </row>
        <row r="26">
          <cell r="A26" t="str">
            <v>13101F</v>
          </cell>
          <cell r="B26" t="str">
            <v>CARRY-ON</v>
          </cell>
          <cell r="C26" t="str">
            <v>M11023</v>
          </cell>
          <cell r="D26" t="str">
            <v>Net 30, no pink card</v>
          </cell>
          <cell r="E26">
            <v>30</v>
          </cell>
          <cell r="F26" t="str">
            <v>No</v>
          </cell>
          <cell r="G26" t="str">
            <v>GA</v>
          </cell>
          <cell r="H26">
            <v>11</v>
          </cell>
          <cell r="I26">
            <v>0.66500000000000004</v>
          </cell>
          <cell r="J26" t="str">
            <v>Jake McEntee</v>
          </cell>
          <cell r="K26" t="str">
            <v>PORTLAND</v>
          </cell>
          <cell r="L26" t="str">
            <v>OR</v>
          </cell>
          <cell r="M26" t="str">
            <v>800-577-8858</v>
          </cell>
          <cell r="N26" t="str">
            <v>Mail all paperwork to Lavonia, GA</v>
          </cell>
          <cell r="O26"/>
          <cell r="P26">
            <v>0</v>
          </cell>
          <cell r="Q26"/>
          <cell r="R26">
            <v>0</v>
          </cell>
          <cell r="S26">
            <v>403</v>
          </cell>
          <cell r="T26">
            <v>1732.8999999999999</v>
          </cell>
          <cell r="U26">
            <v>927</v>
          </cell>
          <cell r="V26">
            <v>3986.1</v>
          </cell>
          <cell r="W26">
            <v>829</v>
          </cell>
          <cell r="X26">
            <v>3564.7</v>
          </cell>
          <cell r="Y26"/>
          <cell r="Z26">
            <v>0</v>
          </cell>
          <cell r="AA26"/>
          <cell r="AB26">
            <v>0</v>
          </cell>
          <cell r="AC26"/>
          <cell r="AD26">
            <v>0</v>
          </cell>
          <cell r="AE26"/>
          <cell r="AF26"/>
          <cell r="AG26"/>
          <cell r="AH26"/>
          <cell r="AI26"/>
          <cell r="AJ26">
            <v>0</v>
          </cell>
          <cell r="AK26" t="str">
            <v>IC</v>
          </cell>
          <cell r="AL26">
            <v>161</v>
          </cell>
          <cell r="AM26">
            <v>358</v>
          </cell>
          <cell r="AN26" t="str">
            <v>07 I/C</v>
          </cell>
          <cell r="AO26" t="str">
            <v>Northwest</v>
          </cell>
          <cell r="AP26" t="str">
            <v>West</v>
          </cell>
          <cell r="AQ26"/>
          <cell r="AR26">
            <v>0</v>
          </cell>
          <cell r="AS26">
            <v>0</v>
          </cell>
        </row>
        <row r="27">
          <cell r="A27" t="str">
            <v>13101C</v>
          </cell>
          <cell r="B27" t="str">
            <v>CARRY-ON</v>
          </cell>
          <cell r="C27" t="str">
            <v>M11023</v>
          </cell>
          <cell r="D27" t="str">
            <v>Net 30, no pink card</v>
          </cell>
          <cell r="E27">
            <v>30</v>
          </cell>
          <cell r="F27" t="str">
            <v>No</v>
          </cell>
          <cell r="G27" t="str">
            <v>TX</v>
          </cell>
          <cell r="H27">
            <v>11</v>
          </cell>
          <cell r="I27">
            <v>0.66500000000000004</v>
          </cell>
          <cell r="J27" t="str">
            <v>Jake McEntee</v>
          </cell>
          <cell r="K27" t="str">
            <v>MEXIA</v>
          </cell>
          <cell r="L27" t="str">
            <v>TX</v>
          </cell>
          <cell r="M27" t="str">
            <v>800-577-8858</v>
          </cell>
          <cell r="N27" t="str">
            <v>Mail all paperwork to Lavonia, GA</v>
          </cell>
          <cell r="O27">
            <v>174</v>
          </cell>
          <cell r="P27">
            <v>748.19999999999993</v>
          </cell>
          <cell r="Q27">
            <v>840</v>
          </cell>
          <cell r="R27">
            <v>3612</v>
          </cell>
          <cell r="S27">
            <v>1706</v>
          </cell>
          <cell r="T27">
            <v>7335.7999999999993</v>
          </cell>
          <cell r="U27">
            <v>196</v>
          </cell>
          <cell r="V27">
            <v>842.8</v>
          </cell>
          <cell r="W27">
            <v>96</v>
          </cell>
          <cell r="X27">
            <v>412.79999999999995</v>
          </cell>
          <cell r="Y27"/>
          <cell r="Z27">
            <v>0</v>
          </cell>
          <cell r="AA27"/>
          <cell r="AB27">
            <v>0</v>
          </cell>
          <cell r="AC27"/>
          <cell r="AD27">
            <v>0</v>
          </cell>
          <cell r="AE27"/>
          <cell r="AF27"/>
          <cell r="AG27"/>
          <cell r="AH27"/>
          <cell r="AI27"/>
          <cell r="AJ27">
            <v>0</v>
          </cell>
          <cell r="AK27" t="str">
            <v>IC</v>
          </cell>
          <cell r="AL27">
            <v>161</v>
          </cell>
          <cell r="AM27">
            <v>459</v>
          </cell>
          <cell r="AN27" t="str">
            <v>07 I/C</v>
          </cell>
          <cell r="AO27" t="str">
            <v>South Central</v>
          </cell>
          <cell r="AP27" t="str">
            <v>Central</v>
          </cell>
          <cell r="AQ27"/>
          <cell r="AR27">
            <v>0</v>
          </cell>
          <cell r="AS27">
            <v>0</v>
          </cell>
        </row>
        <row r="28">
          <cell r="A28">
            <v>13416</v>
          </cell>
          <cell r="B28" t="str">
            <v>PJ TRAILER</v>
          </cell>
          <cell r="C28" t="str">
            <v>M06586</v>
          </cell>
          <cell r="D28" t="str">
            <v>Net 30, no pink card</v>
          </cell>
          <cell r="E28">
            <v>30</v>
          </cell>
          <cell r="F28" t="str">
            <v>NO</v>
          </cell>
          <cell r="G28" t="str">
            <v>OH</v>
          </cell>
          <cell r="H28">
            <v>5</v>
          </cell>
          <cell r="I28">
            <v>0.66500000000000004</v>
          </cell>
          <cell r="J28" t="str">
            <v>Jake McEntee</v>
          </cell>
          <cell r="K28" t="str">
            <v>MT. ORAB</v>
          </cell>
          <cell r="L28" t="str">
            <v>OH</v>
          </cell>
          <cell r="M28" t="str">
            <v>800-577-8858</v>
          </cell>
          <cell r="N28" t="str">
            <v>Only email MSO's and Invoices, no Fedex. Drivers get nothing</v>
          </cell>
          <cell r="O28"/>
          <cell r="P28">
            <v>0</v>
          </cell>
          <cell r="Q28"/>
          <cell r="R28">
            <v>0</v>
          </cell>
          <cell r="S28"/>
          <cell r="T28">
            <v>0</v>
          </cell>
          <cell r="U28"/>
          <cell r="V28">
            <v>0</v>
          </cell>
          <cell r="W28"/>
          <cell r="X28">
            <v>0</v>
          </cell>
          <cell r="Y28"/>
          <cell r="Z28">
            <v>0</v>
          </cell>
          <cell r="AA28"/>
          <cell r="AB28">
            <v>0</v>
          </cell>
          <cell r="AC28"/>
          <cell r="AD28">
            <v>0</v>
          </cell>
          <cell r="AE28"/>
          <cell r="AF28"/>
          <cell r="AG28"/>
          <cell r="AH28"/>
          <cell r="AI28"/>
          <cell r="AJ28">
            <v>0</v>
          </cell>
          <cell r="AK28" t="str">
            <v>IC</v>
          </cell>
          <cell r="AL28">
            <v>161</v>
          </cell>
          <cell r="AM28"/>
          <cell r="AN28" t="str">
            <v>07 I/C</v>
          </cell>
          <cell r="AO28" t="str">
            <v>Midwest</v>
          </cell>
          <cell r="AP28" t="str">
            <v>North</v>
          </cell>
          <cell r="AQ28"/>
          <cell r="AR28">
            <v>301785</v>
          </cell>
          <cell r="AS28">
            <v>1068229</v>
          </cell>
        </row>
        <row r="29">
          <cell r="A29">
            <v>13603</v>
          </cell>
          <cell r="B29" t="str">
            <v>PJ TRAILER</v>
          </cell>
          <cell r="C29" t="str">
            <v>M06586</v>
          </cell>
          <cell r="D29" t="str">
            <v>Net 30, no pink card</v>
          </cell>
          <cell r="E29">
            <v>30</v>
          </cell>
          <cell r="F29" t="str">
            <v>NO</v>
          </cell>
          <cell r="G29" t="str">
            <v>TX</v>
          </cell>
          <cell r="H29">
            <v>5</v>
          </cell>
          <cell r="I29">
            <v>0.66500000000000004</v>
          </cell>
          <cell r="J29" t="str">
            <v>Jake McEntee</v>
          </cell>
          <cell r="K29" t="str">
            <v>SUMNER</v>
          </cell>
          <cell r="L29" t="str">
            <v>TX</v>
          </cell>
          <cell r="M29" t="str">
            <v>800-577-8858</v>
          </cell>
          <cell r="N29" t="str">
            <v>Only email MSO's and Invoices, no Fedex. Drivers get nothing</v>
          </cell>
          <cell r="O29"/>
          <cell r="P29">
            <v>0</v>
          </cell>
          <cell r="Q29"/>
          <cell r="R29">
            <v>0</v>
          </cell>
          <cell r="S29"/>
          <cell r="T29">
            <v>0</v>
          </cell>
          <cell r="U29"/>
          <cell r="V29">
            <v>0</v>
          </cell>
          <cell r="W29"/>
          <cell r="X29">
            <v>0</v>
          </cell>
          <cell r="Y29"/>
          <cell r="Z29">
            <v>0</v>
          </cell>
          <cell r="AA29"/>
          <cell r="AB29">
            <v>0</v>
          </cell>
          <cell r="AC29"/>
          <cell r="AD29">
            <v>0</v>
          </cell>
          <cell r="AE29"/>
          <cell r="AF29"/>
          <cell r="AG29"/>
          <cell r="AH29"/>
          <cell r="AI29"/>
          <cell r="AJ29">
            <v>0</v>
          </cell>
          <cell r="AK29" t="str">
            <v>IC</v>
          </cell>
          <cell r="AL29">
            <v>161</v>
          </cell>
          <cell r="AM29"/>
          <cell r="AN29" t="str">
            <v>07 I/C</v>
          </cell>
          <cell r="AO29" t="str">
            <v>South Central</v>
          </cell>
          <cell r="AP29" t="str">
            <v>Central</v>
          </cell>
          <cell r="AQ29"/>
          <cell r="AR29">
            <v>230223</v>
          </cell>
          <cell r="AS29">
            <v>660237</v>
          </cell>
        </row>
        <row r="30">
          <cell r="A30" t="str">
            <v>13101H</v>
          </cell>
          <cell r="B30" t="str">
            <v>CARRY-ON</v>
          </cell>
          <cell r="C30" t="str">
            <v>M11023</v>
          </cell>
          <cell r="D30" t="str">
            <v>Net 30, no pink card</v>
          </cell>
          <cell r="E30">
            <v>30</v>
          </cell>
          <cell r="F30" t="str">
            <v>No</v>
          </cell>
          <cell r="G30" t="str">
            <v>GA</v>
          </cell>
          <cell r="H30">
            <v>11</v>
          </cell>
          <cell r="I30">
            <v>0.66500000000000004</v>
          </cell>
          <cell r="J30" t="str">
            <v>Jake McEntee</v>
          </cell>
          <cell r="K30" t="str">
            <v>MARYSVILLE</v>
          </cell>
          <cell r="L30" t="str">
            <v>WA</v>
          </cell>
          <cell r="M30" t="str">
            <v>800-577-8858</v>
          </cell>
          <cell r="N30" t="str">
            <v>Mail all paperwork to Lavonia, GA</v>
          </cell>
          <cell r="O30"/>
          <cell r="P30">
            <v>0</v>
          </cell>
          <cell r="Q30"/>
          <cell r="R30">
            <v>0</v>
          </cell>
          <cell r="S30">
            <v>505</v>
          </cell>
          <cell r="T30">
            <v>2171.5</v>
          </cell>
          <cell r="U30">
            <v>927</v>
          </cell>
          <cell r="V30">
            <v>3986.1</v>
          </cell>
          <cell r="W30">
            <v>829</v>
          </cell>
          <cell r="X30">
            <v>3564.7</v>
          </cell>
          <cell r="Y30"/>
          <cell r="Z30">
            <v>0</v>
          </cell>
          <cell r="AA30"/>
          <cell r="AB30">
            <v>0</v>
          </cell>
          <cell r="AC30"/>
          <cell r="AD30">
            <v>0</v>
          </cell>
          <cell r="AE30"/>
          <cell r="AF30"/>
          <cell r="AG30"/>
          <cell r="AH30"/>
          <cell r="AI30"/>
          <cell r="AJ30">
            <v>0</v>
          </cell>
          <cell r="AK30" t="str">
            <v>IC</v>
          </cell>
          <cell r="AL30">
            <v>161</v>
          </cell>
          <cell r="AM30">
            <v>413</v>
          </cell>
          <cell r="AN30" t="str">
            <v>07 I/C</v>
          </cell>
          <cell r="AO30" t="str">
            <v>Northwest</v>
          </cell>
          <cell r="AP30" t="str">
            <v>West</v>
          </cell>
          <cell r="AQ30"/>
          <cell r="AR30">
            <v>0</v>
          </cell>
          <cell r="AS30">
            <v>0</v>
          </cell>
        </row>
        <row r="31">
          <cell r="A31" t="str">
            <v>13101I</v>
          </cell>
          <cell r="B31" t="str">
            <v>CARRY-ON</v>
          </cell>
          <cell r="C31" t="str">
            <v>M11023</v>
          </cell>
          <cell r="D31" t="str">
            <v>Net 30, no pink card</v>
          </cell>
          <cell r="E31">
            <v>30</v>
          </cell>
          <cell r="F31" t="str">
            <v>No</v>
          </cell>
          <cell r="G31" t="str">
            <v>GA</v>
          </cell>
          <cell r="H31">
            <v>11</v>
          </cell>
          <cell r="I31">
            <v>0.66500000000000004</v>
          </cell>
          <cell r="J31" t="str">
            <v>Jake McEntee</v>
          </cell>
          <cell r="K31" t="str">
            <v>OGDEN</v>
          </cell>
          <cell r="L31" t="str">
            <v>UT</v>
          </cell>
          <cell r="M31" t="str">
            <v>800-577-8858</v>
          </cell>
          <cell r="N31" t="str">
            <v>Mail all paperwork to Lavonia, GA</v>
          </cell>
          <cell r="O31"/>
          <cell r="P31">
            <v>0</v>
          </cell>
          <cell r="Q31"/>
          <cell r="R31">
            <v>0</v>
          </cell>
          <cell r="S31">
            <v>326</v>
          </cell>
          <cell r="T31">
            <v>1401.8</v>
          </cell>
          <cell r="U31">
            <v>927</v>
          </cell>
          <cell r="V31">
            <v>3986.1</v>
          </cell>
          <cell r="W31">
            <v>829</v>
          </cell>
          <cell r="X31">
            <v>3564.7</v>
          </cell>
          <cell r="Y31"/>
          <cell r="Z31">
            <v>0</v>
          </cell>
          <cell r="AA31"/>
          <cell r="AB31">
            <v>0</v>
          </cell>
          <cell r="AC31"/>
          <cell r="AD31">
            <v>0</v>
          </cell>
          <cell r="AE31"/>
          <cell r="AF31"/>
          <cell r="AG31"/>
          <cell r="AH31"/>
          <cell r="AI31"/>
          <cell r="AJ31">
            <v>0</v>
          </cell>
          <cell r="AK31" t="str">
            <v>IC</v>
          </cell>
          <cell r="AL31">
            <v>161</v>
          </cell>
          <cell r="AM31">
            <v>399</v>
          </cell>
          <cell r="AN31" t="str">
            <v>07 I/C</v>
          </cell>
          <cell r="AO31" t="str">
            <v>Southwest</v>
          </cell>
          <cell r="AP31" t="str">
            <v>West</v>
          </cell>
          <cell r="AQ31"/>
          <cell r="AR31">
            <v>0</v>
          </cell>
          <cell r="AS31">
            <v>0</v>
          </cell>
        </row>
        <row r="32">
          <cell r="A32">
            <v>13089</v>
          </cell>
          <cell r="B32" t="str">
            <v>PROTOTYPE CLEARING ACCOUNT</v>
          </cell>
          <cell r="C32" t="str">
            <v>M10980</v>
          </cell>
          <cell r="D32" t="str">
            <v>DO NOT INVOICE</v>
          </cell>
          <cell r="E32" t="str">
            <v>CO</v>
          </cell>
          <cell r="F32" t="str">
            <v>Yes</v>
          </cell>
          <cell r="G32" t="str">
            <v>TX</v>
          </cell>
          <cell r="H32">
            <v>7</v>
          </cell>
          <cell r="I32">
            <v>0.66500000000000004</v>
          </cell>
          <cell r="J32" t="str">
            <v>Jake McEntee</v>
          </cell>
          <cell r="K32" t="str">
            <v>MT. PLEASANT</v>
          </cell>
          <cell r="L32" t="str">
            <v>TX</v>
          </cell>
          <cell r="M32"/>
          <cell r="N32"/>
          <cell r="O32"/>
          <cell r="P32">
            <v>0</v>
          </cell>
          <cell r="Q32"/>
          <cell r="R32">
            <v>0</v>
          </cell>
          <cell r="S32"/>
          <cell r="T32">
            <v>0</v>
          </cell>
          <cell r="U32"/>
          <cell r="V32">
            <v>0</v>
          </cell>
          <cell r="W32"/>
          <cell r="X32">
            <v>0</v>
          </cell>
          <cell r="Y32"/>
          <cell r="Z32">
            <v>0</v>
          </cell>
          <cell r="AA32"/>
          <cell r="AB32">
            <v>0</v>
          </cell>
          <cell r="AC32"/>
          <cell r="AD32">
            <v>0</v>
          </cell>
          <cell r="AE32"/>
          <cell r="AF32"/>
          <cell r="AG32"/>
          <cell r="AH32"/>
          <cell r="AI32"/>
          <cell r="AJ32">
            <v>0</v>
          </cell>
          <cell r="AK32" t="str">
            <v>IC</v>
          </cell>
          <cell r="AL32">
            <v>161</v>
          </cell>
          <cell r="AM32"/>
          <cell r="AN32" t="str"/>
          <cell r="AO32"/>
          <cell r="AQ32"/>
          <cell r="AR32">
            <v>0</v>
          </cell>
          <cell r="AS32">
            <v>0</v>
          </cell>
        </row>
        <row r="33">
          <cell r="A33">
            <v>13040</v>
          </cell>
          <cell r="B33" t="str">
            <v>NEW TW CLEARING</v>
          </cell>
          <cell r="C33"/>
          <cell r="D33" t="str">
            <v>Net 30, no pink card</v>
          </cell>
          <cell r="E33">
            <v>30</v>
          </cell>
          <cell r="F33" t="str">
            <v>Yes</v>
          </cell>
          <cell r="G33" t="str">
            <v>TX</v>
          </cell>
          <cell r="H33">
            <v>10</v>
          </cell>
          <cell r="I33">
            <v>0.66500000000000004</v>
          </cell>
          <cell r="J33" t="str">
            <v>NEW LOCATION</v>
          </cell>
          <cell r="K33"/>
          <cell r="L33"/>
          <cell r="M33" t="str">
            <v>800-577-8858</v>
          </cell>
          <cell r="N33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/>
          <cell r="Z33">
            <v>0</v>
          </cell>
          <cell r="AA33"/>
          <cell r="AB33">
            <v>0</v>
          </cell>
          <cell r="AC33"/>
          <cell r="AD33">
            <v>0</v>
          </cell>
          <cell r="AE33" t="str"/>
          <cell r="AF33"/>
          <cell r="AG33" t="str"/>
          <cell r="AH33" t="str"/>
          <cell r="AI33" t="str"/>
          <cell r="AJ33">
            <v>0.04</v>
          </cell>
          <cell r="AK33"/>
          <cell r="AL33"/>
          <cell r="AM33"/>
          <cell r="AN33" t="str"/>
          <cell r="AO33"/>
          <cell r="AQ33"/>
          <cell r="AR33">
            <v>0</v>
          </cell>
          <cell r="AS33">
            <v>0</v>
          </cell>
        </row>
        <row r="34">
          <cell r="A34">
            <v>12166</v>
          </cell>
          <cell r="B34" t="str">
            <v>B&amp;B TRAILER SALES, INC.</v>
          </cell>
          <cell r="C34"/>
          <cell r="D34" t="str">
            <v>CF</v>
          </cell>
          <cell r="E34" t="str">
            <v>CF</v>
          </cell>
          <cell r="F34" t="str">
            <v>Yes</v>
          </cell>
          <cell r="G34" t="str">
            <v>ID</v>
          </cell>
          <cell r="H34">
            <v>7</v>
          </cell>
          <cell r="I34">
            <v>0.7</v>
          </cell>
          <cell r="J34" t="str">
            <v>Orphaned Acct</v>
          </cell>
          <cell r="K34" t="str">
            <v>WASILLA</v>
          </cell>
          <cell r="L34" t="str">
            <v>AK</v>
          </cell>
          <cell r="M34" t="str">
            <v>208-459-0106</v>
          </cell>
          <cell r="N34" t="str">
            <v>All tandem axle trailers must have BRK2</v>
          </cell>
          <cell r="O34">
            <v>4100</v>
          </cell>
          <cell r="P34">
            <v>17630</v>
          </cell>
          <cell r="Q34"/>
          <cell r="R34">
            <v>0</v>
          </cell>
          <cell r="S34">
            <v>2930</v>
          </cell>
          <cell r="T34">
            <v>12599</v>
          </cell>
          <cell r="U34">
            <v>1739</v>
          </cell>
          <cell r="V34">
            <v>7477.7</v>
          </cell>
          <cell r="W34"/>
          <cell r="X34">
            <v>0</v>
          </cell>
          <cell r="Y34"/>
          <cell r="Z34">
            <v>0</v>
          </cell>
          <cell r="AA34"/>
          <cell r="AB34">
            <v>0</v>
          </cell>
          <cell r="AC34"/>
          <cell r="AD34">
            <v>0</v>
          </cell>
          <cell r="AE34"/>
          <cell r="AF34"/>
          <cell r="AG34"/>
          <cell r="AH34"/>
          <cell r="AI34"/>
          <cell r="AJ34">
            <v>0</v>
          </cell>
          <cell r="AK34" t="str">
            <v>3P</v>
          </cell>
          <cell r="AL34">
            <v>213</v>
          </cell>
          <cell r="AM34">
            <v>14</v>
          </cell>
          <cell r="AN34" t="str">
            <v>08 Inactive Dealer</v>
          </cell>
          <cell r="AO34" t="str">
            <v>Northwest</v>
          </cell>
          <cell r="AP34" t="str">
            <v>West</v>
          </cell>
          <cell r="AQ34"/>
          <cell r="AR34">
            <v>0</v>
          </cell>
          <cell r="AS34">
            <v>0</v>
          </cell>
        </row>
        <row r="35">
          <cell r="A35">
            <v>12045</v>
          </cell>
          <cell r="B35" t="str">
            <v>KETCHIKAN READY MIX AND QUARRY INC.</v>
          </cell>
          <cell r="C35" t="str">
            <v>M10496</v>
          </cell>
          <cell r="D35" t="str">
            <v>NET 5, BT+</v>
          </cell>
          <cell r="E35" t="str">
            <v>FP - Wells Fargo</v>
          </cell>
          <cell r="F35" t="str">
            <v>Yes</v>
          </cell>
          <cell r="G35" t="str">
            <v>ID</v>
          </cell>
          <cell r="H35">
            <v>8</v>
          </cell>
          <cell r="I35">
            <v>0.7</v>
          </cell>
          <cell r="J35" t="str">
            <v>Orphaned Acct</v>
          </cell>
          <cell r="K35" t="str">
            <v>KETCHIKAN</v>
          </cell>
          <cell r="L35" t="str">
            <v>AK</v>
          </cell>
          <cell r="M35" t="str">
            <v>208-459-0106</v>
          </cell>
          <cell r="N35" t="str">
            <v>All tandem axle trailers must have BRK2</v>
          </cell>
          <cell r="O35">
            <v>2205</v>
          </cell>
          <cell r="P35">
            <v>9481.5</v>
          </cell>
          <cell r="Q35"/>
          <cell r="R35">
            <v>0</v>
          </cell>
          <cell r="S35">
            <v>483</v>
          </cell>
          <cell r="T35">
            <v>2076.9</v>
          </cell>
          <cell r="U35"/>
          <cell r="V35">
            <v>0</v>
          </cell>
          <cell r="W35"/>
          <cell r="X35">
            <v>0</v>
          </cell>
          <cell r="Y35"/>
          <cell r="Z35">
            <v>0</v>
          </cell>
          <cell r="AA35"/>
          <cell r="AB35">
            <v>0</v>
          </cell>
          <cell r="AC35"/>
          <cell r="AD35">
            <v>0</v>
          </cell>
          <cell r="AE35"/>
          <cell r="AF35"/>
          <cell r="AG35"/>
          <cell r="AH35"/>
          <cell r="AI35"/>
          <cell r="AJ35">
            <v>0</v>
          </cell>
          <cell r="AK35" t="str">
            <v>3P</v>
          </cell>
          <cell r="AL35">
            <v>213</v>
          </cell>
          <cell r="AM35"/>
          <cell r="AN35" t="str">
            <v>08 Inactive Dealer</v>
          </cell>
          <cell r="AO35" t="str">
            <v>Northwest</v>
          </cell>
          <cell r="AP35" t="str">
            <v>West</v>
          </cell>
          <cell r="AQ35"/>
          <cell r="AR35">
            <v>0</v>
          </cell>
          <cell r="AS35">
            <v>0</v>
          </cell>
        </row>
        <row r="36">
          <cell r="A36">
            <v>10566</v>
          </cell>
          <cell r="B36" t="str">
            <v>WHITE SPRUCE</v>
          </cell>
          <cell r="C36" t="str">
            <v>M10453</v>
          </cell>
          <cell r="D36" t="str">
            <v>NET 5, BT+</v>
          </cell>
          <cell r="E36" t="str">
            <v>CO</v>
          </cell>
          <cell r="F36" t="str">
            <v>Yes</v>
          </cell>
          <cell r="G36" t="str">
            <v>ID</v>
          </cell>
          <cell r="H36">
            <v>7</v>
          </cell>
          <cell r="I36">
            <v>0.7</v>
          </cell>
          <cell r="J36" t="str">
            <v>Nate Erickson</v>
          </cell>
          <cell r="K36" t="str">
            <v>NORTH POLE</v>
          </cell>
          <cell r="L36" t="str">
            <v>AK</v>
          </cell>
          <cell r="M36" t="str">
            <v>208-459-0106</v>
          </cell>
          <cell r="N36"/>
          <cell r="O36">
            <v>4000</v>
          </cell>
          <cell r="P36">
            <v>17200</v>
          </cell>
          <cell r="Q36"/>
          <cell r="R36">
            <v>0</v>
          </cell>
          <cell r="S36">
            <v>2697</v>
          </cell>
          <cell r="T36">
            <v>11597.1</v>
          </cell>
          <cell r="U36">
            <v>3870</v>
          </cell>
          <cell r="V36">
            <v>16641</v>
          </cell>
          <cell r="W36">
            <v>4000</v>
          </cell>
          <cell r="X36">
            <v>17200</v>
          </cell>
          <cell r="Y36"/>
          <cell r="Z36">
            <v>0</v>
          </cell>
          <cell r="AA36"/>
          <cell r="AB36">
            <v>0</v>
          </cell>
          <cell r="AC36"/>
          <cell r="AD36">
            <v>0</v>
          </cell>
          <cell r="AE36"/>
          <cell r="AF36"/>
          <cell r="AG36"/>
          <cell r="AH36"/>
          <cell r="AI36"/>
          <cell r="AJ36">
            <v>0</v>
          </cell>
          <cell r="AK36" t="str">
            <v>3P</v>
          </cell>
          <cell r="AL36">
            <v>187</v>
          </cell>
          <cell r="AM36">
            <v>136</v>
          </cell>
          <cell r="AN36" t="str">
            <v>01 Existing Dealer</v>
          </cell>
          <cell r="AO36" t="str">
            <v>Northwest</v>
          </cell>
          <cell r="AP36" t="str">
            <v>West</v>
          </cell>
          <cell r="AQ36"/>
          <cell r="AR36">
            <v>0</v>
          </cell>
          <cell r="AS36">
            <v>0</v>
          </cell>
        </row>
        <row r="37">
          <cell r="A37">
            <v>12364</v>
          </cell>
          <cell r="B37" t="str">
            <v>WHITE SPRUCE</v>
          </cell>
          <cell r="C37" t="str">
            <v>M10453</v>
          </cell>
          <cell r="D37" t="str">
            <v>NET 5, BT+</v>
          </cell>
          <cell r="E37" t="str">
            <v>FP - Wells Fargo</v>
          </cell>
          <cell r="F37" t="str">
            <v>Yes</v>
          </cell>
          <cell r="G37" t="str">
            <v>ID</v>
          </cell>
          <cell r="H37">
            <v>8</v>
          </cell>
          <cell r="I37">
            <v>0.7</v>
          </cell>
          <cell r="J37" t="str">
            <v>Nate Erickson</v>
          </cell>
          <cell r="K37" t="str">
            <v>NORTH POLE</v>
          </cell>
          <cell r="L37" t="str">
            <v>AK</v>
          </cell>
          <cell r="M37" t="str">
            <v>208-459-0106</v>
          </cell>
          <cell r="N37"/>
          <cell r="O37">
            <v>4000</v>
          </cell>
          <cell r="P37">
            <v>17200</v>
          </cell>
          <cell r="Q37"/>
          <cell r="R37">
            <v>0</v>
          </cell>
          <cell r="S37">
            <v>2697</v>
          </cell>
          <cell r="T37">
            <v>11597.1</v>
          </cell>
          <cell r="U37">
            <v>3870</v>
          </cell>
          <cell r="V37">
            <v>16641</v>
          </cell>
          <cell r="W37">
            <v>4000</v>
          </cell>
          <cell r="X37">
            <v>17200</v>
          </cell>
          <cell r="Y37"/>
          <cell r="Z37">
            <v>0</v>
          </cell>
          <cell r="AA37"/>
          <cell r="AB37">
            <v>0</v>
          </cell>
          <cell r="AC37"/>
          <cell r="AD37">
            <v>0</v>
          </cell>
          <cell r="AE37"/>
          <cell r="AF37"/>
          <cell r="AG37"/>
          <cell r="AH37"/>
          <cell r="AI37"/>
          <cell r="AJ37">
            <v>0</v>
          </cell>
          <cell r="AK37" t="str">
            <v>3P</v>
          </cell>
          <cell r="AL37">
            <v>187</v>
          </cell>
          <cell r="AM37">
            <v>136</v>
          </cell>
          <cell r="AN37" t="str">
            <v>01 Existing Dealer</v>
          </cell>
          <cell r="AO37" t="str">
            <v>Northwest</v>
          </cell>
          <cell r="AP37" t="str">
            <v>West</v>
          </cell>
          <cell r="AQ37"/>
          <cell r="AR37">
            <v>0</v>
          </cell>
          <cell r="AS37">
            <v>0</v>
          </cell>
        </row>
        <row r="38">
          <cell r="A38" t="str">
            <v>12619L</v>
          </cell>
          <cell r="B38" t="str">
            <v>AG PRO</v>
          </cell>
          <cell r="C38" t="str">
            <v>M10016</v>
          </cell>
          <cell r="D38" t="str">
            <v>Net 60, no pink card</v>
          </cell>
          <cell r="E38">
            <v>60</v>
          </cell>
          <cell r="F38" t="str">
            <v>Yes</v>
          </cell>
          <cell r="G38" t="str">
            <v>GA</v>
          </cell>
          <cell r="H38">
            <v>5</v>
          </cell>
          <cell r="I38">
            <v>0.66500000000000004</v>
          </cell>
          <cell r="J38" t="str">
            <v>Dakota Nation</v>
          </cell>
          <cell r="K38" t="str">
            <v>FORT PAYNE</v>
          </cell>
          <cell r="L38" t="str">
            <v>AL</v>
          </cell>
          <cell r="M38" t="str">
            <v>800-577-8858</v>
          </cell>
          <cell r="N38" t="str">
            <v>Freight Terms same as account, email invoices</v>
          </cell>
          <cell r="O38"/>
          <cell r="P38">
            <v>0</v>
          </cell>
          <cell r="Q38">
            <v>262</v>
          </cell>
          <cell r="R38">
            <v>1126.5999999999999</v>
          </cell>
          <cell r="S38"/>
          <cell r="T38">
            <v>0</v>
          </cell>
          <cell r="U38"/>
          <cell r="V38">
            <v>0</v>
          </cell>
          <cell r="W38"/>
          <cell r="X38">
            <v>0</v>
          </cell>
          <cell r="Y38"/>
          <cell r="Z38">
            <v>0</v>
          </cell>
          <cell r="AA38"/>
          <cell r="AB38">
            <v>0</v>
          </cell>
          <cell r="AC38"/>
          <cell r="AD38">
            <v>0</v>
          </cell>
          <cell r="AE38"/>
          <cell r="AF38"/>
          <cell r="AG38"/>
          <cell r="AH38"/>
          <cell r="AI38"/>
          <cell r="AJ38">
            <v>0</v>
          </cell>
          <cell r="AK38" t="str">
            <v>3P</v>
          </cell>
          <cell r="AL38">
            <v>223</v>
          </cell>
          <cell r="AM38">
            <v>158</v>
          </cell>
          <cell r="AN38" t="str">
            <v>01 Existing Dealer</v>
          </cell>
          <cell r="AO38" t="str">
            <v>Southeast</v>
          </cell>
          <cell r="AP38" t="str">
            <v>South</v>
          </cell>
          <cell r="AQ38"/>
          <cell r="AR38">
            <v>0</v>
          </cell>
          <cell r="AS38">
            <v>0</v>
          </cell>
        </row>
        <row r="39">
          <cell r="A39">
            <v>12922</v>
          </cell>
          <cell r="B39" t="str">
            <v>AIRPORT TRAILER</v>
          </cell>
          <cell r="C39" t="str">
            <v>M10017</v>
          </cell>
          <cell r="D39" t="str">
            <v>Return Mail, no pink card</v>
          </cell>
          <cell r="E39" t="str">
            <v>F1 - Northpoint</v>
          </cell>
          <cell r="F39" t="str">
            <v>Yes</v>
          </cell>
          <cell r="G39" t="str">
            <v>GA</v>
          </cell>
          <cell r="H39">
            <v>8</v>
          </cell>
          <cell r="I39">
            <v>0.66500000000000004</v>
          </cell>
          <cell r="J39" t="str">
            <v>Dakota Nation</v>
          </cell>
          <cell r="K39" t="str">
            <v>MONTGOMERY</v>
          </cell>
          <cell r="L39" t="str">
            <v>AL</v>
          </cell>
          <cell r="M39" t="str">
            <v>800-577-8858</v>
          </cell>
          <cell r="N39" t="str">
            <v>Add spares to all trailers</v>
          </cell>
          <cell r="O39">
            <v>564</v>
          </cell>
          <cell r="P39">
            <v>2425.1999999999998</v>
          </cell>
          <cell r="Q39">
            <v>182</v>
          </cell>
          <cell r="R39">
            <v>782.6</v>
          </cell>
          <cell r="S39"/>
          <cell r="T39">
            <v>0</v>
          </cell>
          <cell r="U39">
            <v>727</v>
          </cell>
          <cell r="V39">
            <v>3126.1</v>
          </cell>
          <cell r="W39">
            <v>603</v>
          </cell>
          <cell r="X39">
            <v>2592.9</v>
          </cell>
          <cell r="Y39">
            <v>581</v>
          </cell>
          <cell r="Z39">
            <v>2498.2999999999997</v>
          </cell>
          <cell r="AA39">
            <v>581</v>
          </cell>
          <cell r="AB39">
            <v>2498.2999999999997</v>
          </cell>
          <cell r="AC39">
            <v>581</v>
          </cell>
          <cell r="AD39">
            <v>2498.2999999999997</v>
          </cell>
          <cell r="AE39"/>
          <cell r="AF39"/>
          <cell r="AG39"/>
          <cell r="AH39"/>
          <cell r="AI39"/>
          <cell r="AJ39">
            <v>1.4999999999999999E-2</v>
          </cell>
          <cell r="AK39" t="str">
            <v>3P</v>
          </cell>
          <cell r="AL39">
            <v>223</v>
          </cell>
          <cell r="AM39">
            <v>305</v>
          </cell>
          <cell r="AN39" t="str">
            <v>01 Existing Dealer</v>
          </cell>
          <cell r="AO39" t="str">
            <v>Southeast</v>
          </cell>
          <cell r="AP39" t="str">
            <v>South</v>
          </cell>
          <cell r="AQ39"/>
          <cell r="AR39">
            <v>97570</v>
          </cell>
          <cell r="AS39">
            <v>85144</v>
          </cell>
        </row>
        <row r="40">
          <cell r="A40">
            <v>12429</v>
          </cell>
          <cell r="B40" t="str">
            <v>AIRPORT TRAILER</v>
          </cell>
          <cell r="C40" t="str">
            <v>M10017</v>
          </cell>
          <cell r="D40" t="str">
            <v>NET 5, BT+</v>
          </cell>
          <cell r="E40" t="str">
            <v>C6</v>
          </cell>
          <cell r="F40" t="str">
            <v>Copies</v>
          </cell>
          <cell r="G40" t="str">
            <v>GA</v>
          </cell>
          <cell r="H40">
            <v>9</v>
          </cell>
          <cell r="I40">
            <v>0.66500000000000004</v>
          </cell>
          <cell r="J40" t="str">
            <v>Orphaned Acct</v>
          </cell>
          <cell r="K40" t="str">
            <v>MONTGOMERY</v>
          </cell>
          <cell r="L40" t="str">
            <v>AL</v>
          </cell>
          <cell r="M40" t="str">
            <v>800-577-8858</v>
          </cell>
          <cell r="N40" t="str">
            <v>Add spares to all trailers</v>
          </cell>
          <cell r="O40">
            <v>564</v>
          </cell>
          <cell r="P40">
            <v>2425.1999999999998</v>
          </cell>
          <cell r="Q40">
            <v>182</v>
          </cell>
          <cell r="R40">
            <v>782.6</v>
          </cell>
          <cell r="S40"/>
          <cell r="T40">
            <v>0</v>
          </cell>
          <cell r="U40">
            <v>727</v>
          </cell>
          <cell r="V40">
            <v>3126.1</v>
          </cell>
          <cell r="W40">
            <v>603</v>
          </cell>
          <cell r="X40">
            <v>2592.9</v>
          </cell>
          <cell r="Y40">
            <v>581</v>
          </cell>
          <cell r="Z40">
            <v>2498.2999999999997</v>
          </cell>
          <cell r="AA40">
            <v>581</v>
          </cell>
          <cell r="AB40">
            <v>2498.2999999999997</v>
          </cell>
          <cell r="AC40">
            <v>581</v>
          </cell>
          <cell r="AD40">
            <v>2498.2999999999997</v>
          </cell>
          <cell r="AE40"/>
          <cell r="AF40"/>
          <cell r="AG40"/>
          <cell r="AH40"/>
          <cell r="AI40"/>
          <cell r="AJ40">
            <v>1.4999999999999999E-2</v>
          </cell>
          <cell r="AK40" t="str">
            <v>3P</v>
          </cell>
          <cell r="AL40">
            <v>213</v>
          </cell>
          <cell r="AM40">
            <v>305</v>
          </cell>
          <cell r="AN40" t="str">
            <v>01 Existing Dealer</v>
          </cell>
          <cell r="AO40" t="str">
            <v>Southeast</v>
          </cell>
          <cell r="AP40" t="str">
            <v>South</v>
          </cell>
          <cell r="AQ40"/>
          <cell r="AR40">
            <v>0</v>
          </cell>
          <cell r="AS40">
            <v>0</v>
          </cell>
        </row>
        <row r="41">
          <cell r="A41">
            <v>12091</v>
          </cell>
          <cell r="B41" t="str">
            <v>AIRPORT TRAILER</v>
          </cell>
          <cell r="C41" t="str">
            <v>M10017</v>
          </cell>
          <cell r="D41" t="str">
            <v>NET 5, BT+</v>
          </cell>
          <cell r="E41" t="str">
            <v>C6</v>
          </cell>
          <cell r="F41" t="str">
            <v>Copies</v>
          </cell>
          <cell r="G41" t="str">
            <v>GA</v>
          </cell>
          <cell r="H41">
            <v>9</v>
          </cell>
          <cell r="I41">
            <v>0.66500000000000004</v>
          </cell>
          <cell r="J41" t="str">
            <v>House</v>
          </cell>
          <cell r="K41" t="str">
            <v>MONTGOMERY</v>
          </cell>
          <cell r="L41" t="str">
            <v>AL</v>
          </cell>
          <cell r="M41" t="str">
            <v>800-577-8858</v>
          </cell>
          <cell r="N41" t="str">
            <v>Add spares to all trailers</v>
          </cell>
          <cell r="O41">
            <v>564</v>
          </cell>
          <cell r="P41">
            <v>2425.1999999999998</v>
          </cell>
          <cell r="Q41">
            <v>182</v>
          </cell>
          <cell r="R41">
            <v>782.6</v>
          </cell>
          <cell r="S41"/>
          <cell r="T41">
            <v>0</v>
          </cell>
          <cell r="U41">
            <v>727</v>
          </cell>
          <cell r="V41">
            <v>3126.1</v>
          </cell>
          <cell r="W41">
            <v>603</v>
          </cell>
          <cell r="X41">
            <v>2592.9</v>
          </cell>
          <cell r="Y41">
            <v>581</v>
          </cell>
          <cell r="Z41">
            <v>2498.2999999999997</v>
          </cell>
          <cell r="AA41">
            <v>581</v>
          </cell>
          <cell r="AB41">
            <v>2498.2999999999997</v>
          </cell>
          <cell r="AC41">
            <v>581</v>
          </cell>
          <cell r="AD41">
            <v>2498.2999999999997</v>
          </cell>
          <cell r="AE41" t="str"/>
          <cell r="AF41"/>
          <cell r="AG41" t="str"/>
          <cell r="AH41" t="str"/>
          <cell r="AI41" t="str"/>
          <cell r="AJ41">
            <v>1.4999999999999999E-2</v>
          </cell>
          <cell r="AK41" t="str">
            <v>3P</v>
          </cell>
          <cell r="AL41">
            <v>400</v>
          </cell>
          <cell r="AM41">
            <v>305</v>
          </cell>
          <cell r="AN41" t="str">
            <v>08 Inactive Dealer</v>
          </cell>
          <cell r="AO41" t="str">
            <v>Southeast</v>
          </cell>
          <cell r="AP41" t="str">
            <v>South</v>
          </cell>
          <cell r="AQ41"/>
          <cell r="AR41">
            <v>0</v>
          </cell>
          <cell r="AS41">
            <v>0</v>
          </cell>
        </row>
        <row r="42">
          <cell r="A42">
            <v>12843</v>
          </cell>
          <cell r="B42" t="str">
            <v>ALABAMA ROCK</v>
          </cell>
          <cell r="C42" t="str">
            <v>M10019</v>
          </cell>
          <cell r="D42" t="str">
            <v>NET 5, BT+</v>
          </cell>
          <cell r="E42" t="str">
            <v>F1 - Wells Fargo</v>
          </cell>
          <cell r="F42" t="str">
            <v>Yes</v>
          </cell>
          <cell r="G42" t="str">
            <v>GA</v>
          </cell>
          <cell r="H42">
            <v>8</v>
          </cell>
          <cell r="I42">
            <v>0.66500000000000004</v>
          </cell>
          <cell r="J42" t="str">
            <v>Trent Evans</v>
          </cell>
          <cell r="K42" t="str">
            <v>PHENIX</v>
          </cell>
          <cell r="L42" t="str">
            <v>AL</v>
          </cell>
          <cell r="M42" t="str">
            <v>800-577-8858</v>
          </cell>
          <cell r="N42"/>
          <cell r="O42">
            <v>651</v>
          </cell>
          <cell r="P42">
            <v>2799.2999999999997</v>
          </cell>
          <cell r="Q42">
            <v>96</v>
          </cell>
          <cell r="R42">
            <v>412.79999999999995</v>
          </cell>
          <cell r="S42"/>
          <cell r="T42">
            <v>0</v>
          </cell>
          <cell r="U42">
            <v>814</v>
          </cell>
          <cell r="V42">
            <v>3500.2</v>
          </cell>
          <cell r="W42">
            <v>690</v>
          </cell>
          <cell r="X42">
            <v>2967</v>
          </cell>
          <cell r="Y42">
            <v>590</v>
          </cell>
          <cell r="Z42">
            <v>2537</v>
          </cell>
          <cell r="AA42">
            <v>590</v>
          </cell>
          <cell r="AB42">
            <v>2537</v>
          </cell>
          <cell r="AC42">
            <v>590</v>
          </cell>
          <cell r="AD42">
            <v>2537</v>
          </cell>
          <cell r="AE42"/>
          <cell r="AF42"/>
          <cell r="AG42"/>
          <cell r="AH42"/>
          <cell r="AI42"/>
          <cell r="AJ42">
            <v>0.03</v>
          </cell>
          <cell r="AK42" t="str">
            <v>3P</v>
          </cell>
          <cell r="AL42">
            <v>226</v>
          </cell>
          <cell r="AM42">
            <v>92</v>
          </cell>
          <cell r="AN42" t="str">
            <v>01 Existing Dealer</v>
          </cell>
          <cell r="AO42" t="str">
            <v>Southeast</v>
          </cell>
          <cell r="AP42" t="str">
            <v>South</v>
          </cell>
          <cell r="AQ42"/>
          <cell r="AR42">
            <v>96530</v>
          </cell>
          <cell r="AS42">
            <v>6538</v>
          </cell>
        </row>
        <row r="43">
          <cell r="A43" t="str">
            <v>12843A</v>
          </cell>
          <cell r="B43" t="str">
            <v>ALABAMA ROCK</v>
          </cell>
          <cell r="C43" t="str">
            <v>M10019</v>
          </cell>
          <cell r="D43" t="str">
            <v>NET 5, BT+</v>
          </cell>
          <cell r="E43" t="str">
            <v>F1 - Wells Fargo</v>
          </cell>
          <cell r="F43" t="str">
            <v>Yes</v>
          </cell>
          <cell r="G43" t="str">
            <v>GA</v>
          </cell>
          <cell r="H43">
            <v>8</v>
          </cell>
          <cell r="I43">
            <v>0.66500000000000004</v>
          </cell>
          <cell r="J43" t="str">
            <v>Trent Evans</v>
          </cell>
          <cell r="K43" t="str">
            <v>DOTHAN</v>
          </cell>
          <cell r="L43" t="str">
            <v>AL</v>
          </cell>
          <cell r="M43" t="str">
            <v>800-577-8858</v>
          </cell>
          <cell r="N43"/>
          <cell r="O43">
            <v>662</v>
          </cell>
          <cell r="P43">
            <v>2846.6</v>
          </cell>
          <cell r="Q43">
            <v>144</v>
          </cell>
          <cell r="R43">
            <v>619.19999999999993</v>
          </cell>
          <cell r="S43"/>
          <cell r="T43">
            <v>0</v>
          </cell>
          <cell r="U43">
            <v>825</v>
          </cell>
          <cell r="V43">
            <v>3547.5</v>
          </cell>
          <cell r="W43">
            <v>701</v>
          </cell>
          <cell r="X43">
            <v>3014.2999999999997</v>
          </cell>
          <cell r="Y43">
            <v>590</v>
          </cell>
          <cell r="Z43">
            <v>2537</v>
          </cell>
          <cell r="AA43">
            <v>590</v>
          </cell>
          <cell r="AB43">
            <v>2537</v>
          </cell>
          <cell r="AC43">
            <v>590</v>
          </cell>
          <cell r="AD43">
            <v>2537</v>
          </cell>
          <cell r="AE43"/>
          <cell r="AF43"/>
          <cell r="AG43"/>
          <cell r="AH43"/>
          <cell r="AI43"/>
          <cell r="AJ43">
            <v>0.03</v>
          </cell>
          <cell r="AK43" t="str">
            <v>3P</v>
          </cell>
          <cell r="AL43">
            <v>226</v>
          </cell>
          <cell r="AM43">
            <v>115</v>
          </cell>
          <cell r="AN43" t="str">
            <v>01 Existing Dealer</v>
          </cell>
          <cell r="AO43" t="str">
            <v>Southeast</v>
          </cell>
          <cell r="AP43" t="str">
            <v>South</v>
          </cell>
          <cell r="AQ43"/>
          <cell r="AR43">
            <v>0</v>
          </cell>
          <cell r="AS43">
            <v>0</v>
          </cell>
        </row>
        <row r="44">
          <cell r="A44">
            <v>12927</v>
          </cell>
          <cell r="B44" t="str">
            <v>CENTRAL ALABAMA TRACTOR SALES</v>
          </cell>
          <cell r="C44" t="str">
            <v>M10137</v>
          </cell>
          <cell r="D44" t="str">
            <v>NET 5, BT+</v>
          </cell>
          <cell r="E44" t="str">
            <v>F1 - Wells Fargo</v>
          </cell>
          <cell r="F44" t="str">
            <v>Yes</v>
          </cell>
          <cell r="G44" t="str">
            <v>GA</v>
          </cell>
          <cell r="H44">
            <v>8</v>
          </cell>
          <cell r="I44">
            <v>0.66500000000000004</v>
          </cell>
          <cell r="J44" t="str">
            <v>Orphaned Acct</v>
          </cell>
          <cell r="K44" t="str">
            <v>TUSCALOOSA</v>
          </cell>
          <cell r="L44" t="str">
            <v>AL</v>
          </cell>
          <cell r="M44" t="str">
            <v>800-577-8858</v>
          </cell>
          <cell r="N44" t="str">
            <v>Dealer needs at least 24 hours notice before delivery</v>
          </cell>
          <cell r="O44">
            <v>504</v>
          </cell>
          <cell r="P44">
            <v>2167.1999999999998</v>
          </cell>
          <cell r="Q44">
            <v>285</v>
          </cell>
          <cell r="R44">
            <v>1225.5</v>
          </cell>
          <cell r="S44"/>
          <cell r="T44">
            <v>0</v>
          </cell>
          <cell r="U44">
            <v>667</v>
          </cell>
          <cell r="V44">
            <v>2868.1</v>
          </cell>
          <cell r="W44">
            <v>543</v>
          </cell>
          <cell r="X44">
            <v>2334.9</v>
          </cell>
          <cell r="Y44"/>
          <cell r="Z44">
            <v>0</v>
          </cell>
          <cell r="AA44"/>
          <cell r="AB44">
            <v>0</v>
          </cell>
          <cell r="AC44"/>
          <cell r="AD44">
            <v>0</v>
          </cell>
          <cell r="AE44"/>
          <cell r="AF44"/>
          <cell r="AG44"/>
          <cell r="AH44"/>
          <cell r="AI44"/>
          <cell r="AJ44">
            <v>0</v>
          </cell>
          <cell r="AK44" t="str">
            <v>3P</v>
          </cell>
          <cell r="AL44">
            <v>213</v>
          </cell>
          <cell r="AM44">
            <v>450</v>
          </cell>
          <cell r="AN44" t="str">
            <v>08 Inactive Dealer</v>
          </cell>
          <cell r="AO44" t="str">
            <v>Southeast</v>
          </cell>
          <cell r="AP44" t="str">
            <v>South</v>
          </cell>
          <cell r="AQ44"/>
          <cell r="AR44">
            <v>0</v>
          </cell>
          <cell r="AS44">
            <v>0</v>
          </cell>
        </row>
        <row r="45">
          <cell r="A45" t="str">
            <v>12927A</v>
          </cell>
          <cell r="B45" t="str">
            <v>CENTRAL ALABAMA TRACTOR SALES</v>
          </cell>
          <cell r="C45" t="str">
            <v>M10137</v>
          </cell>
          <cell r="D45" t="str">
            <v>NET 5, BT+</v>
          </cell>
          <cell r="E45" t="str">
            <v>F1 - Wells Fargo</v>
          </cell>
          <cell r="F45" t="str">
            <v>Yes</v>
          </cell>
          <cell r="G45" t="str">
            <v>GA</v>
          </cell>
          <cell r="H45">
            <v>8</v>
          </cell>
          <cell r="I45">
            <v>0.66500000000000004</v>
          </cell>
          <cell r="J45" t="str">
            <v>Orphaned Acct</v>
          </cell>
          <cell r="K45" t="str">
            <v>TUSCALOOSA</v>
          </cell>
          <cell r="L45" t="str">
            <v>AL</v>
          </cell>
          <cell r="M45" t="str">
            <v>800-577-8858</v>
          </cell>
          <cell r="N45" t="str">
            <v>Dealer needs at least 24 hours notice before delivery</v>
          </cell>
          <cell r="O45">
            <v>504</v>
          </cell>
          <cell r="P45">
            <v>2167.1999999999998</v>
          </cell>
          <cell r="Q45">
            <v>285</v>
          </cell>
          <cell r="R45">
            <v>1225.5</v>
          </cell>
          <cell r="S45"/>
          <cell r="T45">
            <v>0</v>
          </cell>
          <cell r="U45">
            <v>667</v>
          </cell>
          <cell r="V45">
            <v>2868.1</v>
          </cell>
          <cell r="W45">
            <v>543</v>
          </cell>
          <cell r="X45">
            <v>2334.9</v>
          </cell>
          <cell r="Y45"/>
          <cell r="Z45">
            <v>0</v>
          </cell>
          <cell r="AA45"/>
          <cell r="AB45">
            <v>0</v>
          </cell>
          <cell r="AC45"/>
          <cell r="AD45">
            <v>0</v>
          </cell>
          <cell r="AE45"/>
          <cell r="AF45"/>
          <cell r="AG45"/>
          <cell r="AH45"/>
          <cell r="AI45"/>
          <cell r="AJ45">
            <v>0</v>
          </cell>
          <cell r="AK45" t="str">
            <v>3P</v>
          </cell>
          <cell r="AL45">
            <v>213</v>
          </cell>
          <cell r="AM45">
            <v>450</v>
          </cell>
          <cell r="AN45" t="str">
            <v>08 Inactive Dealer</v>
          </cell>
          <cell r="AO45" t="str">
            <v>Southeast</v>
          </cell>
          <cell r="AP45" t="str">
            <v>South</v>
          </cell>
          <cell r="AQ45"/>
          <cell r="AR45">
            <v>0</v>
          </cell>
          <cell r="AS45">
            <v>0</v>
          </cell>
        </row>
        <row r="46">
          <cell r="A46" t="str">
            <v>12927B</v>
          </cell>
          <cell r="B46" t="str">
            <v>CENTRAL ALABAMA TRACTOR SALES</v>
          </cell>
          <cell r="C46" t="str">
            <v>M10137</v>
          </cell>
          <cell r="D46" t="str">
            <v>NET 5, BT+</v>
          </cell>
          <cell r="E46" t="str">
            <v>F1 - Wells Fargo</v>
          </cell>
          <cell r="F46" t="str">
            <v>Yes</v>
          </cell>
          <cell r="G46" t="str">
            <v>GA</v>
          </cell>
          <cell r="H46">
            <v>8</v>
          </cell>
          <cell r="I46">
            <v>0.66500000000000004</v>
          </cell>
          <cell r="J46" t="str">
            <v>Orphaned Acct</v>
          </cell>
          <cell r="K46" t="str">
            <v>EMELLE</v>
          </cell>
          <cell r="L46" t="str">
            <v>AL</v>
          </cell>
          <cell r="M46" t="str">
            <v>800-577-8858</v>
          </cell>
          <cell r="N46" t="str">
            <v>Dealer needs at least 24 hours notice before delivery</v>
          </cell>
          <cell r="O46">
            <v>452</v>
          </cell>
          <cell r="P46">
            <v>1943.6</v>
          </cell>
          <cell r="Q46">
            <v>324</v>
          </cell>
          <cell r="R46">
            <v>1393.2</v>
          </cell>
          <cell r="S46"/>
          <cell r="T46">
            <v>0</v>
          </cell>
          <cell r="U46">
            <v>615</v>
          </cell>
          <cell r="V46">
            <v>2644.5</v>
          </cell>
          <cell r="W46">
            <v>491</v>
          </cell>
          <cell r="X46">
            <v>2111.2999999999997</v>
          </cell>
          <cell r="Y46"/>
          <cell r="Z46">
            <v>0</v>
          </cell>
          <cell r="AA46"/>
          <cell r="AB46">
            <v>0</v>
          </cell>
          <cell r="AC46"/>
          <cell r="AD46">
            <v>0</v>
          </cell>
          <cell r="AE46"/>
          <cell r="AF46"/>
          <cell r="AG46"/>
          <cell r="AH46"/>
          <cell r="AI46"/>
          <cell r="AJ46">
            <v>0</v>
          </cell>
          <cell r="AK46" t="str">
            <v>3P</v>
          </cell>
          <cell r="AL46">
            <v>213</v>
          </cell>
          <cell r="AM46">
            <v>292</v>
          </cell>
          <cell r="AN46" t="str">
            <v>08 Inactive Dealer</v>
          </cell>
          <cell r="AO46" t="str">
            <v>Southeast</v>
          </cell>
          <cell r="AP46" t="str">
            <v>South</v>
          </cell>
          <cell r="AQ46"/>
          <cell r="AR46">
            <v>0</v>
          </cell>
          <cell r="AS46">
            <v>0</v>
          </cell>
        </row>
        <row r="47">
          <cell r="A47">
            <v>12478</v>
          </cell>
          <cell r="B47" t="str">
            <v>JAKE ENT</v>
          </cell>
          <cell r="C47" t="str">
            <v>M10235</v>
          </cell>
          <cell r="D47" t="str">
            <v>Net 30, no pink card</v>
          </cell>
          <cell r="E47">
            <v>30</v>
          </cell>
          <cell r="F47" t="str">
            <v>YES</v>
          </cell>
          <cell r="G47" t="str">
            <v>GA</v>
          </cell>
          <cell r="H47">
            <v>5</v>
          </cell>
          <cell r="I47">
            <v>0.66500000000000004</v>
          </cell>
          <cell r="J47" t="str">
            <v>JL Smith</v>
          </cell>
          <cell r="K47" t="str">
            <v>SHEFFIELD</v>
          </cell>
          <cell r="L47" t="str">
            <v>AL</v>
          </cell>
          <cell r="M47" t="str">
            <v>800-577-8858</v>
          </cell>
          <cell r="N47"/>
          <cell r="O47">
            <v>490</v>
          </cell>
          <cell r="P47">
            <v>2107</v>
          </cell>
          <cell r="Q47">
            <v>405</v>
          </cell>
          <cell r="R47">
            <v>1741.5</v>
          </cell>
          <cell r="S47"/>
          <cell r="T47">
            <v>0</v>
          </cell>
          <cell r="U47">
            <v>586</v>
          </cell>
          <cell r="V47">
            <v>2519.7999999999997</v>
          </cell>
          <cell r="W47">
            <v>570</v>
          </cell>
          <cell r="X47">
            <v>2451</v>
          </cell>
          <cell r="Y47"/>
          <cell r="Z47">
            <v>0</v>
          </cell>
          <cell r="AA47"/>
          <cell r="AB47">
            <v>0</v>
          </cell>
          <cell r="AC47"/>
          <cell r="AD47">
            <v>0</v>
          </cell>
          <cell r="AE47"/>
          <cell r="AF47"/>
          <cell r="AG47"/>
          <cell r="AH47"/>
          <cell r="AI47"/>
          <cell r="AJ47">
            <v>0</v>
          </cell>
          <cell r="AK47" t="str">
            <v>3P</v>
          </cell>
          <cell r="AL47">
            <v>151</v>
          </cell>
          <cell r="AM47">
            <v>146</v>
          </cell>
          <cell r="AN47" t="str">
            <v>01 Existing Dealer</v>
          </cell>
          <cell r="AO47" t="str">
            <v>Southeast</v>
          </cell>
          <cell r="AP47" t="str">
            <v>South</v>
          </cell>
          <cell r="AQ47"/>
          <cell r="AR47">
            <v>0</v>
          </cell>
          <cell r="AS47">
            <v>0</v>
          </cell>
          <cell r="AT47"/>
        </row>
        <row r="48">
          <cell r="A48">
            <v>13158</v>
          </cell>
          <cell r="B48" t="str">
            <v>JAKE ENT</v>
          </cell>
          <cell r="C48" t="str">
            <v>M10235</v>
          </cell>
          <cell r="D48" t="str">
            <v>NET 5, BT+</v>
          </cell>
          <cell r="E48" t="str">
            <v>F3 - Northpoint</v>
          </cell>
          <cell r="F48" t="str">
            <v>YES</v>
          </cell>
          <cell r="G48" t="str">
            <v>GA</v>
          </cell>
          <cell r="H48">
            <v>5</v>
          </cell>
          <cell r="I48">
            <v>0.66500000000000004</v>
          </cell>
          <cell r="J48" t="str">
            <v>JL Smith</v>
          </cell>
          <cell r="K48" t="str">
            <v>SHEFFIELD</v>
          </cell>
          <cell r="L48" t="str">
            <v>AL</v>
          </cell>
          <cell r="M48" t="str">
            <v>800-577-8858</v>
          </cell>
          <cell r="N48"/>
          <cell r="O48">
            <v>490</v>
          </cell>
          <cell r="P48">
            <v>2107</v>
          </cell>
          <cell r="Q48">
            <v>405</v>
          </cell>
          <cell r="R48">
            <v>1741.5</v>
          </cell>
          <cell r="S48"/>
          <cell r="T48">
            <v>0</v>
          </cell>
          <cell r="U48">
            <v>586</v>
          </cell>
          <cell r="V48">
            <v>2519.7999999999997</v>
          </cell>
          <cell r="W48">
            <v>570</v>
          </cell>
          <cell r="X48">
            <v>2451</v>
          </cell>
          <cell r="Y48"/>
          <cell r="Z48">
            <v>0</v>
          </cell>
          <cell r="AA48"/>
          <cell r="AB48">
            <v>0</v>
          </cell>
          <cell r="AC48"/>
          <cell r="AD48">
            <v>0</v>
          </cell>
          <cell r="AE48"/>
          <cell r="AF48"/>
          <cell r="AG48"/>
          <cell r="AH48"/>
          <cell r="AI48"/>
          <cell r="AJ48">
            <v>0</v>
          </cell>
          <cell r="AK48" t="str">
            <v>3P</v>
          </cell>
          <cell r="AL48">
            <v>151</v>
          </cell>
          <cell r="AM48">
            <v>146</v>
          </cell>
          <cell r="AN48" t="str">
            <v>01 Existing Dealer</v>
          </cell>
          <cell r="AO48" t="str">
            <v>Southeast</v>
          </cell>
          <cell r="AP48" t="str">
            <v>South</v>
          </cell>
          <cell r="AQ48"/>
          <cell r="AR48">
            <v>0</v>
          </cell>
          <cell r="AS48">
            <v>0</v>
          </cell>
          <cell r="AT48"/>
        </row>
        <row r="49">
          <cell r="A49">
            <v>12864</v>
          </cell>
          <cell r="B49" t="str">
            <v>JBT POWER, LLC</v>
          </cell>
          <cell r="C49" t="str">
            <v>M10203</v>
          </cell>
          <cell r="D49" t="str">
            <v>NET 5, BT+</v>
          </cell>
          <cell r="E49" t="str">
            <v>F3 - Wells Fargo</v>
          </cell>
          <cell r="F49" t="str">
            <v>Yes</v>
          </cell>
          <cell r="G49" t="str">
            <v>GA</v>
          </cell>
          <cell r="H49">
            <v>8</v>
          </cell>
          <cell r="I49">
            <v>0.66500000000000004</v>
          </cell>
          <cell r="J49" t="str">
            <v>Dakota Nation</v>
          </cell>
          <cell r="K49" t="str">
            <v>DAPHNE</v>
          </cell>
          <cell r="L49" t="str">
            <v>AL</v>
          </cell>
          <cell r="M49" t="str">
            <v>800-577-8858</v>
          </cell>
          <cell r="N49" t="str">
            <v>Please Fedex all paperwork and MSOs to Daphne</v>
          </cell>
          <cell r="O49">
            <v>521</v>
          </cell>
          <cell r="P49">
            <v>2240.2999999999997</v>
          </cell>
          <cell r="Q49">
            <v>313</v>
          </cell>
          <cell r="R49">
            <v>1345.8999999999999</v>
          </cell>
          <cell r="S49"/>
          <cell r="T49">
            <v>0</v>
          </cell>
          <cell r="U49">
            <v>684</v>
          </cell>
          <cell r="V49">
            <v>2941.2</v>
          </cell>
          <cell r="W49">
            <v>560</v>
          </cell>
          <cell r="X49">
            <v>2408</v>
          </cell>
          <cell r="Y49"/>
          <cell r="Z49">
            <v>0</v>
          </cell>
          <cell r="AA49"/>
          <cell r="AB49">
            <v>0</v>
          </cell>
          <cell r="AC49"/>
          <cell r="AD49">
            <v>0</v>
          </cell>
          <cell r="AE49"/>
          <cell r="AF49"/>
          <cell r="AG49"/>
          <cell r="AH49"/>
          <cell r="AI49"/>
          <cell r="AJ49">
            <v>0</v>
          </cell>
          <cell r="AK49" t="str">
            <v>3P</v>
          </cell>
          <cell r="AL49">
            <v>223</v>
          </cell>
          <cell r="AM49">
            <v>302</v>
          </cell>
          <cell r="AN49" t="str">
            <v>01 Existing Dealer</v>
          </cell>
          <cell r="AO49" t="str">
            <v>Southeast</v>
          </cell>
          <cell r="AP49" t="str">
            <v>South</v>
          </cell>
          <cell r="AQ49"/>
          <cell r="AR49">
            <v>0</v>
          </cell>
          <cell r="AS49">
            <v>0</v>
          </cell>
        </row>
        <row r="50">
          <cell r="A50" t="str">
            <v>12864A</v>
          </cell>
          <cell r="B50" t="str">
            <v>JBT POWER, LLC</v>
          </cell>
          <cell r="C50" t="str">
            <v>M10203</v>
          </cell>
          <cell r="D50" t="str">
            <v>NET 5, BT+</v>
          </cell>
          <cell r="E50" t="str">
            <v>F3 - Wells Fargo</v>
          </cell>
          <cell r="F50" t="str">
            <v>Yes</v>
          </cell>
          <cell r="G50" t="str">
            <v>GA</v>
          </cell>
          <cell r="H50">
            <v>8</v>
          </cell>
          <cell r="I50">
            <v>0.66500000000000004</v>
          </cell>
          <cell r="J50" t="str">
            <v>Dakota Nation</v>
          </cell>
          <cell r="K50" t="str">
            <v>SEMMES</v>
          </cell>
          <cell r="L50" t="str">
            <v>AL</v>
          </cell>
          <cell r="M50" t="str">
            <v>800-577-8858</v>
          </cell>
          <cell r="N50" t="str">
            <v>Please Fedex all paperwork and MSOs to Daphne</v>
          </cell>
          <cell r="O50">
            <v>491</v>
          </cell>
          <cell r="P50">
            <v>2111.2999999999997</v>
          </cell>
          <cell r="Q50">
            <v>357</v>
          </cell>
          <cell r="R50">
            <v>1535.1</v>
          </cell>
          <cell r="S50"/>
          <cell r="T50">
            <v>0</v>
          </cell>
          <cell r="U50">
            <v>653</v>
          </cell>
          <cell r="V50">
            <v>2807.9</v>
          </cell>
          <cell r="W50">
            <v>529</v>
          </cell>
          <cell r="X50">
            <v>2274.6999999999998</v>
          </cell>
          <cell r="Y50"/>
          <cell r="Z50">
            <v>0</v>
          </cell>
          <cell r="AA50"/>
          <cell r="AB50">
            <v>0</v>
          </cell>
          <cell r="AC50"/>
          <cell r="AD50">
            <v>0</v>
          </cell>
          <cell r="AE50"/>
          <cell r="AF50"/>
          <cell r="AG50"/>
          <cell r="AH50"/>
          <cell r="AI50"/>
          <cell r="AJ50">
            <v>0</v>
          </cell>
          <cell r="AK50" t="str">
            <v>3P</v>
          </cell>
          <cell r="AL50">
            <v>223</v>
          </cell>
          <cell r="AM50">
            <v>302</v>
          </cell>
          <cell r="AN50" t="str">
            <v>01 Existing Dealer</v>
          </cell>
          <cell r="AO50" t="str">
            <v>Southeast</v>
          </cell>
          <cell r="AP50" t="str">
            <v>South</v>
          </cell>
          <cell r="AQ50"/>
          <cell r="AR50">
            <v>0</v>
          </cell>
          <cell r="AS50">
            <v>0</v>
          </cell>
        </row>
        <row r="51">
          <cell r="A51">
            <v>12055</v>
          </cell>
          <cell r="B51" t="str">
            <v>PARKWAY TRUCK &amp; TRAILER</v>
          </cell>
          <cell r="C51" t="str">
            <v>M10203</v>
          </cell>
          <cell r="D51" t="str">
            <v>NET 5, BT+</v>
          </cell>
          <cell r="E51" t="str">
            <v>F1 - Wells Fargo</v>
          </cell>
          <cell r="F51" t="str">
            <v>Yes</v>
          </cell>
          <cell r="G51" t="str">
            <v>GA</v>
          </cell>
          <cell r="H51">
            <v>5</v>
          </cell>
          <cell r="I51">
            <v>0.66500000000000004</v>
          </cell>
          <cell r="J51" t="str">
            <v>Orphaned Acct</v>
          </cell>
          <cell r="K51" t="str">
            <v>DAPHNE</v>
          </cell>
          <cell r="L51" t="str">
            <v>AL</v>
          </cell>
          <cell r="M51" t="str">
            <v>800-577-8858</v>
          </cell>
          <cell r="N51"/>
          <cell r="O51">
            <v>521</v>
          </cell>
          <cell r="P51">
            <v>2240.2999999999997</v>
          </cell>
          <cell r="Q51">
            <v>313</v>
          </cell>
          <cell r="R51">
            <v>1345.8999999999999</v>
          </cell>
          <cell r="S51"/>
          <cell r="T51">
            <v>0</v>
          </cell>
          <cell r="U51">
            <v>684</v>
          </cell>
          <cell r="V51">
            <v>2941.2</v>
          </cell>
          <cell r="W51">
            <v>560</v>
          </cell>
          <cell r="X51">
            <v>2408</v>
          </cell>
          <cell r="Y51"/>
          <cell r="Z51">
            <v>0</v>
          </cell>
          <cell r="AA51"/>
          <cell r="AB51">
            <v>0</v>
          </cell>
          <cell r="AC51"/>
          <cell r="AD51">
            <v>0</v>
          </cell>
          <cell r="AE51"/>
          <cell r="AF51"/>
          <cell r="AG51"/>
          <cell r="AH51"/>
          <cell r="AI51"/>
          <cell r="AJ51">
            <v>0</v>
          </cell>
          <cell r="AK51" t="str">
            <v>3P</v>
          </cell>
          <cell r="AL51">
            <v>213</v>
          </cell>
          <cell r="AM51">
            <v>302</v>
          </cell>
          <cell r="AN51" t="str">
            <v>08 Inactive Dealer</v>
          </cell>
          <cell r="AO51" t="str">
            <v>Southeast</v>
          </cell>
          <cell r="AP51" t="str">
            <v>South</v>
          </cell>
          <cell r="AQ51"/>
          <cell r="AR51">
            <v>0</v>
          </cell>
          <cell r="AS51">
            <v>0</v>
          </cell>
        </row>
        <row r="52">
          <cell r="A52">
            <v>13041</v>
          </cell>
          <cell r="B52" t="str">
            <v>RACK N SPUR</v>
          </cell>
          <cell r="C52" t="str">
            <v>M10910</v>
          </cell>
          <cell r="D52" t="str">
            <v>NET 5, BT+</v>
          </cell>
          <cell r="E52" t="str">
            <v>FP - Northpoint</v>
          </cell>
          <cell r="F52" t="str">
            <v>Yes</v>
          </cell>
          <cell r="G52" t="str">
            <v>GA</v>
          </cell>
          <cell r="H52">
            <v>8</v>
          </cell>
          <cell r="I52">
            <v>0.66500000000000004</v>
          </cell>
          <cell r="J52" t="str">
            <v>Orphaned Acct</v>
          </cell>
          <cell r="K52" t="str">
            <v>ROANOKE</v>
          </cell>
          <cell r="L52" t="str">
            <v>AL</v>
          </cell>
          <cell r="M52" t="str">
            <v>800-577-8858</v>
          </cell>
          <cell r="N52"/>
          <cell r="O52">
            <v>680</v>
          </cell>
          <cell r="P52">
            <v>2924</v>
          </cell>
          <cell r="Q52">
            <v>176</v>
          </cell>
          <cell r="R52">
            <v>756.8</v>
          </cell>
          <cell r="S52"/>
          <cell r="T52">
            <v>0</v>
          </cell>
          <cell r="U52">
            <v>776</v>
          </cell>
          <cell r="V52">
            <v>3336.7999999999997</v>
          </cell>
          <cell r="W52">
            <v>700</v>
          </cell>
          <cell r="X52">
            <v>3010</v>
          </cell>
          <cell r="Y52"/>
          <cell r="Z52">
            <v>0</v>
          </cell>
          <cell r="AA52"/>
          <cell r="AB52">
            <v>0</v>
          </cell>
          <cell r="AC52"/>
          <cell r="AD52">
            <v>0</v>
          </cell>
          <cell r="AE52"/>
          <cell r="AF52"/>
          <cell r="AG52"/>
          <cell r="AH52"/>
          <cell r="AI52"/>
          <cell r="AJ52">
            <v>0</v>
          </cell>
          <cell r="AK52" t="str">
            <v>3P</v>
          </cell>
          <cell r="AL52">
            <v>213</v>
          </cell>
          <cell r="AM52">
            <v>117</v>
          </cell>
          <cell r="AN52" t="str">
            <v>01 Existing Dealer</v>
          </cell>
          <cell r="AO52" t="str">
            <v>Southeast</v>
          </cell>
          <cell r="AP52" t="str">
            <v>South</v>
          </cell>
          <cell r="AQ52"/>
          <cell r="AR52">
            <v>0</v>
          </cell>
          <cell r="AS52">
            <v>0</v>
          </cell>
        </row>
        <row r="53">
          <cell r="A53">
            <v>13096</v>
          </cell>
          <cell r="B53" t="str">
            <v>TERRY SLIGH</v>
          </cell>
          <cell r="C53" t="str">
            <v>M10398</v>
          </cell>
          <cell r="D53" t="str">
            <v>NET 5, BT+</v>
          </cell>
          <cell r="E53" t="str">
            <v>F6 - Wells Fargo</v>
          </cell>
          <cell r="F53" t="str">
            <v>Yes</v>
          </cell>
          <cell r="G53" t="str">
            <v>GA</v>
          </cell>
          <cell r="H53">
            <v>9</v>
          </cell>
          <cell r="I53">
            <v>0.66500000000000004</v>
          </cell>
          <cell r="J53" t="str">
            <v>Dakota Nation</v>
          </cell>
          <cell r="K53" t="str">
            <v>ONEONTA</v>
          </cell>
          <cell r="L53" t="str">
            <v>AL</v>
          </cell>
          <cell r="M53" t="str">
            <v>800-577-8858</v>
          </cell>
          <cell r="N53"/>
          <cell r="O53">
            <v>599</v>
          </cell>
          <cell r="P53">
            <v>2575.6999999999998</v>
          </cell>
          <cell r="Q53">
            <v>298</v>
          </cell>
          <cell r="R53">
            <v>1281.3999999999999</v>
          </cell>
          <cell r="S53"/>
          <cell r="T53">
            <v>0</v>
          </cell>
          <cell r="U53">
            <v>696</v>
          </cell>
          <cell r="V53">
            <v>2992.7999999999997</v>
          </cell>
          <cell r="W53">
            <v>632</v>
          </cell>
          <cell r="X53">
            <v>2717.6</v>
          </cell>
          <cell r="Y53">
            <v>470</v>
          </cell>
          <cell r="Z53">
            <v>2021</v>
          </cell>
          <cell r="AA53">
            <v>470</v>
          </cell>
          <cell r="AB53">
            <v>2021</v>
          </cell>
          <cell r="AC53">
            <v>470</v>
          </cell>
          <cell r="AD53">
            <v>2021</v>
          </cell>
          <cell r="AE53"/>
          <cell r="AF53"/>
          <cell r="AG53"/>
          <cell r="AH53"/>
          <cell r="AI53"/>
          <cell r="AJ53">
            <v>1.4999999999999999E-2</v>
          </cell>
          <cell r="AK53" t="str">
            <v>3P</v>
          </cell>
          <cell r="AL53">
            <v>223</v>
          </cell>
          <cell r="AM53">
            <v>44</v>
          </cell>
          <cell r="AN53" t="str">
            <v>01 Existing Dealer</v>
          </cell>
          <cell r="AO53" t="str">
            <v>Southeast</v>
          </cell>
          <cell r="AP53" t="str">
            <v>South</v>
          </cell>
          <cell r="AQ53"/>
          <cell r="AR53">
            <v>62715</v>
          </cell>
          <cell r="AS53">
            <v>55798</v>
          </cell>
        </row>
        <row r="54">
          <cell r="A54">
            <v>12094</v>
          </cell>
          <cell r="B54" t="str">
            <v>TERRY SLIGH</v>
          </cell>
          <cell r="C54" t="str">
            <v>M10398</v>
          </cell>
          <cell r="D54" t="str">
            <v>NET 5, BT+</v>
          </cell>
          <cell r="E54" t="str">
            <v>C6</v>
          </cell>
          <cell r="F54" t="str">
            <v>Copies</v>
          </cell>
          <cell r="G54" t="str">
            <v>GA</v>
          </cell>
          <cell r="H54">
            <v>9</v>
          </cell>
          <cell r="I54">
            <v>0.66500000000000004</v>
          </cell>
          <cell r="J54" t="str">
            <v>Orphaned Acct</v>
          </cell>
          <cell r="K54" t="str">
            <v>ONEONTA</v>
          </cell>
          <cell r="L54" t="str">
            <v>AL</v>
          </cell>
          <cell r="M54" t="str">
            <v>800-577-8858</v>
          </cell>
          <cell r="N54"/>
          <cell r="O54">
            <v>599</v>
          </cell>
          <cell r="P54">
            <v>2575.6999999999998</v>
          </cell>
          <cell r="Q54">
            <v>298</v>
          </cell>
          <cell r="R54">
            <v>1281.3999999999999</v>
          </cell>
          <cell r="S54"/>
          <cell r="T54">
            <v>0</v>
          </cell>
          <cell r="U54">
            <v>696</v>
          </cell>
          <cell r="V54">
            <v>2992.7999999999997</v>
          </cell>
          <cell r="W54">
            <v>632</v>
          </cell>
          <cell r="X54">
            <v>2717.6</v>
          </cell>
          <cell r="Y54">
            <v>470</v>
          </cell>
          <cell r="Z54">
            <v>2021</v>
          </cell>
          <cell r="AA54">
            <v>470</v>
          </cell>
          <cell r="AB54">
            <v>2021</v>
          </cell>
          <cell r="AC54">
            <v>470</v>
          </cell>
          <cell r="AD54">
            <v>2021</v>
          </cell>
          <cell r="AE54"/>
          <cell r="AF54"/>
          <cell r="AG54"/>
          <cell r="AH54"/>
          <cell r="AI54"/>
          <cell r="AJ54">
            <v>1.4999999999999999E-2</v>
          </cell>
          <cell r="AK54" t="str">
            <v>3P</v>
          </cell>
          <cell r="AL54">
            <v>213</v>
          </cell>
          <cell r="AM54">
            <v>44</v>
          </cell>
          <cell r="AN54" t="str">
            <v>01 Existing Dealer</v>
          </cell>
          <cell r="AO54" t="str">
            <v>Southeast</v>
          </cell>
          <cell r="AP54" t="str">
            <v>South</v>
          </cell>
          <cell r="AQ54"/>
          <cell r="AR54">
            <v>0</v>
          </cell>
          <cell r="AS54">
            <v>0</v>
          </cell>
        </row>
        <row r="55">
          <cell r="A55">
            <v>13499</v>
          </cell>
          <cell r="B55" t="str">
            <v>TRIGREEN EQUIP</v>
          </cell>
          <cell r="C55" t="str">
            <v>M11473</v>
          </cell>
          <cell r="D55" t="str">
            <v>Net 30, no pink card</v>
          </cell>
          <cell r="E55">
            <v>30</v>
          </cell>
          <cell r="F55" t="str">
            <v>Yes</v>
          </cell>
          <cell r="G55" t="str">
            <v>GA</v>
          </cell>
          <cell r="H55">
            <v>5</v>
          </cell>
          <cell r="I55">
            <v>0.66500000000000004</v>
          </cell>
          <cell r="J55" t="str">
            <v>Dakota Nation</v>
          </cell>
          <cell r="K55" t="str">
            <v>ATHENS</v>
          </cell>
          <cell r="L55" t="str">
            <v>AL</v>
          </cell>
          <cell r="M55" t="str">
            <v>800-577-8858</v>
          </cell>
          <cell r="N55" t="str">
            <v>Freight Terms same as account, email invoices</v>
          </cell>
          <cell r="O55">
            <v>787</v>
          </cell>
          <cell r="P55">
            <v>3384.1</v>
          </cell>
          <cell r="Q55">
            <v>158</v>
          </cell>
          <cell r="R55">
            <v>679.4</v>
          </cell>
          <cell r="S55"/>
          <cell r="T55">
            <v>0</v>
          </cell>
          <cell r="U55">
            <v>883</v>
          </cell>
          <cell r="V55">
            <v>3796.8999999999996</v>
          </cell>
          <cell r="W55">
            <v>807</v>
          </cell>
          <cell r="X55">
            <v>3470.1</v>
          </cell>
          <cell r="Y55"/>
          <cell r="Z55">
            <v>0</v>
          </cell>
          <cell r="AA55"/>
          <cell r="AB55">
            <v>0</v>
          </cell>
          <cell r="AC55"/>
          <cell r="AD55">
            <v>0</v>
          </cell>
          <cell r="AE55"/>
          <cell r="AF55"/>
          <cell r="AG55"/>
          <cell r="AH55"/>
          <cell r="AI55"/>
          <cell r="AJ55">
            <v>0</v>
          </cell>
          <cell r="AK55" t="str">
            <v>3P</v>
          </cell>
          <cell r="AL55">
            <v>223</v>
          </cell>
          <cell r="AM55">
            <v>22</v>
          </cell>
          <cell r="AN55" t="str">
            <v>03 New Dealer</v>
          </cell>
          <cell r="AO55" t="str">
            <v>Southeast</v>
          </cell>
          <cell r="AP55" t="str">
            <v>South</v>
          </cell>
          <cell r="AQ55"/>
          <cell r="AR55">
            <v>0</v>
          </cell>
          <cell r="AS55">
            <v>0</v>
          </cell>
          <cell r="AT55"/>
        </row>
        <row r="56">
          <cell r="A56" t="str">
            <v>13499A</v>
          </cell>
          <cell r="B56" t="str">
            <v>TRIGREEN EQUIP</v>
          </cell>
          <cell r="C56" t="str">
            <v>M11473</v>
          </cell>
          <cell r="D56" t="str">
            <v>Net 30, no pink card</v>
          </cell>
          <cell r="E56">
            <v>30</v>
          </cell>
          <cell r="F56" t="str">
            <v>Yes</v>
          </cell>
          <cell r="G56" t="str">
            <v>GA</v>
          </cell>
          <cell r="H56">
            <v>5</v>
          </cell>
          <cell r="I56">
            <v>0.66500000000000004</v>
          </cell>
          <cell r="J56" t="str">
            <v>Dakota Nation</v>
          </cell>
          <cell r="K56" t="str">
            <v>FORT PAYNE</v>
          </cell>
          <cell r="L56" t="str">
            <v>AL</v>
          </cell>
          <cell r="M56" t="str">
            <v>800-577-8858</v>
          </cell>
          <cell r="N56" t="str">
            <v>Freight Terms same as account, email invoices</v>
          </cell>
          <cell r="O56">
            <v>620</v>
          </cell>
          <cell r="P56">
            <v>2666</v>
          </cell>
          <cell r="Q56">
            <v>265</v>
          </cell>
          <cell r="R56">
            <v>1139.5</v>
          </cell>
          <cell r="S56"/>
          <cell r="T56">
            <v>0</v>
          </cell>
          <cell r="U56"/>
          <cell r="V56">
            <v>0</v>
          </cell>
          <cell r="W56">
            <v>686</v>
          </cell>
          <cell r="X56">
            <v>2949.7999999999997</v>
          </cell>
          <cell r="Y56">
            <v>455</v>
          </cell>
          <cell r="Z56">
            <v>1956.5</v>
          </cell>
          <cell r="AA56">
            <v>455</v>
          </cell>
          <cell r="AB56">
            <v>1956.5</v>
          </cell>
          <cell r="AC56">
            <v>455</v>
          </cell>
          <cell r="AD56">
            <v>1956.5</v>
          </cell>
          <cell r="AE56"/>
          <cell r="AF56"/>
          <cell r="AG56"/>
          <cell r="AH56"/>
          <cell r="AI56"/>
          <cell r="AJ56">
            <v>0</v>
          </cell>
          <cell r="AK56" t="str">
            <v>3P</v>
          </cell>
          <cell r="AL56">
            <v>223</v>
          </cell>
          <cell r="AM56">
            <v>158</v>
          </cell>
          <cell r="AN56" t="str">
            <v>03 New Dealer</v>
          </cell>
          <cell r="AO56" t="str">
            <v>Southeast</v>
          </cell>
          <cell r="AP56" t="str">
            <v>South</v>
          </cell>
          <cell r="AQ56"/>
          <cell r="AR56">
            <v>0</v>
          </cell>
          <cell r="AS56">
            <v>0</v>
          </cell>
        </row>
        <row r="57">
          <cell r="A57" t="str">
            <v>13499B</v>
          </cell>
          <cell r="B57" t="str">
            <v>TRIGREEN EQUIP</v>
          </cell>
          <cell r="C57" t="str">
            <v>M11473</v>
          </cell>
          <cell r="D57" t="str">
            <v>Net 30, no pink card</v>
          </cell>
          <cell r="E57">
            <v>30</v>
          </cell>
          <cell r="F57" t="str">
            <v>Yes</v>
          </cell>
          <cell r="G57" t="str">
            <v>GA</v>
          </cell>
          <cell r="H57">
            <v>5</v>
          </cell>
          <cell r="I57">
            <v>0.66500000000000004</v>
          </cell>
          <cell r="J57" t="str">
            <v>Dakota Nation</v>
          </cell>
          <cell r="K57" t="str">
            <v>CENTRE</v>
          </cell>
          <cell r="L57" t="str">
            <v>AL</v>
          </cell>
          <cell r="M57" t="str">
            <v>800-577-8858</v>
          </cell>
          <cell r="N57" t="str">
            <v>Freight Terms same as account, email invoices</v>
          </cell>
          <cell r="O57">
            <v>622</v>
          </cell>
          <cell r="P57">
            <v>2674.6</v>
          </cell>
          <cell r="Q57">
            <v>246</v>
          </cell>
          <cell r="R57">
            <v>1057.8</v>
          </cell>
          <cell r="S57"/>
          <cell r="T57">
            <v>0</v>
          </cell>
          <cell r="U57"/>
          <cell r="V57">
            <v>0</v>
          </cell>
          <cell r="W57">
            <v>676</v>
          </cell>
          <cell r="X57">
            <v>2906.7999999999997</v>
          </cell>
          <cell r="Y57">
            <v>468</v>
          </cell>
          <cell r="Z57">
            <v>2012.3999999999999</v>
          </cell>
          <cell r="AA57">
            <v>468</v>
          </cell>
          <cell r="AB57">
            <v>2012.3999999999999</v>
          </cell>
          <cell r="AC57">
            <v>468</v>
          </cell>
          <cell r="AD57">
            <v>2012.3999999999999</v>
          </cell>
          <cell r="AE57"/>
          <cell r="AF57"/>
          <cell r="AG57"/>
          <cell r="AH57"/>
          <cell r="AI57"/>
          <cell r="AJ57">
            <v>0</v>
          </cell>
          <cell r="AK57" t="str">
            <v>3P</v>
          </cell>
          <cell r="AL57">
            <v>223</v>
          </cell>
          <cell r="AM57">
            <v>158</v>
          </cell>
          <cell r="AN57" t="str">
            <v>03 New Dealer</v>
          </cell>
          <cell r="AO57" t="str">
            <v>Southeast</v>
          </cell>
          <cell r="AP57" t="str">
            <v>South</v>
          </cell>
          <cell r="AQ57"/>
          <cell r="AR57">
            <v>0</v>
          </cell>
          <cell r="AS57">
            <v>0</v>
          </cell>
        </row>
        <row r="58">
          <cell r="A58" t="str">
            <v>13499C</v>
          </cell>
          <cell r="B58" t="str">
            <v>TRIGREEN EQUIP</v>
          </cell>
          <cell r="C58" t="str">
            <v>M11473</v>
          </cell>
          <cell r="D58" t="str">
            <v>Net 30, no pink card</v>
          </cell>
          <cell r="E58">
            <v>30</v>
          </cell>
          <cell r="F58" t="str">
            <v>Yes</v>
          </cell>
          <cell r="G58" t="str">
            <v>GA</v>
          </cell>
          <cell r="H58">
            <v>5</v>
          </cell>
          <cell r="I58">
            <v>0.66500000000000004</v>
          </cell>
          <cell r="J58" t="str">
            <v>Dakota Nation</v>
          </cell>
          <cell r="K58" t="str">
            <v>PIEDMONT</v>
          </cell>
          <cell r="L58" t="str">
            <v>AL</v>
          </cell>
          <cell r="M58" t="str">
            <v>800-577-8858</v>
          </cell>
          <cell r="N58" t="str">
            <v>Freight Terms same as account, email invoices</v>
          </cell>
          <cell r="O58">
            <v>624</v>
          </cell>
          <cell r="P58">
            <v>2683.2</v>
          </cell>
          <cell r="Q58">
            <v>235</v>
          </cell>
          <cell r="R58">
            <v>1010.5</v>
          </cell>
          <cell r="S58"/>
          <cell r="T58">
            <v>0</v>
          </cell>
          <cell r="U58"/>
          <cell r="V58">
            <v>0</v>
          </cell>
          <cell r="W58">
            <v>677</v>
          </cell>
          <cell r="X58">
            <v>2911.1</v>
          </cell>
          <cell r="Y58">
            <v>485</v>
          </cell>
          <cell r="Z58">
            <v>2085.5</v>
          </cell>
          <cell r="AA58">
            <v>485</v>
          </cell>
          <cell r="AB58">
            <v>2085.5</v>
          </cell>
          <cell r="AC58">
            <v>485</v>
          </cell>
          <cell r="AD58">
            <v>2085.5</v>
          </cell>
          <cell r="AE58"/>
          <cell r="AF58"/>
          <cell r="AG58"/>
          <cell r="AH58"/>
          <cell r="AI58"/>
          <cell r="AJ58">
            <v>0</v>
          </cell>
          <cell r="AK58" t="str">
            <v>3P</v>
          </cell>
          <cell r="AL58">
            <v>223</v>
          </cell>
          <cell r="AM58">
            <v>17</v>
          </cell>
          <cell r="AN58" t="str">
            <v>03 New Dealer</v>
          </cell>
          <cell r="AO58" t="str">
            <v>Southeast</v>
          </cell>
          <cell r="AP58" t="str">
            <v>South</v>
          </cell>
          <cell r="AQ58"/>
          <cell r="AR58">
            <v>0</v>
          </cell>
          <cell r="AS58">
            <v>0</v>
          </cell>
        </row>
        <row r="59">
          <cell r="A59" t="str">
            <v>13499E</v>
          </cell>
          <cell r="B59" t="str">
            <v>TRIGREEN EQUIP</v>
          </cell>
          <cell r="C59" t="str">
            <v>M11473</v>
          </cell>
          <cell r="D59" t="str">
            <v>Net 30, no pink card</v>
          </cell>
          <cell r="E59">
            <v>30</v>
          </cell>
          <cell r="F59" t="str">
            <v>Yes</v>
          </cell>
          <cell r="G59" t="str">
            <v>GA</v>
          </cell>
          <cell r="H59">
            <v>5</v>
          </cell>
          <cell r="I59">
            <v>0.66500000000000004</v>
          </cell>
          <cell r="J59" t="str">
            <v>Dakota Nation</v>
          </cell>
          <cell r="K59" t="str">
            <v>FLORENCE</v>
          </cell>
          <cell r="L59" t="str">
            <v>AL</v>
          </cell>
          <cell r="M59" t="str">
            <v>800-577-8858</v>
          </cell>
          <cell r="N59" t="str">
            <v>Freight Terms same as account, email invoices</v>
          </cell>
          <cell r="O59">
            <v>495</v>
          </cell>
          <cell r="P59">
            <v>2128.5</v>
          </cell>
          <cell r="Q59">
            <v>410</v>
          </cell>
          <cell r="R59">
            <v>1763</v>
          </cell>
          <cell r="S59"/>
          <cell r="T59">
            <v>0</v>
          </cell>
          <cell r="U59"/>
          <cell r="V59">
            <v>0</v>
          </cell>
          <cell r="W59">
            <v>576</v>
          </cell>
          <cell r="X59">
            <v>2476.7999999999997</v>
          </cell>
          <cell r="Y59">
            <v>425</v>
          </cell>
          <cell r="Z59">
            <v>1827.5</v>
          </cell>
          <cell r="AA59">
            <v>425</v>
          </cell>
          <cell r="AB59">
            <v>1827.5</v>
          </cell>
          <cell r="AC59">
            <v>425</v>
          </cell>
          <cell r="AD59">
            <v>1827.5</v>
          </cell>
          <cell r="AE59"/>
          <cell r="AF59"/>
          <cell r="AG59"/>
          <cell r="AH59"/>
          <cell r="AI59"/>
          <cell r="AJ59">
            <v>0</v>
          </cell>
          <cell r="AK59" t="str">
            <v>3P</v>
          </cell>
          <cell r="AL59">
            <v>223</v>
          </cell>
          <cell r="AM59">
            <v>146</v>
          </cell>
          <cell r="AN59" t="str">
            <v>03 New Dealer</v>
          </cell>
          <cell r="AO59" t="str">
            <v>Southeast</v>
          </cell>
          <cell r="AP59" t="str">
            <v>South</v>
          </cell>
          <cell r="AQ59"/>
          <cell r="AR59">
            <v>0</v>
          </cell>
          <cell r="AS59">
            <v>0</v>
          </cell>
        </row>
        <row r="60">
          <cell r="A60" t="str">
            <v>13499F</v>
          </cell>
          <cell r="B60" t="str">
            <v>TRIGREEN EQUIP</v>
          </cell>
          <cell r="C60" t="str">
            <v>M11473</v>
          </cell>
          <cell r="D60" t="str">
            <v>Net 30, no pink card</v>
          </cell>
          <cell r="E60">
            <v>30</v>
          </cell>
          <cell r="F60" t="str">
            <v>Yes</v>
          </cell>
          <cell r="G60" t="str">
            <v>GA</v>
          </cell>
          <cell r="H60">
            <v>5</v>
          </cell>
          <cell r="I60">
            <v>0.66500000000000004</v>
          </cell>
          <cell r="J60" t="str">
            <v>Dakota Nation</v>
          </cell>
          <cell r="K60" t="str">
            <v>JASPER</v>
          </cell>
          <cell r="L60" t="str">
            <v>AL</v>
          </cell>
          <cell r="M60" t="str">
            <v>800-577-8858</v>
          </cell>
          <cell r="N60" t="str">
            <v>Freight Terms same as account, email invoices</v>
          </cell>
          <cell r="O60">
            <v>540</v>
          </cell>
          <cell r="P60">
            <v>2322</v>
          </cell>
          <cell r="Q60">
            <v>326</v>
          </cell>
          <cell r="R60">
            <v>1401.8</v>
          </cell>
          <cell r="S60"/>
          <cell r="T60">
            <v>0</v>
          </cell>
          <cell r="U60"/>
          <cell r="V60">
            <v>0</v>
          </cell>
          <cell r="W60">
            <v>595</v>
          </cell>
          <cell r="X60">
            <v>2558.5</v>
          </cell>
          <cell r="Y60">
            <v>497</v>
          </cell>
          <cell r="Z60">
            <v>2137.1</v>
          </cell>
          <cell r="AA60">
            <v>497</v>
          </cell>
          <cell r="AB60">
            <v>2137.1</v>
          </cell>
          <cell r="AC60">
            <v>497</v>
          </cell>
          <cell r="AD60">
            <v>2137.1</v>
          </cell>
          <cell r="AE60"/>
          <cell r="AF60"/>
          <cell r="AG60"/>
          <cell r="AH60"/>
          <cell r="AI60"/>
          <cell r="AJ60">
            <v>0</v>
          </cell>
          <cell r="AK60" t="str">
            <v>3P</v>
          </cell>
          <cell r="AL60">
            <v>223</v>
          </cell>
          <cell r="AM60">
            <v>44</v>
          </cell>
          <cell r="AN60" t="str">
            <v>03 New Dealer</v>
          </cell>
          <cell r="AO60" t="str">
            <v>Southeast</v>
          </cell>
          <cell r="AP60" t="str">
            <v>South</v>
          </cell>
          <cell r="AQ60"/>
          <cell r="AR60">
            <v>0</v>
          </cell>
          <cell r="AS60">
            <v>0</v>
          </cell>
        </row>
        <row r="61">
          <cell r="A61" t="str">
            <v>13499G</v>
          </cell>
          <cell r="B61" t="str">
            <v>TRIGREEN EQUIP</v>
          </cell>
          <cell r="C61" t="str">
            <v>M11473</v>
          </cell>
          <cell r="D61" t="str">
            <v>Net 30, no pink card</v>
          </cell>
          <cell r="E61">
            <v>30</v>
          </cell>
          <cell r="F61" t="str">
            <v>Yes</v>
          </cell>
          <cell r="G61" t="str">
            <v>GA</v>
          </cell>
          <cell r="H61">
            <v>5</v>
          </cell>
          <cell r="I61">
            <v>0.66500000000000004</v>
          </cell>
          <cell r="J61" t="str">
            <v>Dakota Nation</v>
          </cell>
          <cell r="K61" t="str">
            <v>LEIGHTON</v>
          </cell>
          <cell r="L61" t="str">
            <v>AL</v>
          </cell>
          <cell r="M61" t="str">
            <v>800-577-8858</v>
          </cell>
          <cell r="N61" t="str">
            <v>Freight Terms same as account, email invoices</v>
          </cell>
          <cell r="O61">
            <v>490</v>
          </cell>
          <cell r="P61">
            <v>2107</v>
          </cell>
          <cell r="Q61">
            <v>390</v>
          </cell>
          <cell r="R61">
            <v>1677</v>
          </cell>
          <cell r="S61"/>
          <cell r="T61">
            <v>0</v>
          </cell>
          <cell r="U61"/>
          <cell r="V61">
            <v>0</v>
          </cell>
          <cell r="W61">
            <v>572</v>
          </cell>
          <cell r="X61">
            <v>2459.6</v>
          </cell>
          <cell r="Y61">
            <v>455</v>
          </cell>
          <cell r="Z61">
            <v>1956.5</v>
          </cell>
          <cell r="AA61">
            <v>455</v>
          </cell>
          <cell r="AB61">
            <v>1956.5</v>
          </cell>
          <cell r="AC61">
            <v>455</v>
          </cell>
          <cell r="AD61">
            <v>1956.5</v>
          </cell>
          <cell r="AE61"/>
          <cell r="AF61"/>
          <cell r="AG61"/>
          <cell r="AH61"/>
          <cell r="AI61"/>
          <cell r="AJ61">
            <v>0</v>
          </cell>
          <cell r="AK61" t="str">
            <v>3P</v>
          </cell>
          <cell r="AL61">
            <v>223</v>
          </cell>
          <cell r="AM61">
            <v>146</v>
          </cell>
          <cell r="AN61" t="str">
            <v>03 New Dealer</v>
          </cell>
          <cell r="AO61" t="str">
            <v>Southeast</v>
          </cell>
          <cell r="AP61" t="str">
            <v>South</v>
          </cell>
          <cell r="AQ61"/>
          <cell r="AR61">
            <v>0</v>
          </cell>
          <cell r="AS61">
            <v>0</v>
          </cell>
        </row>
        <row r="62">
          <cell r="A62">
            <v>13572</v>
          </cell>
          <cell r="B62" t="str">
            <v>TW MOBILE</v>
          </cell>
          <cell r="C62" t="str">
            <v>M11430</v>
          </cell>
          <cell r="D62" t="str">
            <v>Net 30, no pink card</v>
          </cell>
          <cell r="E62">
            <v>30</v>
          </cell>
          <cell r="F62" t="str">
            <v>Yes</v>
          </cell>
          <cell r="G62" t="str">
            <v>GA</v>
          </cell>
          <cell r="H62">
            <v>10</v>
          </cell>
          <cell r="I62">
            <v>0.66500000000000004</v>
          </cell>
          <cell r="J62" t="str">
            <v>Jake McEntee</v>
          </cell>
          <cell r="K62" t="str">
            <v>MOBILE</v>
          </cell>
          <cell r="L62" t="str">
            <v>AL</v>
          </cell>
          <cell r="M62" t="str">
            <v>800-577-8858</v>
          </cell>
          <cell r="N62"/>
          <cell r="O62">
            <v>508</v>
          </cell>
          <cell r="P62">
            <v>2184.4</v>
          </cell>
          <cell r="Q62">
            <v>328</v>
          </cell>
          <cell r="R62">
            <v>1410.3999999999999</v>
          </cell>
          <cell r="S62"/>
          <cell r="T62">
            <v>0</v>
          </cell>
          <cell r="U62">
            <v>1601</v>
          </cell>
          <cell r="V62">
            <v>6884.2999999999993</v>
          </cell>
          <cell r="W62">
            <v>545</v>
          </cell>
          <cell r="X62">
            <v>2343.5</v>
          </cell>
          <cell r="Y62">
            <v>744</v>
          </cell>
          <cell r="Z62">
            <v>3199.2</v>
          </cell>
          <cell r="AA62">
            <v>744</v>
          </cell>
          <cell r="AB62">
            <v>3199.2</v>
          </cell>
          <cell r="AC62">
            <v>744</v>
          </cell>
          <cell r="AD62">
            <v>3199.2</v>
          </cell>
          <cell r="AE62"/>
          <cell r="AF62"/>
          <cell r="AG62"/>
          <cell r="AH62"/>
          <cell r="AI62"/>
          <cell r="AJ62">
            <v>0.04</v>
          </cell>
          <cell r="AK62" t="str">
            <v>TW</v>
          </cell>
          <cell r="AL62">
            <v>161</v>
          </cell>
          <cell r="AM62">
            <v>302</v>
          </cell>
          <cell r="AN62" t="str">
            <v>04 Co.Store</v>
          </cell>
          <cell r="AO62" t="str">
            <v>Southeast</v>
          </cell>
          <cell r="AP62" t="str">
            <v>South</v>
          </cell>
          <cell r="AQ62"/>
          <cell r="AR62">
            <v>203952</v>
          </cell>
          <cell r="AS62">
            <v>108470</v>
          </cell>
        </row>
        <row r="63">
          <cell r="A63">
            <v>12067</v>
          </cell>
          <cell r="B63" t="str">
            <v>TW PELHAM</v>
          </cell>
          <cell r="C63" t="str">
            <v>M10055</v>
          </cell>
          <cell r="D63" t="str">
            <v>Net 30, no pink card</v>
          </cell>
          <cell r="E63">
            <v>30</v>
          </cell>
          <cell r="F63" t="str">
            <v>Yes</v>
          </cell>
          <cell r="G63" t="str">
            <v>GA</v>
          </cell>
          <cell r="H63">
            <v>10</v>
          </cell>
          <cell r="I63">
            <v>0.66500000000000004</v>
          </cell>
          <cell r="J63" t="str">
            <v>Jake McEntee</v>
          </cell>
          <cell r="K63" t="str">
            <v>PELHAM</v>
          </cell>
          <cell r="L63" t="str">
            <v>AL</v>
          </cell>
          <cell r="M63" t="str">
            <v>800-577-8858</v>
          </cell>
          <cell r="N63" t="str">
            <v>All tandem axle trailers must have BRK2</v>
          </cell>
          <cell r="O63">
            <v>556</v>
          </cell>
          <cell r="P63">
            <v>2390.7999999999997</v>
          </cell>
          <cell r="Q63">
            <v>254</v>
          </cell>
          <cell r="R63">
            <v>1092.2</v>
          </cell>
          <cell r="S63"/>
          <cell r="T63">
            <v>0</v>
          </cell>
          <cell r="U63">
            <v>719</v>
          </cell>
          <cell r="V63">
            <v>3091.7</v>
          </cell>
          <cell r="W63">
            <v>595</v>
          </cell>
          <cell r="X63">
            <v>2558.5</v>
          </cell>
          <cell r="Y63">
            <v>505</v>
          </cell>
          <cell r="Z63">
            <v>2171.5</v>
          </cell>
          <cell r="AA63">
            <v>505</v>
          </cell>
          <cell r="AB63">
            <v>2171.5</v>
          </cell>
          <cell r="AC63">
            <v>505</v>
          </cell>
          <cell r="AD63">
            <v>2171.5</v>
          </cell>
          <cell r="AE63">
            <v>2.5399999999999999E-2</v>
          </cell>
          <cell r="AF63"/>
          <cell r="AG63">
            <v>4.7570000000000001E-2</v>
          </cell>
          <cell r="AH63">
            <v>4.7570000000000001E-2</v>
          </cell>
          <cell r="AI63">
            <v>4.7570000000000001E-2</v>
          </cell>
          <cell r="AJ63">
            <v>0.04</v>
          </cell>
          <cell r="AK63" t="str">
            <v>TW</v>
          </cell>
          <cell r="AL63">
            <v>161</v>
          </cell>
          <cell r="AM63">
            <v>44</v>
          </cell>
          <cell r="AN63" t="str">
            <v>04 Co.Store</v>
          </cell>
          <cell r="AO63" t="str">
            <v>Southeast</v>
          </cell>
          <cell r="AP63" t="str">
            <v>South</v>
          </cell>
          <cell r="AQ63"/>
          <cell r="AR63">
            <v>241027</v>
          </cell>
          <cell r="AS63">
            <v>610753</v>
          </cell>
        </row>
        <row r="64">
          <cell r="A64">
            <v>13653</v>
          </cell>
          <cell r="B64" t="str">
            <v>WARDS BROTHERS</v>
          </cell>
          <cell r="C64" t="str">
            <v>M11646</v>
          </cell>
          <cell r="D64" t="str">
            <v>Net 30, no pink card</v>
          </cell>
          <cell r="E64" t="str">
            <v>CO</v>
          </cell>
          <cell r="F64" t="str">
            <v>Yes</v>
          </cell>
          <cell r="G64" t="str">
            <v>GA</v>
          </cell>
          <cell r="H64">
            <v>7</v>
          </cell>
          <cell r="I64">
            <v>0.66500000000000004</v>
          </cell>
          <cell r="J64" t="str">
            <v>JL Smith</v>
          </cell>
          <cell r="K64" t="str">
            <v>LEEDS</v>
          </cell>
          <cell r="L64" t="str">
            <v>AL</v>
          </cell>
          <cell r="M64" t="str">
            <v>800-577-8858</v>
          </cell>
          <cell r="N64" t="str">
            <v>Freight Terms same as account, email invoices</v>
          </cell>
          <cell r="O64">
            <v>487</v>
          </cell>
          <cell r="P64">
            <v>2094.1</v>
          </cell>
          <cell r="Q64">
            <v>229</v>
          </cell>
          <cell r="R64">
            <v>984.69999999999993</v>
          </cell>
          <cell r="S64"/>
          <cell r="T64">
            <v>0</v>
          </cell>
          <cell r="U64">
            <v>590</v>
          </cell>
          <cell r="V64">
            <v>2537</v>
          </cell>
          <cell r="W64">
            <v>550</v>
          </cell>
          <cell r="X64">
            <v>2365</v>
          </cell>
          <cell r="Y64"/>
          <cell r="Z64">
            <v>0</v>
          </cell>
          <cell r="AA64">
            <v>405</v>
          </cell>
          <cell r="AB64">
            <v>1741.5</v>
          </cell>
          <cell r="AC64">
            <v>405</v>
          </cell>
          <cell r="AD64">
            <v>1741.5</v>
          </cell>
          <cell r="AE64"/>
          <cell r="AF64"/>
          <cell r="AG64"/>
          <cell r="AH64"/>
          <cell r="AI64"/>
          <cell r="AJ64">
            <v>0</v>
          </cell>
          <cell r="AK64" t="str">
            <v>3P</v>
          </cell>
          <cell r="AL64">
            <v>151</v>
          </cell>
          <cell r="AM64">
            <v>44</v>
          </cell>
          <cell r="AN64" t="str">
            <v>03 New Dealer</v>
          </cell>
          <cell r="AO64" t="str">
            <v>Southeast</v>
          </cell>
          <cell r="AP64" t="str">
            <v>South</v>
          </cell>
          <cell r="AQ64"/>
          <cell r="AR64">
            <v>0</v>
          </cell>
          <cell r="AS64">
            <v>0</v>
          </cell>
          <cell r="AT64"/>
        </row>
        <row r="65">
          <cell r="A65">
            <v>11706</v>
          </cell>
          <cell r="B65" t="str">
            <v>ALMA TRACTOR</v>
          </cell>
          <cell r="C65" t="str">
            <v>M10024</v>
          </cell>
          <cell r="D65" t="str">
            <v>NET 5, BT+</v>
          </cell>
          <cell r="E65" t="str">
            <v>CO</v>
          </cell>
          <cell r="F65" t="str">
            <v>Yes</v>
          </cell>
          <cell r="G65" t="str">
            <v>TX</v>
          </cell>
          <cell r="H65">
            <v>7</v>
          </cell>
          <cell r="I65">
            <v>0.66500000000000004</v>
          </cell>
          <cell r="J65" t="str">
            <v>Orphaned Acct</v>
          </cell>
          <cell r="K65" t="str">
            <v>ALMA</v>
          </cell>
          <cell r="L65" t="str">
            <v>AR</v>
          </cell>
          <cell r="M65" t="str">
            <v>800-577-8858</v>
          </cell>
          <cell r="N65" t="str">
            <v>Fax freight invoice to: 479-632-8728 attn: Liz</v>
          </cell>
          <cell r="O65">
            <v>216</v>
          </cell>
          <cell r="P65">
            <v>928.8</v>
          </cell>
          <cell r="Q65"/>
          <cell r="R65">
            <v>0</v>
          </cell>
          <cell r="S65"/>
          <cell r="T65">
            <v>0</v>
          </cell>
          <cell r="U65">
            <v>221</v>
          </cell>
          <cell r="V65">
            <v>950.3</v>
          </cell>
          <cell r="W65">
            <v>329</v>
          </cell>
          <cell r="X65">
            <v>1414.7</v>
          </cell>
          <cell r="Y65"/>
          <cell r="Z65">
            <v>0</v>
          </cell>
          <cell r="AA65"/>
          <cell r="AB65">
            <v>0</v>
          </cell>
          <cell r="AC65"/>
          <cell r="AD65">
            <v>0</v>
          </cell>
          <cell r="AE65"/>
          <cell r="AF65"/>
          <cell r="AG65"/>
          <cell r="AH65"/>
          <cell r="AI65"/>
          <cell r="AJ65">
            <v>0</v>
          </cell>
          <cell r="AK65" t="str">
            <v>3P</v>
          </cell>
          <cell r="AL65">
            <v>213</v>
          </cell>
          <cell r="AM65">
            <v>153</v>
          </cell>
          <cell r="AN65" t="str">
            <v>01 Existing Dealer</v>
          </cell>
          <cell r="AO65" t="str">
            <v>South Central</v>
          </cell>
          <cell r="AP65" t="str">
            <v>South</v>
          </cell>
          <cell r="AQ65"/>
          <cell r="AR65">
            <v>0</v>
          </cell>
          <cell r="AS65">
            <v>0</v>
          </cell>
        </row>
        <row r="66">
          <cell r="A66">
            <v>12174</v>
          </cell>
          <cell r="B66" t="str">
            <v>ALMA TRACTOR</v>
          </cell>
          <cell r="C66" t="str">
            <v>M10024</v>
          </cell>
          <cell r="D66" t="str">
            <v>NET 5, BT+</v>
          </cell>
          <cell r="E66" t="str">
            <v>FP - Wells Fargo</v>
          </cell>
          <cell r="F66" t="str">
            <v>Yes</v>
          </cell>
          <cell r="G66" t="str">
            <v>TX</v>
          </cell>
          <cell r="H66">
            <v>8</v>
          </cell>
          <cell r="I66">
            <v>0.66500000000000004</v>
          </cell>
          <cell r="J66" t="str">
            <v>Orphaned Acct</v>
          </cell>
          <cell r="K66" t="str">
            <v>ALMA</v>
          </cell>
          <cell r="L66" t="str">
            <v>AR</v>
          </cell>
          <cell r="M66" t="str">
            <v>800-577-8858</v>
          </cell>
          <cell r="N66" t="str">
            <v>Fax freight invoice to: 479-632-8728 attn: Liz</v>
          </cell>
          <cell r="O66">
            <v>216</v>
          </cell>
          <cell r="P66">
            <v>928.8</v>
          </cell>
          <cell r="Q66"/>
          <cell r="R66">
            <v>0</v>
          </cell>
          <cell r="S66"/>
          <cell r="T66">
            <v>0</v>
          </cell>
          <cell r="U66">
            <v>221</v>
          </cell>
          <cell r="V66">
            <v>950.3</v>
          </cell>
          <cell r="W66">
            <v>329</v>
          </cell>
          <cell r="X66">
            <v>1414.7</v>
          </cell>
          <cell r="Y66"/>
          <cell r="Z66">
            <v>0</v>
          </cell>
          <cell r="AA66"/>
          <cell r="AB66">
            <v>0</v>
          </cell>
          <cell r="AC66"/>
          <cell r="AD66">
            <v>0</v>
          </cell>
          <cell r="AE66"/>
          <cell r="AF66"/>
          <cell r="AG66"/>
          <cell r="AH66"/>
          <cell r="AI66"/>
          <cell r="AJ66">
            <v>0</v>
          </cell>
          <cell r="AK66" t="str">
            <v>3P</v>
          </cell>
          <cell r="AL66">
            <v>213</v>
          </cell>
          <cell r="AM66">
            <v>153</v>
          </cell>
          <cell r="AN66" t="str">
            <v>01 Existing Dealer</v>
          </cell>
          <cell r="AO66" t="str">
            <v>South Central</v>
          </cell>
          <cell r="AP66" t="str">
            <v>South</v>
          </cell>
          <cell r="AQ66"/>
          <cell r="AR66">
            <v>0</v>
          </cell>
          <cell r="AS66">
            <v>0</v>
          </cell>
        </row>
        <row r="67">
          <cell r="A67">
            <v>12394</v>
          </cell>
          <cell r="B67" t="str">
            <v>BEAVER LAKE</v>
          </cell>
          <cell r="C67" t="str">
            <v>M10047</v>
          </cell>
          <cell r="D67" t="str">
            <v>Return Mail, no pink card</v>
          </cell>
          <cell r="E67" t="str">
            <v>RM</v>
          </cell>
          <cell r="F67" t="str">
            <v>Yes</v>
          </cell>
          <cell r="G67" t="str">
            <v>TX</v>
          </cell>
          <cell r="H67">
            <v>7</v>
          </cell>
          <cell r="I67">
            <v>0.66500000000000004</v>
          </cell>
          <cell r="J67" t="str">
            <v>Orphaned Acct</v>
          </cell>
          <cell r="K67" t="str">
            <v>GARFIELD</v>
          </cell>
          <cell r="L67" t="str">
            <v>AR</v>
          </cell>
          <cell r="M67" t="str">
            <v>800-577-8858</v>
          </cell>
          <cell r="N67"/>
          <cell r="O67">
            <v>296</v>
          </cell>
          <cell r="P67">
            <v>1272.8</v>
          </cell>
          <cell r="Q67"/>
          <cell r="R67">
            <v>0</v>
          </cell>
          <cell r="S67"/>
          <cell r="T67">
            <v>0</v>
          </cell>
          <cell r="U67">
            <v>301</v>
          </cell>
          <cell r="V67">
            <v>1294.3</v>
          </cell>
          <cell r="W67">
            <v>409</v>
          </cell>
          <cell r="X67">
            <v>1758.6999999999998</v>
          </cell>
          <cell r="Y67"/>
          <cell r="Z67">
            <v>0</v>
          </cell>
          <cell r="AA67"/>
          <cell r="AB67">
            <v>0</v>
          </cell>
          <cell r="AC67"/>
          <cell r="AD67">
            <v>0</v>
          </cell>
          <cell r="AE67"/>
          <cell r="AF67"/>
          <cell r="AG67"/>
          <cell r="AH67"/>
          <cell r="AI67"/>
          <cell r="AJ67">
            <v>0</v>
          </cell>
          <cell r="AK67" t="str">
            <v>3P</v>
          </cell>
          <cell r="AL67">
            <v>213</v>
          </cell>
          <cell r="AM67">
            <v>140</v>
          </cell>
          <cell r="AN67" t="str">
            <v>08 Inactive Dealer</v>
          </cell>
          <cell r="AO67" t="str">
            <v>South Central</v>
          </cell>
          <cell r="AP67" t="str">
            <v>South</v>
          </cell>
          <cell r="AQ67"/>
          <cell r="AR67">
            <v>0</v>
          </cell>
          <cell r="AS67">
            <v>0</v>
          </cell>
        </row>
        <row r="68">
          <cell r="A68">
            <v>13018</v>
          </cell>
          <cell r="B68" t="str">
            <v>BRUNO'S POWERSPORTS</v>
          </cell>
          <cell r="C68" t="str">
            <v>M10873</v>
          </cell>
          <cell r="D68" t="str">
            <v>NET 5, BT+</v>
          </cell>
          <cell r="E68" t="str">
            <v>F1 - Wells Fargo</v>
          </cell>
          <cell r="F68" t="str">
            <v>Yes</v>
          </cell>
          <cell r="G68" t="str">
            <v>TX</v>
          </cell>
          <cell r="H68">
            <v>8</v>
          </cell>
          <cell r="I68">
            <v>0.66500000000000004</v>
          </cell>
          <cell r="J68" t="str">
            <v>Orphaned Acct</v>
          </cell>
          <cell r="K68" t="str">
            <v>CABOT</v>
          </cell>
          <cell r="L68" t="str">
            <v>AR</v>
          </cell>
          <cell r="M68" t="str">
            <v>800-577-8858</v>
          </cell>
          <cell r="N68"/>
          <cell r="O68">
            <v>227</v>
          </cell>
          <cell r="P68">
            <v>976.09999999999991</v>
          </cell>
          <cell r="Q68"/>
          <cell r="R68">
            <v>0</v>
          </cell>
          <cell r="S68"/>
          <cell r="T68">
            <v>0</v>
          </cell>
          <cell r="U68">
            <v>324</v>
          </cell>
          <cell r="V68">
            <v>1393.2</v>
          </cell>
          <cell r="W68">
            <v>307</v>
          </cell>
          <cell r="X68">
            <v>1320.1</v>
          </cell>
          <cell r="Y68"/>
          <cell r="Z68">
            <v>0</v>
          </cell>
          <cell r="AA68"/>
          <cell r="AB68">
            <v>0</v>
          </cell>
          <cell r="AC68"/>
          <cell r="AD68">
            <v>0</v>
          </cell>
          <cell r="AE68"/>
          <cell r="AF68"/>
          <cell r="AG68"/>
          <cell r="AH68"/>
          <cell r="AI68"/>
          <cell r="AJ68">
            <v>0</v>
          </cell>
          <cell r="AK68" t="str">
            <v>3P</v>
          </cell>
          <cell r="AL68">
            <v>213</v>
          </cell>
          <cell r="AM68">
            <v>257</v>
          </cell>
          <cell r="AN68" t="str">
            <v>08 Inactive Dealer</v>
          </cell>
          <cell r="AO68" t="str">
            <v>South Central</v>
          </cell>
          <cell r="AP68" t="str">
            <v>South</v>
          </cell>
          <cell r="AQ68"/>
          <cell r="AR68">
            <v>0</v>
          </cell>
          <cell r="AS68">
            <v>0</v>
          </cell>
        </row>
        <row r="69">
          <cell r="A69">
            <v>13410</v>
          </cell>
          <cell r="B69" t="str">
            <v>NATIONAL TRLR SOURCE</v>
          </cell>
          <cell r="C69" t="str">
            <v>M10519</v>
          </cell>
          <cell r="D69" t="str">
            <v>Net 30, no pink card</v>
          </cell>
          <cell r="E69" t="str">
            <v>FP- Northpoint</v>
          </cell>
          <cell r="F69" t="str">
            <v>Yes</v>
          </cell>
          <cell r="G69" t="str">
            <v>TX</v>
          </cell>
          <cell r="H69">
            <v>8</v>
          </cell>
          <cell r="I69">
            <v>0.66500000000000004</v>
          </cell>
          <cell r="J69" t="str">
            <v>Lane Davis</v>
          </cell>
          <cell r="K69" t="str">
            <v>ATKINS</v>
          </cell>
          <cell r="L69" t="str">
            <v>AR</v>
          </cell>
          <cell r="M69" t="str">
            <v>800-577-8858</v>
          </cell>
          <cell r="N69"/>
          <cell r="O69">
            <v>261</v>
          </cell>
          <cell r="P69">
            <v>1122.3</v>
          </cell>
          <cell r="Q69"/>
          <cell r="R69">
            <v>0</v>
          </cell>
          <cell r="S69"/>
          <cell r="T69">
            <v>0</v>
          </cell>
          <cell r="U69">
            <v>303</v>
          </cell>
          <cell r="V69">
            <v>1302.8999999999999</v>
          </cell>
          <cell r="W69">
            <v>341</v>
          </cell>
          <cell r="X69">
            <v>1466.3</v>
          </cell>
          <cell r="Y69"/>
          <cell r="Z69">
            <v>0</v>
          </cell>
          <cell r="AA69"/>
          <cell r="AB69">
            <v>0</v>
          </cell>
          <cell r="AC69"/>
          <cell r="AD69">
            <v>0</v>
          </cell>
          <cell r="AE69">
            <v>3.0450000000000001E-2</v>
          </cell>
          <cell r="AF69"/>
          <cell r="AG69">
            <v>0</v>
          </cell>
          <cell r="AH69">
            <v>3.0450000000000001E-2</v>
          </cell>
          <cell r="AI69">
            <v>3.0450000000000001E-2</v>
          </cell>
          <cell r="AJ69">
            <v>0.03</v>
          </cell>
          <cell r="AK69" t="str">
            <v>3P</v>
          </cell>
          <cell r="AL69">
            <v>275</v>
          </cell>
          <cell r="AM69">
            <v>387</v>
          </cell>
          <cell r="AN69" t="str">
            <v>01 Existing Dealer</v>
          </cell>
          <cell r="AO69" t="str">
            <v>South Central</v>
          </cell>
          <cell r="AP69" t="str">
            <v>South</v>
          </cell>
          <cell r="AQ69"/>
          <cell r="AR69">
            <v>26491</v>
          </cell>
          <cell r="AS69">
            <v>0</v>
          </cell>
        </row>
        <row r="70">
          <cell r="A70">
            <v>13090</v>
          </cell>
          <cell r="B70" t="str">
            <v>CHARLES PASCHAL</v>
          </cell>
          <cell r="C70" t="str">
            <v>M10519</v>
          </cell>
          <cell r="D70" t="str">
            <v>Net 30, no pink card</v>
          </cell>
          <cell r="E70">
            <v>30</v>
          </cell>
          <cell r="F70" t="str">
            <v>Yes</v>
          </cell>
          <cell r="G70" t="str">
            <v>TX</v>
          </cell>
          <cell r="H70">
            <v>5</v>
          </cell>
          <cell r="I70">
            <v>0.66500000000000004</v>
          </cell>
          <cell r="J70" t="str">
            <v>Orphaned Acct</v>
          </cell>
          <cell r="K70" t="str">
            <v>ATKINS</v>
          </cell>
          <cell r="L70" t="str">
            <v>AR</v>
          </cell>
          <cell r="M70" t="str">
            <v>800-577-8858</v>
          </cell>
          <cell r="N70"/>
          <cell r="O70">
            <v>261</v>
          </cell>
          <cell r="P70">
            <v>1122.3</v>
          </cell>
          <cell r="Q70"/>
          <cell r="R70">
            <v>0</v>
          </cell>
          <cell r="S70"/>
          <cell r="T70">
            <v>0</v>
          </cell>
          <cell r="U70">
            <v>303</v>
          </cell>
          <cell r="V70">
            <v>1302.8999999999999</v>
          </cell>
          <cell r="W70">
            <v>341</v>
          </cell>
          <cell r="X70">
            <v>1466.3</v>
          </cell>
          <cell r="Y70"/>
          <cell r="Z70">
            <v>0</v>
          </cell>
          <cell r="AA70"/>
          <cell r="AB70">
            <v>0</v>
          </cell>
          <cell r="AC70"/>
          <cell r="AD70">
            <v>0</v>
          </cell>
          <cell r="AE70">
            <v>3.0450000000000001E-2</v>
          </cell>
          <cell r="AF70"/>
          <cell r="AG70">
            <v>0</v>
          </cell>
          <cell r="AH70">
            <v>3.0450000000000001E-2</v>
          </cell>
          <cell r="AI70">
            <v>3.0450000000000001E-2</v>
          </cell>
          <cell r="AJ70">
            <v>0.03</v>
          </cell>
          <cell r="AK70" t="str">
            <v>3P</v>
          </cell>
          <cell r="AL70">
            <v>213</v>
          </cell>
          <cell r="AM70">
            <v>387</v>
          </cell>
          <cell r="AN70" t="str">
            <v>01 Existing Dealer</v>
          </cell>
          <cell r="AO70" t="str">
            <v>South Central</v>
          </cell>
          <cell r="AP70" t="str">
            <v>South</v>
          </cell>
          <cell r="AQ70"/>
          <cell r="AR70">
            <v>0</v>
          </cell>
          <cell r="AS70">
            <v>0</v>
          </cell>
        </row>
        <row r="71">
          <cell r="A71">
            <v>13012</v>
          </cell>
          <cell r="B71" t="str">
            <v>CORNERSTONE</v>
          </cell>
          <cell r="C71" t="str">
            <v>M10826</v>
          </cell>
          <cell r="D71" t="str">
            <v>NET 5, BT+</v>
          </cell>
          <cell r="E71" t="str">
            <v>FP - Wells Fargo</v>
          </cell>
          <cell r="F71" t="str">
            <v>Yes</v>
          </cell>
          <cell r="G71" t="str">
            <v>TX</v>
          </cell>
          <cell r="H71">
            <v>8</v>
          </cell>
          <cell r="I71">
            <v>0.66500000000000004</v>
          </cell>
          <cell r="J71" t="str">
            <v>JL Smith</v>
          </cell>
          <cell r="K71" t="str">
            <v>VAN BUREN</v>
          </cell>
          <cell r="L71" t="str">
            <v>AR</v>
          </cell>
          <cell r="M71" t="str">
            <v>800-577-8858</v>
          </cell>
          <cell r="N71"/>
          <cell r="O71">
            <v>209</v>
          </cell>
          <cell r="P71">
            <v>898.69999999999993</v>
          </cell>
          <cell r="Q71"/>
          <cell r="R71">
            <v>0</v>
          </cell>
          <cell r="S71"/>
          <cell r="T71">
            <v>0</v>
          </cell>
          <cell r="U71">
            <v>215</v>
          </cell>
          <cell r="V71">
            <v>924.5</v>
          </cell>
          <cell r="W71">
            <v>323</v>
          </cell>
          <cell r="X71">
            <v>1388.8999999999999</v>
          </cell>
          <cell r="Y71"/>
          <cell r="Z71">
            <v>0</v>
          </cell>
          <cell r="AA71"/>
          <cell r="AB71">
            <v>0</v>
          </cell>
          <cell r="AC71"/>
          <cell r="AD71">
            <v>0</v>
          </cell>
          <cell r="AE71"/>
          <cell r="AF71"/>
          <cell r="AG71"/>
          <cell r="AH71"/>
          <cell r="AI71"/>
          <cell r="AJ71">
            <v>0</v>
          </cell>
          <cell r="AK71" t="str">
            <v>3P</v>
          </cell>
          <cell r="AL71">
            <v>151</v>
          </cell>
          <cell r="AM71">
            <v>153</v>
          </cell>
          <cell r="AN71" t="str">
            <v>01 Existing Dealer</v>
          </cell>
          <cell r="AO71" t="str">
            <v>South Central</v>
          </cell>
          <cell r="AP71" t="str">
            <v>South</v>
          </cell>
          <cell r="AQ71"/>
          <cell r="AR71">
            <v>0</v>
          </cell>
          <cell r="AS71">
            <v>0</v>
          </cell>
        </row>
        <row r="72">
          <cell r="A72">
            <v>12989</v>
          </cell>
          <cell r="B72" t="str">
            <v>CORNERSTONE</v>
          </cell>
          <cell r="C72" t="str">
            <v>M10826</v>
          </cell>
          <cell r="D72" t="str">
            <v>NET 5, BT+</v>
          </cell>
          <cell r="E72" t="str">
            <v>CF</v>
          </cell>
          <cell r="F72" t="str">
            <v>Yes</v>
          </cell>
          <cell r="G72" t="str">
            <v>TX</v>
          </cell>
          <cell r="H72">
            <v>7</v>
          </cell>
          <cell r="I72">
            <v>0.66500000000000004</v>
          </cell>
          <cell r="J72" t="str">
            <v>JL Smith</v>
          </cell>
          <cell r="K72" t="str">
            <v>VAN BUREN</v>
          </cell>
          <cell r="L72" t="str">
            <v>AR</v>
          </cell>
          <cell r="M72" t="str">
            <v>800-577-8858</v>
          </cell>
          <cell r="N72"/>
          <cell r="O72">
            <v>209</v>
          </cell>
          <cell r="P72">
            <v>898.69999999999993</v>
          </cell>
          <cell r="Q72"/>
          <cell r="R72">
            <v>0</v>
          </cell>
          <cell r="S72"/>
          <cell r="T72">
            <v>0</v>
          </cell>
          <cell r="U72">
            <v>215</v>
          </cell>
          <cell r="V72">
            <v>924.5</v>
          </cell>
          <cell r="W72">
            <v>323</v>
          </cell>
          <cell r="X72">
            <v>1388.8999999999999</v>
          </cell>
          <cell r="Y72"/>
          <cell r="Z72">
            <v>0</v>
          </cell>
          <cell r="AA72"/>
          <cell r="AB72">
            <v>0</v>
          </cell>
          <cell r="AC72"/>
          <cell r="AD72">
            <v>0</v>
          </cell>
          <cell r="AE72"/>
          <cell r="AF72"/>
          <cell r="AG72"/>
          <cell r="AH72"/>
          <cell r="AI72"/>
          <cell r="AJ72">
            <v>0</v>
          </cell>
          <cell r="AK72" t="str">
            <v>3P</v>
          </cell>
          <cell r="AL72">
            <v>151</v>
          </cell>
          <cell r="AM72">
            <v>153</v>
          </cell>
          <cell r="AN72" t="str">
            <v>01 Existing Dealer</v>
          </cell>
          <cell r="AO72" t="str">
            <v>South Central</v>
          </cell>
          <cell r="AP72" t="str">
            <v>South</v>
          </cell>
          <cell r="AQ72"/>
          <cell r="AR72">
            <v>0</v>
          </cell>
          <cell r="AS72">
            <v>0</v>
          </cell>
        </row>
        <row r="73">
          <cell r="A73">
            <v>11764</v>
          </cell>
          <cell r="B73" t="str">
            <v>D &amp; R MARINE</v>
          </cell>
          <cell r="C73" t="str">
            <v>M10176</v>
          </cell>
          <cell r="D73" t="str">
            <v>NET 5, BT+</v>
          </cell>
          <cell r="E73" t="str">
            <v>CO</v>
          </cell>
          <cell r="F73" t="str">
            <v>Yes</v>
          </cell>
          <cell r="G73" t="str">
            <v>TX</v>
          </cell>
          <cell r="H73">
            <v>7</v>
          </cell>
          <cell r="I73">
            <v>0.66500000000000004</v>
          </cell>
          <cell r="J73" t="str">
            <v>Orphaned Acct</v>
          </cell>
          <cell r="K73" t="str">
            <v>MURFREESBORO</v>
          </cell>
          <cell r="L73" t="str">
            <v>AR</v>
          </cell>
          <cell r="M73" t="str">
            <v>800-577-8858</v>
          </cell>
          <cell r="N73"/>
          <cell r="O73">
            <v>123</v>
          </cell>
          <cell r="P73">
            <v>528.9</v>
          </cell>
          <cell r="Q73"/>
          <cell r="R73">
            <v>0</v>
          </cell>
          <cell r="S73"/>
          <cell r="T73">
            <v>0</v>
          </cell>
          <cell r="U73">
            <v>204</v>
          </cell>
          <cell r="V73">
            <v>877.19999999999993</v>
          </cell>
          <cell r="W73">
            <v>203</v>
          </cell>
          <cell r="X73">
            <v>872.9</v>
          </cell>
          <cell r="Y73"/>
          <cell r="Z73">
            <v>0</v>
          </cell>
          <cell r="AA73"/>
          <cell r="AB73">
            <v>0</v>
          </cell>
          <cell r="AC73"/>
          <cell r="AD73">
            <v>0</v>
          </cell>
          <cell r="AE73"/>
          <cell r="AF73"/>
          <cell r="AG73"/>
          <cell r="AH73"/>
          <cell r="AI73"/>
          <cell r="AJ73">
            <v>0</v>
          </cell>
          <cell r="AK73" t="str">
            <v>3P</v>
          </cell>
          <cell r="AL73">
            <v>213</v>
          </cell>
          <cell r="AM73">
            <v>193</v>
          </cell>
          <cell r="AN73" t="str">
            <v>01 Existing Dealer</v>
          </cell>
          <cell r="AO73" t="str">
            <v>South Central</v>
          </cell>
          <cell r="AP73" t="str">
            <v>South</v>
          </cell>
          <cell r="AQ73"/>
          <cell r="AR73">
            <v>0</v>
          </cell>
          <cell r="AS73">
            <v>0</v>
          </cell>
        </row>
        <row r="74">
          <cell r="A74">
            <v>12973</v>
          </cell>
          <cell r="B74" t="str">
            <v>DUMAS TRACTOR SALVAGE</v>
          </cell>
          <cell r="C74" t="str">
            <v>M10803</v>
          </cell>
          <cell r="D74" t="str">
            <v>NET 5, BT+</v>
          </cell>
          <cell r="E74" t="str">
            <v>CO</v>
          </cell>
          <cell r="F74" t="str">
            <v>Yes</v>
          </cell>
          <cell r="G74" t="str">
            <v>TX</v>
          </cell>
          <cell r="H74">
            <v>7</v>
          </cell>
          <cell r="I74">
            <v>0.66500000000000004</v>
          </cell>
          <cell r="J74" t="str">
            <v>Orphaned Acct</v>
          </cell>
          <cell r="K74" t="str">
            <v>DUMAS</v>
          </cell>
          <cell r="L74" t="str">
            <v>AR</v>
          </cell>
          <cell r="M74" t="str">
            <v>800-577-8858</v>
          </cell>
          <cell r="N74"/>
          <cell r="O74">
            <v>257</v>
          </cell>
          <cell r="P74">
            <v>1105.0999999999999</v>
          </cell>
          <cell r="Q74"/>
          <cell r="R74">
            <v>0</v>
          </cell>
          <cell r="S74"/>
          <cell r="T74">
            <v>0</v>
          </cell>
          <cell r="U74">
            <v>386</v>
          </cell>
          <cell r="V74">
            <v>1659.8</v>
          </cell>
          <cell r="W74">
            <v>337</v>
          </cell>
          <cell r="X74">
            <v>1449.1</v>
          </cell>
          <cell r="Y74"/>
          <cell r="Z74">
            <v>0</v>
          </cell>
          <cell r="AA74"/>
          <cell r="AB74">
            <v>0</v>
          </cell>
          <cell r="AC74"/>
          <cell r="AD74">
            <v>0</v>
          </cell>
          <cell r="AE74"/>
          <cell r="AF74"/>
          <cell r="AG74"/>
          <cell r="AH74"/>
          <cell r="AI74"/>
          <cell r="AJ74">
            <v>0</v>
          </cell>
          <cell r="AK74" t="str">
            <v>3P</v>
          </cell>
          <cell r="AL74">
            <v>213</v>
          </cell>
          <cell r="AM74">
            <v>348</v>
          </cell>
          <cell r="AN74" t="str">
            <v>08 Inactive Dealer</v>
          </cell>
          <cell r="AO74" t="str">
            <v>South Central</v>
          </cell>
          <cell r="AP74" t="str">
            <v>South</v>
          </cell>
          <cell r="AQ74"/>
          <cell r="AR74">
            <v>0</v>
          </cell>
          <cell r="AS74">
            <v>0</v>
          </cell>
        </row>
        <row r="75">
          <cell r="A75">
            <v>12144</v>
          </cell>
          <cell r="B75" t="str">
            <v>FACTORY OUTLET</v>
          </cell>
          <cell r="C75" t="str">
            <v>M10193</v>
          </cell>
          <cell r="D75" t="str">
            <v>NET 5, BT+</v>
          </cell>
          <cell r="E75" t="str">
            <v>CO</v>
          </cell>
          <cell r="F75" t="str">
            <v>Yes</v>
          </cell>
          <cell r="G75" t="str">
            <v>TX</v>
          </cell>
          <cell r="H75">
            <v>8</v>
          </cell>
          <cell r="I75">
            <v>0.66500000000000004</v>
          </cell>
          <cell r="J75" t="str">
            <v>Orphaned Acct</v>
          </cell>
          <cell r="K75" t="str">
            <v>MARION</v>
          </cell>
          <cell r="L75" t="str">
            <v>AR</v>
          </cell>
          <cell r="M75" t="str">
            <v>800-577-8858</v>
          </cell>
          <cell r="N75"/>
          <cell r="O75">
            <v>328</v>
          </cell>
          <cell r="P75">
            <v>1410.3999999999999</v>
          </cell>
          <cell r="Q75"/>
          <cell r="R75">
            <v>0</v>
          </cell>
          <cell r="S75"/>
          <cell r="T75">
            <v>0</v>
          </cell>
          <cell r="U75">
            <v>429</v>
          </cell>
          <cell r="V75">
            <v>1844.6999999999998</v>
          </cell>
          <cell r="W75">
            <v>413</v>
          </cell>
          <cell r="X75">
            <v>1775.8999999999999</v>
          </cell>
          <cell r="Y75"/>
          <cell r="Z75">
            <v>0</v>
          </cell>
          <cell r="AA75"/>
          <cell r="AB75">
            <v>0</v>
          </cell>
          <cell r="AC75"/>
          <cell r="AD75">
            <v>0</v>
          </cell>
          <cell r="AE75"/>
          <cell r="AF75"/>
          <cell r="AG75"/>
          <cell r="AH75"/>
          <cell r="AI75"/>
          <cell r="AJ75">
            <v>0</v>
          </cell>
          <cell r="AK75" t="str">
            <v>3P</v>
          </cell>
          <cell r="AL75">
            <v>213</v>
          </cell>
          <cell r="AM75">
            <v>290</v>
          </cell>
          <cell r="AN75" t="str">
            <v>08 Inactive Dealer</v>
          </cell>
          <cell r="AO75" t="str">
            <v>South Central</v>
          </cell>
          <cell r="AP75" t="str">
            <v>South</v>
          </cell>
          <cell r="AQ75"/>
          <cell r="AR75">
            <v>0</v>
          </cell>
          <cell r="AS75">
            <v>0</v>
          </cell>
        </row>
        <row r="76">
          <cell r="A76">
            <v>13142</v>
          </cell>
          <cell r="B76" t="str">
            <v>JOHNSONS BELT dba SOUTHERN TRAILER EQUIPMENT</v>
          </cell>
          <cell r="C76" t="str">
            <v>M11059</v>
          </cell>
          <cell r="D76" t="str">
            <v>NET 5, BT+</v>
          </cell>
          <cell r="E76" t="str">
            <v>CF</v>
          </cell>
          <cell r="F76" t="str">
            <v>Yes</v>
          </cell>
          <cell r="G76" t="str">
            <v>TX</v>
          </cell>
          <cell r="H76">
            <v>7</v>
          </cell>
          <cell r="I76">
            <v>0.66500000000000004</v>
          </cell>
          <cell r="J76" t="str">
            <v>Orphaned Acct</v>
          </cell>
          <cell r="K76" t="str">
            <v>CROSSETT</v>
          </cell>
          <cell r="L76" t="str">
            <v>AR</v>
          </cell>
          <cell r="M76" t="str">
            <v>800-577-8858</v>
          </cell>
          <cell r="N76"/>
          <cell r="O76">
            <v>198</v>
          </cell>
          <cell r="P76">
            <v>851.4</v>
          </cell>
          <cell r="Q76"/>
          <cell r="R76">
            <v>0</v>
          </cell>
          <cell r="S76"/>
          <cell r="T76">
            <v>0</v>
          </cell>
          <cell r="U76">
            <v>327</v>
          </cell>
          <cell r="V76">
            <v>1406.1</v>
          </cell>
          <cell r="W76">
            <v>275</v>
          </cell>
          <cell r="X76">
            <v>1182.5</v>
          </cell>
          <cell r="Y76"/>
          <cell r="Z76">
            <v>0</v>
          </cell>
          <cell r="AA76"/>
          <cell r="AB76">
            <v>0</v>
          </cell>
          <cell r="AC76"/>
          <cell r="AD76">
            <v>0</v>
          </cell>
          <cell r="AE76"/>
          <cell r="AF76"/>
          <cell r="AG76"/>
          <cell r="AH76"/>
          <cell r="AI76"/>
          <cell r="AJ76">
            <v>0</v>
          </cell>
          <cell r="AK76" t="str">
            <v>3P</v>
          </cell>
          <cell r="AL76">
            <v>213</v>
          </cell>
          <cell r="AM76">
            <v>304</v>
          </cell>
          <cell r="AN76" t="str">
            <v>08 Inactive Dealer</v>
          </cell>
          <cell r="AO76" t="str">
            <v>South Central</v>
          </cell>
          <cell r="AP76" t="str">
            <v>South</v>
          </cell>
          <cell r="AQ76"/>
          <cell r="AR76">
            <v>0</v>
          </cell>
          <cell r="AS76">
            <v>0</v>
          </cell>
        </row>
        <row r="77">
          <cell r="A77">
            <v>12665</v>
          </cell>
          <cell r="B77" t="str">
            <v>MEDLIN'S METAL ROOFING</v>
          </cell>
          <cell r="C77" t="str">
            <v>M10472</v>
          </cell>
          <cell r="D77" t="str">
            <v>NET 5, BT+</v>
          </cell>
          <cell r="E77" t="str">
            <v>CO</v>
          </cell>
          <cell r="F77" t="str">
            <v>Yes</v>
          </cell>
          <cell r="G77" t="str">
            <v>TX</v>
          </cell>
          <cell r="H77">
            <v>6</v>
          </cell>
          <cell r="I77">
            <v>0.66500000000000004</v>
          </cell>
          <cell r="J77" t="str">
            <v>Orphaned Acct</v>
          </cell>
          <cell r="K77" t="str">
            <v>STRONG</v>
          </cell>
          <cell r="L77" t="str">
            <v>AR</v>
          </cell>
          <cell r="M77" t="str">
            <v>800-577-8858</v>
          </cell>
          <cell r="N77"/>
          <cell r="O77">
            <v>174</v>
          </cell>
          <cell r="P77">
            <v>748.19999999999993</v>
          </cell>
          <cell r="Q77"/>
          <cell r="R77">
            <v>0</v>
          </cell>
          <cell r="S77"/>
          <cell r="T77">
            <v>0</v>
          </cell>
          <cell r="U77">
            <v>304</v>
          </cell>
          <cell r="V77">
            <v>1307.2</v>
          </cell>
          <cell r="W77">
            <v>251</v>
          </cell>
          <cell r="X77">
            <v>1079.3</v>
          </cell>
          <cell r="Y77"/>
          <cell r="Z77">
            <v>0</v>
          </cell>
          <cell r="AA77"/>
          <cell r="AB77">
            <v>0</v>
          </cell>
          <cell r="AC77"/>
          <cell r="AD77">
            <v>0</v>
          </cell>
          <cell r="AE77"/>
          <cell r="AF77"/>
          <cell r="AG77"/>
          <cell r="AH77"/>
          <cell r="AI77"/>
          <cell r="AJ77">
            <v>0</v>
          </cell>
          <cell r="AK77" t="str">
            <v>3P</v>
          </cell>
          <cell r="AL77">
            <v>213</v>
          </cell>
          <cell r="AM77">
            <v>125</v>
          </cell>
          <cell r="AN77" t="str">
            <v>08 Inactive Dealer</v>
          </cell>
          <cell r="AO77" t="str">
            <v>South Central</v>
          </cell>
          <cell r="AP77" t="str">
            <v>South</v>
          </cell>
          <cell r="AQ77"/>
          <cell r="AR77">
            <v>0</v>
          </cell>
          <cell r="AS77">
            <v>0</v>
          </cell>
        </row>
        <row r="78">
          <cell r="A78" t="str">
            <v>11378A</v>
          </cell>
          <cell r="B78" t="str">
            <v>MISSISSIPPI AG</v>
          </cell>
          <cell r="C78" t="str">
            <v>M10289</v>
          </cell>
          <cell r="D78" t="str">
            <v>NET 5, BT+</v>
          </cell>
          <cell r="E78" t="str">
            <v>CO</v>
          </cell>
          <cell r="F78" t="str">
            <v>Yes</v>
          </cell>
          <cell r="G78" t="str">
            <v>TX</v>
          </cell>
          <cell r="H78">
            <v>7</v>
          </cell>
          <cell r="I78">
            <v>0.66500000000000004</v>
          </cell>
          <cell r="J78" t="str">
            <v>Orphaned Acct</v>
          </cell>
          <cell r="K78" t="str">
            <v>PORTLAND</v>
          </cell>
          <cell r="L78" t="str">
            <v>AR</v>
          </cell>
          <cell r="M78" t="str">
            <v>800-577-8858</v>
          </cell>
          <cell r="N78"/>
          <cell r="O78">
            <v>231</v>
          </cell>
          <cell r="P78">
            <v>993.3</v>
          </cell>
          <cell r="Q78"/>
          <cell r="R78">
            <v>0</v>
          </cell>
          <cell r="S78"/>
          <cell r="T78">
            <v>0</v>
          </cell>
          <cell r="U78">
            <v>361</v>
          </cell>
          <cell r="V78">
            <v>1552.3</v>
          </cell>
          <cell r="W78">
            <v>312</v>
          </cell>
          <cell r="X78">
            <v>1341.6</v>
          </cell>
          <cell r="Y78"/>
          <cell r="Z78">
            <v>0</v>
          </cell>
          <cell r="AA78"/>
          <cell r="AB78">
            <v>0</v>
          </cell>
          <cell r="AC78"/>
          <cell r="AD78">
            <v>0</v>
          </cell>
          <cell r="AE78"/>
          <cell r="AF78"/>
          <cell r="AG78"/>
          <cell r="AH78"/>
          <cell r="AI78"/>
          <cell r="AJ78">
            <v>0</v>
          </cell>
          <cell r="AK78" t="str">
            <v>3P</v>
          </cell>
          <cell r="AL78">
            <v>213</v>
          </cell>
          <cell r="AM78">
            <v>304</v>
          </cell>
          <cell r="AN78" t="str">
            <v>08 Inactive Dealer</v>
          </cell>
          <cell r="AO78" t="str">
            <v>South Central</v>
          </cell>
          <cell r="AP78" t="str">
            <v>South</v>
          </cell>
          <cell r="AQ78"/>
          <cell r="AR78">
            <v>0</v>
          </cell>
          <cell r="AS78">
            <v>0</v>
          </cell>
        </row>
        <row r="79">
          <cell r="A79">
            <v>12796</v>
          </cell>
          <cell r="B79" t="str">
            <v>NWA FAYETTEVILLE</v>
          </cell>
          <cell r="C79" t="str">
            <v>M10304</v>
          </cell>
          <cell r="D79" t="str">
            <v>NET 5, BT+</v>
          </cell>
          <cell r="E79" t="str">
            <v>F1 - Wells Fargo</v>
          </cell>
          <cell r="F79" t="str">
            <v>Yes</v>
          </cell>
          <cell r="G79" t="str">
            <v>TX</v>
          </cell>
          <cell r="H79">
            <v>8</v>
          </cell>
          <cell r="I79">
            <v>0.66500000000000004</v>
          </cell>
          <cell r="J79" t="str">
            <v>JL Smith</v>
          </cell>
          <cell r="K79" t="str">
            <v>FAYETTEVILLE</v>
          </cell>
          <cell r="L79" t="str">
            <v>AR</v>
          </cell>
          <cell r="M79" t="str">
            <v>800-577-8858</v>
          </cell>
          <cell r="N79" t="str">
            <v>Install spare on bottom trailer on all groundstacks</v>
          </cell>
          <cell r="O79">
            <v>265</v>
          </cell>
          <cell r="P79">
            <v>1139.5</v>
          </cell>
          <cell r="Q79"/>
          <cell r="R79">
            <v>0</v>
          </cell>
          <cell r="S79"/>
          <cell r="T79">
            <v>0</v>
          </cell>
          <cell r="U79">
            <v>270</v>
          </cell>
          <cell r="V79">
            <v>1161</v>
          </cell>
          <cell r="W79">
            <v>378</v>
          </cell>
          <cell r="X79">
            <v>1625.3999999999999</v>
          </cell>
          <cell r="Y79"/>
          <cell r="Z79">
            <v>0</v>
          </cell>
          <cell r="AA79"/>
          <cell r="AB79">
            <v>0</v>
          </cell>
          <cell r="AC79"/>
          <cell r="AD79">
            <v>0</v>
          </cell>
          <cell r="AE79"/>
          <cell r="AF79"/>
          <cell r="AG79"/>
          <cell r="AH79"/>
          <cell r="AI79"/>
          <cell r="AJ79">
            <v>0.02</v>
          </cell>
          <cell r="AK79" t="str">
            <v>3P</v>
          </cell>
          <cell r="AL79">
            <v>151</v>
          </cell>
          <cell r="AM79">
            <v>140</v>
          </cell>
          <cell r="AN79" t="str">
            <v>01 Existing Dealer</v>
          </cell>
          <cell r="AO79" t="str">
            <v>South Central</v>
          </cell>
          <cell r="AP79" t="str">
            <v>South</v>
          </cell>
          <cell r="AQ79"/>
          <cell r="AR79">
            <v>49620</v>
          </cell>
          <cell r="AS79">
            <v>0</v>
          </cell>
        </row>
        <row r="80">
          <cell r="A80" t="str">
            <v>10589F</v>
          </cell>
          <cell r="B80" t="str">
            <v>PETTIT MACHINERY, INC.</v>
          </cell>
          <cell r="C80" t="str">
            <v>M10324</v>
          </cell>
          <cell r="D80" t="str">
            <v>Return Mail, no pink card</v>
          </cell>
          <cell r="E80" t="str">
            <v>RM</v>
          </cell>
          <cell r="F80" t="str">
            <v>Yes</v>
          </cell>
          <cell r="G80" t="str">
            <v>TX</v>
          </cell>
          <cell r="H80">
            <v>7</v>
          </cell>
          <cell r="I80">
            <v>0.66500000000000004</v>
          </cell>
          <cell r="J80" t="str">
            <v>Orphaned Acct</v>
          </cell>
          <cell r="K80" t="str">
            <v>DEQUEEN</v>
          </cell>
          <cell r="L80" t="str">
            <v>AR</v>
          </cell>
          <cell r="M80" t="str">
            <v>800-577-8858</v>
          </cell>
          <cell r="N80"/>
          <cell r="O80">
            <v>87</v>
          </cell>
          <cell r="P80">
            <v>374.09999999999997</v>
          </cell>
          <cell r="Q80"/>
          <cell r="R80">
            <v>0</v>
          </cell>
          <cell r="S80"/>
          <cell r="T80">
            <v>0</v>
          </cell>
          <cell r="U80">
            <v>159</v>
          </cell>
          <cell r="V80">
            <v>683.69999999999993</v>
          </cell>
          <cell r="W80">
            <v>167</v>
          </cell>
          <cell r="X80">
            <v>718.1</v>
          </cell>
          <cell r="Y80"/>
          <cell r="Z80">
            <v>0</v>
          </cell>
          <cell r="AA80"/>
          <cell r="AB80">
            <v>0</v>
          </cell>
          <cell r="AC80"/>
          <cell r="AD80">
            <v>0</v>
          </cell>
          <cell r="AE80"/>
          <cell r="AF80"/>
          <cell r="AG80"/>
          <cell r="AH80"/>
          <cell r="AI80"/>
          <cell r="AJ80">
            <v>0</v>
          </cell>
          <cell r="AK80" t="str">
            <v>3P</v>
          </cell>
          <cell r="AL80">
            <v>213</v>
          </cell>
          <cell r="AM80">
            <v>443</v>
          </cell>
          <cell r="AN80" t="str">
            <v>08 Inactive Dealer</v>
          </cell>
          <cell r="AO80" t="str">
            <v>South Central</v>
          </cell>
          <cell r="AP80" t="str">
            <v>South</v>
          </cell>
          <cell r="AQ80"/>
          <cell r="AR80">
            <v>0</v>
          </cell>
          <cell r="AS80">
            <v>0</v>
          </cell>
        </row>
        <row r="81">
          <cell r="A81" t="str">
            <v>10589G</v>
          </cell>
          <cell r="B81" t="str">
            <v>PETTIT MACHINERY, INC.</v>
          </cell>
          <cell r="C81" t="str">
            <v>M10324</v>
          </cell>
          <cell r="D81" t="str">
            <v>Return Mail, no pink card</v>
          </cell>
          <cell r="E81" t="str">
            <v>RM</v>
          </cell>
          <cell r="F81" t="str">
            <v>Yes</v>
          </cell>
          <cell r="G81" t="str">
            <v>TX</v>
          </cell>
          <cell r="H81">
            <v>7</v>
          </cell>
          <cell r="I81">
            <v>0.66500000000000004</v>
          </cell>
          <cell r="J81" t="str">
            <v>Orphaned Acct</v>
          </cell>
          <cell r="K81" t="str">
            <v>HOPE</v>
          </cell>
          <cell r="L81" t="str">
            <v>AR</v>
          </cell>
          <cell r="M81" t="str">
            <v>800-577-8858</v>
          </cell>
          <cell r="N81"/>
          <cell r="O81">
            <v>95</v>
          </cell>
          <cell r="P81">
            <v>408.5</v>
          </cell>
          <cell r="Q81"/>
          <cell r="R81">
            <v>0</v>
          </cell>
          <cell r="S81"/>
          <cell r="T81">
            <v>0</v>
          </cell>
          <cell r="U81">
            <v>224</v>
          </cell>
          <cell r="V81">
            <v>963.19999999999993</v>
          </cell>
          <cell r="W81">
            <v>175</v>
          </cell>
          <cell r="X81">
            <v>752.5</v>
          </cell>
          <cell r="Y81"/>
          <cell r="Z81">
            <v>0</v>
          </cell>
          <cell r="AA81"/>
          <cell r="AB81">
            <v>0</v>
          </cell>
          <cell r="AC81"/>
          <cell r="AD81">
            <v>0</v>
          </cell>
          <cell r="AE81"/>
          <cell r="AF81"/>
          <cell r="AG81"/>
          <cell r="AH81"/>
          <cell r="AI81"/>
          <cell r="AJ81">
            <v>0</v>
          </cell>
          <cell r="AK81" t="str">
            <v>3P</v>
          </cell>
          <cell r="AL81">
            <v>213</v>
          </cell>
          <cell r="AM81">
            <v>443</v>
          </cell>
          <cell r="AN81" t="str">
            <v>08 Inactive Dealer</v>
          </cell>
          <cell r="AO81" t="str">
            <v>South Central</v>
          </cell>
          <cell r="AP81" t="str">
            <v>South</v>
          </cell>
          <cell r="AQ81"/>
          <cell r="AR81">
            <v>0</v>
          </cell>
          <cell r="AS81">
            <v>0</v>
          </cell>
        </row>
        <row r="82">
          <cell r="A82" t="str">
            <v>10589H</v>
          </cell>
          <cell r="B82" t="str">
            <v>PETTIT MACHINERY, INC.</v>
          </cell>
          <cell r="C82" t="str">
            <v>M10324</v>
          </cell>
          <cell r="D82" t="str">
            <v>Return Mail, no pink card</v>
          </cell>
          <cell r="E82" t="str">
            <v>RM</v>
          </cell>
          <cell r="F82" t="str">
            <v>Yes</v>
          </cell>
          <cell r="G82" t="str">
            <v>TX</v>
          </cell>
          <cell r="H82">
            <v>7</v>
          </cell>
          <cell r="I82">
            <v>0.66500000000000004</v>
          </cell>
          <cell r="J82" t="str">
            <v>Orphaned Acct</v>
          </cell>
          <cell r="K82" t="str">
            <v>MAGNOLIA</v>
          </cell>
          <cell r="L82" t="str">
            <v>AR</v>
          </cell>
          <cell r="M82" t="str">
            <v>800-577-8858</v>
          </cell>
          <cell r="N82"/>
          <cell r="O82">
            <v>119</v>
          </cell>
          <cell r="P82">
            <v>511.7</v>
          </cell>
          <cell r="Q82"/>
          <cell r="R82">
            <v>0</v>
          </cell>
          <cell r="S82"/>
          <cell r="T82">
            <v>0</v>
          </cell>
          <cell r="U82">
            <v>248</v>
          </cell>
          <cell r="V82">
            <v>1066.3999999999999</v>
          </cell>
          <cell r="W82">
            <v>199</v>
          </cell>
          <cell r="X82">
            <v>855.69999999999993</v>
          </cell>
          <cell r="Y82"/>
          <cell r="Z82">
            <v>0</v>
          </cell>
          <cell r="AA82"/>
          <cell r="AB82">
            <v>0</v>
          </cell>
          <cell r="AC82"/>
          <cell r="AD82">
            <v>0</v>
          </cell>
          <cell r="AE82"/>
          <cell r="AF82"/>
          <cell r="AG82"/>
          <cell r="AH82"/>
          <cell r="AI82"/>
          <cell r="AJ82">
            <v>0</v>
          </cell>
          <cell r="AK82" t="str">
            <v>3P</v>
          </cell>
          <cell r="AL82">
            <v>213</v>
          </cell>
          <cell r="AM82">
            <v>125</v>
          </cell>
          <cell r="AN82" t="str">
            <v>08 Inactive Dealer</v>
          </cell>
          <cell r="AO82" t="str">
            <v>South Central</v>
          </cell>
          <cell r="AP82" t="str">
            <v>South</v>
          </cell>
          <cell r="AQ82"/>
          <cell r="AR82">
            <v>0</v>
          </cell>
          <cell r="AS82">
            <v>0</v>
          </cell>
        </row>
        <row r="83">
          <cell r="A83">
            <v>12779</v>
          </cell>
          <cell r="B83" t="str">
            <v>SILVER MOON</v>
          </cell>
          <cell r="C83" t="str">
            <v>M10373</v>
          </cell>
          <cell r="D83" t="str">
            <v>NET 5, BT+</v>
          </cell>
          <cell r="E83" t="str">
            <v>F3 - Wells Fargo</v>
          </cell>
          <cell r="F83" t="str">
            <v>Yes</v>
          </cell>
          <cell r="G83" t="str">
            <v>TX</v>
          </cell>
          <cell r="H83">
            <v>8</v>
          </cell>
          <cell r="I83">
            <v>0.66500000000000004</v>
          </cell>
          <cell r="J83" t="str">
            <v>Dakota Nation</v>
          </cell>
          <cell r="K83" t="str">
            <v>JONESBORO</v>
          </cell>
          <cell r="L83" t="str">
            <v>AR</v>
          </cell>
          <cell r="M83" t="str">
            <v>800-577-8858</v>
          </cell>
          <cell r="N83"/>
          <cell r="O83">
            <v>332</v>
          </cell>
          <cell r="P83">
            <v>1427.6</v>
          </cell>
          <cell r="Q83"/>
          <cell r="R83">
            <v>0</v>
          </cell>
          <cell r="S83"/>
          <cell r="T83">
            <v>0</v>
          </cell>
          <cell r="U83">
            <v>464</v>
          </cell>
          <cell r="V83">
            <v>1995.1999999999998</v>
          </cell>
          <cell r="W83">
            <v>412</v>
          </cell>
          <cell r="X83">
            <v>1771.6</v>
          </cell>
          <cell r="Y83"/>
          <cell r="Z83">
            <v>0</v>
          </cell>
          <cell r="AA83"/>
          <cell r="AB83">
            <v>0</v>
          </cell>
          <cell r="AC83"/>
          <cell r="AD83">
            <v>0</v>
          </cell>
          <cell r="AE83"/>
          <cell r="AF83"/>
          <cell r="AG83"/>
          <cell r="AH83"/>
          <cell r="AI83"/>
          <cell r="AJ83">
            <v>1.4999999999999999E-2</v>
          </cell>
          <cell r="AK83" t="str">
            <v>3P</v>
          </cell>
          <cell r="AL83">
            <v>223</v>
          </cell>
          <cell r="AM83">
            <v>219</v>
          </cell>
          <cell r="AN83" t="str">
            <v>01 Existing Dealer</v>
          </cell>
          <cell r="AO83" t="str">
            <v>South Central</v>
          </cell>
          <cell r="AP83" t="str">
            <v>South</v>
          </cell>
          <cell r="AQ83"/>
          <cell r="AR83">
            <v>111915</v>
          </cell>
          <cell r="AS83">
            <v>0</v>
          </cell>
        </row>
        <row r="84">
          <cell r="A84">
            <v>10449</v>
          </cell>
          <cell r="B84" t="str">
            <v>SILVER MOON</v>
          </cell>
          <cell r="C84" t="str">
            <v>M10373</v>
          </cell>
          <cell r="D84" t="str">
            <v>NET 5, BT+</v>
          </cell>
          <cell r="E84" t="str">
            <v>CO</v>
          </cell>
          <cell r="F84" t="str">
            <v>Yes</v>
          </cell>
          <cell r="G84" t="str">
            <v>TX</v>
          </cell>
          <cell r="H84">
            <v>7</v>
          </cell>
          <cell r="I84">
            <v>0.66500000000000004</v>
          </cell>
          <cell r="J84" t="str">
            <v>Dakota Nation</v>
          </cell>
          <cell r="K84" t="str">
            <v>JONESBORO</v>
          </cell>
          <cell r="L84" t="str">
            <v>AR</v>
          </cell>
          <cell r="M84" t="str">
            <v>800-577-8858</v>
          </cell>
          <cell r="N84"/>
          <cell r="O84">
            <v>332</v>
          </cell>
          <cell r="P84">
            <v>1427.6</v>
          </cell>
          <cell r="Q84"/>
          <cell r="R84">
            <v>0</v>
          </cell>
          <cell r="S84"/>
          <cell r="T84">
            <v>0</v>
          </cell>
          <cell r="U84">
            <v>464</v>
          </cell>
          <cell r="V84">
            <v>1995.1999999999998</v>
          </cell>
          <cell r="W84">
            <v>412</v>
          </cell>
          <cell r="X84">
            <v>1771.6</v>
          </cell>
          <cell r="Y84"/>
          <cell r="Z84">
            <v>0</v>
          </cell>
          <cell r="AA84"/>
          <cell r="AB84">
            <v>0</v>
          </cell>
          <cell r="AC84"/>
          <cell r="AD84">
            <v>0</v>
          </cell>
          <cell r="AE84"/>
          <cell r="AF84"/>
          <cell r="AG84"/>
          <cell r="AH84"/>
          <cell r="AI84"/>
          <cell r="AJ84">
            <v>1.4999999999999999E-2</v>
          </cell>
          <cell r="AK84" t="str">
            <v>3P</v>
          </cell>
          <cell r="AL84">
            <v>223</v>
          </cell>
          <cell r="AM84">
            <v>219</v>
          </cell>
          <cell r="AN84" t="str">
            <v>01 Existing Dealer</v>
          </cell>
          <cell r="AO84" t="str">
            <v>South Central</v>
          </cell>
          <cell r="AP84" t="str">
            <v>South</v>
          </cell>
          <cell r="AQ84"/>
          <cell r="AR84">
            <v>0</v>
          </cell>
          <cell r="AS84">
            <v>0</v>
          </cell>
        </row>
        <row r="85">
          <cell r="A85">
            <v>10502</v>
          </cell>
          <cell r="B85" t="str">
            <v>THE TRAILER STORE</v>
          </cell>
          <cell r="C85"/>
          <cell r="D85" t="str">
            <v>NET 5, BT+</v>
          </cell>
          <cell r="E85" t="str">
            <v>FP - Wells Fargo</v>
          </cell>
          <cell r="F85" t="str">
            <v>Yes</v>
          </cell>
          <cell r="G85" t="str">
            <v>TX</v>
          </cell>
          <cell r="H85">
            <v>6</v>
          </cell>
          <cell r="I85">
            <v>0.66500000000000004</v>
          </cell>
          <cell r="J85" t="str">
            <v>House</v>
          </cell>
          <cell r="K85" t="str">
            <v>MORRILTON</v>
          </cell>
          <cell r="L85" t="str">
            <v>AR</v>
          </cell>
          <cell r="M85" t="str">
            <v>800-577-8858</v>
          </cell>
          <cell r="N85"/>
          <cell r="O85">
            <v>247</v>
          </cell>
          <cell r="P85">
            <v>1062.0999999999999</v>
          </cell>
          <cell r="Q85"/>
          <cell r="R85">
            <v>0</v>
          </cell>
          <cell r="S85"/>
          <cell r="T85">
            <v>0</v>
          </cell>
          <cell r="U85">
            <v>315</v>
          </cell>
          <cell r="V85">
            <v>1354.5</v>
          </cell>
          <cell r="W85"/>
          <cell r="X85">
            <v>0</v>
          </cell>
          <cell r="Y85"/>
          <cell r="Z85">
            <v>0</v>
          </cell>
          <cell r="AA85"/>
          <cell r="AB85">
            <v>0</v>
          </cell>
          <cell r="AC85"/>
          <cell r="AD85">
            <v>0</v>
          </cell>
          <cell r="AE85"/>
          <cell r="AF85"/>
          <cell r="AG85"/>
          <cell r="AH85"/>
          <cell r="AI85"/>
          <cell r="AJ85">
            <v>0</v>
          </cell>
          <cell r="AK85" t="str">
            <v>3P</v>
          </cell>
          <cell r="AL85">
            <v>400</v>
          </cell>
          <cell r="AM85">
            <v>257</v>
          </cell>
          <cell r="AN85" t="str">
            <v>08 Inactive Dealer</v>
          </cell>
          <cell r="AO85" t="str">
            <v>South Central</v>
          </cell>
          <cell r="AP85" t="str">
            <v>South</v>
          </cell>
          <cell r="AQ85"/>
          <cell r="AR85">
            <v>0</v>
          </cell>
          <cell r="AS85">
            <v>0</v>
          </cell>
        </row>
        <row r="86">
          <cell r="A86">
            <v>12161</v>
          </cell>
          <cell r="B86" t="str">
            <v>THE TRAILER STORE</v>
          </cell>
          <cell r="C86"/>
          <cell r="D86" t="str">
            <v>NET 5, BT+</v>
          </cell>
          <cell r="E86" t="str">
            <v>C6</v>
          </cell>
          <cell r="F86" t="str">
            <v>No</v>
          </cell>
          <cell r="G86" t="str">
            <v>TX</v>
          </cell>
          <cell r="H86">
            <v>9</v>
          </cell>
          <cell r="I86">
            <v>0.66500000000000004</v>
          </cell>
          <cell r="J86" t="str">
            <v>House</v>
          </cell>
          <cell r="K86" t="str">
            <v>MORRILTON</v>
          </cell>
          <cell r="L86" t="str">
            <v>AR</v>
          </cell>
          <cell r="M86" t="str">
            <v>800-577-8858</v>
          </cell>
          <cell r="N86"/>
          <cell r="O86">
            <v>247</v>
          </cell>
          <cell r="P86">
            <v>1062.0999999999999</v>
          </cell>
          <cell r="Q86"/>
          <cell r="R86">
            <v>0</v>
          </cell>
          <cell r="S86"/>
          <cell r="T86">
            <v>0</v>
          </cell>
          <cell r="U86">
            <v>315</v>
          </cell>
          <cell r="V86">
            <v>1354.5</v>
          </cell>
          <cell r="W86"/>
          <cell r="X86">
            <v>0</v>
          </cell>
          <cell r="Y86"/>
          <cell r="Z86">
            <v>0</v>
          </cell>
          <cell r="AA86"/>
          <cell r="AB86">
            <v>0</v>
          </cell>
          <cell r="AC86"/>
          <cell r="AD86">
            <v>0</v>
          </cell>
          <cell r="AE86"/>
          <cell r="AF86"/>
          <cell r="AG86"/>
          <cell r="AH86"/>
          <cell r="AI86"/>
          <cell r="AJ86">
            <v>0</v>
          </cell>
          <cell r="AK86" t="str">
            <v>3P</v>
          </cell>
          <cell r="AL86">
            <v>400</v>
          </cell>
          <cell r="AM86">
            <v>257</v>
          </cell>
          <cell r="AN86" t="str">
            <v>08 Inactive Dealer</v>
          </cell>
          <cell r="AO86" t="str">
            <v>South Central</v>
          </cell>
          <cell r="AP86" t="str">
            <v>South</v>
          </cell>
          <cell r="AQ86"/>
          <cell r="AR86">
            <v>0</v>
          </cell>
          <cell r="AS86">
            <v>0</v>
          </cell>
        </row>
        <row r="87">
          <cell r="A87">
            <v>11593</v>
          </cell>
          <cell r="B87" t="str">
            <v>TIMBERLINE</v>
          </cell>
          <cell r="C87" t="str">
            <v>M10409</v>
          </cell>
          <cell r="D87" t="str">
            <v>NET 5, BT+</v>
          </cell>
          <cell r="E87" t="str">
            <v>FP - Wells Fargo</v>
          </cell>
          <cell r="F87" t="str">
            <v>Yes</v>
          </cell>
          <cell r="G87" t="str">
            <v>TX</v>
          </cell>
          <cell r="H87">
            <v>8</v>
          </cell>
          <cell r="I87">
            <v>0.66500000000000004</v>
          </cell>
          <cell r="J87" t="str">
            <v>Orphaned Acct</v>
          </cell>
          <cell r="K87" t="str">
            <v>HOT SPRINGS</v>
          </cell>
          <cell r="L87" t="str">
            <v>AR</v>
          </cell>
          <cell r="M87" t="str">
            <v>800-577-8858</v>
          </cell>
          <cell r="N87"/>
          <cell r="O87">
            <v>171</v>
          </cell>
          <cell r="P87">
            <v>735.3</v>
          </cell>
          <cell r="Q87"/>
          <cell r="R87">
            <v>0</v>
          </cell>
          <cell r="S87"/>
          <cell r="T87">
            <v>0</v>
          </cell>
          <cell r="U87">
            <v>246</v>
          </cell>
          <cell r="V87">
            <v>1057.8</v>
          </cell>
          <cell r="W87">
            <v>251</v>
          </cell>
          <cell r="X87">
            <v>1079.3</v>
          </cell>
          <cell r="Y87"/>
          <cell r="Z87">
            <v>0</v>
          </cell>
          <cell r="AA87"/>
          <cell r="AB87">
            <v>0</v>
          </cell>
          <cell r="AC87"/>
          <cell r="AD87">
            <v>0</v>
          </cell>
          <cell r="AE87"/>
          <cell r="AF87"/>
          <cell r="AG87"/>
          <cell r="AH87"/>
          <cell r="AI87"/>
          <cell r="AJ87">
            <v>0</v>
          </cell>
          <cell r="AK87" t="str">
            <v>3P</v>
          </cell>
          <cell r="AL87">
            <v>213</v>
          </cell>
          <cell r="AM87">
            <v>193</v>
          </cell>
          <cell r="AN87" t="str">
            <v>01 Existing Dealer</v>
          </cell>
          <cell r="AO87" t="str">
            <v>South Central</v>
          </cell>
          <cell r="AP87" t="str">
            <v>South</v>
          </cell>
          <cell r="AQ87"/>
          <cell r="AR87">
            <v>0</v>
          </cell>
          <cell r="AS87">
            <v>0</v>
          </cell>
        </row>
        <row r="88">
          <cell r="A88" t="str">
            <v>11593A</v>
          </cell>
          <cell r="B88" t="str">
            <v>TIMBERLINE</v>
          </cell>
          <cell r="C88" t="str">
            <v>M10409</v>
          </cell>
          <cell r="D88" t="str">
            <v>NET 5, BT+</v>
          </cell>
          <cell r="E88" t="str">
            <v>FP - Wells Fargo</v>
          </cell>
          <cell r="F88" t="str">
            <v>Yes</v>
          </cell>
          <cell r="G88" t="str">
            <v>TX</v>
          </cell>
          <cell r="H88">
            <v>8</v>
          </cell>
          <cell r="I88">
            <v>0.66500000000000004</v>
          </cell>
          <cell r="J88" t="str">
            <v>Orphaned Acct</v>
          </cell>
          <cell r="K88" t="str">
            <v>GLENWOOD</v>
          </cell>
          <cell r="L88" t="str">
            <v>AR</v>
          </cell>
          <cell r="M88" t="str">
            <v>800-577-8858</v>
          </cell>
          <cell r="N88"/>
          <cell r="O88">
            <v>154</v>
          </cell>
          <cell r="P88">
            <v>662.19999999999993</v>
          </cell>
          <cell r="Q88"/>
          <cell r="R88">
            <v>0</v>
          </cell>
          <cell r="S88"/>
          <cell r="T88">
            <v>0</v>
          </cell>
          <cell r="U88">
            <v>214</v>
          </cell>
          <cell r="V88">
            <v>920.19999999999993</v>
          </cell>
          <cell r="W88">
            <v>234</v>
          </cell>
          <cell r="X88">
            <v>1006.1999999999999</v>
          </cell>
          <cell r="Y88"/>
          <cell r="Z88">
            <v>0</v>
          </cell>
          <cell r="AA88"/>
          <cell r="AB88">
            <v>0</v>
          </cell>
          <cell r="AC88"/>
          <cell r="AD88">
            <v>0</v>
          </cell>
          <cell r="AE88"/>
          <cell r="AF88"/>
          <cell r="AG88"/>
          <cell r="AH88"/>
          <cell r="AI88"/>
          <cell r="AJ88">
            <v>0</v>
          </cell>
          <cell r="AK88" t="str">
            <v>3P</v>
          </cell>
          <cell r="AL88">
            <v>213</v>
          </cell>
          <cell r="AM88">
            <v>193</v>
          </cell>
          <cell r="AN88" t="str">
            <v>01 Existing Dealer</v>
          </cell>
          <cell r="AO88" t="str">
            <v>South Central</v>
          </cell>
          <cell r="AP88" t="str">
            <v>South</v>
          </cell>
          <cell r="AQ88"/>
          <cell r="AR88">
            <v>0</v>
          </cell>
          <cell r="AS88">
            <v>0</v>
          </cell>
        </row>
        <row r="89">
          <cell r="A89">
            <v>10077</v>
          </cell>
          <cell r="B89" t="str">
            <v>TW BENTON</v>
          </cell>
          <cell r="C89" t="str">
            <v>M10085</v>
          </cell>
          <cell r="D89" t="str">
            <v>Net 30, no pink card</v>
          </cell>
          <cell r="E89">
            <v>30</v>
          </cell>
          <cell r="F89" t="str">
            <v>Yes</v>
          </cell>
          <cell r="G89" t="str">
            <v>TX</v>
          </cell>
          <cell r="H89">
            <v>10</v>
          </cell>
          <cell r="I89">
            <v>0.66500000000000004</v>
          </cell>
          <cell r="J89" t="str">
            <v>Jake McEntee</v>
          </cell>
          <cell r="K89" t="str">
            <v>BENTON</v>
          </cell>
          <cell r="L89" t="str">
            <v>AR</v>
          </cell>
          <cell r="M89" t="str">
            <v>800-577-8858</v>
          </cell>
          <cell r="N89"/>
          <cell r="O89">
            <v>181</v>
          </cell>
          <cell r="P89">
            <v>778.3</v>
          </cell>
          <cell r="Q89">
            <v>683</v>
          </cell>
          <cell r="R89">
            <v>2936.9</v>
          </cell>
          <cell r="S89"/>
          <cell r="T89">
            <v>0</v>
          </cell>
          <cell r="U89">
            <v>277</v>
          </cell>
          <cell r="V89">
            <v>1191.0999999999999</v>
          </cell>
          <cell r="W89">
            <v>261</v>
          </cell>
          <cell r="X89">
            <v>1122.3</v>
          </cell>
          <cell r="Y89"/>
          <cell r="Z89">
            <v>0</v>
          </cell>
          <cell r="AA89"/>
          <cell r="AB89">
            <v>0</v>
          </cell>
          <cell r="AC89"/>
          <cell r="AD89">
            <v>0</v>
          </cell>
          <cell r="AE89">
            <v>2.4E-2</v>
          </cell>
          <cell r="AF89"/>
          <cell r="AG89">
            <v>2.5569999999999999E-2</v>
          </cell>
          <cell r="AH89">
            <v>2.5569999999999999E-2</v>
          </cell>
          <cell r="AI89">
            <v>2.5569999999999999E-2</v>
          </cell>
          <cell r="AJ89">
            <v>0.04</v>
          </cell>
          <cell r="AK89" t="str">
            <v>TW</v>
          </cell>
          <cell r="AL89">
            <v>161</v>
          </cell>
          <cell r="AM89">
            <v>257</v>
          </cell>
          <cell r="AN89" t="str">
            <v>04 Co.Store</v>
          </cell>
          <cell r="AO89" t="str">
            <v>South Central</v>
          </cell>
          <cell r="AP89" t="str">
            <v>South</v>
          </cell>
          <cell r="AQ89"/>
          <cell r="AR89">
            <v>86237</v>
          </cell>
          <cell r="AS89">
            <v>260218</v>
          </cell>
        </row>
        <row r="90">
          <cell r="A90">
            <v>12715</v>
          </cell>
          <cell r="B90" t="str">
            <v>TW THE TRAILER STORE</v>
          </cell>
          <cell r="C90"/>
          <cell r="D90" t="str">
            <v>Net 30, no pink card</v>
          </cell>
          <cell r="E90">
            <v>30</v>
          </cell>
          <cell r="F90" t="str">
            <v>Yes</v>
          </cell>
          <cell r="G90" t="str">
            <v>TX</v>
          </cell>
          <cell r="H90">
            <v>6</v>
          </cell>
          <cell r="I90">
            <v>0.66500000000000004</v>
          </cell>
          <cell r="J90" t="str">
            <v>Orphaned Acct</v>
          </cell>
          <cell r="K90" t="str">
            <v>ATKINS</v>
          </cell>
          <cell r="L90" t="str">
            <v>AR</v>
          </cell>
          <cell r="M90" t="str">
            <v>800-577-8858</v>
          </cell>
          <cell r="N90"/>
          <cell r="O90">
            <v>261</v>
          </cell>
          <cell r="P90">
            <v>1122.3</v>
          </cell>
          <cell r="Q90"/>
          <cell r="R90">
            <v>0</v>
          </cell>
          <cell r="S90"/>
          <cell r="T90">
            <v>0</v>
          </cell>
          <cell r="U90">
            <v>303</v>
          </cell>
          <cell r="V90">
            <v>1302.8999999999999</v>
          </cell>
          <cell r="W90">
            <v>341</v>
          </cell>
          <cell r="X90">
            <v>1466.3</v>
          </cell>
          <cell r="Y90"/>
          <cell r="Z90">
            <v>0</v>
          </cell>
          <cell r="AA90"/>
          <cell r="AB90">
            <v>0</v>
          </cell>
          <cell r="AC90"/>
          <cell r="AD90">
            <v>0</v>
          </cell>
          <cell r="AE90">
            <v>0</v>
          </cell>
          <cell r="AF90"/>
          <cell r="AG90">
            <v>0</v>
          </cell>
          <cell r="AH90">
            <v>3.0450000000000001E-2</v>
          </cell>
          <cell r="AI90">
            <v>3.0450000000000001E-2</v>
          </cell>
          <cell r="AJ90">
            <v>0.01</v>
          </cell>
          <cell r="AK90"/>
          <cell r="AL90">
            <v>213</v>
          </cell>
          <cell r="AM90">
            <v>387</v>
          </cell>
          <cell r="AN90" t="str">
            <v>09 Inactive Co Store</v>
          </cell>
          <cell r="AO90" t="str">
            <v>South Central</v>
          </cell>
          <cell r="AP90" t="str">
            <v>South</v>
          </cell>
          <cell r="AQ90"/>
          <cell r="AR90">
            <v>0</v>
          </cell>
          <cell r="AS90">
            <v>0</v>
          </cell>
        </row>
        <row r="91">
          <cell r="A91" t="str">
            <v>13092U</v>
          </cell>
          <cell r="B91" t="str">
            <v>UNITED AG</v>
          </cell>
          <cell r="C91" t="str">
            <v>M10981</v>
          </cell>
          <cell r="D91" t="str">
            <v>Net 30, no pink card</v>
          </cell>
          <cell r="E91">
            <v>30</v>
          </cell>
          <cell r="F91" t="str">
            <v>See Note</v>
          </cell>
          <cell r="G91" t="str">
            <v>TX</v>
          </cell>
          <cell r="H91">
            <v>5</v>
          </cell>
          <cell r="I91">
            <v>0.66500000000000004</v>
          </cell>
          <cell r="J91" t="str">
            <v>Dakota Nation</v>
          </cell>
          <cell r="K91" t="str">
            <v>TEXARKANA</v>
          </cell>
          <cell r="L91" t="str">
            <v>AR</v>
          </cell>
          <cell r="M91" t="str">
            <v>800-577-8858</v>
          </cell>
          <cell r="N91" t="str">
            <v>Send copy of invoices w/driver. Mail MSO's and invoices to Ardmore, OK</v>
          </cell>
          <cell r="O91">
            <v>65</v>
          </cell>
          <cell r="P91">
            <v>279.5</v>
          </cell>
          <cell r="Q91"/>
          <cell r="R91">
            <v>0</v>
          </cell>
          <cell r="S91"/>
          <cell r="T91">
            <v>0</v>
          </cell>
          <cell r="U91">
            <v>202</v>
          </cell>
          <cell r="V91">
            <v>868.59999999999991</v>
          </cell>
          <cell r="W91">
            <v>147</v>
          </cell>
          <cell r="X91">
            <v>632.1</v>
          </cell>
          <cell r="Y91"/>
          <cell r="Z91">
            <v>0</v>
          </cell>
          <cell r="AA91"/>
          <cell r="AB91">
            <v>0</v>
          </cell>
          <cell r="AC91"/>
          <cell r="AD91">
            <v>0</v>
          </cell>
          <cell r="AE91"/>
          <cell r="AF91"/>
          <cell r="AG91"/>
          <cell r="AH91"/>
          <cell r="AI91"/>
          <cell r="AJ91">
            <v>0</v>
          </cell>
          <cell r="AK91" t="str">
            <v>3P</v>
          </cell>
          <cell r="AL91">
            <v>223</v>
          </cell>
          <cell r="AM91">
            <v>443</v>
          </cell>
          <cell r="AN91" t="str">
            <v>01 Existing Dealer</v>
          </cell>
          <cell r="AO91" t="str">
            <v>South Central</v>
          </cell>
          <cell r="AP91" t="str">
            <v>South</v>
          </cell>
          <cell r="AQ91"/>
          <cell r="AR91">
            <v>0</v>
          </cell>
          <cell r="AS91">
            <v>0</v>
          </cell>
        </row>
        <row r="92">
          <cell r="A92" t="str">
            <v>13092#</v>
          </cell>
          <cell r="B92" t="str">
            <v>UNITED AG</v>
          </cell>
          <cell r="C92" t="str">
            <v>M10981</v>
          </cell>
          <cell r="D92" t="str">
            <v>Net 30, no pink card</v>
          </cell>
          <cell r="E92">
            <v>30</v>
          </cell>
          <cell r="F92" t="str">
            <v>See Note</v>
          </cell>
          <cell r="G92" t="str">
            <v>TX</v>
          </cell>
          <cell r="H92">
            <v>5</v>
          </cell>
          <cell r="I92">
            <v>0.66500000000000004</v>
          </cell>
          <cell r="J92" t="str">
            <v>Dakota Nation</v>
          </cell>
          <cell r="K92" t="str">
            <v>DEQUEEN</v>
          </cell>
          <cell r="L92" t="str">
            <v>AR</v>
          </cell>
          <cell r="M92" t="str">
            <v>800-577-8858</v>
          </cell>
          <cell r="N92" t="str">
            <v>Send copy of invoices w/driver. Mail MSO's and invoices to Ardmore, OK</v>
          </cell>
          <cell r="O92">
            <v>83</v>
          </cell>
          <cell r="P92">
            <v>356.9</v>
          </cell>
          <cell r="Q92"/>
          <cell r="R92">
            <v>0</v>
          </cell>
          <cell r="S92"/>
          <cell r="T92">
            <v>0</v>
          </cell>
          <cell r="U92">
            <v>166</v>
          </cell>
          <cell r="V92">
            <v>713.8</v>
          </cell>
          <cell r="W92">
            <v>165</v>
          </cell>
          <cell r="X92">
            <v>709.5</v>
          </cell>
          <cell r="Y92"/>
          <cell r="Z92">
            <v>0</v>
          </cell>
          <cell r="AA92"/>
          <cell r="AB92">
            <v>0</v>
          </cell>
          <cell r="AC92"/>
          <cell r="AD92">
            <v>0</v>
          </cell>
          <cell r="AE92"/>
          <cell r="AF92"/>
          <cell r="AG92"/>
          <cell r="AH92"/>
          <cell r="AI92"/>
          <cell r="AJ92">
            <v>0</v>
          </cell>
          <cell r="AK92" t="str">
            <v>3P</v>
          </cell>
          <cell r="AL92">
            <v>223</v>
          </cell>
          <cell r="AM92">
            <v>443</v>
          </cell>
          <cell r="AN92" t="str">
            <v>01 Existing Dealer</v>
          </cell>
          <cell r="AO92" t="str">
            <v>South Central</v>
          </cell>
          <cell r="AP92" t="str">
            <v>South</v>
          </cell>
          <cell r="AQ92"/>
          <cell r="AR92">
            <v>0</v>
          </cell>
          <cell r="AS92">
            <v>0</v>
          </cell>
        </row>
        <row r="93">
          <cell r="A93" t="str">
            <v>13092$</v>
          </cell>
          <cell r="B93" t="str">
            <v>UNITED AG</v>
          </cell>
          <cell r="C93" t="str">
            <v>M10981</v>
          </cell>
          <cell r="D93" t="str">
            <v>Net 30, no pink card</v>
          </cell>
          <cell r="E93">
            <v>30</v>
          </cell>
          <cell r="F93" t="str">
            <v>See Note</v>
          </cell>
          <cell r="G93" t="str">
            <v>TX</v>
          </cell>
          <cell r="H93">
            <v>5</v>
          </cell>
          <cell r="I93">
            <v>0.66500000000000004</v>
          </cell>
          <cell r="J93" t="str">
            <v>Dakota Nation</v>
          </cell>
          <cell r="K93" t="str">
            <v>HOPE</v>
          </cell>
          <cell r="L93" t="str">
            <v>AR</v>
          </cell>
          <cell r="M93" t="str">
            <v>800-577-8858</v>
          </cell>
          <cell r="N93" t="str">
            <v>Send copy of invoices w/driver. Mail MSO's and invoices to Ardmore, OK</v>
          </cell>
          <cell r="O93">
            <v>90</v>
          </cell>
          <cell r="P93">
            <v>387</v>
          </cell>
          <cell r="Q93"/>
          <cell r="R93">
            <v>0</v>
          </cell>
          <cell r="S93"/>
          <cell r="T93">
            <v>0</v>
          </cell>
          <cell r="U93">
            <v>227</v>
          </cell>
          <cell r="V93">
            <v>976.09999999999991</v>
          </cell>
          <cell r="W93">
            <v>172</v>
          </cell>
          <cell r="X93">
            <v>739.6</v>
          </cell>
          <cell r="Y93"/>
          <cell r="Z93">
            <v>0</v>
          </cell>
          <cell r="AA93"/>
          <cell r="AB93">
            <v>0</v>
          </cell>
          <cell r="AC93"/>
          <cell r="AD93">
            <v>0</v>
          </cell>
          <cell r="AE93"/>
          <cell r="AF93"/>
          <cell r="AG93"/>
          <cell r="AH93"/>
          <cell r="AI93"/>
          <cell r="AJ93">
            <v>0</v>
          </cell>
          <cell r="AK93" t="str">
            <v>3P</v>
          </cell>
          <cell r="AL93">
            <v>223</v>
          </cell>
          <cell r="AM93">
            <v>443</v>
          </cell>
          <cell r="AN93" t="str">
            <v>01 Existing Dealer</v>
          </cell>
          <cell r="AO93" t="str">
            <v>South Central</v>
          </cell>
          <cell r="AP93" t="str">
            <v>South</v>
          </cell>
          <cell r="AQ93"/>
          <cell r="AR93">
            <v>0</v>
          </cell>
          <cell r="AS93">
            <v>0</v>
          </cell>
        </row>
        <row r="94">
          <cell r="A94" t="str">
            <v>13092%</v>
          </cell>
          <cell r="B94" t="str">
            <v>UNITED AG</v>
          </cell>
          <cell r="C94" t="str">
            <v>M10981</v>
          </cell>
          <cell r="D94" t="str">
            <v>Net 30, no pink card</v>
          </cell>
          <cell r="E94">
            <v>30</v>
          </cell>
          <cell r="F94" t="str">
            <v>See Note</v>
          </cell>
          <cell r="G94" t="str">
            <v>TX</v>
          </cell>
          <cell r="H94">
            <v>5</v>
          </cell>
          <cell r="I94">
            <v>0.66500000000000004</v>
          </cell>
          <cell r="J94" t="str">
            <v>Dakota Nation</v>
          </cell>
          <cell r="K94" t="str">
            <v>MAGNOLIA</v>
          </cell>
          <cell r="L94" t="str">
            <v>AR</v>
          </cell>
          <cell r="M94" t="str">
            <v>800-577-8858</v>
          </cell>
          <cell r="N94" t="str">
            <v>Send copy of invoices w/driver. Mail MSO's and invoices to Ardmore, OK</v>
          </cell>
          <cell r="O94">
            <v>118</v>
          </cell>
          <cell r="P94">
            <v>507.4</v>
          </cell>
          <cell r="Q94"/>
          <cell r="R94">
            <v>0</v>
          </cell>
          <cell r="S94"/>
          <cell r="T94">
            <v>0</v>
          </cell>
          <cell r="U94">
            <v>256</v>
          </cell>
          <cell r="V94">
            <v>1100.8</v>
          </cell>
          <cell r="W94">
            <v>201</v>
          </cell>
          <cell r="X94">
            <v>864.3</v>
          </cell>
          <cell r="Y94"/>
          <cell r="Z94">
            <v>0</v>
          </cell>
          <cell r="AA94"/>
          <cell r="AB94">
            <v>0</v>
          </cell>
          <cell r="AC94"/>
          <cell r="AD94">
            <v>0</v>
          </cell>
          <cell r="AE94"/>
          <cell r="AF94"/>
          <cell r="AG94"/>
          <cell r="AH94"/>
          <cell r="AI94"/>
          <cell r="AJ94">
            <v>0</v>
          </cell>
          <cell r="AK94" t="str">
            <v>3P</v>
          </cell>
          <cell r="AL94">
            <v>223</v>
          </cell>
          <cell r="AM94">
            <v>125</v>
          </cell>
          <cell r="AN94" t="str">
            <v>01 Existing Dealer</v>
          </cell>
          <cell r="AO94" t="str">
            <v>South Central</v>
          </cell>
          <cell r="AP94" t="str">
            <v>South</v>
          </cell>
          <cell r="AQ94"/>
          <cell r="AR94">
            <v>0</v>
          </cell>
          <cell r="AS94">
            <v>0</v>
          </cell>
        </row>
        <row r="95">
          <cell r="A95">
            <v>11715</v>
          </cell>
          <cell r="B95" t="str">
            <v>WHITE RIVER</v>
          </cell>
          <cell r="C95" t="str">
            <v>M10452</v>
          </cell>
          <cell r="D95" t="str">
            <v>NET 5, BT+</v>
          </cell>
          <cell r="E95" t="str">
            <v>CO</v>
          </cell>
          <cell r="F95" t="str">
            <v>Yes</v>
          </cell>
          <cell r="G95" t="str">
            <v>TX</v>
          </cell>
          <cell r="H95">
            <v>7</v>
          </cell>
          <cell r="I95">
            <v>0.66500000000000004</v>
          </cell>
          <cell r="J95" t="str">
            <v>Orphaned Acct</v>
          </cell>
          <cell r="K95" t="str">
            <v>MELBOURNE</v>
          </cell>
          <cell r="L95" t="str">
            <v>AR</v>
          </cell>
          <cell r="M95" t="str">
            <v>800-577-8858</v>
          </cell>
          <cell r="N95"/>
          <cell r="O95">
            <v>327</v>
          </cell>
          <cell r="P95">
            <v>1406.1</v>
          </cell>
          <cell r="Q95"/>
          <cell r="R95">
            <v>0</v>
          </cell>
          <cell r="S95"/>
          <cell r="T95">
            <v>0</v>
          </cell>
          <cell r="U95">
            <v>415</v>
          </cell>
          <cell r="V95">
            <v>1784.5</v>
          </cell>
          <cell r="W95">
            <v>407</v>
          </cell>
          <cell r="X95">
            <v>1750.1</v>
          </cell>
          <cell r="Y95"/>
          <cell r="Z95">
            <v>0</v>
          </cell>
          <cell r="AA95"/>
          <cell r="AB95">
            <v>0</v>
          </cell>
          <cell r="AC95"/>
          <cell r="AD95">
            <v>0</v>
          </cell>
          <cell r="AE95"/>
          <cell r="AF95"/>
          <cell r="AG95"/>
          <cell r="AH95"/>
          <cell r="AI95"/>
          <cell r="AJ95">
            <v>0</v>
          </cell>
          <cell r="AK95" t="str">
            <v>3P</v>
          </cell>
          <cell r="AL95">
            <v>213</v>
          </cell>
          <cell r="AM95">
            <v>257</v>
          </cell>
          <cell r="AN95" t="str">
            <v>08 Inactive Dealer</v>
          </cell>
          <cell r="AO95" t="str">
            <v>South Central</v>
          </cell>
          <cell r="AP95" t="str">
            <v>South</v>
          </cell>
          <cell r="AQ95"/>
          <cell r="AR95">
            <v>0</v>
          </cell>
          <cell r="AS95">
            <v>0</v>
          </cell>
        </row>
        <row r="96">
          <cell r="A96">
            <v>11807</v>
          </cell>
          <cell r="B96" t="str">
            <v>WHITE RIVER</v>
          </cell>
          <cell r="C96" t="str">
            <v>M10452</v>
          </cell>
          <cell r="D96" t="str">
            <v>NET 5, BT+</v>
          </cell>
          <cell r="E96" t="str">
            <v>FP</v>
          </cell>
          <cell r="F96" t="str">
            <v>Yes</v>
          </cell>
          <cell r="G96" t="str">
            <v>TX</v>
          </cell>
          <cell r="H96">
            <v>8</v>
          </cell>
          <cell r="I96">
            <v>0.66500000000000004</v>
          </cell>
          <cell r="J96" t="str">
            <v>Orphaned Acct</v>
          </cell>
          <cell r="K96" t="str">
            <v>MELBOURNE</v>
          </cell>
          <cell r="L96" t="str">
            <v>AR</v>
          </cell>
          <cell r="M96" t="str">
            <v>800-577-8858</v>
          </cell>
          <cell r="N96"/>
          <cell r="O96">
            <v>327</v>
          </cell>
          <cell r="P96">
            <v>1406.1</v>
          </cell>
          <cell r="Q96"/>
          <cell r="R96">
            <v>0</v>
          </cell>
          <cell r="S96"/>
          <cell r="T96">
            <v>0</v>
          </cell>
          <cell r="U96">
            <v>415</v>
          </cell>
          <cell r="V96">
            <v>1784.5</v>
          </cell>
          <cell r="W96">
            <v>407</v>
          </cell>
          <cell r="X96">
            <v>1750.1</v>
          </cell>
          <cell r="Y96"/>
          <cell r="Z96">
            <v>0</v>
          </cell>
          <cell r="AA96"/>
          <cell r="AB96">
            <v>0</v>
          </cell>
          <cell r="AC96"/>
          <cell r="AD96">
            <v>0</v>
          </cell>
          <cell r="AE96"/>
          <cell r="AF96"/>
          <cell r="AG96"/>
          <cell r="AH96"/>
          <cell r="AI96"/>
          <cell r="AJ96">
            <v>0</v>
          </cell>
          <cell r="AK96" t="str">
            <v>3P</v>
          </cell>
          <cell r="AL96">
            <v>213</v>
          </cell>
          <cell r="AM96">
            <v>257</v>
          </cell>
          <cell r="AN96" t="str">
            <v>08 Inactive Dealer</v>
          </cell>
          <cell r="AO96" t="str">
            <v>South Central</v>
          </cell>
          <cell r="AP96" t="str">
            <v>South</v>
          </cell>
          <cell r="AQ96"/>
          <cell r="AR96">
            <v>0</v>
          </cell>
          <cell r="AS96">
            <v>0</v>
          </cell>
        </row>
        <row r="97">
          <cell r="A97">
            <v>10570</v>
          </cell>
          <cell r="B97" t="str">
            <v>WOOD MOTOR</v>
          </cell>
          <cell r="C97" t="str">
            <v>M10457</v>
          </cell>
          <cell r="D97" t="str">
            <v>NET 5, BT+</v>
          </cell>
          <cell r="E97" t="str">
            <v>CO</v>
          </cell>
          <cell r="F97" t="str">
            <v>Yes</v>
          </cell>
          <cell r="G97" t="str">
            <v>TX</v>
          </cell>
          <cell r="H97">
            <v>6</v>
          </cell>
          <cell r="I97">
            <v>0.66500000000000004</v>
          </cell>
          <cell r="J97" t="str">
            <v>JL Smith</v>
          </cell>
          <cell r="K97" t="str">
            <v>HARRISON</v>
          </cell>
          <cell r="L97" t="str">
            <v>AR</v>
          </cell>
          <cell r="M97" t="str">
            <v>800-577-8858</v>
          </cell>
          <cell r="N97"/>
          <cell r="O97">
            <v>333</v>
          </cell>
          <cell r="P97">
            <v>1431.8999999999999</v>
          </cell>
          <cell r="Q97"/>
          <cell r="R97">
            <v>0</v>
          </cell>
          <cell r="S97"/>
          <cell r="T97">
            <v>0</v>
          </cell>
          <cell r="U97">
            <v>339</v>
          </cell>
          <cell r="V97">
            <v>1457.7</v>
          </cell>
          <cell r="W97">
            <v>413</v>
          </cell>
          <cell r="X97">
            <v>1775.8999999999999</v>
          </cell>
          <cell r="Y97"/>
          <cell r="Z97">
            <v>0</v>
          </cell>
          <cell r="AA97"/>
          <cell r="AB97">
            <v>0</v>
          </cell>
          <cell r="AC97"/>
          <cell r="AD97">
            <v>0</v>
          </cell>
          <cell r="AE97"/>
          <cell r="AF97"/>
          <cell r="AG97"/>
          <cell r="AH97"/>
          <cell r="AI97"/>
          <cell r="AJ97">
            <v>0</v>
          </cell>
          <cell r="AK97" t="str">
            <v>3P</v>
          </cell>
          <cell r="AL97">
            <v>151</v>
          </cell>
          <cell r="AM97">
            <v>182</v>
          </cell>
          <cell r="AN97" t="str">
            <v>01 Existing Dealer</v>
          </cell>
          <cell r="AO97" t="str">
            <v>South Central</v>
          </cell>
          <cell r="AP97" t="str">
            <v>South</v>
          </cell>
          <cell r="AQ97"/>
          <cell r="AR97">
            <v>0</v>
          </cell>
          <cell r="AS97">
            <v>0</v>
          </cell>
        </row>
        <row r="98">
          <cell r="A98" t="str">
            <v>13397L</v>
          </cell>
          <cell r="B98" t="str">
            <v>BCMS / SILVERLINE</v>
          </cell>
          <cell r="C98" t="str">
            <v>M11363</v>
          </cell>
          <cell r="D98" t="str">
            <v>Return Mail, no pink card</v>
          </cell>
          <cell r="E98" t="str">
            <v>F3 - Wells Fargo</v>
          </cell>
          <cell r="F98" t="str">
            <v>Yes</v>
          </cell>
          <cell r="G98" t="str">
            <v>TX</v>
          </cell>
          <cell r="H98">
            <v>8</v>
          </cell>
          <cell r="I98">
            <v>0.66500000000000004</v>
          </cell>
          <cell r="J98" t="str">
            <v>Trent Evans</v>
          </cell>
          <cell r="K98" t="str">
            <v>MAYER</v>
          </cell>
          <cell r="L98" t="str">
            <v>AZ</v>
          </cell>
          <cell r="M98" t="str">
            <v>800-577-8858</v>
          </cell>
          <cell r="N98"/>
          <cell r="O98">
            <v>1144</v>
          </cell>
          <cell r="P98">
            <v>4919.2</v>
          </cell>
          <cell r="Q98"/>
          <cell r="R98">
            <v>0</v>
          </cell>
          <cell r="S98"/>
          <cell r="T98">
            <v>0</v>
          </cell>
          <cell r="U98">
            <v>1016</v>
          </cell>
          <cell r="V98">
            <v>4368.8</v>
          </cell>
          <cell r="W98">
            <v>1102</v>
          </cell>
          <cell r="X98">
            <v>4738.5999999999995</v>
          </cell>
          <cell r="Y98"/>
          <cell r="Z98">
            <v>0</v>
          </cell>
          <cell r="AA98"/>
          <cell r="AB98">
            <v>0</v>
          </cell>
          <cell r="AC98"/>
          <cell r="AD98">
            <v>0</v>
          </cell>
          <cell r="AE98"/>
          <cell r="AF98"/>
          <cell r="AG98"/>
          <cell r="AH98"/>
          <cell r="AI98"/>
          <cell r="AJ98">
            <v>0.03</v>
          </cell>
          <cell r="AK98" t="str">
            <v>3P</v>
          </cell>
          <cell r="AL98">
            <v>226</v>
          </cell>
          <cell r="AM98"/>
          <cell r="AN98" t="str">
            <v>01 Existing Dealer</v>
          </cell>
          <cell r="AO98" t="str">
            <v>Southwest</v>
          </cell>
          <cell r="AP98" t="str">
            <v>West</v>
          </cell>
          <cell r="AQ98"/>
          <cell r="AR98">
            <v>0</v>
          </cell>
          <cell r="AS98">
            <v>0</v>
          </cell>
        </row>
        <row r="99">
          <cell r="A99">
            <v>13641</v>
          </cell>
          <cell r="B99" t="str">
            <v>FAB MOTORS</v>
          </cell>
          <cell r="C99" t="str">
            <v>M11620</v>
          </cell>
          <cell r="D99" t="str">
            <v>NET 5, BT+</v>
          </cell>
          <cell r="E99" t="str">
            <v>CF</v>
          </cell>
          <cell r="F99" t="str">
            <v>Yes</v>
          </cell>
          <cell r="G99" t="str">
            <v>TX</v>
          </cell>
          <cell r="H99">
            <v>7</v>
          </cell>
          <cell r="I99">
            <v>0.66500000000000004</v>
          </cell>
          <cell r="J99" t="str">
            <v>Nate Erickson</v>
          </cell>
          <cell r="K99" t="str">
            <v>MOHAVE VALLEY</v>
          </cell>
          <cell r="L99" t="str">
            <v>AZ</v>
          </cell>
          <cell r="M99" t="str">
            <v>208-459-0106</v>
          </cell>
          <cell r="N99"/>
          <cell r="O99">
            <v>1255</v>
          </cell>
          <cell r="P99">
            <v>5396.5</v>
          </cell>
          <cell r="Q99"/>
          <cell r="R99">
            <v>0</v>
          </cell>
          <cell r="S99"/>
          <cell r="T99">
            <v>0</v>
          </cell>
          <cell r="U99">
            <v>1128</v>
          </cell>
          <cell r="V99">
            <v>4850.3999999999996</v>
          </cell>
          <cell r="W99">
            <v>1216</v>
          </cell>
          <cell r="X99">
            <v>5228.8</v>
          </cell>
          <cell r="Y99"/>
          <cell r="Z99">
            <v>0</v>
          </cell>
          <cell r="AA99"/>
          <cell r="AB99">
            <v>0</v>
          </cell>
          <cell r="AC99"/>
          <cell r="AD99">
            <v>0</v>
          </cell>
          <cell r="AE99"/>
          <cell r="AF99"/>
          <cell r="AG99"/>
          <cell r="AH99"/>
          <cell r="AI99"/>
          <cell r="AJ99">
            <v>0</v>
          </cell>
          <cell r="AK99" t="str">
            <v>3P</v>
          </cell>
          <cell r="AL99">
            <v>187</v>
          </cell>
          <cell r="AM99">
            <v>245</v>
          </cell>
          <cell r="AN99" t="str">
            <v>03 New Dealer</v>
          </cell>
          <cell r="AO99" t="str">
            <v>Southwest</v>
          </cell>
          <cell r="AP99" t="str">
            <v>West</v>
          </cell>
          <cell r="AQ99"/>
          <cell r="AR99">
            <v>0</v>
          </cell>
          <cell r="AS99">
            <v>0</v>
          </cell>
        </row>
        <row r="100">
          <cell r="A100">
            <v>10406</v>
          </cell>
          <cell r="B100" t="str">
            <v>RELIABLE AUTO</v>
          </cell>
          <cell r="C100" t="str">
            <v>M10347</v>
          </cell>
          <cell r="D100" t="str">
            <v>NET 5, BT+</v>
          </cell>
          <cell r="E100" t="str">
            <v>CO</v>
          </cell>
          <cell r="F100" t="str">
            <v>Yes</v>
          </cell>
          <cell r="G100" t="str">
            <v>TX</v>
          </cell>
          <cell r="H100">
            <v>5</v>
          </cell>
          <cell r="I100">
            <v>0.66500000000000004</v>
          </cell>
          <cell r="J100" t="str">
            <v>Nate Erickson</v>
          </cell>
          <cell r="K100" t="str">
            <v>YUMA</v>
          </cell>
          <cell r="L100" t="str">
            <v>AZ</v>
          </cell>
          <cell r="M100" t="str">
            <v>800-577-8858</v>
          </cell>
          <cell r="N100"/>
          <cell r="O100">
            <v>1314</v>
          </cell>
          <cell r="P100">
            <v>5650.2</v>
          </cell>
          <cell r="Q100"/>
          <cell r="R100">
            <v>0</v>
          </cell>
          <cell r="S100">
            <v>1076</v>
          </cell>
          <cell r="T100">
            <v>4626.8</v>
          </cell>
          <cell r="U100">
            <v>1264</v>
          </cell>
          <cell r="V100">
            <v>5435.2</v>
          </cell>
          <cell r="W100">
            <v>1239</v>
          </cell>
          <cell r="X100">
            <v>5327.7</v>
          </cell>
          <cell r="Y100"/>
          <cell r="Z100">
            <v>0</v>
          </cell>
          <cell r="AA100"/>
          <cell r="AB100">
            <v>0</v>
          </cell>
          <cell r="AC100"/>
          <cell r="AD100">
            <v>0</v>
          </cell>
          <cell r="AE100"/>
          <cell r="AF100"/>
          <cell r="AG100"/>
          <cell r="AH100"/>
          <cell r="AI100"/>
          <cell r="AJ100">
            <v>0</v>
          </cell>
          <cell r="AK100" t="str">
            <v>3P</v>
          </cell>
          <cell r="AL100">
            <v>187</v>
          </cell>
          <cell r="AM100">
            <v>486</v>
          </cell>
          <cell r="AN100" t="str">
            <v>01 Existing Dealer</v>
          </cell>
          <cell r="AO100" t="str">
            <v>Southwest</v>
          </cell>
          <cell r="AP100" t="str">
            <v>West</v>
          </cell>
          <cell r="AQ100"/>
          <cell r="AR100">
            <v>0</v>
          </cell>
          <cell r="AS100">
            <v>0</v>
          </cell>
        </row>
        <row r="101">
          <cell r="A101">
            <v>12068</v>
          </cell>
          <cell r="B101" t="str">
            <v>TW MESA</v>
          </cell>
          <cell r="C101" t="str">
            <v>M10090</v>
          </cell>
          <cell r="D101" t="str">
            <v>Net 30, no pink card</v>
          </cell>
          <cell r="E101">
            <v>30</v>
          </cell>
          <cell r="F101" t="str">
            <v>Yes</v>
          </cell>
          <cell r="G101" t="str">
            <v>TX</v>
          </cell>
          <cell r="H101">
            <v>10</v>
          </cell>
          <cell r="I101">
            <v>0.66500000000000004</v>
          </cell>
          <cell r="J101" t="str">
            <v>Jake McEntee</v>
          </cell>
          <cell r="K101" t="str">
            <v>MESA</v>
          </cell>
          <cell r="L101" t="str">
            <v>AZ</v>
          </cell>
          <cell r="M101" t="str">
            <v>800-577-8858</v>
          </cell>
          <cell r="N101"/>
          <cell r="O101">
            <v>1186</v>
          </cell>
          <cell r="P101">
            <v>5099.8</v>
          </cell>
          <cell r="Q101"/>
          <cell r="R101">
            <v>0</v>
          </cell>
          <cell r="S101">
            <v>1036</v>
          </cell>
          <cell r="T101">
            <v>4454.8</v>
          </cell>
          <cell r="U101">
            <v>1064</v>
          </cell>
          <cell r="V101">
            <v>4575.2</v>
          </cell>
          <cell r="W101">
            <v>1112</v>
          </cell>
          <cell r="X101">
            <v>4781.5999999999995</v>
          </cell>
          <cell r="Y101"/>
          <cell r="Z101">
            <v>0</v>
          </cell>
          <cell r="AA101">
            <v>1818</v>
          </cell>
          <cell r="AB101">
            <v>7817.4</v>
          </cell>
          <cell r="AC101">
            <v>1818</v>
          </cell>
          <cell r="AD101">
            <v>7817.4</v>
          </cell>
          <cell r="AE101"/>
          <cell r="AF101"/>
          <cell r="AG101"/>
          <cell r="AH101"/>
          <cell r="AI101"/>
          <cell r="AJ101">
            <v>0.04</v>
          </cell>
          <cell r="AK101" t="str">
            <v>TW</v>
          </cell>
          <cell r="AL101">
            <v>161</v>
          </cell>
          <cell r="AM101">
            <v>347</v>
          </cell>
          <cell r="AN101" t="str">
            <v>04 Co.Store</v>
          </cell>
          <cell r="AO101" t="str">
            <v>Southwest</v>
          </cell>
          <cell r="AP101" t="str">
            <v>West</v>
          </cell>
          <cell r="AQ101"/>
          <cell r="AR101">
            <v>132558</v>
          </cell>
          <cell r="AS101">
            <v>212163</v>
          </cell>
        </row>
        <row r="102">
          <cell r="A102">
            <v>10079</v>
          </cell>
          <cell r="B102" t="str">
            <v>TW PHOENIX</v>
          </cell>
          <cell r="C102" t="str">
            <v>M10097</v>
          </cell>
          <cell r="D102" t="str">
            <v>Net 30, no pink card</v>
          </cell>
          <cell r="E102">
            <v>30</v>
          </cell>
          <cell r="F102" t="str">
            <v>Yes</v>
          </cell>
          <cell r="G102" t="str">
            <v>TX</v>
          </cell>
          <cell r="H102">
            <v>10</v>
          </cell>
          <cell r="I102">
            <v>0.66500000000000004</v>
          </cell>
          <cell r="J102" t="str">
            <v>Jake McEntee</v>
          </cell>
          <cell r="K102" t="str">
            <v>PHOENIX</v>
          </cell>
          <cell r="L102" t="str">
            <v>AZ</v>
          </cell>
          <cell r="M102" t="str">
            <v>800-577-8858</v>
          </cell>
          <cell r="N102"/>
          <cell r="O102">
            <v>1194</v>
          </cell>
          <cell r="P102">
            <v>5134.2</v>
          </cell>
          <cell r="Q102"/>
          <cell r="R102">
            <v>0</v>
          </cell>
          <cell r="S102">
            <v>1016</v>
          </cell>
          <cell r="T102">
            <v>4368.8</v>
          </cell>
          <cell r="U102">
            <v>1125</v>
          </cell>
          <cell r="V102">
            <v>4837.5</v>
          </cell>
          <cell r="W102">
            <v>1119</v>
          </cell>
          <cell r="X102">
            <v>4811.7</v>
          </cell>
          <cell r="Y102"/>
          <cell r="Z102">
            <v>0</v>
          </cell>
          <cell r="AA102"/>
          <cell r="AB102">
            <v>0</v>
          </cell>
          <cell r="AC102"/>
          <cell r="AD102">
            <v>0</v>
          </cell>
          <cell r="AE102"/>
          <cell r="AF102"/>
          <cell r="AG102"/>
          <cell r="AH102"/>
          <cell r="AI102"/>
          <cell r="AJ102">
            <v>0.04</v>
          </cell>
          <cell r="AK102" t="str">
            <v>TW</v>
          </cell>
          <cell r="AL102">
            <v>161</v>
          </cell>
          <cell r="AM102">
            <v>347</v>
          </cell>
          <cell r="AN102" t="str">
            <v>04 Co.Store</v>
          </cell>
          <cell r="AO102" t="str">
            <v>Southwest</v>
          </cell>
          <cell r="AP102" t="str">
            <v>West</v>
          </cell>
          <cell r="AQ102"/>
          <cell r="AR102">
            <v>389591</v>
          </cell>
          <cell r="AS102">
            <v>329953</v>
          </cell>
        </row>
        <row r="103">
          <cell r="A103">
            <v>10080</v>
          </cell>
          <cell r="B103" t="str">
            <v>TW TUCSON</v>
          </cell>
          <cell r="C103" t="str">
            <v>M10099</v>
          </cell>
          <cell r="D103" t="str">
            <v>Net 30, no pink card</v>
          </cell>
          <cell r="E103">
            <v>30</v>
          </cell>
          <cell r="F103" t="str">
            <v>Yes</v>
          </cell>
          <cell r="G103" t="str">
            <v>TX</v>
          </cell>
          <cell r="H103">
            <v>10</v>
          </cell>
          <cell r="I103">
            <v>0.66500000000000004</v>
          </cell>
          <cell r="J103" t="str">
            <v>Jake McEntee</v>
          </cell>
          <cell r="K103" t="str">
            <v>TUCSON</v>
          </cell>
          <cell r="L103" t="str">
            <v>AZ</v>
          </cell>
          <cell r="M103" t="str">
            <v>800-577-8858</v>
          </cell>
          <cell r="N103"/>
          <cell r="O103">
            <v>1087</v>
          </cell>
          <cell r="P103">
            <v>4674.0999999999995</v>
          </cell>
          <cell r="Q103"/>
          <cell r="R103">
            <v>0</v>
          </cell>
          <cell r="S103">
            <v>1127</v>
          </cell>
          <cell r="T103">
            <v>4846.0999999999995</v>
          </cell>
          <cell r="U103">
            <v>1038</v>
          </cell>
          <cell r="V103">
            <v>4463.3999999999996</v>
          </cell>
          <cell r="W103">
            <v>1013</v>
          </cell>
          <cell r="X103">
            <v>4355.8999999999996</v>
          </cell>
          <cell r="Y103"/>
          <cell r="Z103">
            <v>0</v>
          </cell>
          <cell r="AA103"/>
          <cell r="AB103">
            <v>0</v>
          </cell>
          <cell r="AC103"/>
          <cell r="AD103">
            <v>0</v>
          </cell>
          <cell r="AE103"/>
          <cell r="AF103"/>
          <cell r="AG103"/>
          <cell r="AH103"/>
          <cell r="AI103"/>
          <cell r="AJ103">
            <v>0.04</v>
          </cell>
          <cell r="AK103" t="str">
            <v>TW</v>
          </cell>
          <cell r="AL103">
            <v>161</v>
          </cell>
          <cell r="AM103">
            <v>447</v>
          </cell>
          <cell r="AN103" t="str">
            <v>04 Co.Store</v>
          </cell>
          <cell r="AO103" t="str">
            <v>Southwest</v>
          </cell>
          <cell r="AP103" t="str">
            <v>West</v>
          </cell>
          <cell r="AQ103"/>
          <cell r="AR103">
            <v>27446</v>
          </cell>
          <cell r="AS103">
            <v>184257</v>
          </cell>
        </row>
        <row r="104">
          <cell r="A104">
            <v>13655</v>
          </cell>
          <cell r="B104" t="str">
            <v>QUALITY TRAILERS</v>
          </cell>
          <cell r="C104" t="str">
            <v>M11652</v>
          </cell>
          <cell r="D104" t="str">
            <v>NET 5, BT+</v>
          </cell>
          <cell r="E104" t="str">
            <v>CF</v>
          </cell>
          <cell r="F104" t="str">
            <v>Yes</v>
          </cell>
          <cell r="G104" t="str">
            <v>TX</v>
          </cell>
          <cell r="H104">
            <v>5</v>
          </cell>
          <cell r="I104">
            <v>0.66500000000000004</v>
          </cell>
          <cell r="J104" t="str">
            <v>Nate Erickson</v>
          </cell>
          <cell r="K104" t="str">
            <v>CHINO VALLEY</v>
          </cell>
          <cell r="L104" t="str">
            <v>AZ</v>
          </cell>
          <cell r="M104" t="str">
            <v>800-577-8858</v>
          </cell>
          <cell r="N104"/>
          <cell r="O104">
            <v>1143</v>
          </cell>
          <cell r="P104">
            <v>4914.8999999999996</v>
          </cell>
          <cell r="Q104"/>
          <cell r="R104">
            <v>0</v>
          </cell>
          <cell r="S104"/>
          <cell r="T104">
            <v>0</v>
          </cell>
          <cell r="U104">
            <v>1020</v>
          </cell>
          <cell r="V104">
            <v>4386</v>
          </cell>
          <cell r="W104">
            <v>1105</v>
          </cell>
          <cell r="X104">
            <v>4751.5</v>
          </cell>
          <cell r="Y104"/>
          <cell r="Z104">
            <v>0</v>
          </cell>
          <cell r="AA104">
            <v>1822</v>
          </cell>
          <cell r="AB104">
            <v>7834.5999999999995</v>
          </cell>
          <cell r="AC104">
            <v>1822</v>
          </cell>
          <cell r="AD104">
            <v>7834.5999999999995</v>
          </cell>
          <cell r="AE104"/>
          <cell r="AF104"/>
          <cell r="AG104"/>
          <cell r="AH104"/>
          <cell r="AI104"/>
          <cell r="AJ104">
            <v>0</v>
          </cell>
          <cell r="AK104" t="str">
            <v>3P</v>
          </cell>
          <cell r="AL104">
            <v>187</v>
          </cell>
          <cell r="AM104">
            <v>362</v>
          </cell>
          <cell r="AN104" t="str">
            <v>03 New Dealer</v>
          </cell>
          <cell r="AO104" t="str">
            <v>Southwest</v>
          </cell>
          <cell r="AP104" t="str">
            <v>West</v>
          </cell>
          <cell r="AQ104"/>
          <cell r="AR104">
            <v>0</v>
          </cell>
          <cell r="AS104">
            <v>48672</v>
          </cell>
        </row>
        <row r="105">
          <cell r="A105">
            <v>12189</v>
          </cell>
          <cell r="B105" t="str">
            <v>ALL AMERICAN TRAILERS NORTH</v>
          </cell>
          <cell r="C105" t="str">
            <v>M00308</v>
          </cell>
          <cell r="D105" t="str">
            <v>NET 5, BT+</v>
          </cell>
          <cell r="E105" t="str">
            <v>F1</v>
          </cell>
          <cell r="F105" t="str">
            <v>Yes</v>
          </cell>
          <cell r="G105" t="str">
            <v>ID</v>
          </cell>
          <cell r="H105">
            <v>8</v>
          </cell>
          <cell r="I105">
            <v>0.66500000000000004</v>
          </cell>
          <cell r="J105" t="str">
            <v>House</v>
          </cell>
          <cell r="K105" t="str">
            <v>BUELLTON</v>
          </cell>
          <cell r="L105" t="str">
            <v>CA</v>
          </cell>
          <cell r="M105" t="str">
            <v>800-577-8858</v>
          </cell>
          <cell r="N105"/>
          <cell r="O105">
            <v>1706</v>
          </cell>
          <cell r="P105">
            <v>7335.7999999999993</v>
          </cell>
          <cell r="Q105"/>
          <cell r="R105">
            <v>0</v>
          </cell>
          <cell r="S105">
            <v>907</v>
          </cell>
          <cell r="T105">
            <v>3900.1</v>
          </cell>
          <cell r="U105">
            <v>1587</v>
          </cell>
          <cell r="V105">
            <v>6824.0999999999995</v>
          </cell>
          <cell r="W105">
            <v>1632</v>
          </cell>
          <cell r="X105">
            <v>7017.5999999999995</v>
          </cell>
          <cell r="Y105"/>
          <cell r="Z105">
            <v>0</v>
          </cell>
          <cell r="AA105"/>
          <cell r="AB105">
            <v>0</v>
          </cell>
          <cell r="AC105"/>
          <cell r="AD105">
            <v>0</v>
          </cell>
          <cell r="AE105"/>
          <cell r="AF105"/>
          <cell r="AG105"/>
          <cell r="AH105"/>
          <cell r="AI105"/>
          <cell r="AJ105">
            <v>0</v>
          </cell>
          <cell r="AK105" t="str">
            <v>3P</v>
          </cell>
          <cell r="AL105">
            <v>400</v>
          </cell>
          <cell r="AM105">
            <v>406</v>
          </cell>
          <cell r="AN105" t="str">
            <v>01 Existing Dealer</v>
          </cell>
          <cell r="AO105" t="str">
            <v>Southwest</v>
          </cell>
          <cell r="AP105" t="str">
            <v>West</v>
          </cell>
          <cell r="AQ105"/>
          <cell r="AR105">
            <v>0</v>
          </cell>
          <cell r="AS105">
            <v>0</v>
          </cell>
        </row>
        <row r="106">
          <cell r="A106">
            <v>11816</v>
          </cell>
          <cell r="B106" t="str">
            <v>AMERICAN LOAN</v>
          </cell>
          <cell r="C106" t="str">
            <v>M10028</v>
          </cell>
          <cell r="D106" t="str">
            <v>NET 5, BT+</v>
          </cell>
          <cell r="E106" t="str">
            <v>F3 - Wells Fargo</v>
          </cell>
          <cell r="F106" t="str">
            <v>Yes</v>
          </cell>
          <cell r="G106" t="str">
            <v>ID</v>
          </cell>
          <cell r="H106">
            <v>8</v>
          </cell>
          <cell r="I106">
            <v>0.66500000000000004</v>
          </cell>
          <cell r="J106" t="str">
            <v>Nate Erickson</v>
          </cell>
          <cell r="K106" t="str">
            <v>RIDGECREST</v>
          </cell>
          <cell r="L106" t="str">
            <v>CA</v>
          </cell>
          <cell r="M106" t="str">
            <v>800-577-8858</v>
          </cell>
          <cell r="N106"/>
          <cell r="O106">
            <v>1506</v>
          </cell>
          <cell r="P106">
            <v>6475.8</v>
          </cell>
          <cell r="Q106"/>
          <cell r="R106">
            <v>0</v>
          </cell>
          <cell r="S106">
            <v>697</v>
          </cell>
          <cell r="T106">
            <v>2997.1</v>
          </cell>
          <cell r="U106">
            <v>1428</v>
          </cell>
          <cell r="V106">
            <v>6140.4</v>
          </cell>
          <cell r="W106">
            <v>1458</v>
          </cell>
          <cell r="X106">
            <v>6269.4</v>
          </cell>
          <cell r="Y106"/>
          <cell r="Z106">
            <v>0</v>
          </cell>
          <cell r="AA106"/>
          <cell r="AB106">
            <v>0</v>
          </cell>
          <cell r="AC106"/>
          <cell r="AD106">
            <v>0</v>
          </cell>
          <cell r="AE106"/>
          <cell r="AF106"/>
          <cell r="AG106"/>
          <cell r="AH106"/>
          <cell r="AI106"/>
          <cell r="AJ106">
            <v>0.02</v>
          </cell>
          <cell r="AK106" t="str">
            <v>3P</v>
          </cell>
          <cell r="AL106">
            <v>187</v>
          </cell>
          <cell r="AM106">
            <v>28</v>
          </cell>
          <cell r="AN106" t="str">
            <v>01 Existing Dealer</v>
          </cell>
          <cell r="AO106" t="str">
            <v>Southwest</v>
          </cell>
          <cell r="AP106" t="str">
            <v>West</v>
          </cell>
          <cell r="AQ106"/>
          <cell r="AR106">
            <v>46084</v>
          </cell>
          <cell r="AS106">
            <v>39709</v>
          </cell>
        </row>
        <row r="107">
          <cell r="A107" t="str">
            <v>10771A</v>
          </cell>
          <cell r="B107" t="str">
            <v>AMERICAN LOAN</v>
          </cell>
          <cell r="C107" t="str">
            <v>M10028</v>
          </cell>
          <cell r="D107" t="str">
            <v>NET 5, BT+</v>
          </cell>
          <cell r="E107" t="str">
            <v>RM</v>
          </cell>
          <cell r="F107" t="str">
            <v>Yes</v>
          </cell>
          <cell r="G107" t="str">
            <v>ID</v>
          </cell>
          <cell r="H107">
            <v>7</v>
          </cell>
          <cell r="I107">
            <v>0.66500000000000004</v>
          </cell>
          <cell r="J107" t="str">
            <v>Nate Erickson</v>
          </cell>
          <cell r="K107" t="str">
            <v>ACTON</v>
          </cell>
          <cell r="L107" t="str">
            <v>CA</v>
          </cell>
          <cell r="M107" t="str">
            <v>800-577-8858</v>
          </cell>
          <cell r="N107"/>
          <cell r="O107">
            <v>1500</v>
          </cell>
          <cell r="P107">
            <v>6450</v>
          </cell>
          <cell r="Q107"/>
          <cell r="R107">
            <v>0</v>
          </cell>
          <cell r="S107">
            <v>778</v>
          </cell>
          <cell r="T107">
            <v>3345.3999999999996</v>
          </cell>
          <cell r="U107">
            <v>1421</v>
          </cell>
          <cell r="V107">
            <v>6110.3</v>
          </cell>
          <cell r="W107">
            <v>1503</v>
          </cell>
          <cell r="X107">
            <v>6462.9</v>
          </cell>
          <cell r="Y107"/>
          <cell r="Z107">
            <v>0</v>
          </cell>
          <cell r="AA107"/>
          <cell r="AB107">
            <v>0</v>
          </cell>
          <cell r="AC107"/>
          <cell r="AD107">
            <v>0</v>
          </cell>
          <cell r="AE107"/>
          <cell r="AF107"/>
          <cell r="AG107"/>
          <cell r="AH107"/>
          <cell r="AI107"/>
          <cell r="AJ107">
            <v>0</v>
          </cell>
          <cell r="AK107" t="str">
            <v>3P</v>
          </cell>
          <cell r="AL107">
            <v>187</v>
          </cell>
          <cell r="AM107">
            <v>262</v>
          </cell>
          <cell r="AN107" t="str">
            <v>01 Existing Dealer</v>
          </cell>
          <cell r="AO107" t="str">
            <v>Southwest</v>
          </cell>
          <cell r="AP107" t="str">
            <v>West</v>
          </cell>
          <cell r="AQ107"/>
          <cell r="AR107">
            <v>0</v>
          </cell>
          <cell r="AS107">
            <v>0</v>
          </cell>
        </row>
        <row r="108">
          <cell r="A108" t="str">
            <v>11816A</v>
          </cell>
          <cell r="B108" t="str">
            <v>AMERICAN LOAN</v>
          </cell>
          <cell r="C108" t="str">
            <v>M10028</v>
          </cell>
          <cell r="D108" t="str">
            <v>NET 5, BT+</v>
          </cell>
          <cell r="E108" t="str">
            <v>F1 - Wells Fargo</v>
          </cell>
          <cell r="F108" t="str">
            <v>Yes</v>
          </cell>
          <cell r="G108" t="str">
            <v>ID</v>
          </cell>
          <cell r="H108">
            <v>8</v>
          </cell>
          <cell r="I108">
            <v>0.66500000000000004</v>
          </cell>
          <cell r="J108" t="str">
            <v>Nate Erickson</v>
          </cell>
          <cell r="K108" t="str">
            <v>ACTON</v>
          </cell>
          <cell r="L108" t="str">
            <v>CA</v>
          </cell>
          <cell r="M108" t="str">
            <v>800-577-8858</v>
          </cell>
          <cell r="N108"/>
          <cell r="O108">
            <v>1500</v>
          </cell>
          <cell r="P108">
            <v>6450</v>
          </cell>
          <cell r="Q108"/>
          <cell r="R108">
            <v>0</v>
          </cell>
          <cell r="S108">
            <v>778</v>
          </cell>
          <cell r="T108">
            <v>3345.3999999999996</v>
          </cell>
          <cell r="U108">
            <v>1421</v>
          </cell>
          <cell r="V108">
            <v>6110.3</v>
          </cell>
          <cell r="W108">
            <v>1503</v>
          </cell>
          <cell r="X108">
            <v>6462.9</v>
          </cell>
          <cell r="Y108"/>
          <cell r="Z108">
            <v>0</v>
          </cell>
          <cell r="AA108"/>
          <cell r="AB108">
            <v>0</v>
          </cell>
          <cell r="AC108"/>
          <cell r="AD108">
            <v>0</v>
          </cell>
          <cell r="AE108"/>
          <cell r="AF108"/>
          <cell r="AG108"/>
          <cell r="AH108"/>
          <cell r="AI108"/>
          <cell r="AJ108">
            <v>0.02</v>
          </cell>
          <cell r="AK108" t="str">
            <v>3P</v>
          </cell>
          <cell r="AL108">
            <v>187</v>
          </cell>
          <cell r="AM108">
            <v>262</v>
          </cell>
          <cell r="AN108" t="str">
            <v>01 Existing Dealer</v>
          </cell>
          <cell r="AO108" t="str">
            <v>Southwest</v>
          </cell>
          <cell r="AP108" t="str">
            <v>West</v>
          </cell>
          <cell r="AQ108"/>
          <cell r="AR108">
            <v>0</v>
          </cell>
          <cell r="AS108">
            <v>0</v>
          </cell>
        </row>
        <row r="109">
          <cell r="A109">
            <v>10771</v>
          </cell>
          <cell r="B109" t="str">
            <v>AMERICAN LOAN.</v>
          </cell>
          <cell r="C109" t="str">
            <v>M10028</v>
          </cell>
          <cell r="D109" t="str">
            <v>NET 5, BT+</v>
          </cell>
          <cell r="E109" t="str">
            <v>RM</v>
          </cell>
          <cell r="F109" t="str">
            <v>Yes</v>
          </cell>
          <cell r="G109" t="str">
            <v>ID</v>
          </cell>
          <cell r="H109">
            <v>7</v>
          </cell>
          <cell r="I109">
            <v>0.66500000000000004</v>
          </cell>
          <cell r="J109" t="str">
            <v>Nate Erickson</v>
          </cell>
          <cell r="K109" t="str">
            <v>RIDGECREST</v>
          </cell>
          <cell r="L109" t="str">
            <v>CA</v>
          </cell>
          <cell r="M109" t="str">
            <v>800-577-8858</v>
          </cell>
          <cell r="N109"/>
          <cell r="O109">
            <v>1506</v>
          </cell>
          <cell r="P109">
            <v>6475.8</v>
          </cell>
          <cell r="Q109"/>
          <cell r="R109">
            <v>0</v>
          </cell>
          <cell r="S109">
            <v>697</v>
          </cell>
          <cell r="T109">
            <v>2997.1</v>
          </cell>
          <cell r="U109">
            <v>1428</v>
          </cell>
          <cell r="V109">
            <v>6140.4</v>
          </cell>
          <cell r="W109">
            <v>1458</v>
          </cell>
          <cell r="X109">
            <v>6269.4</v>
          </cell>
          <cell r="Y109"/>
          <cell r="Z109">
            <v>0</v>
          </cell>
          <cell r="AA109"/>
          <cell r="AB109">
            <v>0</v>
          </cell>
          <cell r="AC109"/>
          <cell r="AD109">
            <v>0</v>
          </cell>
          <cell r="AE109"/>
          <cell r="AF109"/>
          <cell r="AG109"/>
          <cell r="AH109"/>
          <cell r="AI109"/>
          <cell r="AJ109">
            <v>0</v>
          </cell>
          <cell r="AK109" t="str">
            <v>3P</v>
          </cell>
          <cell r="AL109">
            <v>187</v>
          </cell>
          <cell r="AM109">
            <v>28</v>
          </cell>
          <cell r="AN109" t="str">
            <v>01 Existing Dealer</v>
          </cell>
          <cell r="AO109" t="str">
            <v>Southwest</v>
          </cell>
          <cell r="AP109" t="str">
            <v>West</v>
          </cell>
          <cell r="AQ109"/>
          <cell r="AR109">
            <v>0</v>
          </cell>
          <cell r="AS109">
            <v>0</v>
          </cell>
        </row>
        <row r="110">
          <cell r="A110">
            <v>12304</v>
          </cell>
          <cell r="B110" t="str">
            <v>B&amp;D TRAILER SALES, INC.</v>
          </cell>
          <cell r="C110"/>
          <cell r="D110" t="str">
            <v>NET 5, BT+</v>
          </cell>
          <cell r="E110" t="str">
            <v>S1</v>
          </cell>
          <cell r="F110" t="str">
            <v>Yes</v>
          </cell>
          <cell r="G110" t="str">
            <v>ID</v>
          </cell>
          <cell r="H110">
            <v>5</v>
          </cell>
          <cell r="I110">
            <v>0.7</v>
          </cell>
          <cell r="J110" t="str">
            <v>Orphaned Acct</v>
          </cell>
          <cell r="K110" t="str">
            <v>MARTINEZ</v>
          </cell>
          <cell r="L110" t="str">
            <v>CA</v>
          </cell>
          <cell r="M110" t="str">
            <v>208-459-0106</v>
          </cell>
          <cell r="N110"/>
          <cell r="O110">
            <v>1819</v>
          </cell>
          <cell r="P110">
            <v>7821.7</v>
          </cell>
          <cell r="Q110"/>
          <cell r="R110">
            <v>0</v>
          </cell>
          <cell r="S110">
            <v>601</v>
          </cell>
          <cell r="T110">
            <v>2584.2999999999997</v>
          </cell>
          <cell r="U110">
            <v>1740</v>
          </cell>
          <cell r="V110">
            <v>7482</v>
          </cell>
          <cell r="W110">
            <v>1771</v>
          </cell>
          <cell r="X110">
            <v>7615.2999999999993</v>
          </cell>
          <cell r="Y110"/>
          <cell r="Z110">
            <v>0</v>
          </cell>
          <cell r="AA110"/>
          <cell r="AB110">
            <v>0</v>
          </cell>
          <cell r="AC110"/>
          <cell r="AD110">
            <v>0</v>
          </cell>
          <cell r="AE110"/>
          <cell r="AF110"/>
          <cell r="AG110"/>
          <cell r="AH110"/>
          <cell r="AI110"/>
          <cell r="AJ110">
            <v>0.01</v>
          </cell>
          <cell r="AK110" t="str">
            <v>3P</v>
          </cell>
          <cell r="AL110">
            <v>213</v>
          </cell>
          <cell r="AM110">
            <v>404</v>
          </cell>
          <cell r="AN110" t="str">
            <v>08 Inactive Dealer</v>
          </cell>
          <cell r="AO110" t="str">
            <v>Southwest</v>
          </cell>
          <cell r="AP110" t="str">
            <v>West</v>
          </cell>
          <cell r="AQ110"/>
          <cell r="AR110">
            <v>0</v>
          </cell>
          <cell r="AS110">
            <v>0</v>
          </cell>
        </row>
        <row r="111">
          <cell r="A111">
            <v>10049</v>
          </cell>
          <cell r="B111" t="str">
            <v>B&amp;D TRAILER SALES, INC.</v>
          </cell>
          <cell r="C111"/>
          <cell r="D111" t="str">
            <v>NET 5, BT+</v>
          </cell>
          <cell r="E111" t="str">
            <v>RM</v>
          </cell>
          <cell r="F111" t="str">
            <v>Yes</v>
          </cell>
          <cell r="G111" t="str">
            <v>ID</v>
          </cell>
          <cell r="H111">
            <v>6</v>
          </cell>
          <cell r="I111">
            <v>0.7</v>
          </cell>
          <cell r="J111" t="str">
            <v>House</v>
          </cell>
          <cell r="K111" t="str">
            <v>MARTINEZ</v>
          </cell>
          <cell r="L111" t="str">
            <v>CA</v>
          </cell>
          <cell r="M111" t="str">
            <v>208-459-0106</v>
          </cell>
          <cell r="N111"/>
          <cell r="O111">
            <v>1819</v>
          </cell>
          <cell r="P111">
            <v>7821.7</v>
          </cell>
          <cell r="Q111"/>
          <cell r="R111">
            <v>0</v>
          </cell>
          <cell r="S111">
            <v>601</v>
          </cell>
          <cell r="T111">
            <v>2584.2999999999997</v>
          </cell>
          <cell r="U111">
            <v>1740</v>
          </cell>
          <cell r="V111">
            <v>7482</v>
          </cell>
          <cell r="W111">
            <v>1771</v>
          </cell>
          <cell r="X111">
            <v>7615.2999999999993</v>
          </cell>
          <cell r="Y111"/>
          <cell r="Z111">
            <v>0</v>
          </cell>
          <cell r="AA111"/>
          <cell r="AB111">
            <v>0</v>
          </cell>
          <cell r="AC111"/>
          <cell r="AD111">
            <v>0</v>
          </cell>
          <cell r="AE111"/>
          <cell r="AF111"/>
          <cell r="AG111"/>
          <cell r="AH111"/>
          <cell r="AI111"/>
          <cell r="AJ111">
            <v>0.01</v>
          </cell>
          <cell r="AK111" t="str">
            <v>3P</v>
          </cell>
          <cell r="AL111">
            <v>400</v>
          </cell>
          <cell r="AM111">
            <v>404</v>
          </cell>
          <cell r="AN111" t="str">
            <v>08 Inactive Dealer</v>
          </cell>
          <cell r="AO111" t="str">
            <v>Southwest</v>
          </cell>
          <cell r="AP111" t="str">
            <v>West</v>
          </cell>
          <cell r="AQ111"/>
          <cell r="AR111">
            <v>0</v>
          </cell>
          <cell r="AS111">
            <v>0</v>
          </cell>
        </row>
        <row r="112">
          <cell r="A112">
            <v>12792</v>
          </cell>
          <cell r="B112" t="str">
            <v>BLAISDELL MOTORING ENTERPRISES</v>
          </cell>
          <cell r="C112" t="str">
            <v>M10103</v>
          </cell>
          <cell r="D112" t="str">
            <v>NET 5, BT+</v>
          </cell>
          <cell r="E112" t="str">
            <v>CO</v>
          </cell>
          <cell r="F112" t="str">
            <v>Yes</v>
          </cell>
          <cell r="G112" t="str">
            <v>ID</v>
          </cell>
          <cell r="H112">
            <v>7</v>
          </cell>
          <cell r="I112">
            <v>0.7</v>
          </cell>
          <cell r="J112" t="str">
            <v>Orphaned Acct</v>
          </cell>
          <cell r="K112" t="str">
            <v>ANDERSON</v>
          </cell>
          <cell r="L112" t="str">
            <v>CA</v>
          </cell>
          <cell r="M112" t="str">
            <v>208-459-0106</v>
          </cell>
          <cell r="N112"/>
          <cell r="O112">
            <v>1969</v>
          </cell>
          <cell r="P112">
            <v>8466.6999999999989</v>
          </cell>
          <cell r="Q112"/>
          <cell r="R112">
            <v>0</v>
          </cell>
          <cell r="S112">
            <v>507</v>
          </cell>
          <cell r="T112">
            <v>2180.1</v>
          </cell>
          <cell r="U112">
            <v>1890</v>
          </cell>
          <cell r="V112">
            <v>8127</v>
          </cell>
          <cell r="W112">
            <v>1920</v>
          </cell>
          <cell r="X112">
            <v>8256</v>
          </cell>
          <cell r="Y112"/>
          <cell r="Z112">
            <v>0</v>
          </cell>
          <cell r="AA112"/>
          <cell r="AB112">
            <v>0</v>
          </cell>
          <cell r="AC112"/>
          <cell r="AD112">
            <v>0</v>
          </cell>
          <cell r="AE112"/>
          <cell r="AF112"/>
          <cell r="AG112"/>
          <cell r="AH112"/>
          <cell r="AI112"/>
          <cell r="AJ112">
            <v>0</v>
          </cell>
          <cell r="AK112" t="str">
            <v>3P</v>
          </cell>
          <cell r="AL112">
            <v>213</v>
          </cell>
          <cell r="AM112">
            <v>371</v>
          </cell>
          <cell r="AN112" t="str">
            <v>08 Inactive Dealer</v>
          </cell>
          <cell r="AO112" t="str">
            <v>Southwest</v>
          </cell>
          <cell r="AP112" t="str">
            <v>West</v>
          </cell>
          <cell r="AQ112"/>
          <cell r="AR112">
            <v>0</v>
          </cell>
          <cell r="AS112">
            <v>0</v>
          </cell>
        </row>
        <row r="113">
          <cell r="A113">
            <v>10093</v>
          </cell>
          <cell r="B113" t="str">
            <v>BONANDER AUTO, TRUCK AND TRAILER GROUP, INC</v>
          </cell>
          <cell r="C113" t="str">
            <v>M10108</v>
          </cell>
          <cell r="D113" t="str">
            <v>NET 5, BT+</v>
          </cell>
          <cell r="E113" t="str">
            <v>CO</v>
          </cell>
          <cell r="F113" t="str">
            <v>Yes</v>
          </cell>
          <cell r="G113" t="str">
            <v>ID</v>
          </cell>
          <cell r="H113">
            <v>7</v>
          </cell>
          <cell r="I113">
            <v>0.7</v>
          </cell>
          <cell r="J113" t="str">
            <v>Orphaned Acct</v>
          </cell>
          <cell r="K113" t="str">
            <v>TURLOCK</v>
          </cell>
          <cell r="L113" t="str">
            <v>CA</v>
          </cell>
          <cell r="M113" t="str">
            <v>208-459-0106</v>
          </cell>
          <cell r="N113" t="str">
            <v>FAX INVOICES TO 209-634-3583</v>
          </cell>
          <cell r="O113">
            <v>1730</v>
          </cell>
          <cell r="P113">
            <v>7439</v>
          </cell>
          <cell r="Q113"/>
          <cell r="R113">
            <v>0</v>
          </cell>
          <cell r="S113">
            <v>626</v>
          </cell>
          <cell r="T113">
            <v>2691.7999999999997</v>
          </cell>
          <cell r="U113">
            <v>1651</v>
          </cell>
          <cell r="V113">
            <v>7099.2999999999993</v>
          </cell>
          <cell r="W113">
            <v>1682</v>
          </cell>
          <cell r="X113">
            <v>7232.5999999999995</v>
          </cell>
          <cell r="Y113"/>
          <cell r="Z113">
            <v>0</v>
          </cell>
          <cell r="AA113"/>
          <cell r="AB113">
            <v>0</v>
          </cell>
          <cell r="AC113"/>
          <cell r="AD113">
            <v>0</v>
          </cell>
          <cell r="AE113"/>
          <cell r="AF113"/>
          <cell r="AG113"/>
          <cell r="AH113"/>
          <cell r="AI113"/>
          <cell r="AJ113">
            <v>0</v>
          </cell>
          <cell r="AK113" t="str">
            <v>3P</v>
          </cell>
          <cell r="AL113">
            <v>213</v>
          </cell>
          <cell r="AM113">
            <v>303</v>
          </cell>
          <cell r="AN113" t="str">
            <v>08 Inactive Dealer</v>
          </cell>
          <cell r="AO113" t="str">
            <v>Southwest</v>
          </cell>
          <cell r="AP113" t="str">
            <v>West</v>
          </cell>
          <cell r="AQ113"/>
          <cell r="AR113">
            <v>0</v>
          </cell>
          <cell r="AS113">
            <v>0</v>
          </cell>
        </row>
        <row r="114">
          <cell r="A114" t="str">
            <v>10093A</v>
          </cell>
          <cell r="B114" t="str">
            <v>BONANDER AUTO, TRUCK AND TRAILER GROUP, INC</v>
          </cell>
          <cell r="C114" t="str">
            <v>M10108</v>
          </cell>
          <cell r="D114" t="str">
            <v>Return Mail, no pink card</v>
          </cell>
          <cell r="E114" t="str">
            <v>RM</v>
          </cell>
          <cell r="F114" t="str">
            <v>Yes</v>
          </cell>
          <cell r="G114" t="str">
            <v>ID</v>
          </cell>
          <cell r="H114">
            <v>7</v>
          </cell>
          <cell r="I114">
            <v>0.7</v>
          </cell>
          <cell r="J114" t="str">
            <v>Orphaned Acct</v>
          </cell>
          <cell r="K114" t="str">
            <v>MERCED</v>
          </cell>
          <cell r="L114" t="str">
            <v>CA</v>
          </cell>
          <cell r="M114" t="str">
            <v>208-459-0106</v>
          </cell>
          <cell r="N114" t="str">
            <v>FAX INVOICES TO 209-634-3583</v>
          </cell>
          <cell r="O114">
            <v>1710</v>
          </cell>
          <cell r="P114">
            <v>7353</v>
          </cell>
          <cell r="Q114"/>
          <cell r="R114">
            <v>0</v>
          </cell>
          <cell r="S114">
            <v>654</v>
          </cell>
          <cell r="T114">
            <v>2812.2</v>
          </cell>
          <cell r="U114">
            <v>1632</v>
          </cell>
          <cell r="V114">
            <v>7017.5999999999995</v>
          </cell>
          <cell r="W114">
            <v>1662</v>
          </cell>
          <cell r="X114">
            <v>7146.5999999999995</v>
          </cell>
          <cell r="Y114"/>
          <cell r="Z114">
            <v>0</v>
          </cell>
          <cell r="AA114"/>
          <cell r="AB114">
            <v>0</v>
          </cell>
          <cell r="AC114"/>
          <cell r="AD114">
            <v>0</v>
          </cell>
          <cell r="AE114"/>
          <cell r="AF114"/>
          <cell r="AG114"/>
          <cell r="AH114"/>
          <cell r="AI114"/>
          <cell r="AJ114">
            <v>0</v>
          </cell>
          <cell r="AK114" t="str">
            <v>3P</v>
          </cell>
          <cell r="AL114">
            <v>213</v>
          </cell>
          <cell r="AM114">
            <v>291</v>
          </cell>
          <cell r="AN114" t="str">
            <v>08 Inactive Dealer</v>
          </cell>
          <cell r="AO114" t="str">
            <v>Southwest</v>
          </cell>
          <cell r="AP114" t="str">
            <v>West</v>
          </cell>
          <cell r="AQ114"/>
          <cell r="AR114">
            <v>0</v>
          </cell>
          <cell r="AS114">
            <v>0</v>
          </cell>
        </row>
        <row r="115">
          <cell r="A115" t="str">
            <v>10093B</v>
          </cell>
          <cell r="B115" t="str">
            <v>BONANDER AUTO, TRUCK AND TRAILER GROUP, INC</v>
          </cell>
          <cell r="C115" t="str">
            <v>M10108</v>
          </cell>
          <cell r="D115" t="str">
            <v>Return Mail, no pink card</v>
          </cell>
          <cell r="E115" t="str">
            <v>RM</v>
          </cell>
          <cell r="F115" t="str">
            <v>Yes</v>
          </cell>
          <cell r="G115" t="str">
            <v>ID</v>
          </cell>
          <cell r="H115">
            <v>7</v>
          </cell>
          <cell r="I115">
            <v>0.7</v>
          </cell>
          <cell r="J115" t="str">
            <v>Orphaned Acct</v>
          </cell>
          <cell r="K115" t="str">
            <v>BAKERSFIELD</v>
          </cell>
          <cell r="L115" t="str">
            <v>CA</v>
          </cell>
          <cell r="M115" t="str">
            <v>208-459-0106</v>
          </cell>
          <cell r="N115" t="str">
            <v>FAX INVOICES TO 209-634-3583</v>
          </cell>
          <cell r="O115">
            <v>1546</v>
          </cell>
          <cell r="P115">
            <v>6647.7999999999993</v>
          </cell>
          <cell r="Q115"/>
          <cell r="R115">
            <v>0</v>
          </cell>
          <cell r="S115">
            <v>810</v>
          </cell>
          <cell r="T115">
            <v>3483</v>
          </cell>
          <cell r="U115">
            <v>1467</v>
          </cell>
          <cell r="V115">
            <v>6308.0999999999995</v>
          </cell>
          <cell r="W115">
            <v>1497</v>
          </cell>
          <cell r="X115">
            <v>6437.0999999999995</v>
          </cell>
          <cell r="Y115"/>
          <cell r="Z115">
            <v>0</v>
          </cell>
          <cell r="AA115"/>
          <cell r="AB115">
            <v>0</v>
          </cell>
          <cell r="AC115"/>
          <cell r="AD115">
            <v>0</v>
          </cell>
          <cell r="AE115"/>
          <cell r="AF115"/>
          <cell r="AG115"/>
          <cell r="AH115"/>
          <cell r="AI115"/>
          <cell r="AJ115">
            <v>0</v>
          </cell>
          <cell r="AK115" t="str">
            <v>3P</v>
          </cell>
          <cell r="AL115">
            <v>213</v>
          </cell>
          <cell r="AM115">
            <v>28</v>
          </cell>
          <cell r="AN115" t="str">
            <v>08 Inactive Dealer</v>
          </cell>
          <cell r="AO115" t="str">
            <v>Southwest</v>
          </cell>
          <cell r="AP115" t="str">
            <v>West</v>
          </cell>
          <cell r="AQ115"/>
          <cell r="AR115">
            <v>0</v>
          </cell>
          <cell r="AS115">
            <v>0</v>
          </cell>
        </row>
        <row r="116">
          <cell r="A116">
            <v>11695</v>
          </cell>
          <cell r="B116" t="str">
            <v>BONANDER AUTO, TRUCK AND TRAILER GROUP, INC</v>
          </cell>
          <cell r="C116" t="str">
            <v>M10108</v>
          </cell>
          <cell r="D116" t="str">
            <v>Return Mail, no pink card</v>
          </cell>
          <cell r="E116" t="str">
            <v>FP - Wells Fargo</v>
          </cell>
          <cell r="F116" t="str">
            <v>Yes</v>
          </cell>
          <cell r="G116" t="str">
            <v>ID</v>
          </cell>
          <cell r="H116">
            <v>8</v>
          </cell>
          <cell r="I116">
            <v>0.7</v>
          </cell>
          <cell r="J116" t="str">
            <v>Orphaned Acct</v>
          </cell>
          <cell r="K116" t="str">
            <v>TURLOCK</v>
          </cell>
          <cell r="L116" t="str">
            <v>CA</v>
          </cell>
          <cell r="M116" t="str">
            <v>208-459-0106</v>
          </cell>
          <cell r="N116" t="str">
            <v>FAX INVOICES TO 209-634-3583</v>
          </cell>
          <cell r="O116">
            <v>1730</v>
          </cell>
          <cell r="P116">
            <v>7439</v>
          </cell>
          <cell r="Q116"/>
          <cell r="R116">
            <v>0</v>
          </cell>
          <cell r="S116">
            <v>626</v>
          </cell>
          <cell r="T116">
            <v>2691.7999999999997</v>
          </cell>
          <cell r="U116">
            <v>1651</v>
          </cell>
          <cell r="V116">
            <v>7099.2999999999993</v>
          </cell>
          <cell r="W116">
            <v>1682</v>
          </cell>
          <cell r="X116">
            <v>7232.5999999999995</v>
          </cell>
          <cell r="Y116"/>
          <cell r="Z116">
            <v>0</v>
          </cell>
          <cell r="AA116"/>
          <cell r="AB116">
            <v>0</v>
          </cell>
          <cell r="AC116"/>
          <cell r="AD116">
            <v>0</v>
          </cell>
          <cell r="AE116"/>
          <cell r="AF116"/>
          <cell r="AG116"/>
          <cell r="AH116"/>
          <cell r="AI116"/>
          <cell r="AJ116">
            <v>0</v>
          </cell>
          <cell r="AK116" t="str">
            <v>3P</v>
          </cell>
          <cell r="AL116">
            <v>213</v>
          </cell>
          <cell r="AM116">
            <v>303</v>
          </cell>
          <cell r="AN116" t="str">
            <v>08 Inactive Dealer</v>
          </cell>
          <cell r="AO116" t="str">
            <v>Southwest</v>
          </cell>
          <cell r="AP116" t="str">
            <v>West</v>
          </cell>
          <cell r="AQ116"/>
          <cell r="AR116">
            <v>0</v>
          </cell>
          <cell r="AS116">
            <v>0</v>
          </cell>
        </row>
        <row r="117">
          <cell r="A117" t="str">
            <v>11695A</v>
          </cell>
          <cell r="B117" t="str">
            <v>BONANDER AUTO, TRUCK AND TRAILER GROUP, INC</v>
          </cell>
          <cell r="C117" t="str">
            <v>M10108</v>
          </cell>
          <cell r="D117" t="str">
            <v>Return Mail, no pink card</v>
          </cell>
          <cell r="E117" t="str">
            <v>FP - Wells Fargo</v>
          </cell>
          <cell r="F117" t="str">
            <v>Yes</v>
          </cell>
          <cell r="G117" t="str">
            <v>ID</v>
          </cell>
          <cell r="H117">
            <v>8</v>
          </cell>
          <cell r="I117">
            <v>0.7</v>
          </cell>
          <cell r="J117" t="str">
            <v>Orphaned Acct</v>
          </cell>
          <cell r="K117" t="str">
            <v>BAKERSFIELD</v>
          </cell>
          <cell r="L117" t="str">
            <v>CA</v>
          </cell>
          <cell r="M117" t="str">
            <v>208-459-0106</v>
          </cell>
          <cell r="N117" t="str">
            <v>FAX INVOICES TO 209-634-3583</v>
          </cell>
          <cell r="O117">
            <v>1546</v>
          </cell>
          <cell r="P117">
            <v>6647.7999999999993</v>
          </cell>
          <cell r="Q117"/>
          <cell r="R117">
            <v>0</v>
          </cell>
          <cell r="S117">
            <v>810</v>
          </cell>
          <cell r="T117">
            <v>3483</v>
          </cell>
          <cell r="U117">
            <v>1467</v>
          </cell>
          <cell r="V117">
            <v>6308.0999999999995</v>
          </cell>
          <cell r="W117">
            <v>1497</v>
          </cell>
          <cell r="X117">
            <v>6437.0999999999995</v>
          </cell>
          <cell r="Y117"/>
          <cell r="Z117">
            <v>0</v>
          </cell>
          <cell r="AA117"/>
          <cell r="AB117">
            <v>0</v>
          </cell>
          <cell r="AC117"/>
          <cell r="AD117">
            <v>0</v>
          </cell>
          <cell r="AE117"/>
          <cell r="AF117"/>
          <cell r="AG117"/>
          <cell r="AH117"/>
          <cell r="AI117"/>
          <cell r="AJ117">
            <v>0</v>
          </cell>
          <cell r="AK117" t="str">
            <v>3P</v>
          </cell>
          <cell r="AL117">
            <v>213</v>
          </cell>
          <cell r="AM117">
            <v>28</v>
          </cell>
          <cell r="AN117" t="str">
            <v>08 Inactive Dealer</v>
          </cell>
          <cell r="AO117" t="str">
            <v>Southwest</v>
          </cell>
          <cell r="AP117" t="str">
            <v>West</v>
          </cell>
          <cell r="AQ117"/>
          <cell r="AR117">
            <v>0</v>
          </cell>
          <cell r="AS117">
            <v>0</v>
          </cell>
        </row>
        <row r="118">
          <cell r="A118">
            <v>11935</v>
          </cell>
          <cell r="B118" t="str">
            <v>BONANDER AUTO, TRUCK AND TRAILER GROUP, INC</v>
          </cell>
          <cell r="C118" t="str">
            <v>M10108</v>
          </cell>
          <cell r="D118" t="str">
            <v>Return Mail, no pink card</v>
          </cell>
          <cell r="E118" t="str">
            <v>C9</v>
          </cell>
          <cell r="F118" t="str">
            <v>Yes</v>
          </cell>
          <cell r="G118" t="str">
            <v>ID</v>
          </cell>
          <cell r="H118">
            <v>9</v>
          </cell>
          <cell r="I118">
            <v>0.7</v>
          </cell>
          <cell r="J118" t="str">
            <v>Orphaned Acct</v>
          </cell>
          <cell r="K118" t="str">
            <v>TURLOCK</v>
          </cell>
          <cell r="L118" t="str">
            <v>CA</v>
          </cell>
          <cell r="M118" t="str">
            <v>208-459-0106</v>
          </cell>
          <cell r="N118" t="str">
            <v>FAX INVOICES TO 209-634-3583</v>
          </cell>
          <cell r="O118">
            <v>1730</v>
          </cell>
          <cell r="P118">
            <v>7439</v>
          </cell>
          <cell r="Q118"/>
          <cell r="R118">
            <v>0</v>
          </cell>
          <cell r="S118">
            <v>626</v>
          </cell>
          <cell r="T118">
            <v>2691.7999999999997</v>
          </cell>
          <cell r="U118">
            <v>1651</v>
          </cell>
          <cell r="V118">
            <v>7099.2999999999993</v>
          </cell>
          <cell r="W118">
            <v>1682</v>
          </cell>
          <cell r="X118">
            <v>7232.5999999999995</v>
          </cell>
          <cell r="Y118"/>
          <cell r="Z118">
            <v>0</v>
          </cell>
          <cell r="AA118"/>
          <cell r="AB118">
            <v>0</v>
          </cell>
          <cell r="AC118"/>
          <cell r="AD118">
            <v>0</v>
          </cell>
          <cell r="AE118"/>
          <cell r="AF118"/>
          <cell r="AG118"/>
          <cell r="AH118"/>
          <cell r="AI118"/>
          <cell r="AJ118">
            <v>0</v>
          </cell>
          <cell r="AK118" t="str">
            <v>3P</v>
          </cell>
          <cell r="AL118">
            <v>213</v>
          </cell>
          <cell r="AM118">
            <v>303</v>
          </cell>
          <cell r="AN118" t="str">
            <v>08 Inactive Dealer</v>
          </cell>
          <cell r="AO118" t="str">
            <v>Southwest</v>
          </cell>
          <cell r="AP118" t="str">
            <v>West</v>
          </cell>
          <cell r="AQ118"/>
          <cell r="AR118">
            <v>0</v>
          </cell>
          <cell r="AS118">
            <v>0</v>
          </cell>
        </row>
        <row r="119">
          <cell r="A119" t="str">
            <v>11935A</v>
          </cell>
          <cell r="B119" t="str">
            <v>BONANDER AUTO, TRUCK AND TRAILER GROUP, INC</v>
          </cell>
          <cell r="C119" t="str">
            <v>M10108</v>
          </cell>
          <cell r="D119" t="str">
            <v>Return Mail, no pink card</v>
          </cell>
          <cell r="E119" t="str">
            <v>C9</v>
          </cell>
          <cell r="F119" t="str">
            <v>Yes</v>
          </cell>
          <cell r="G119" t="str">
            <v>ID</v>
          </cell>
          <cell r="H119">
            <v>9</v>
          </cell>
          <cell r="I119">
            <v>0.7</v>
          </cell>
          <cell r="J119" t="str">
            <v>Orphaned Acct</v>
          </cell>
          <cell r="K119" t="str">
            <v>BAKERSFIELD</v>
          </cell>
          <cell r="L119" t="str">
            <v>CA</v>
          </cell>
          <cell r="M119" t="str">
            <v>208-459-0106</v>
          </cell>
          <cell r="N119" t="str">
            <v>FAX INVOICES TO 209-634-3583</v>
          </cell>
          <cell r="O119">
            <v>1546</v>
          </cell>
          <cell r="P119">
            <v>6647.7999999999993</v>
          </cell>
          <cell r="Q119"/>
          <cell r="R119">
            <v>0</v>
          </cell>
          <cell r="S119">
            <v>810</v>
          </cell>
          <cell r="T119">
            <v>3483</v>
          </cell>
          <cell r="U119">
            <v>1467</v>
          </cell>
          <cell r="V119">
            <v>6308.0999999999995</v>
          </cell>
          <cell r="W119">
            <v>1497</v>
          </cell>
          <cell r="X119">
            <v>6437.0999999999995</v>
          </cell>
          <cell r="Y119"/>
          <cell r="Z119">
            <v>0</v>
          </cell>
          <cell r="AA119"/>
          <cell r="AB119">
            <v>0</v>
          </cell>
          <cell r="AC119"/>
          <cell r="AD119">
            <v>0</v>
          </cell>
          <cell r="AE119"/>
          <cell r="AF119"/>
          <cell r="AG119"/>
          <cell r="AH119"/>
          <cell r="AI119"/>
          <cell r="AJ119">
            <v>0</v>
          </cell>
          <cell r="AK119" t="str">
            <v>3P</v>
          </cell>
          <cell r="AL119">
            <v>213</v>
          </cell>
          <cell r="AM119">
            <v>28</v>
          </cell>
          <cell r="AN119" t="str">
            <v>08 Inactive Dealer</v>
          </cell>
          <cell r="AO119" t="str">
            <v>Southwest</v>
          </cell>
          <cell r="AP119" t="str">
            <v>West</v>
          </cell>
          <cell r="AQ119"/>
          <cell r="AR119">
            <v>0</v>
          </cell>
          <cell r="AS119">
            <v>0</v>
          </cell>
        </row>
        <row r="120">
          <cell r="A120" t="str">
            <v>11935B</v>
          </cell>
          <cell r="B120" t="str">
            <v>BONANDER AUTO, TRUCK AND TRAILER GROUP, INC</v>
          </cell>
          <cell r="C120" t="str">
            <v>M10108</v>
          </cell>
          <cell r="D120" t="str">
            <v>Return Mail, no pink card</v>
          </cell>
          <cell r="E120" t="str">
            <v>C9</v>
          </cell>
          <cell r="F120" t="str">
            <v>Yes</v>
          </cell>
          <cell r="G120" t="str">
            <v>ID</v>
          </cell>
          <cell r="H120">
            <v>9</v>
          </cell>
          <cell r="I120">
            <v>0.7</v>
          </cell>
          <cell r="J120" t="str">
            <v>Orphaned Acct</v>
          </cell>
          <cell r="K120" t="str">
            <v>MERCED</v>
          </cell>
          <cell r="L120" t="str">
            <v>CA</v>
          </cell>
          <cell r="M120" t="str">
            <v>208-459-0106</v>
          </cell>
          <cell r="N120" t="str">
            <v>FAX INVOICES TO 209-634-3583</v>
          </cell>
          <cell r="O120">
            <v>1710</v>
          </cell>
          <cell r="P120">
            <v>7353</v>
          </cell>
          <cell r="Q120"/>
          <cell r="R120">
            <v>0</v>
          </cell>
          <cell r="S120">
            <v>654</v>
          </cell>
          <cell r="T120">
            <v>2812.2</v>
          </cell>
          <cell r="U120">
            <v>1632</v>
          </cell>
          <cell r="V120">
            <v>7017.5999999999995</v>
          </cell>
          <cell r="W120">
            <v>1662</v>
          </cell>
          <cell r="X120">
            <v>7146.5999999999995</v>
          </cell>
          <cell r="Y120"/>
          <cell r="Z120">
            <v>0</v>
          </cell>
          <cell r="AA120"/>
          <cell r="AB120">
            <v>0</v>
          </cell>
          <cell r="AC120"/>
          <cell r="AD120">
            <v>0</v>
          </cell>
          <cell r="AE120"/>
          <cell r="AF120"/>
          <cell r="AG120"/>
          <cell r="AH120"/>
          <cell r="AI120"/>
          <cell r="AJ120">
            <v>0</v>
          </cell>
          <cell r="AK120" t="str">
            <v>3P</v>
          </cell>
          <cell r="AL120">
            <v>213</v>
          </cell>
          <cell r="AM120">
            <v>291</v>
          </cell>
          <cell r="AN120" t="str">
            <v>08 Inactive Dealer</v>
          </cell>
          <cell r="AO120" t="str">
            <v>Southwest</v>
          </cell>
          <cell r="AP120" t="str">
            <v>West</v>
          </cell>
          <cell r="AQ120"/>
          <cell r="AR120">
            <v>0</v>
          </cell>
          <cell r="AS120">
            <v>0</v>
          </cell>
        </row>
        <row r="121">
          <cell r="A121">
            <v>12247</v>
          </cell>
          <cell r="B121" t="str">
            <v>CORVETTE'S UNLIMITED</v>
          </cell>
          <cell r="C121" t="str">
            <v>M10160</v>
          </cell>
          <cell r="D121" t="str">
            <v>NET 5, BT+</v>
          </cell>
          <cell r="E121" t="str">
            <v>CO</v>
          </cell>
          <cell r="F121" t="str">
            <v>Yes</v>
          </cell>
          <cell r="G121" t="str">
            <v>ID</v>
          </cell>
          <cell r="H121">
            <v>7</v>
          </cell>
          <cell r="I121">
            <v>0.7</v>
          </cell>
          <cell r="J121" t="str">
            <v>Orphaned Acct</v>
          </cell>
          <cell r="K121" t="str">
            <v>RED BLUFF</v>
          </cell>
          <cell r="L121" t="str">
            <v>CA</v>
          </cell>
          <cell r="M121" t="str">
            <v>208-459-0106</v>
          </cell>
          <cell r="N121"/>
          <cell r="O121">
            <v>1950</v>
          </cell>
          <cell r="P121">
            <v>8385</v>
          </cell>
          <cell r="Q121"/>
          <cell r="R121">
            <v>0</v>
          </cell>
          <cell r="S121">
            <v>525</v>
          </cell>
          <cell r="T121">
            <v>2257.5</v>
          </cell>
          <cell r="U121">
            <v>1871</v>
          </cell>
          <cell r="V121">
            <v>8045.2999999999993</v>
          </cell>
          <cell r="W121">
            <v>1902</v>
          </cell>
          <cell r="X121">
            <v>8178.5999999999995</v>
          </cell>
          <cell r="Y121"/>
          <cell r="Z121">
            <v>0</v>
          </cell>
          <cell r="AA121"/>
          <cell r="AB121">
            <v>0</v>
          </cell>
          <cell r="AC121"/>
          <cell r="AD121">
            <v>0</v>
          </cell>
          <cell r="AE121"/>
          <cell r="AF121"/>
          <cell r="AG121"/>
          <cell r="AH121"/>
          <cell r="AI121"/>
          <cell r="AJ121">
            <v>0</v>
          </cell>
          <cell r="AK121" t="str">
            <v>3P</v>
          </cell>
          <cell r="AL121">
            <v>213</v>
          </cell>
          <cell r="AM121">
            <v>371</v>
          </cell>
          <cell r="AN121" t="str">
            <v>01 Existing Dealer</v>
          </cell>
          <cell r="AO121" t="str">
            <v>Southwest</v>
          </cell>
          <cell r="AP121" t="str">
            <v>West</v>
          </cell>
          <cell r="AQ121"/>
          <cell r="AR121">
            <v>0</v>
          </cell>
          <cell r="AS121">
            <v>0</v>
          </cell>
          <cell r="AT121"/>
        </row>
        <row r="122">
          <cell r="A122" t="str">
            <v>12247A</v>
          </cell>
          <cell r="B122" t="str">
            <v>CORVETTE'S UNLIMITED</v>
          </cell>
          <cell r="C122" t="str">
            <v>M10160</v>
          </cell>
          <cell r="D122" t="str">
            <v>NET 5, BT+</v>
          </cell>
          <cell r="E122" t="str">
            <v>CO</v>
          </cell>
          <cell r="F122" t="str">
            <v>Yes</v>
          </cell>
          <cell r="G122" t="str">
            <v>ID</v>
          </cell>
          <cell r="H122">
            <v>7</v>
          </cell>
          <cell r="I122">
            <v>0.7</v>
          </cell>
          <cell r="J122" t="str">
            <v>Orphaned Acct</v>
          </cell>
          <cell r="K122" t="str">
            <v>RED BLUFF</v>
          </cell>
          <cell r="L122" t="str">
            <v>CA</v>
          </cell>
          <cell r="M122" t="str">
            <v>208-459-0106</v>
          </cell>
          <cell r="N122"/>
          <cell r="O122">
            <v>1950</v>
          </cell>
          <cell r="P122">
            <v>8385</v>
          </cell>
          <cell r="Q122"/>
          <cell r="R122">
            <v>0</v>
          </cell>
          <cell r="S122">
            <v>525</v>
          </cell>
          <cell r="T122">
            <v>2257.5</v>
          </cell>
          <cell r="U122">
            <v>1871</v>
          </cell>
          <cell r="V122">
            <v>8045.2999999999993</v>
          </cell>
          <cell r="W122">
            <v>1902</v>
          </cell>
          <cell r="X122">
            <v>8178.5999999999995</v>
          </cell>
          <cell r="Y122"/>
          <cell r="Z122">
            <v>0</v>
          </cell>
          <cell r="AA122"/>
          <cell r="AB122">
            <v>0</v>
          </cell>
          <cell r="AC122"/>
          <cell r="AD122">
            <v>0</v>
          </cell>
          <cell r="AE122"/>
          <cell r="AF122"/>
          <cell r="AG122"/>
          <cell r="AH122"/>
          <cell r="AI122"/>
          <cell r="AJ122">
            <v>0</v>
          </cell>
          <cell r="AK122" t="str">
            <v>3P</v>
          </cell>
          <cell r="AL122">
            <v>213</v>
          </cell>
          <cell r="AM122">
            <v>371</v>
          </cell>
          <cell r="AN122" t="str">
            <v>01 Existing Dealer</v>
          </cell>
          <cell r="AO122" t="str">
            <v>Southwest</v>
          </cell>
          <cell r="AP122" t="str">
            <v>West</v>
          </cell>
          <cell r="AQ122"/>
          <cell r="AR122">
            <v>0</v>
          </cell>
          <cell r="AS122">
            <v>0</v>
          </cell>
        </row>
        <row r="123">
          <cell r="A123">
            <v>13156</v>
          </cell>
          <cell r="B123" t="str">
            <v>DARDEEN ENTERPRISES, LLC</v>
          </cell>
          <cell r="C123" t="str">
            <v>M11067</v>
          </cell>
          <cell r="D123" t="str">
            <v>NET 5, BT+</v>
          </cell>
          <cell r="E123" t="str">
            <v>CO</v>
          </cell>
          <cell r="F123" t="str">
            <v>Yes</v>
          </cell>
          <cell r="G123" t="str">
            <v>ID</v>
          </cell>
          <cell r="H123">
            <v>7</v>
          </cell>
          <cell r="I123">
            <v>0.66500000000000004</v>
          </cell>
          <cell r="J123" t="str">
            <v>Orphaned Acct</v>
          </cell>
          <cell r="K123" t="str">
            <v>RAMONA</v>
          </cell>
          <cell r="L123" t="str">
            <v>CA</v>
          </cell>
          <cell r="M123" t="str">
            <v>800-577-8858</v>
          </cell>
          <cell r="N123"/>
          <cell r="O123">
            <v>1486</v>
          </cell>
          <cell r="P123">
            <v>6389.8</v>
          </cell>
          <cell r="Q123"/>
          <cell r="R123">
            <v>0</v>
          </cell>
          <cell r="S123">
            <v>910</v>
          </cell>
          <cell r="T123">
            <v>3913</v>
          </cell>
          <cell r="U123">
            <v>1436</v>
          </cell>
          <cell r="V123">
            <v>6174.8</v>
          </cell>
          <cell r="W123">
            <v>1411</v>
          </cell>
          <cell r="X123">
            <v>6067.3</v>
          </cell>
          <cell r="Y123"/>
          <cell r="Z123">
            <v>0</v>
          </cell>
          <cell r="AA123"/>
          <cell r="AB123">
            <v>0</v>
          </cell>
          <cell r="AC123"/>
          <cell r="AD123">
            <v>0</v>
          </cell>
          <cell r="AE123"/>
          <cell r="AF123"/>
          <cell r="AG123"/>
          <cell r="AH123"/>
          <cell r="AI123"/>
          <cell r="AJ123">
            <v>0</v>
          </cell>
          <cell r="AK123" t="str">
            <v>3P</v>
          </cell>
          <cell r="AL123">
            <v>213</v>
          </cell>
          <cell r="AM123">
            <v>402</v>
          </cell>
          <cell r="AN123" t="str">
            <v>03 New Dealer</v>
          </cell>
          <cell r="AO123" t="str">
            <v>Southwest</v>
          </cell>
          <cell r="AP123" t="str">
            <v>West</v>
          </cell>
          <cell r="AQ123"/>
          <cell r="AR123">
            <v>0</v>
          </cell>
          <cell r="AS123">
            <v>0</v>
          </cell>
        </row>
        <row r="124">
          <cell r="A124">
            <v>12870</v>
          </cell>
          <cell r="B124" t="str">
            <v>DAZEY'S INC dba DAZEY'S MOTORSPORTS</v>
          </cell>
          <cell r="C124" t="str">
            <v>M10177</v>
          </cell>
          <cell r="D124" t="str">
            <v>NET 5, BT+</v>
          </cell>
          <cell r="E124" t="str">
            <v>FP - Wells Fargo</v>
          </cell>
          <cell r="F124" t="str">
            <v>Yes</v>
          </cell>
          <cell r="G124" t="str">
            <v>ID</v>
          </cell>
          <cell r="H124">
            <v>8</v>
          </cell>
          <cell r="I124">
            <v>0.66500000000000004</v>
          </cell>
          <cell r="J124" t="str">
            <v>Orphaned Acct</v>
          </cell>
          <cell r="K124" t="str">
            <v>GARBERVILLE</v>
          </cell>
          <cell r="L124" t="str">
            <v>CA</v>
          </cell>
          <cell r="M124" t="str">
            <v>800-577-8858</v>
          </cell>
          <cell r="N124"/>
          <cell r="O124">
            <v>2022</v>
          </cell>
          <cell r="P124">
            <v>8694.6</v>
          </cell>
          <cell r="Q124"/>
          <cell r="R124">
            <v>0</v>
          </cell>
          <cell r="S124">
            <v>756</v>
          </cell>
          <cell r="T124">
            <v>3250.7999999999997</v>
          </cell>
          <cell r="U124">
            <v>1943</v>
          </cell>
          <cell r="V124">
            <v>8354.9</v>
          </cell>
          <cell r="W124">
            <v>1974</v>
          </cell>
          <cell r="X124">
            <v>8488.1999999999989</v>
          </cell>
          <cell r="Y124"/>
          <cell r="Z124">
            <v>0</v>
          </cell>
          <cell r="AA124"/>
          <cell r="AB124">
            <v>0</v>
          </cell>
          <cell r="AC124"/>
          <cell r="AD124">
            <v>0</v>
          </cell>
          <cell r="AE124"/>
          <cell r="AF124"/>
          <cell r="AG124"/>
          <cell r="AH124"/>
          <cell r="AI124"/>
          <cell r="AJ124">
            <v>0</v>
          </cell>
          <cell r="AK124" t="str">
            <v>3P</v>
          </cell>
          <cell r="AL124">
            <v>213</v>
          </cell>
          <cell r="AM124">
            <v>134</v>
          </cell>
          <cell r="AN124" t="str">
            <v>08 Inactive Dealer</v>
          </cell>
          <cell r="AO124" t="str">
            <v>Southwest</v>
          </cell>
          <cell r="AP124" t="str">
            <v>West</v>
          </cell>
          <cell r="AQ124"/>
          <cell r="AR124">
            <v>0</v>
          </cell>
          <cell r="AS124">
            <v>0</v>
          </cell>
        </row>
        <row r="125">
          <cell r="A125">
            <v>12983</v>
          </cell>
          <cell r="B125" t="str">
            <v>ELITE MOTORSPORTS</v>
          </cell>
          <cell r="C125" t="str">
            <v>M10815</v>
          </cell>
          <cell r="D125" t="str">
            <v>NET 5, BT+</v>
          </cell>
          <cell r="E125" t="str">
            <v>F1 - Northpoint</v>
          </cell>
          <cell r="F125" t="str">
            <v>Yes</v>
          </cell>
          <cell r="G125" t="str">
            <v>ID</v>
          </cell>
          <cell r="H125">
            <v>8</v>
          </cell>
          <cell r="I125">
            <v>0.66500000000000004</v>
          </cell>
          <cell r="J125" t="str">
            <v>Nate Erickson</v>
          </cell>
          <cell r="K125" t="str">
            <v>WILDOMAR</v>
          </cell>
          <cell r="L125" t="str">
            <v>CA</v>
          </cell>
          <cell r="M125" t="str">
            <v>800-577-8858</v>
          </cell>
          <cell r="N125" t="str">
            <v>SEND LOADS TO NORTHPOINT</v>
          </cell>
          <cell r="O125">
            <v>1528</v>
          </cell>
          <cell r="P125">
            <v>6570.4</v>
          </cell>
          <cell r="Q125"/>
          <cell r="R125">
            <v>0</v>
          </cell>
          <cell r="S125">
            <v>852</v>
          </cell>
          <cell r="T125">
            <v>3663.6</v>
          </cell>
          <cell r="U125">
            <v>1448</v>
          </cell>
          <cell r="V125">
            <v>6226.4</v>
          </cell>
          <cell r="W125">
            <v>1453</v>
          </cell>
          <cell r="X125">
            <v>6247.9</v>
          </cell>
          <cell r="Y125"/>
          <cell r="Z125">
            <v>0</v>
          </cell>
          <cell r="AA125"/>
          <cell r="AB125">
            <v>0</v>
          </cell>
          <cell r="AC125"/>
          <cell r="AD125">
            <v>0</v>
          </cell>
          <cell r="AE125"/>
          <cell r="AF125"/>
          <cell r="AG125"/>
          <cell r="AH125"/>
          <cell r="AI125"/>
          <cell r="AJ125">
            <v>2.5000000000000001E-2</v>
          </cell>
          <cell r="AK125" t="str">
            <v>3P</v>
          </cell>
          <cell r="AL125">
            <v>187</v>
          </cell>
          <cell r="AM125">
            <v>262</v>
          </cell>
          <cell r="AN125" t="str">
            <v>01 Existing Dealer</v>
          </cell>
          <cell r="AO125" t="str">
            <v>Southwest</v>
          </cell>
          <cell r="AP125" t="str">
            <v>West</v>
          </cell>
          <cell r="AQ125"/>
          <cell r="AR125">
            <v>103194</v>
          </cell>
          <cell r="AS125">
            <v>0</v>
          </cell>
        </row>
        <row r="126">
          <cell r="A126">
            <v>12822</v>
          </cell>
          <cell r="B126" t="str">
            <v>FEATHERLITE OF N.CA</v>
          </cell>
          <cell r="C126" t="str">
            <v>M10194</v>
          </cell>
          <cell r="D126" t="str">
            <v>NET 5, BT+</v>
          </cell>
          <cell r="E126" t="str">
            <v>F1 - Northpoint</v>
          </cell>
          <cell r="F126" t="str">
            <v>Yes</v>
          </cell>
          <cell r="G126" t="str">
            <v>ID</v>
          </cell>
          <cell r="H126">
            <v>8</v>
          </cell>
          <cell r="I126">
            <v>0.7</v>
          </cell>
          <cell r="J126" t="str">
            <v>Nate Erickson</v>
          </cell>
          <cell r="K126" t="str">
            <v>GRASS VALLEY</v>
          </cell>
          <cell r="L126" t="str">
            <v>CA</v>
          </cell>
          <cell r="M126" t="str">
            <v>208-459-0106</v>
          </cell>
          <cell r="N126"/>
          <cell r="O126">
            <v>1874</v>
          </cell>
          <cell r="P126">
            <v>8058.2</v>
          </cell>
          <cell r="Q126"/>
          <cell r="R126">
            <v>0</v>
          </cell>
          <cell r="S126">
            <v>494</v>
          </cell>
          <cell r="T126">
            <v>2124.1999999999998</v>
          </cell>
          <cell r="U126">
            <v>1795</v>
          </cell>
          <cell r="V126">
            <v>7718.5</v>
          </cell>
          <cell r="W126">
            <v>1826</v>
          </cell>
          <cell r="X126">
            <v>7851.7999999999993</v>
          </cell>
          <cell r="Y126"/>
          <cell r="Z126">
            <v>0</v>
          </cell>
          <cell r="AA126"/>
          <cell r="AB126">
            <v>0</v>
          </cell>
          <cell r="AC126"/>
          <cell r="AD126">
            <v>0</v>
          </cell>
          <cell r="AE126"/>
          <cell r="AF126"/>
          <cell r="AG126"/>
          <cell r="AH126"/>
          <cell r="AI126"/>
          <cell r="AJ126">
            <v>1.4999999999999999E-2</v>
          </cell>
          <cell r="AK126" t="str">
            <v>3P</v>
          </cell>
          <cell r="AL126">
            <v>187</v>
          </cell>
          <cell r="AM126">
            <v>389</v>
          </cell>
          <cell r="AN126" t="str">
            <v>01 Existing Dealer</v>
          </cell>
          <cell r="AO126" t="str">
            <v>Southwest</v>
          </cell>
          <cell r="AP126" t="str">
            <v>West</v>
          </cell>
          <cell r="AQ126"/>
          <cell r="AR126">
            <v>37254</v>
          </cell>
          <cell r="AS126">
            <v>0</v>
          </cell>
        </row>
        <row r="127">
          <cell r="A127">
            <v>13228</v>
          </cell>
          <cell r="B127" t="str">
            <v>GARTON</v>
          </cell>
          <cell r="C127" t="str">
            <v>M11119</v>
          </cell>
          <cell r="D127" t="str">
            <v>Return Mail, no pink card</v>
          </cell>
          <cell r="E127" t="str">
            <v>RM</v>
          </cell>
          <cell r="F127" t="str">
            <v>Yes</v>
          </cell>
          <cell r="G127" t="str">
            <v>ID</v>
          </cell>
          <cell r="H127">
            <v>5</v>
          </cell>
          <cell r="I127">
            <v>0.66500000000000004</v>
          </cell>
          <cell r="J127" t="str">
            <v>Nate Erickson</v>
          </cell>
          <cell r="K127" t="str">
            <v>SANTA ROSA</v>
          </cell>
          <cell r="L127" t="str">
            <v>CA</v>
          </cell>
          <cell r="M127" t="str">
            <v>800-577-8858</v>
          </cell>
          <cell r="N127"/>
          <cell r="O127">
            <v>1872</v>
          </cell>
          <cell r="P127">
            <v>8049.5999999999995</v>
          </cell>
          <cell r="Q127"/>
          <cell r="R127">
            <v>0</v>
          </cell>
          <cell r="S127">
            <v>640</v>
          </cell>
          <cell r="T127">
            <v>2752</v>
          </cell>
          <cell r="U127">
            <v>1793</v>
          </cell>
          <cell r="V127">
            <v>7709.9</v>
          </cell>
          <cell r="W127">
            <v>1823</v>
          </cell>
          <cell r="X127">
            <v>7838.9</v>
          </cell>
          <cell r="Y127"/>
          <cell r="Z127">
            <v>0</v>
          </cell>
          <cell r="AA127"/>
          <cell r="AB127">
            <v>0</v>
          </cell>
          <cell r="AC127"/>
          <cell r="AD127">
            <v>0</v>
          </cell>
          <cell r="AE127"/>
          <cell r="AF127"/>
          <cell r="AG127"/>
          <cell r="AH127"/>
          <cell r="AI127"/>
          <cell r="AJ127">
            <v>1.4999999999999999E-2</v>
          </cell>
          <cell r="AK127" t="str">
            <v>3P</v>
          </cell>
          <cell r="AL127">
            <v>187</v>
          </cell>
          <cell r="AM127">
            <v>404</v>
          </cell>
          <cell r="AN127" t="str">
            <v>02 Ramping</v>
          </cell>
          <cell r="AO127" t="str">
            <v>Southwest</v>
          </cell>
          <cell r="AP127" t="str">
            <v>West</v>
          </cell>
          <cell r="AQ127"/>
          <cell r="AR127">
            <v>45937</v>
          </cell>
          <cell r="AS127">
            <v>0</v>
          </cell>
        </row>
        <row r="128">
          <cell r="A128" t="str">
            <v>13228A</v>
          </cell>
          <cell r="B128" t="str">
            <v>GARTON</v>
          </cell>
          <cell r="C128" t="str">
            <v>M11119</v>
          </cell>
          <cell r="D128" t="str">
            <v>Return Mail, no pink card</v>
          </cell>
          <cell r="E128" t="str">
            <v>RM</v>
          </cell>
          <cell r="F128" t="str">
            <v>Yes</v>
          </cell>
          <cell r="G128" t="str">
            <v>ID</v>
          </cell>
          <cell r="H128">
            <v>5</v>
          </cell>
          <cell r="I128">
            <v>0.66500000000000004</v>
          </cell>
          <cell r="J128" t="str">
            <v>Nate Erickson</v>
          </cell>
          <cell r="K128" t="str">
            <v>FAIRFIELD</v>
          </cell>
          <cell r="L128" t="str">
            <v>CA</v>
          </cell>
          <cell r="M128" t="str">
            <v>800-577-8858</v>
          </cell>
          <cell r="N128"/>
          <cell r="O128">
            <v>1839</v>
          </cell>
          <cell r="P128">
            <v>7907.7</v>
          </cell>
          <cell r="Q128"/>
          <cell r="R128">
            <v>0</v>
          </cell>
          <cell r="S128">
            <v>579</v>
          </cell>
          <cell r="T128">
            <v>2489.6999999999998</v>
          </cell>
          <cell r="U128">
            <v>1760</v>
          </cell>
          <cell r="V128">
            <v>7568</v>
          </cell>
          <cell r="W128">
            <v>1790</v>
          </cell>
          <cell r="X128">
            <v>7697</v>
          </cell>
          <cell r="Y128"/>
          <cell r="Z128">
            <v>0</v>
          </cell>
          <cell r="AA128"/>
          <cell r="AB128">
            <v>0</v>
          </cell>
          <cell r="AC128"/>
          <cell r="AD128">
            <v>0</v>
          </cell>
          <cell r="AE128"/>
          <cell r="AF128"/>
          <cell r="AG128"/>
          <cell r="AH128"/>
          <cell r="AI128"/>
          <cell r="AJ128">
            <v>0</v>
          </cell>
          <cell r="AK128" t="str">
            <v>3P</v>
          </cell>
          <cell r="AL128">
            <v>187</v>
          </cell>
          <cell r="AM128">
            <v>404</v>
          </cell>
          <cell r="AN128" t="str">
            <v>02 Ramping</v>
          </cell>
          <cell r="AO128" t="str">
            <v>Southwest</v>
          </cell>
          <cell r="AP128" t="str">
            <v>West</v>
          </cell>
          <cell r="AQ128"/>
          <cell r="AR128">
            <v>0</v>
          </cell>
          <cell r="AS128">
            <v>0</v>
          </cell>
        </row>
        <row r="129">
          <cell r="A129" t="str">
            <v>13228B</v>
          </cell>
          <cell r="B129" t="str">
            <v>GARTON</v>
          </cell>
          <cell r="C129" t="str">
            <v>M11119</v>
          </cell>
          <cell r="D129" t="str">
            <v>Return Mail, no pink card</v>
          </cell>
          <cell r="E129" t="str">
            <v>RM</v>
          </cell>
          <cell r="F129" t="str">
            <v>Yes</v>
          </cell>
          <cell r="G129" t="str">
            <v>ID</v>
          </cell>
          <cell r="H129">
            <v>5</v>
          </cell>
          <cell r="I129">
            <v>0.66500000000000004</v>
          </cell>
          <cell r="J129" t="str">
            <v>Nate Erickson</v>
          </cell>
          <cell r="K129" t="str">
            <v>UKIAH</v>
          </cell>
          <cell r="L129" t="str">
            <v>CA</v>
          </cell>
          <cell r="M129" t="str">
            <v>800-577-8858</v>
          </cell>
          <cell r="N129"/>
          <cell r="O129">
            <v>1932</v>
          </cell>
          <cell r="P129">
            <v>8307.6</v>
          </cell>
          <cell r="Q129"/>
          <cell r="R129">
            <v>0</v>
          </cell>
          <cell r="S129">
            <v>700</v>
          </cell>
          <cell r="T129">
            <v>3010</v>
          </cell>
          <cell r="U129">
            <v>1853</v>
          </cell>
          <cell r="V129">
            <v>7967.9</v>
          </cell>
          <cell r="W129">
            <v>1883</v>
          </cell>
          <cell r="X129">
            <v>8096.9</v>
          </cell>
          <cell r="Y129"/>
          <cell r="Z129">
            <v>0</v>
          </cell>
          <cell r="AA129"/>
          <cell r="AB129">
            <v>0</v>
          </cell>
          <cell r="AC129"/>
          <cell r="AD129">
            <v>0</v>
          </cell>
          <cell r="AE129"/>
          <cell r="AF129"/>
          <cell r="AG129"/>
          <cell r="AH129"/>
          <cell r="AI129"/>
          <cell r="AJ129">
            <v>1.4999999999999999E-2</v>
          </cell>
          <cell r="AK129" t="str">
            <v>3P</v>
          </cell>
          <cell r="AL129">
            <v>187</v>
          </cell>
          <cell r="AM129">
            <v>404</v>
          </cell>
          <cell r="AN129" t="str">
            <v>02 Ramping</v>
          </cell>
          <cell r="AO129" t="str">
            <v>Southwest</v>
          </cell>
          <cell r="AP129" t="str">
            <v>West</v>
          </cell>
          <cell r="AQ129"/>
          <cell r="AR129">
            <v>0</v>
          </cell>
          <cell r="AS129">
            <v>0</v>
          </cell>
        </row>
        <row r="130">
          <cell r="A130">
            <v>13561</v>
          </cell>
          <cell r="B130" t="str">
            <v>GREENWOOD CHEVY dba HOLISTER</v>
          </cell>
          <cell r="C130" t="str">
            <v>M11537</v>
          </cell>
          <cell r="D130" t="str">
            <v>NET 5, BT+</v>
          </cell>
          <cell r="E130" t="str">
            <v>05</v>
          </cell>
          <cell r="F130" t="str">
            <v>Yes</v>
          </cell>
          <cell r="G130" t="str">
            <v>ID</v>
          </cell>
          <cell r="H130">
            <v>5</v>
          </cell>
          <cell r="I130">
            <v>0.7</v>
          </cell>
          <cell r="J130" t="str">
            <v>Dakota Nation</v>
          </cell>
          <cell r="K130" t="str">
            <v>HOLISTER</v>
          </cell>
          <cell r="L130" t="str">
            <v>CA</v>
          </cell>
          <cell r="M130" t="str">
            <v>800-577-8858</v>
          </cell>
          <cell r="N130"/>
          <cell r="O130">
            <v>1744</v>
          </cell>
          <cell r="P130">
            <v>7499.2</v>
          </cell>
          <cell r="Q130"/>
          <cell r="R130">
            <v>0</v>
          </cell>
          <cell r="S130">
            <v>688</v>
          </cell>
          <cell r="T130">
            <v>2958.4</v>
          </cell>
          <cell r="U130">
            <v>1619</v>
          </cell>
          <cell r="V130">
            <v>6961.7</v>
          </cell>
          <cell r="W130">
            <v>1702</v>
          </cell>
          <cell r="X130">
            <v>7318.5999999999995</v>
          </cell>
          <cell r="Y130"/>
          <cell r="Z130">
            <v>0</v>
          </cell>
          <cell r="AA130"/>
          <cell r="AB130">
            <v>0</v>
          </cell>
          <cell r="AC130"/>
          <cell r="AD130">
            <v>0</v>
          </cell>
          <cell r="AE130"/>
          <cell r="AF130"/>
          <cell r="AG130"/>
          <cell r="AH130"/>
          <cell r="AI130"/>
          <cell r="AJ130">
            <v>0</v>
          </cell>
          <cell r="AK130" t="str">
            <v>3P</v>
          </cell>
          <cell r="AL130">
            <v>223</v>
          </cell>
          <cell r="AM130">
            <v>404</v>
          </cell>
          <cell r="AN130" t="str">
            <v>03 New Dealer</v>
          </cell>
          <cell r="AO130" t="str">
            <v>Southwest</v>
          </cell>
          <cell r="AP130" t="str">
            <v>West</v>
          </cell>
          <cell r="AQ130"/>
          <cell r="AR130">
            <v>0</v>
          </cell>
          <cell r="AS130">
            <v>0</v>
          </cell>
        </row>
        <row r="131">
          <cell r="A131">
            <v>12507</v>
          </cell>
          <cell r="B131" t="str">
            <v>IDLE WHEELS</v>
          </cell>
          <cell r="C131" t="str">
            <v>M10228</v>
          </cell>
          <cell r="D131" t="str">
            <v>NET 5, BT+</v>
          </cell>
          <cell r="E131" t="str">
            <v>CO</v>
          </cell>
          <cell r="F131" t="str">
            <v>Yes</v>
          </cell>
          <cell r="G131" t="str">
            <v>ID</v>
          </cell>
          <cell r="H131">
            <v>7</v>
          </cell>
          <cell r="I131">
            <v>0.7</v>
          </cell>
          <cell r="J131" t="str">
            <v>Orphaned Acct</v>
          </cell>
          <cell r="K131" t="str">
            <v>PLACERVILLE</v>
          </cell>
          <cell r="L131" t="str">
            <v>CA</v>
          </cell>
          <cell r="M131" t="str">
            <v>800-577-8858</v>
          </cell>
          <cell r="N131"/>
          <cell r="O131">
            <v>1849</v>
          </cell>
          <cell r="P131">
            <v>7950.7</v>
          </cell>
          <cell r="Q131"/>
          <cell r="R131">
            <v>0</v>
          </cell>
          <cell r="S131">
            <v>525</v>
          </cell>
          <cell r="T131">
            <v>2257.5</v>
          </cell>
          <cell r="U131">
            <v>1770</v>
          </cell>
          <cell r="V131">
            <v>7611</v>
          </cell>
          <cell r="W131">
            <v>1801</v>
          </cell>
          <cell r="X131">
            <v>7744.2999999999993</v>
          </cell>
          <cell r="Y131"/>
          <cell r="Z131">
            <v>0</v>
          </cell>
          <cell r="AA131"/>
          <cell r="AB131">
            <v>0</v>
          </cell>
          <cell r="AC131"/>
          <cell r="AD131">
            <v>0</v>
          </cell>
          <cell r="AE131"/>
          <cell r="AF131"/>
          <cell r="AG131"/>
          <cell r="AH131"/>
          <cell r="AI131"/>
          <cell r="AJ131">
            <v>0</v>
          </cell>
          <cell r="AK131" t="str">
            <v>3P</v>
          </cell>
          <cell r="AL131">
            <v>213</v>
          </cell>
          <cell r="AM131">
            <v>389</v>
          </cell>
          <cell r="AN131" t="str">
            <v>08 Inactive Dealer</v>
          </cell>
          <cell r="AO131" t="str">
            <v>Southwest</v>
          </cell>
          <cell r="AP131" t="str">
            <v>West</v>
          </cell>
          <cell r="AQ131"/>
          <cell r="AR131">
            <v>0</v>
          </cell>
          <cell r="AS131">
            <v>0</v>
          </cell>
        </row>
        <row r="132">
          <cell r="A132">
            <v>11642</v>
          </cell>
          <cell r="B132" t="str">
            <v>JACOBSEN TRAILERS, INC.</v>
          </cell>
          <cell r="C132"/>
          <cell r="D132" t="str">
            <v>NET 5, BT+</v>
          </cell>
          <cell r="E132" t="str">
            <v>CO</v>
          </cell>
          <cell r="F132" t="str">
            <v>Yes</v>
          </cell>
          <cell r="G132" t="str">
            <v>ID</v>
          </cell>
          <cell r="H132">
            <v>7</v>
          </cell>
          <cell r="I132">
            <v>0.7</v>
          </cell>
          <cell r="J132" t="str">
            <v>House</v>
          </cell>
          <cell r="K132" t="str">
            <v>FOWLER</v>
          </cell>
          <cell r="L132" t="str">
            <v>CA</v>
          </cell>
          <cell r="M132" t="str">
            <v>208-459-0106</v>
          </cell>
          <cell r="N132"/>
          <cell r="O132">
            <v>1641</v>
          </cell>
          <cell r="P132">
            <v>7056.2999999999993</v>
          </cell>
          <cell r="Q132"/>
          <cell r="R132">
            <v>0</v>
          </cell>
          <cell r="S132">
            <v>725</v>
          </cell>
          <cell r="T132">
            <v>3117.5</v>
          </cell>
          <cell r="U132">
            <v>1561</v>
          </cell>
          <cell r="V132">
            <v>6712.2999999999993</v>
          </cell>
          <cell r="W132"/>
          <cell r="X132">
            <v>0</v>
          </cell>
          <cell r="Y132"/>
          <cell r="Z132">
            <v>0</v>
          </cell>
          <cell r="AA132"/>
          <cell r="AB132">
            <v>0</v>
          </cell>
          <cell r="AC132"/>
          <cell r="AD132">
            <v>0</v>
          </cell>
          <cell r="AE132"/>
          <cell r="AF132"/>
          <cell r="AG132"/>
          <cell r="AH132"/>
          <cell r="AI132"/>
          <cell r="AJ132">
            <v>0.01</v>
          </cell>
          <cell r="AK132" t="str">
            <v>3P</v>
          </cell>
          <cell r="AL132">
            <v>400</v>
          </cell>
          <cell r="AM132">
            <v>157</v>
          </cell>
          <cell r="AN132" t="str">
            <v>08 Inactive Dealer</v>
          </cell>
          <cell r="AO132" t="str">
            <v>Southwest</v>
          </cell>
          <cell r="AP132" t="str">
            <v>West</v>
          </cell>
          <cell r="AQ132"/>
          <cell r="AR132">
            <v>0</v>
          </cell>
          <cell r="AS132">
            <v>0</v>
          </cell>
        </row>
        <row r="133">
          <cell r="A133">
            <v>10265</v>
          </cell>
          <cell r="B133" t="str">
            <v>JACOBSEN TRAILERS, INC.</v>
          </cell>
          <cell r="C133"/>
          <cell r="D133" t="str">
            <v>NET 5, BT+</v>
          </cell>
          <cell r="E133" t="str">
            <v>C6</v>
          </cell>
          <cell r="F133" t="str">
            <v>No</v>
          </cell>
          <cell r="G133" t="str">
            <v>ID</v>
          </cell>
          <cell r="H133">
            <v>9</v>
          </cell>
          <cell r="I133">
            <v>0.7</v>
          </cell>
          <cell r="J133" t="str">
            <v>House</v>
          </cell>
          <cell r="K133" t="str">
            <v>FOWLER</v>
          </cell>
          <cell r="L133" t="str">
            <v>CA</v>
          </cell>
          <cell r="M133" t="str">
            <v>208-459-0106</v>
          </cell>
          <cell r="N133"/>
          <cell r="O133">
            <v>1641</v>
          </cell>
          <cell r="P133">
            <v>7056.2999999999993</v>
          </cell>
          <cell r="Q133"/>
          <cell r="R133">
            <v>0</v>
          </cell>
          <cell r="S133">
            <v>725</v>
          </cell>
          <cell r="T133">
            <v>3117.5</v>
          </cell>
          <cell r="U133">
            <v>1561</v>
          </cell>
          <cell r="V133">
            <v>6712.2999999999993</v>
          </cell>
          <cell r="W133"/>
          <cell r="X133">
            <v>0</v>
          </cell>
          <cell r="Y133"/>
          <cell r="Z133">
            <v>0</v>
          </cell>
          <cell r="AA133"/>
          <cell r="AB133">
            <v>0</v>
          </cell>
          <cell r="AC133"/>
          <cell r="AD133">
            <v>0</v>
          </cell>
          <cell r="AE133"/>
          <cell r="AF133"/>
          <cell r="AG133"/>
          <cell r="AH133"/>
          <cell r="AI133"/>
          <cell r="AJ133">
            <v>0.01</v>
          </cell>
          <cell r="AK133" t="str">
            <v>3P</v>
          </cell>
          <cell r="AL133">
            <v>400</v>
          </cell>
          <cell r="AM133">
            <v>157</v>
          </cell>
          <cell r="AN133" t="str">
            <v>08 Inactive Dealer</v>
          </cell>
          <cell r="AO133" t="str">
            <v>Southwest</v>
          </cell>
          <cell r="AP133" t="str">
            <v>West</v>
          </cell>
          <cell r="AQ133"/>
          <cell r="AR133">
            <v>0</v>
          </cell>
          <cell r="AS133">
            <v>0</v>
          </cell>
        </row>
        <row r="134">
          <cell r="A134">
            <v>12743</v>
          </cell>
          <cell r="B134" t="str">
            <v>JEFF'S TRUCK</v>
          </cell>
          <cell r="C134" t="str">
            <v>M10239</v>
          </cell>
          <cell r="D134" t="str">
            <v>NET 5, BT+</v>
          </cell>
          <cell r="E134" t="str">
            <v>F3 - Wells Fargo</v>
          </cell>
          <cell r="F134" t="str">
            <v>Yes</v>
          </cell>
          <cell r="G134" t="str">
            <v>ID</v>
          </cell>
          <cell r="H134">
            <v>8</v>
          </cell>
          <cell r="I134">
            <v>0.7</v>
          </cell>
          <cell r="J134" t="str">
            <v>Nate Erickson</v>
          </cell>
          <cell r="K134" t="str">
            <v>CHICO</v>
          </cell>
          <cell r="L134" t="str">
            <v>CA</v>
          </cell>
          <cell r="M134" t="str">
            <v>208-459-0106</v>
          </cell>
          <cell r="N134" t="str">
            <v>SPARES ON ALL TRAILERS</v>
          </cell>
          <cell r="O134">
            <v>1924</v>
          </cell>
          <cell r="P134">
            <v>8273.1999999999989</v>
          </cell>
          <cell r="Q134"/>
          <cell r="R134">
            <v>0</v>
          </cell>
          <cell r="S134">
            <v>591</v>
          </cell>
          <cell r="T134">
            <v>2541.2999999999997</v>
          </cell>
          <cell r="U134">
            <v>1845</v>
          </cell>
          <cell r="V134">
            <v>7933.5</v>
          </cell>
          <cell r="W134">
            <v>1876</v>
          </cell>
          <cell r="X134">
            <v>8066.7999999999993</v>
          </cell>
          <cell r="Y134"/>
          <cell r="Z134">
            <v>0</v>
          </cell>
          <cell r="AA134"/>
          <cell r="AB134">
            <v>0</v>
          </cell>
          <cell r="AC134"/>
          <cell r="AD134">
            <v>0</v>
          </cell>
          <cell r="AE134"/>
          <cell r="AF134"/>
          <cell r="AG134"/>
          <cell r="AH134"/>
          <cell r="AI134"/>
          <cell r="AJ134">
            <v>0</v>
          </cell>
          <cell r="AK134" t="str">
            <v>3P</v>
          </cell>
          <cell r="AL134">
            <v>187</v>
          </cell>
          <cell r="AM134">
            <v>79</v>
          </cell>
          <cell r="AN134" t="str">
            <v>01 Existing Dealer</v>
          </cell>
          <cell r="AO134" t="str">
            <v>Southwest</v>
          </cell>
          <cell r="AP134" t="str">
            <v>West</v>
          </cell>
          <cell r="AQ134"/>
          <cell r="AR134">
            <v>0</v>
          </cell>
          <cell r="AS134">
            <v>0</v>
          </cell>
        </row>
        <row r="135">
          <cell r="A135">
            <v>13494</v>
          </cell>
          <cell r="B135" t="str">
            <v>JOHNSON FARM</v>
          </cell>
          <cell r="C135" t="str">
            <v>M10245</v>
          </cell>
          <cell r="D135" t="str">
            <v>Return Mail, no pink card</v>
          </cell>
          <cell r="E135" t="str">
            <v>F3 - Wells Fargo</v>
          </cell>
          <cell r="F135" t="str">
            <v>Yes</v>
          </cell>
          <cell r="G135" t="str">
            <v>ID</v>
          </cell>
          <cell r="H135">
            <v>8</v>
          </cell>
          <cell r="I135">
            <v>0.7</v>
          </cell>
          <cell r="J135" t="str">
            <v>Nate Erickson</v>
          </cell>
          <cell r="K135" t="str">
            <v>WOODLAND</v>
          </cell>
          <cell r="L135" t="str">
            <v>CA</v>
          </cell>
          <cell r="M135" t="str">
            <v>208-459-0106</v>
          </cell>
          <cell r="N135"/>
          <cell r="O135">
            <v>1838</v>
          </cell>
          <cell r="P135">
            <v>7903.4</v>
          </cell>
          <cell r="Q135"/>
          <cell r="R135">
            <v>0</v>
          </cell>
          <cell r="S135">
            <v>553</v>
          </cell>
          <cell r="T135">
            <v>2377.9</v>
          </cell>
          <cell r="U135">
            <v>1759</v>
          </cell>
          <cell r="V135">
            <v>7563.7</v>
          </cell>
          <cell r="W135">
            <v>1790</v>
          </cell>
          <cell r="X135">
            <v>7697</v>
          </cell>
          <cell r="Y135"/>
          <cell r="Z135">
            <v>0</v>
          </cell>
          <cell r="AA135"/>
          <cell r="AB135">
            <v>0</v>
          </cell>
          <cell r="AC135"/>
          <cell r="AD135">
            <v>0</v>
          </cell>
          <cell r="AE135"/>
          <cell r="AF135"/>
          <cell r="AG135"/>
          <cell r="AH135"/>
          <cell r="AI135"/>
          <cell r="AJ135">
            <v>0.02</v>
          </cell>
          <cell r="AK135" t="str">
            <v>3P</v>
          </cell>
          <cell r="AL135">
            <v>187</v>
          </cell>
          <cell r="AM135">
            <v>389</v>
          </cell>
          <cell r="AN135" t="str">
            <v>01 Existing Dealer</v>
          </cell>
          <cell r="AO135" t="str">
            <v>Southwest</v>
          </cell>
          <cell r="AP135" t="str">
            <v>West</v>
          </cell>
          <cell r="AQ135"/>
          <cell r="AR135">
            <v>124380</v>
          </cell>
          <cell r="AS135">
            <v>118225</v>
          </cell>
        </row>
        <row r="136">
          <cell r="A136">
            <v>10583</v>
          </cell>
          <cell r="B136" t="str">
            <v>JOHNSON FARM</v>
          </cell>
          <cell r="C136" t="str">
            <v>M10245</v>
          </cell>
          <cell r="D136" t="str">
            <v>Return Mail, no pink card</v>
          </cell>
          <cell r="E136" t="str">
            <v>F1 - Wells Fargo</v>
          </cell>
          <cell r="F136" t="str">
            <v>Yes</v>
          </cell>
          <cell r="G136" t="str">
            <v>ID</v>
          </cell>
          <cell r="H136">
            <v>8</v>
          </cell>
          <cell r="I136">
            <v>0.7</v>
          </cell>
          <cell r="J136" t="str">
            <v>Nate Erickson</v>
          </cell>
          <cell r="K136" t="str">
            <v>WOODLAND</v>
          </cell>
          <cell r="L136" t="str">
            <v>CA</v>
          </cell>
          <cell r="M136" t="str">
            <v>208-459-0106</v>
          </cell>
          <cell r="N136"/>
          <cell r="O136">
            <v>1838</v>
          </cell>
          <cell r="P136">
            <v>7903.4</v>
          </cell>
          <cell r="Q136"/>
          <cell r="R136">
            <v>0</v>
          </cell>
          <cell r="S136">
            <v>553</v>
          </cell>
          <cell r="T136">
            <v>2377.9</v>
          </cell>
          <cell r="U136">
            <v>1759</v>
          </cell>
          <cell r="V136">
            <v>7563.7</v>
          </cell>
          <cell r="W136">
            <v>1790</v>
          </cell>
          <cell r="X136">
            <v>7697</v>
          </cell>
          <cell r="Y136"/>
          <cell r="Z136">
            <v>0</v>
          </cell>
          <cell r="AA136"/>
          <cell r="AB136">
            <v>0</v>
          </cell>
          <cell r="AC136"/>
          <cell r="AD136">
            <v>0</v>
          </cell>
          <cell r="AE136"/>
          <cell r="AF136"/>
          <cell r="AG136"/>
          <cell r="AH136"/>
          <cell r="AI136"/>
          <cell r="AJ136">
            <v>1.4999999999999999E-2</v>
          </cell>
          <cell r="AK136" t="str">
            <v>3P</v>
          </cell>
          <cell r="AL136">
            <v>187</v>
          </cell>
          <cell r="AM136">
            <v>389</v>
          </cell>
          <cell r="AN136" t="str">
            <v>01 Existing Dealer</v>
          </cell>
          <cell r="AO136" t="str">
            <v>Southwest</v>
          </cell>
          <cell r="AP136" t="str">
            <v>West</v>
          </cell>
          <cell r="AQ136"/>
          <cell r="AR136">
            <v>0</v>
          </cell>
          <cell r="AS136">
            <v>0</v>
          </cell>
        </row>
        <row r="137">
          <cell r="A137">
            <v>13366</v>
          </cell>
          <cell r="B137" t="str">
            <v>K-C WELDING</v>
          </cell>
          <cell r="C137" t="str">
            <v>M11343</v>
          </cell>
          <cell r="D137" t="str">
            <v>NET 5, BT+</v>
          </cell>
          <cell r="E137" t="str">
            <v>CF</v>
          </cell>
          <cell r="F137" t="str">
            <v>Yes</v>
          </cell>
          <cell r="G137" t="str">
            <v>ID</v>
          </cell>
          <cell r="H137">
            <v>7</v>
          </cell>
          <cell r="I137">
            <v>0.66500000000000004</v>
          </cell>
          <cell r="J137" t="str">
            <v>Orphaned Acct</v>
          </cell>
          <cell r="K137" t="str">
            <v>EL CENTRO</v>
          </cell>
          <cell r="L137" t="str">
            <v>CA</v>
          </cell>
          <cell r="M137" t="str">
            <v>800-577-8858</v>
          </cell>
          <cell r="N137"/>
          <cell r="O137">
            <v>1374</v>
          </cell>
          <cell r="P137">
            <v>5908.2</v>
          </cell>
          <cell r="Q137"/>
          <cell r="R137">
            <v>0</v>
          </cell>
          <cell r="S137">
            <v>968</v>
          </cell>
          <cell r="T137">
            <v>4162.3999999999996</v>
          </cell>
          <cell r="U137">
            <v>1325</v>
          </cell>
          <cell r="V137">
            <v>5697.5</v>
          </cell>
          <cell r="W137">
            <v>1299</v>
          </cell>
          <cell r="X137">
            <v>5585.7</v>
          </cell>
          <cell r="Y137"/>
          <cell r="Z137">
            <v>0</v>
          </cell>
          <cell r="AA137"/>
          <cell r="AB137">
            <v>0</v>
          </cell>
          <cell r="AC137"/>
          <cell r="AD137">
            <v>0</v>
          </cell>
          <cell r="AE137"/>
          <cell r="AF137"/>
          <cell r="AG137"/>
          <cell r="AH137"/>
          <cell r="AI137"/>
          <cell r="AJ137">
            <v>0</v>
          </cell>
          <cell r="AK137" t="str">
            <v>3P</v>
          </cell>
          <cell r="AL137">
            <v>213</v>
          </cell>
          <cell r="AM137">
            <v>124</v>
          </cell>
          <cell r="AN137" t="str">
            <v>01 Existing Dealer</v>
          </cell>
          <cell r="AO137" t="str">
            <v>Southwest</v>
          </cell>
          <cell r="AP137" t="str">
            <v>West</v>
          </cell>
          <cell r="AQ137"/>
          <cell r="AR137">
            <v>0</v>
          </cell>
          <cell r="AS137">
            <v>0</v>
          </cell>
        </row>
        <row r="138">
          <cell r="A138">
            <v>10328</v>
          </cell>
          <cell r="B138" t="str">
            <v>MCT TRAILER</v>
          </cell>
          <cell r="C138" t="str">
            <v>M10281</v>
          </cell>
          <cell r="D138" t="str">
            <v>Net 15, no pink card</v>
          </cell>
          <cell r="E138">
            <v>15</v>
          </cell>
          <cell r="F138" t="str">
            <v>Yes</v>
          </cell>
          <cell r="G138" t="str">
            <v>ID</v>
          </cell>
          <cell r="H138">
            <v>7</v>
          </cell>
          <cell r="I138">
            <v>0.66500000000000004</v>
          </cell>
          <cell r="J138" t="str">
            <v>Orphaned Acct</v>
          </cell>
          <cell r="K138" t="str">
            <v>VENTURA</v>
          </cell>
          <cell r="L138" t="str">
            <v>CA</v>
          </cell>
          <cell r="M138" t="str">
            <v>800-577-8858</v>
          </cell>
          <cell r="N138"/>
          <cell r="O138">
            <v>1626</v>
          </cell>
          <cell r="P138">
            <v>6991.7999999999993</v>
          </cell>
          <cell r="Q138"/>
          <cell r="R138">
            <v>0</v>
          </cell>
          <cell r="S138">
            <v>925</v>
          </cell>
          <cell r="T138">
            <v>3977.5</v>
          </cell>
          <cell r="U138">
            <v>1507</v>
          </cell>
          <cell r="V138">
            <v>6480.0999999999995</v>
          </cell>
          <cell r="W138">
            <v>1551</v>
          </cell>
          <cell r="X138">
            <v>6669.2999999999993</v>
          </cell>
          <cell r="Y138"/>
          <cell r="Z138">
            <v>0</v>
          </cell>
          <cell r="AA138"/>
          <cell r="AB138">
            <v>0</v>
          </cell>
          <cell r="AC138"/>
          <cell r="AD138">
            <v>0</v>
          </cell>
          <cell r="AE138"/>
          <cell r="AF138"/>
          <cell r="AG138"/>
          <cell r="AH138"/>
          <cell r="AI138"/>
          <cell r="AJ138">
            <v>0</v>
          </cell>
          <cell r="AK138" t="str">
            <v>3P</v>
          </cell>
          <cell r="AL138">
            <v>213</v>
          </cell>
          <cell r="AM138">
            <v>262</v>
          </cell>
          <cell r="AN138" t="str">
            <v>08 Inactive Dealer</v>
          </cell>
          <cell r="AO138" t="str">
            <v>Southwest</v>
          </cell>
          <cell r="AP138" t="str">
            <v>West</v>
          </cell>
          <cell r="AQ138"/>
          <cell r="AR138">
            <v>0</v>
          </cell>
          <cell r="AS138">
            <v>0</v>
          </cell>
        </row>
        <row r="139">
          <cell r="A139">
            <v>10366</v>
          </cell>
          <cell r="B139" t="str">
            <v>ORLANDI</v>
          </cell>
          <cell r="C139" t="str">
            <v>M10310</v>
          </cell>
          <cell r="D139" t="str">
            <v>Return Mail, no pink card</v>
          </cell>
          <cell r="E139" t="str">
            <v>F1 - Wells Fargo</v>
          </cell>
          <cell r="F139" t="str">
            <v>Yes</v>
          </cell>
          <cell r="G139" t="str">
            <v>ID</v>
          </cell>
          <cell r="H139">
            <v>5</v>
          </cell>
          <cell r="I139">
            <v>0.66500000000000004</v>
          </cell>
          <cell r="J139" t="str">
            <v>Nate Erickson</v>
          </cell>
          <cell r="K139" t="str">
            <v>SAN JOSE</v>
          </cell>
          <cell r="L139" t="str">
            <v>CA</v>
          </cell>
          <cell r="M139" t="str">
            <v>800-577-8858</v>
          </cell>
          <cell r="N139" t="str">
            <v>Must Be Shipped on BT Semi Only- Deliver by 7:00 AM</v>
          </cell>
          <cell r="O139">
            <v>1781</v>
          </cell>
          <cell r="P139">
            <v>7658.2999999999993</v>
          </cell>
          <cell r="Q139"/>
          <cell r="R139">
            <v>0</v>
          </cell>
          <cell r="S139">
            <v>657</v>
          </cell>
          <cell r="T139">
            <v>2825.1</v>
          </cell>
          <cell r="U139">
            <v>1702</v>
          </cell>
          <cell r="V139">
            <v>7318.5999999999995</v>
          </cell>
          <cell r="W139">
            <v>1733</v>
          </cell>
          <cell r="X139">
            <v>7451.9</v>
          </cell>
          <cell r="Y139"/>
          <cell r="Z139">
            <v>0</v>
          </cell>
          <cell r="AA139"/>
          <cell r="AB139">
            <v>0</v>
          </cell>
          <cell r="AC139"/>
          <cell r="AD139">
            <v>0</v>
          </cell>
          <cell r="AE139"/>
          <cell r="AF139"/>
          <cell r="AG139"/>
          <cell r="AH139"/>
          <cell r="AI139"/>
          <cell r="AJ139">
            <v>0</v>
          </cell>
          <cell r="AK139" t="str">
            <v>3P</v>
          </cell>
          <cell r="AL139">
            <v>187</v>
          </cell>
          <cell r="AM139">
            <v>404</v>
          </cell>
          <cell r="AN139" t="str">
            <v>01 Existing Dealer</v>
          </cell>
          <cell r="AO139" t="str">
            <v>Southwest</v>
          </cell>
          <cell r="AP139" t="str">
            <v>West</v>
          </cell>
          <cell r="AQ139"/>
          <cell r="AR139">
            <v>59684</v>
          </cell>
          <cell r="AS139">
            <v>0</v>
          </cell>
        </row>
        <row r="140">
          <cell r="A140">
            <v>12054</v>
          </cell>
          <cell r="B140" t="str">
            <v>ORLANDI</v>
          </cell>
          <cell r="C140" t="str">
            <v>M10310</v>
          </cell>
          <cell r="D140" t="str">
            <v>Return Mail, no pink card</v>
          </cell>
          <cell r="E140" t="str">
            <v>C9</v>
          </cell>
          <cell r="F140" t="str">
            <v>Copies</v>
          </cell>
          <cell r="G140" t="str">
            <v>ID</v>
          </cell>
          <cell r="H140">
            <v>9</v>
          </cell>
          <cell r="I140">
            <v>0.66500000000000004</v>
          </cell>
          <cell r="J140" t="str">
            <v>Orphaned Acct</v>
          </cell>
          <cell r="K140" t="str">
            <v>SAN JOSE</v>
          </cell>
          <cell r="L140" t="str">
            <v>CA</v>
          </cell>
          <cell r="M140" t="str">
            <v>800-577-8858</v>
          </cell>
          <cell r="N140" t="str">
            <v>Must Be Shipped on BT Semi Only- Deliver by 7:00 AM</v>
          </cell>
          <cell r="O140">
            <v>1781</v>
          </cell>
          <cell r="P140">
            <v>7658.2999999999993</v>
          </cell>
          <cell r="Q140"/>
          <cell r="R140">
            <v>0</v>
          </cell>
          <cell r="S140">
            <v>657</v>
          </cell>
          <cell r="T140">
            <v>2825.1</v>
          </cell>
          <cell r="U140">
            <v>1702</v>
          </cell>
          <cell r="V140">
            <v>7318.5999999999995</v>
          </cell>
          <cell r="W140">
            <v>1733</v>
          </cell>
          <cell r="X140">
            <v>7451.9</v>
          </cell>
          <cell r="Y140"/>
          <cell r="Z140">
            <v>0</v>
          </cell>
          <cell r="AA140"/>
          <cell r="AB140">
            <v>0</v>
          </cell>
          <cell r="AC140"/>
          <cell r="AD140">
            <v>0</v>
          </cell>
          <cell r="AE140"/>
          <cell r="AF140"/>
          <cell r="AG140"/>
          <cell r="AH140"/>
          <cell r="AI140"/>
          <cell r="AJ140">
            <v>0</v>
          </cell>
          <cell r="AK140" t="str">
            <v>3P</v>
          </cell>
          <cell r="AL140">
            <v>213</v>
          </cell>
          <cell r="AM140">
            <v>404</v>
          </cell>
          <cell r="AN140" t="str">
            <v>01 Existing Dealer</v>
          </cell>
          <cell r="AO140" t="str">
            <v>Southwest</v>
          </cell>
          <cell r="AP140" t="str">
            <v>West</v>
          </cell>
          <cell r="AQ140"/>
          <cell r="AR140">
            <v>0</v>
          </cell>
          <cell r="AS140">
            <v>0</v>
          </cell>
        </row>
        <row r="141">
          <cell r="A141">
            <v>10391</v>
          </cell>
          <cell r="B141" t="str">
            <v>POWERS RV, INC.</v>
          </cell>
          <cell r="C141" t="str">
            <v>M10478</v>
          </cell>
          <cell r="D141" t="str">
            <v>NET 5, BT+</v>
          </cell>
          <cell r="E141" t="str">
            <v>CO</v>
          </cell>
          <cell r="F141" t="str">
            <v>Yes</v>
          </cell>
          <cell r="G141" t="str">
            <v>ID</v>
          </cell>
          <cell r="H141">
            <v>7</v>
          </cell>
          <cell r="I141">
            <v>0.7</v>
          </cell>
          <cell r="J141" t="str">
            <v>Orphaned Acct</v>
          </cell>
          <cell r="K141" t="str">
            <v>SALINAS</v>
          </cell>
          <cell r="L141" t="str">
            <v>CA</v>
          </cell>
          <cell r="M141" t="str">
            <v>208-459-0106</v>
          </cell>
          <cell r="N141"/>
          <cell r="O141">
            <v>1747</v>
          </cell>
          <cell r="P141">
            <v>7512.0999999999995</v>
          </cell>
          <cell r="Q141"/>
          <cell r="R141">
            <v>0</v>
          </cell>
          <cell r="S141">
            <v>710</v>
          </cell>
          <cell r="T141">
            <v>3053</v>
          </cell>
          <cell r="U141">
            <v>1668</v>
          </cell>
          <cell r="V141">
            <v>7172.4</v>
          </cell>
          <cell r="W141">
            <v>1699</v>
          </cell>
          <cell r="X141">
            <v>7305.7</v>
          </cell>
          <cell r="Y141"/>
          <cell r="Z141">
            <v>0</v>
          </cell>
          <cell r="AA141"/>
          <cell r="AB141">
            <v>0</v>
          </cell>
          <cell r="AC141"/>
          <cell r="AD141">
            <v>0</v>
          </cell>
          <cell r="AE141"/>
          <cell r="AF141"/>
          <cell r="AG141"/>
          <cell r="AH141"/>
          <cell r="AI141"/>
          <cell r="AJ141">
            <v>0</v>
          </cell>
          <cell r="AK141" t="str">
            <v>3P</v>
          </cell>
          <cell r="AL141">
            <v>213</v>
          </cell>
          <cell r="AM141">
            <v>397</v>
          </cell>
          <cell r="AN141" t="str">
            <v>08 Inactive Dealer</v>
          </cell>
          <cell r="AO141" t="str">
            <v>Southwest</v>
          </cell>
          <cell r="AP141" t="str">
            <v>West</v>
          </cell>
          <cell r="AQ141"/>
          <cell r="AR141">
            <v>0</v>
          </cell>
          <cell r="AS141">
            <v>0</v>
          </cell>
        </row>
        <row r="142">
          <cell r="A142" t="str">
            <v>10391A</v>
          </cell>
          <cell r="B142" t="str">
            <v>POWERS RV, INC.</v>
          </cell>
          <cell r="C142" t="str">
            <v>M10478</v>
          </cell>
          <cell r="D142" t="str">
            <v>NET 5, BT+</v>
          </cell>
          <cell r="E142" t="str">
            <v>FP - Wells Fargo</v>
          </cell>
          <cell r="F142" t="str">
            <v>Yes</v>
          </cell>
          <cell r="G142" t="str">
            <v>ID</v>
          </cell>
          <cell r="H142">
            <v>8</v>
          </cell>
          <cell r="I142">
            <v>0.7</v>
          </cell>
          <cell r="J142" t="str">
            <v>House</v>
          </cell>
          <cell r="K142" t="str">
            <v>GILROY</v>
          </cell>
          <cell r="L142" t="str">
            <v>CA</v>
          </cell>
          <cell r="M142" t="str">
            <v>208-459-0106</v>
          </cell>
          <cell r="N142"/>
          <cell r="O142">
            <v>1752</v>
          </cell>
          <cell r="P142">
            <v>7533.5999999999995</v>
          </cell>
          <cell r="Q142"/>
          <cell r="R142">
            <v>0</v>
          </cell>
          <cell r="S142">
            <v>684</v>
          </cell>
          <cell r="T142">
            <v>2941.2</v>
          </cell>
          <cell r="U142">
            <v>1674</v>
          </cell>
          <cell r="V142">
            <v>7198.2</v>
          </cell>
          <cell r="W142">
            <v>1704</v>
          </cell>
          <cell r="X142">
            <v>7327.2</v>
          </cell>
          <cell r="Y142"/>
          <cell r="Z142">
            <v>0</v>
          </cell>
          <cell r="AA142"/>
          <cell r="AB142">
            <v>0</v>
          </cell>
          <cell r="AC142"/>
          <cell r="AD142">
            <v>0</v>
          </cell>
          <cell r="AE142"/>
          <cell r="AF142"/>
          <cell r="AG142"/>
          <cell r="AH142"/>
          <cell r="AI142"/>
          <cell r="AJ142">
            <v>0</v>
          </cell>
          <cell r="AK142" t="str">
            <v>3P</v>
          </cell>
          <cell r="AL142">
            <v>400</v>
          </cell>
          <cell r="AM142">
            <v>404</v>
          </cell>
          <cell r="AN142" t="str">
            <v>08 Inactive Dealer</v>
          </cell>
          <cell r="AO142" t="str">
            <v>Southwest</v>
          </cell>
          <cell r="AP142" t="str">
            <v>West</v>
          </cell>
          <cell r="AQ142"/>
          <cell r="AR142">
            <v>0</v>
          </cell>
          <cell r="AS142">
            <v>0</v>
          </cell>
        </row>
        <row r="143">
          <cell r="A143">
            <v>11989</v>
          </cell>
          <cell r="B143" t="str">
            <v>POWERS RV, INC.</v>
          </cell>
          <cell r="C143" t="str">
            <v>M10478</v>
          </cell>
          <cell r="D143" t="str">
            <v>NET 5, BT+</v>
          </cell>
          <cell r="E143" t="str">
            <v>C6</v>
          </cell>
          <cell r="F143" t="str">
            <v>Yes</v>
          </cell>
          <cell r="G143" t="str">
            <v>ID</v>
          </cell>
          <cell r="H143">
            <v>9</v>
          </cell>
          <cell r="I143">
            <v>0.7</v>
          </cell>
          <cell r="J143" t="str">
            <v>Orphaned Acct</v>
          </cell>
          <cell r="K143" t="str">
            <v>SALINAS</v>
          </cell>
          <cell r="L143" t="str">
            <v>CA</v>
          </cell>
          <cell r="M143" t="str">
            <v>208-459-0106</v>
          </cell>
          <cell r="N143"/>
          <cell r="O143">
            <v>1747</v>
          </cell>
          <cell r="P143">
            <v>7512.0999999999995</v>
          </cell>
          <cell r="Q143"/>
          <cell r="R143">
            <v>0</v>
          </cell>
          <cell r="S143">
            <v>710</v>
          </cell>
          <cell r="T143">
            <v>3053</v>
          </cell>
          <cell r="U143">
            <v>1668</v>
          </cell>
          <cell r="V143">
            <v>7172.4</v>
          </cell>
          <cell r="W143">
            <v>1699</v>
          </cell>
          <cell r="X143">
            <v>7305.7</v>
          </cell>
          <cell r="Y143"/>
          <cell r="Z143">
            <v>0</v>
          </cell>
          <cell r="AA143"/>
          <cell r="AB143">
            <v>0</v>
          </cell>
          <cell r="AC143"/>
          <cell r="AD143">
            <v>0</v>
          </cell>
          <cell r="AE143"/>
          <cell r="AF143"/>
          <cell r="AG143"/>
          <cell r="AH143"/>
          <cell r="AI143"/>
          <cell r="AJ143">
            <v>0</v>
          </cell>
          <cell r="AK143" t="str">
            <v>3P</v>
          </cell>
          <cell r="AL143">
            <v>213</v>
          </cell>
          <cell r="AM143">
            <v>397</v>
          </cell>
          <cell r="AN143" t="str">
            <v>08 Inactive Dealer</v>
          </cell>
          <cell r="AO143" t="str">
            <v>Southwest</v>
          </cell>
          <cell r="AP143" t="str">
            <v>West</v>
          </cell>
          <cell r="AQ143"/>
          <cell r="AR143">
            <v>0</v>
          </cell>
          <cell r="AS143">
            <v>0</v>
          </cell>
        </row>
        <row r="144">
          <cell r="A144">
            <v>13027</v>
          </cell>
          <cell r="B144" t="str">
            <v>REDWOOD MARINE INC dba RMI OUTDOORS</v>
          </cell>
          <cell r="C144" t="str">
            <v>M10883</v>
          </cell>
          <cell r="D144" t="str">
            <v>NET 5, BT+</v>
          </cell>
          <cell r="E144" t="str">
            <v>CO</v>
          </cell>
          <cell r="F144" t="str">
            <v>Yes</v>
          </cell>
          <cell r="G144" t="str">
            <v>ID</v>
          </cell>
          <cell r="H144">
            <v>7</v>
          </cell>
          <cell r="I144">
            <v>0.66500000000000004</v>
          </cell>
          <cell r="J144" t="str">
            <v>Orphaned Acct</v>
          </cell>
          <cell r="K144" t="str">
            <v>EUREKA</v>
          </cell>
          <cell r="L144" t="str">
            <v>CA</v>
          </cell>
          <cell r="M144" t="str">
            <v>800-577-8858</v>
          </cell>
          <cell r="N144"/>
          <cell r="O144">
            <v>2089</v>
          </cell>
          <cell r="P144">
            <v>8982.6999999999989</v>
          </cell>
          <cell r="Q144"/>
          <cell r="R144">
            <v>0</v>
          </cell>
          <cell r="S144">
            <v>647</v>
          </cell>
          <cell r="T144">
            <v>2782.1</v>
          </cell>
          <cell r="U144">
            <v>2010</v>
          </cell>
          <cell r="V144">
            <v>8643</v>
          </cell>
          <cell r="W144">
            <v>2041</v>
          </cell>
          <cell r="X144">
            <v>8776.2999999999993</v>
          </cell>
          <cell r="Y144"/>
          <cell r="Z144">
            <v>0</v>
          </cell>
          <cell r="AA144"/>
          <cell r="AB144">
            <v>0</v>
          </cell>
          <cell r="AC144"/>
          <cell r="AD144">
            <v>0</v>
          </cell>
          <cell r="AE144"/>
          <cell r="AF144"/>
          <cell r="AG144"/>
          <cell r="AH144"/>
          <cell r="AI144"/>
          <cell r="AJ144">
            <v>0</v>
          </cell>
          <cell r="AK144" t="str">
            <v>3P</v>
          </cell>
          <cell r="AL144">
            <v>213</v>
          </cell>
          <cell r="AM144">
            <v>134</v>
          </cell>
          <cell r="AN144" t="str">
            <v>08 Inactive Dealer</v>
          </cell>
          <cell r="AO144" t="str">
            <v>Southwest</v>
          </cell>
          <cell r="AP144" t="str">
            <v>West</v>
          </cell>
          <cell r="AQ144"/>
          <cell r="AR144">
            <v>0</v>
          </cell>
          <cell r="AS144">
            <v>0</v>
          </cell>
        </row>
        <row r="145">
          <cell r="A145">
            <v>10404</v>
          </cell>
          <cell r="B145" t="str">
            <v>REEDS TRAILER.</v>
          </cell>
          <cell r="C145"/>
          <cell r="D145" t="str">
            <v>NET 5, BT+</v>
          </cell>
          <cell r="E145" t="str">
            <v>FP - Wells Fargo</v>
          </cell>
          <cell r="F145" t="str">
            <v>Yes</v>
          </cell>
          <cell r="G145" t="str">
            <v>ID</v>
          </cell>
          <cell r="H145">
            <v>8</v>
          </cell>
          <cell r="I145">
            <v>0.68200000000000005</v>
          </cell>
          <cell r="J145" t="str">
            <v>House</v>
          </cell>
          <cell r="K145" t="str">
            <v>PETALUMA</v>
          </cell>
          <cell r="L145" t="str">
            <v>CA</v>
          </cell>
          <cell r="M145" t="str">
            <v>800-577-8858</v>
          </cell>
          <cell r="N145"/>
          <cell r="O145">
            <v>1860</v>
          </cell>
          <cell r="P145">
            <v>7998</v>
          </cell>
          <cell r="Q145"/>
          <cell r="R145">
            <v>0</v>
          </cell>
          <cell r="S145"/>
          <cell r="T145">
            <v>0</v>
          </cell>
          <cell r="U145">
            <v>1777</v>
          </cell>
          <cell r="V145">
            <v>7641.0999999999995</v>
          </cell>
          <cell r="W145"/>
          <cell r="X145">
            <v>0</v>
          </cell>
          <cell r="Y145"/>
          <cell r="Z145">
            <v>0</v>
          </cell>
          <cell r="AA145"/>
          <cell r="AB145">
            <v>0</v>
          </cell>
          <cell r="AC145"/>
          <cell r="AD145">
            <v>0</v>
          </cell>
          <cell r="AE145"/>
          <cell r="AF145"/>
          <cell r="AG145"/>
          <cell r="AH145"/>
          <cell r="AI145"/>
          <cell r="AJ145">
            <v>0</v>
          </cell>
          <cell r="AK145" t="str">
            <v>3P</v>
          </cell>
          <cell r="AL145">
            <v>400</v>
          </cell>
          <cell r="AM145">
            <v>404</v>
          </cell>
          <cell r="AN145" t="str">
            <v>08 Inactive Dealer</v>
          </cell>
          <cell r="AO145" t="str">
            <v>Southwest</v>
          </cell>
          <cell r="AP145" t="str">
            <v>West</v>
          </cell>
          <cell r="AQ145"/>
          <cell r="AR145">
            <v>0</v>
          </cell>
          <cell r="AS145">
            <v>0</v>
          </cell>
        </row>
        <row r="146">
          <cell r="A146">
            <v>12881</v>
          </cell>
          <cell r="B146" t="str">
            <v>SCHRAGE HOMES dba 101 TRAILER &amp; RV</v>
          </cell>
          <cell r="C146" t="str">
            <v>M10366</v>
          </cell>
          <cell r="D146" t="str">
            <v>NET 5, BT+</v>
          </cell>
          <cell r="E146" t="str">
            <v>CO</v>
          </cell>
          <cell r="F146" t="str">
            <v>Yes</v>
          </cell>
          <cell r="G146" t="str">
            <v>ID</v>
          </cell>
          <cell r="H146">
            <v>7</v>
          </cell>
          <cell r="I146">
            <v>0.7</v>
          </cell>
          <cell r="J146" t="str">
            <v>Orphaned Acct</v>
          </cell>
          <cell r="K146" t="str">
            <v>WILLITS</v>
          </cell>
          <cell r="L146" t="str">
            <v>CA</v>
          </cell>
          <cell r="M146" t="str">
            <v>208-459-0106</v>
          </cell>
          <cell r="N146"/>
          <cell r="O146">
            <v>1954</v>
          </cell>
          <cell r="P146">
            <v>8402.1999999999989</v>
          </cell>
          <cell r="Q146"/>
          <cell r="R146">
            <v>0</v>
          </cell>
          <cell r="S146">
            <v>688</v>
          </cell>
          <cell r="T146">
            <v>2958.4</v>
          </cell>
          <cell r="U146">
            <v>1875</v>
          </cell>
          <cell r="V146">
            <v>8062.5</v>
          </cell>
          <cell r="W146">
            <v>1906</v>
          </cell>
          <cell r="X146">
            <v>8195.7999999999993</v>
          </cell>
          <cell r="Y146"/>
          <cell r="Z146">
            <v>0</v>
          </cell>
          <cell r="AA146"/>
          <cell r="AB146">
            <v>0</v>
          </cell>
          <cell r="AC146"/>
          <cell r="AD146">
            <v>0</v>
          </cell>
          <cell r="AE146"/>
          <cell r="AF146"/>
          <cell r="AG146"/>
          <cell r="AH146"/>
          <cell r="AI146"/>
          <cell r="AJ146">
            <v>0</v>
          </cell>
          <cell r="AK146" t="str">
            <v>3P</v>
          </cell>
          <cell r="AL146">
            <v>213</v>
          </cell>
          <cell r="AM146">
            <v>404</v>
          </cell>
          <cell r="AN146" t="str">
            <v>01 Existing Dealer</v>
          </cell>
          <cell r="AO146" t="str">
            <v>Southwest</v>
          </cell>
          <cell r="AP146" t="str">
            <v>West</v>
          </cell>
          <cell r="AQ146"/>
          <cell r="AR146">
            <v>0</v>
          </cell>
          <cell r="AS146">
            <v>0</v>
          </cell>
        </row>
        <row r="147">
          <cell r="A147">
            <v>10474</v>
          </cell>
          <cell r="B147" t="str">
            <v>SUNDOWNER OF CA</v>
          </cell>
          <cell r="C147"/>
          <cell r="D147" t="str">
            <v>NET 5, BT+</v>
          </cell>
          <cell r="E147" t="str">
            <v>FP - Wells Fargo</v>
          </cell>
          <cell r="F147" t="str">
            <v>Yes</v>
          </cell>
          <cell r="G147" t="str">
            <v>ID</v>
          </cell>
          <cell r="H147">
            <v>8</v>
          </cell>
          <cell r="I147">
            <v>0.7</v>
          </cell>
          <cell r="J147" t="str">
            <v>House</v>
          </cell>
          <cell r="K147" t="str">
            <v>AUBURN</v>
          </cell>
          <cell r="L147" t="str">
            <v>CA</v>
          </cell>
          <cell r="M147" t="str">
            <v>208-459-0106</v>
          </cell>
          <cell r="N147"/>
          <cell r="O147">
            <v>1852</v>
          </cell>
          <cell r="P147">
            <v>7963.5999999999995</v>
          </cell>
          <cell r="Q147"/>
          <cell r="R147">
            <v>0</v>
          </cell>
          <cell r="S147"/>
          <cell r="T147">
            <v>0</v>
          </cell>
          <cell r="U147">
            <v>1772</v>
          </cell>
          <cell r="V147">
            <v>7619.5999999999995</v>
          </cell>
          <cell r="W147"/>
          <cell r="X147">
            <v>0</v>
          </cell>
          <cell r="Y147"/>
          <cell r="Z147">
            <v>0</v>
          </cell>
          <cell r="AA147"/>
          <cell r="AB147">
            <v>0</v>
          </cell>
          <cell r="AC147"/>
          <cell r="AD147">
            <v>0</v>
          </cell>
          <cell r="AE147"/>
          <cell r="AF147"/>
          <cell r="AG147"/>
          <cell r="AH147"/>
          <cell r="AI147"/>
          <cell r="AJ147">
            <v>0</v>
          </cell>
          <cell r="AK147" t="str">
            <v>3P</v>
          </cell>
          <cell r="AL147">
            <v>400</v>
          </cell>
          <cell r="AM147">
            <v>389</v>
          </cell>
          <cell r="AN147" t="str">
            <v>08 Inactive Dealer</v>
          </cell>
          <cell r="AO147" t="str">
            <v>Southwest</v>
          </cell>
          <cell r="AP147" t="str">
            <v>West</v>
          </cell>
          <cell r="AQ147"/>
          <cell r="AR147">
            <v>0</v>
          </cell>
          <cell r="AS147">
            <v>0</v>
          </cell>
        </row>
        <row r="148">
          <cell r="A148">
            <v>13636</v>
          </cell>
          <cell r="B148" t="str">
            <v>THE TRAILER SPECIALIST</v>
          </cell>
          <cell r="C148" t="str">
            <v>M10405</v>
          </cell>
          <cell r="D148" t="str">
            <v>Return Mail, no pink card</v>
          </cell>
          <cell r="E148" t="str">
            <v>F3 - Northpoint</v>
          </cell>
          <cell r="F148" t="str">
            <v>Yes</v>
          </cell>
          <cell r="G148" t="str">
            <v>ID</v>
          </cell>
          <cell r="H148">
            <v>8</v>
          </cell>
          <cell r="I148">
            <v>0.7</v>
          </cell>
          <cell r="J148" t="str">
            <v>Nate Erickson</v>
          </cell>
          <cell r="K148" t="str">
            <v>ACAMPO</v>
          </cell>
          <cell r="L148" t="str">
            <v>CA</v>
          </cell>
          <cell r="M148" t="str">
            <v>208-459-0106</v>
          </cell>
          <cell r="N148"/>
          <cell r="O148">
            <v>1797</v>
          </cell>
          <cell r="P148">
            <v>7727.0999999999995</v>
          </cell>
          <cell r="Q148"/>
          <cell r="R148">
            <v>0</v>
          </cell>
          <cell r="S148">
            <v>576</v>
          </cell>
          <cell r="T148">
            <v>2476.7999999999997</v>
          </cell>
          <cell r="U148">
            <v>1718</v>
          </cell>
          <cell r="V148">
            <v>7387.4</v>
          </cell>
          <cell r="W148">
            <v>1749</v>
          </cell>
          <cell r="X148">
            <v>7520.7</v>
          </cell>
          <cell r="Y148"/>
          <cell r="Z148">
            <v>0</v>
          </cell>
          <cell r="AA148"/>
          <cell r="AB148">
            <v>0</v>
          </cell>
          <cell r="AC148"/>
          <cell r="AD148">
            <v>0</v>
          </cell>
          <cell r="AE148"/>
          <cell r="AF148"/>
          <cell r="AG148"/>
          <cell r="AH148"/>
          <cell r="AI148"/>
          <cell r="AJ148">
            <v>2.5000000000000001E-2</v>
          </cell>
          <cell r="AK148" t="str">
            <v>3P</v>
          </cell>
          <cell r="AL148">
            <v>187</v>
          </cell>
          <cell r="AM148">
            <v>434</v>
          </cell>
          <cell r="AN148" t="str">
            <v>01 Existing Dealer</v>
          </cell>
          <cell r="AO148" t="str">
            <v>Southwest</v>
          </cell>
          <cell r="AP148" t="str">
            <v>West</v>
          </cell>
          <cell r="AQ148"/>
          <cell r="AR148">
            <v>0</v>
          </cell>
          <cell r="AS148">
            <v>465220</v>
          </cell>
        </row>
        <row r="149">
          <cell r="A149">
            <v>12122</v>
          </cell>
          <cell r="B149" t="str">
            <v>THE TRAILER SPECIALIST</v>
          </cell>
          <cell r="C149" t="str">
            <v>M10405</v>
          </cell>
          <cell r="D149" t="str">
            <v>NET 5, BT+</v>
          </cell>
          <cell r="E149" t="str">
            <v>CO</v>
          </cell>
          <cell r="F149" t="str">
            <v>Yes</v>
          </cell>
          <cell r="G149" t="str">
            <v>ID</v>
          </cell>
          <cell r="H149">
            <v>7</v>
          </cell>
          <cell r="I149">
            <v>0.7</v>
          </cell>
          <cell r="J149" t="str">
            <v>Nate Erickson</v>
          </cell>
          <cell r="K149" t="str">
            <v>LOCKEFORD</v>
          </cell>
          <cell r="L149" t="str">
            <v>CA</v>
          </cell>
          <cell r="M149" t="str">
            <v>208-459-0106</v>
          </cell>
          <cell r="N149"/>
          <cell r="O149">
            <v>1788</v>
          </cell>
          <cell r="P149">
            <v>7688.4</v>
          </cell>
          <cell r="Q149"/>
          <cell r="R149">
            <v>0</v>
          </cell>
          <cell r="S149">
            <v>576</v>
          </cell>
          <cell r="T149">
            <v>2476.7999999999997</v>
          </cell>
          <cell r="U149">
            <v>1709</v>
          </cell>
          <cell r="V149">
            <v>7348.7</v>
          </cell>
          <cell r="W149">
            <v>1739</v>
          </cell>
          <cell r="X149">
            <v>7477.7</v>
          </cell>
          <cell r="Y149"/>
          <cell r="Z149">
            <v>0</v>
          </cell>
          <cell r="AA149"/>
          <cell r="AB149">
            <v>0</v>
          </cell>
          <cell r="AC149"/>
          <cell r="AD149">
            <v>0</v>
          </cell>
          <cell r="AE149"/>
          <cell r="AF149"/>
          <cell r="AG149"/>
          <cell r="AH149"/>
          <cell r="AI149"/>
          <cell r="AJ149">
            <v>2.5000000000000001E-2</v>
          </cell>
          <cell r="AK149" t="str">
            <v>3P</v>
          </cell>
          <cell r="AL149">
            <v>187</v>
          </cell>
          <cell r="AM149">
            <v>434</v>
          </cell>
          <cell r="AN149" t="str">
            <v>01 Existing Dealer</v>
          </cell>
          <cell r="AO149" t="str">
            <v>Southwest</v>
          </cell>
          <cell r="AP149" t="str">
            <v>West</v>
          </cell>
          <cell r="AQ149"/>
          <cell r="AR149">
            <v>0</v>
          </cell>
          <cell r="AS149">
            <v>0</v>
          </cell>
        </row>
        <row r="150">
          <cell r="A150">
            <v>10501</v>
          </cell>
          <cell r="B150" t="str">
            <v>THE TRAILER SPECIALIST</v>
          </cell>
          <cell r="C150" t="str">
            <v>M10405</v>
          </cell>
          <cell r="D150" t="str">
            <v>Return Mail, no pink card</v>
          </cell>
          <cell r="E150" t="str">
            <v>F3 - Wells Fargo</v>
          </cell>
          <cell r="F150" t="str">
            <v>Yes</v>
          </cell>
          <cell r="G150" t="str">
            <v>ID</v>
          </cell>
          <cell r="H150">
            <v>8</v>
          </cell>
          <cell r="I150">
            <v>0.7</v>
          </cell>
          <cell r="J150" t="str">
            <v>Nate Erickson</v>
          </cell>
          <cell r="K150" t="str">
            <v>ACAMPO</v>
          </cell>
          <cell r="L150" t="str">
            <v>CA</v>
          </cell>
          <cell r="M150" t="str">
            <v>208-459-0106</v>
          </cell>
          <cell r="N150"/>
          <cell r="O150">
            <v>1797</v>
          </cell>
          <cell r="P150">
            <v>7727.0999999999995</v>
          </cell>
          <cell r="Q150"/>
          <cell r="R150">
            <v>0</v>
          </cell>
          <cell r="S150">
            <v>576</v>
          </cell>
          <cell r="T150">
            <v>2476.7999999999997</v>
          </cell>
          <cell r="U150">
            <v>1718</v>
          </cell>
          <cell r="V150">
            <v>7387.4</v>
          </cell>
          <cell r="W150">
            <v>1749</v>
          </cell>
          <cell r="X150">
            <v>7520.7</v>
          </cell>
          <cell r="Y150"/>
          <cell r="Z150">
            <v>0</v>
          </cell>
          <cell r="AA150"/>
          <cell r="AB150">
            <v>0</v>
          </cell>
          <cell r="AC150"/>
          <cell r="AD150">
            <v>0</v>
          </cell>
          <cell r="AE150"/>
          <cell r="AF150"/>
          <cell r="AG150"/>
          <cell r="AH150"/>
          <cell r="AI150"/>
          <cell r="AJ150">
            <v>2.5000000000000001E-2</v>
          </cell>
          <cell r="AK150" t="str">
            <v>3P</v>
          </cell>
          <cell r="AL150">
            <v>187</v>
          </cell>
          <cell r="AM150">
            <v>434</v>
          </cell>
          <cell r="AN150" t="str">
            <v>01 Existing Dealer</v>
          </cell>
          <cell r="AO150" t="str">
            <v>Southwest</v>
          </cell>
          <cell r="AP150" t="str">
            <v>West</v>
          </cell>
          <cell r="AQ150"/>
          <cell r="AR150">
            <v>91046</v>
          </cell>
          <cell r="AS150">
            <v>0</v>
          </cell>
        </row>
        <row r="151">
          <cell r="A151">
            <v>12695</v>
          </cell>
          <cell r="B151" t="str">
            <v>TRAILER BARN</v>
          </cell>
          <cell r="C151" t="str">
            <v>M10415</v>
          </cell>
          <cell r="D151" t="str">
            <v>NET 5, BT+</v>
          </cell>
          <cell r="E151" t="str">
            <v>C4</v>
          </cell>
          <cell r="F151" t="str">
            <v>Copies</v>
          </cell>
          <cell r="G151" t="str">
            <v>ID</v>
          </cell>
          <cell r="H151">
            <v>9</v>
          </cell>
          <cell r="I151">
            <v>0.66500000000000004</v>
          </cell>
          <cell r="J151" t="str">
            <v>Orphaned Acct</v>
          </cell>
          <cell r="K151" t="str">
            <v>PASO ROBLES</v>
          </cell>
          <cell r="L151" t="str">
            <v>CA</v>
          </cell>
          <cell r="M151" t="str">
            <v>800-577-8858</v>
          </cell>
          <cell r="N151" t="str">
            <v>Call before delivery. Please send copies of MSO's with load</v>
          </cell>
          <cell r="O151">
            <v>1649</v>
          </cell>
          <cell r="P151">
            <v>7090.7</v>
          </cell>
          <cell r="Q151"/>
          <cell r="R151">
            <v>0</v>
          </cell>
          <cell r="S151">
            <v>808</v>
          </cell>
          <cell r="T151">
            <v>3474.3999999999996</v>
          </cell>
          <cell r="U151">
            <v>1571</v>
          </cell>
          <cell r="V151">
            <v>6755.2999999999993</v>
          </cell>
          <cell r="W151">
            <v>1601</v>
          </cell>
          <cell r="X151">
            <v>6884.2999999999993</v>
          </cell>
          <cell r="Y151"/>
          <cell r="Z151">
            <v>0</v>
          </cell>
          <cell r="AA151"/>
          <cell r="AB151">
            <v>0</v>
          </cell>
          <cell r="AC151"/>
          <cell r="AD151">
            <v>0</v>
          </cell>
          <cell r="AE151"/>
          <cell r="AF151"/>
          <cell r="AG151"/>
          <cell r="AH151"/>
          <cell r="AI151"/>
          <cell r="AJ151">
            <v>0</v>
          </cell>
          <cell r="AK151" t="str">
            <v>3P</v>
          </cell>
          <cell r="AL151">
            <v>213</v>
          </cell>
          <cell r="AM151">
            <v>405</v>
          </cell>
          <cell r="AN151" t="str">
            <v>01 Existing Dealer</v>
          </cell>
          <cell r="AO151" t="str">
            <v>Southwest</v>
          </cell>
          <cell r="AP151" t="str">
            <v>West</v>
          </cell>
          <cell r="AQ151"/>
          <cell r="AR151">
            <v>0</v>
          </cell>
          <cell r="AS151">
            <v>0</v>
          </cell>
        </row>
        <row r="152">
          <cell r="A152">
            <v>13384</v>
          </cell>
          <cell r="B152" t="str">
            <v>TRAILER BARN</v>
          </cell>
          <cell r="C152" t="str">
            <v>M10415</v>
          </cell>
          <cell r="D152" t="str">
            <v>Net 30, no pink card</v>
          </cell>
          <cell r="E152">
            <v>30</v>
          </cell>
          <cell r="F152" t="str">
            <v>Yes</v>
          </cell>
          <cell r="G152" t="str">
            <v>ID</v>
          </cell>
          <cell r="H152">
            <v>5</v>
          </cell>
          <cell r="I152">
            <v>0.66500000000000004</v>
          </cell>
          <cell r="J152" t="str">
            <v>Orphaned Acct</v>
          </cell>
          <cell r="K152" t="str">
            <v>PASO ROBLES</v>
          </cell>
          <cell r="L152" t="str">
            <v>CA</v>
          </cell>
          <cell r="M152" t="str">
            <v>800-577-8858</v>
          </cell>
          <cell r="N152" t="str">
            <v>Call before delivery. Please send MSO's with load</v>
          </cell>
          <cell r="O152">
            <v>1649</v>
          </cell>
          <cell r="P152">
            <v>7090.7</v>
          </cell>
          <cell r="Q152"/>
          <cell r="R152">
            <v>0</v>
          </cell>
          <cell r="S152">
            <v>808</v>
          </cell>
          <cell r="T152">
            <v>3474.3999999999996</v>
          </cell>
          <cell r="U152">
            <v>1571</v>
          </cell>
          <cell r="V152">
            <v>6755.2999999999993</v>
          </cell>
          <cell r="W152">
            <v>1601</v>
          </cell>
          <cell r="X152">
            <v>6884.2999999999993</v>
          </cell>
          <cell r="Y152"/>
          <cell r="Z152">
            <v>0</v>
          </cell>
          <cell r="AA152"/>
          <cell r="AB152">
            <v>0</v>
          </cell>
          <cell r="AC152"/>
          <cell r="AD152">
            <v>0</v>
          </cell>
          <cell r="AE152"/>
          <cell r="AF152"/>
          <cell r="AG152"/>
          <cell r="AH152"/>
          <cell r="AI152"/>
          <cell r="AJ152">
            <v>0</v>
          </cell>
          <cell r="AK152" t="str">
            <v>3P</v>
          </cell>
          <cell r="AL152">
            <v>213</v>
          </cell>
          <cell r="AM152">
            <v>405</v>
          </cell>
          <cell r="AN152" t="str">
            <v>01 Existing Dealer</v>
          </cell>
          <cell r="AO152" t="str">
            <v>Southwest</v>
          </cell>
          <cell r="AP152" t="str">
            <v>West</v>
          </cell>
          <cell r="AQ152"/>
          <cell r="AR152">
            <v>0</v>
          </cell>
          <cell r="AS152">
            <v>0</v>
          </cell>
          <cell r="AT152"/>
        </row>
        <row r="153">
          <cell r="A153">
            <v>12883</v>
          </cell>
          <cell r="B153" t="str">
            <v>TRAILERING U</v>
          </cell>
          <cell r="C153" t="str">
            <v>M10419</v>
          </cell>
          <cell r="D153" t="str">
            <v>NET 5, BT+</v>
          </cell>
          <cell r="E153" t="str">
            <v>FP - Northpoint</v>
          </cell>
          <cell r="F153" t="str">
            <v>Yes</v>
          </cell>
          <cell r="G153" t="str">
            <v>ID</v>
          </cell>
          <cell r="H153">
            <v>8</v>
          </cell>
          <cell r="I153">
            <v>0.7</v>
          </cell>
          <cell r="J153" t="str">
            <v>Nate Erickson</v>
          </cell>
          <cell r="K153" t="str">
            <v>ANDERSON</v>
          </cell>
          <cell r="L153" t="str">
            <v>CA</v>
          </cell>
          <cell r="M153" t="str">
            <v>208-459-0106</v>
          </cell>
          <cell r="N153"/>
          <cell r="O153">
            <v>1969</v>
          </cell>
          <cell r="P153">
            <v>8466.6999999999989</v>
          </cell>
          <cell r="Q153"/>
          <cell r="R153">
            <v>0</v>
          </cell>
          <cell r="S153">
            <v>507</v>
          </cell>
          <cell r="T153">
            <v>2180.1</v>
          </cell>
          <cell r="U153">
            <v>1890</v>
          </cell>
          <cell r="V153">
            <v>8127</v>
          </cell>
          <cell r="W153">
            <v>1920</v>
          </cell>
          <cell r="X153">
            <v>8256</v>
          </cell>
          <cell r="Y153"/>
          <cell r="Z153">
            <v>0</v>
          </cell>
          <cell r="AA153"/>
          <cell r="AB153">
            <v>0</v>
          </cell>
          <cell r="AC153"/>
          <cell r="AD153">
            <v>0</v>
          </cell>
          <cell r="AE153"/>
          <cell r="AF153"/>
          <cell r="AG153"/>
          <cell r="AH153"/>
          <cell r="AI153"/>
          <cell r="AJ153">
            <v>0</v>
          </cell>
          <cell r="AK153" t="str">
            <v>3P</v>
          </cell>
          <cell r="AL153">
            <v>187</v>
          </cell>
          <cell r="AM153">
            <v>371</v>
          </cell>
          <cell r="AN153" t="str">
            <v>01 Existing Dealer</v>
          </cell>
          <cell r="AO153" t="str">
            <v>Southwest</v>
          </cell>
          <cell r="AP153" t="str">
            <v>West</v>
          </cell>
          <cell r="AQ153"/>
          <cell r="AR153">
            <v>0</v>
          </cell>
          <cell r="AS153">
            <v>0</v>
          </cell>
        </row>
        <row r="154">
          <cell r="A154">
            <v>10764</v>
          </cell>
          <cell r="B154" t="str">
            <v>TROY'S TRAILERS LLC</v>
          </cell>
          <cell r="C154"/>
          <cell r="D154" t="str">
            <v>NET 5, BT+</v>
          </cell>
          <cell r="E154" t="str">
            <v>FP - Wells Fargo</v>
          </cell>
          <cell r="F154" t="str">
            <v>Yes</v>
          </cell>
          <cell r="G154" t="str">
            <v>ID</v>
          </cell>
          <cell r="H154">
            <v>8</v>
          </cell>
          <cell r="I154">
            <v>0.68200000000000005</v>
          </cell>
          <cell r="J154" t="str">
            <v>House</v>
          </cell>
          <cell r="K154" t="str">
            <v>LA HABRA</v>
          </cell>
          <cell r="L154" t="str">
            <v>CA</v>
          </cell>
          <cell r="M154" t="str">
            <v>800-577-8858</v>
          </cell>
          <cell r="N154"/>
          <cell r="O154">
            <v>1552</v>
          </cell>
          <cell r="P154">
            <v>6673.5999999999995</v>
          </cell>
          <cell r="Q154"/>
          <cell r="R154">
            <v>0</v>
          </cell>
          <cell r="S154"/>
          <cell r="T154">
            <v>0</v>
          </cell>
          <cell r="U154">
            <v>1437</v>
          </cell>
          <cell r="V154">
            <v>6179.0999999999995</v>
          </cell>
          <cell r="W154"/>
          <cell r="X154">
            <v>0</v>
          </cell>
          <cell r="Y154"/>
          <cell r="Z154">
            <v>0</v>
          </cell>
          <cell r="AA154"/>
          <cell r="AB154">
            <v>0</v>
          </cell>
          <cell r="AC154"/>
          <cell r="AD154">
            <v>0</v>
          </cell>
          <cell r="AE154"/>
          <cell r="AF154"/>
          <cell r="AG154"/>
          <cell r="AH154"/>
          <cell r="AI154"/>
          <cell r="AJ154">
            <v>0</v>
          </cell>
          <cell r="AK154" t="str">
            <v>3P</v>
          </cell>
          <cell r="AL154">
            <v>400</v>
          </cell>
          <cell r="AM154">
            <v>262</v>
          </cell>
          <cell r="AN154" t="str">
            <v>08 Inactive Dealer</v>
          </cell>
          <cell r="AO154" t="str">
            <v>Southwest</v>
          </cell>
          <cell r="AP154" t="str">
            <v>West</v>
          </cell>
          <cell r="AQ154"/>
          <cell r="AR154">
            <v>0</v>
          </cell>
          <cell r="AS154">
            <v>0</v>
          </cell>
        </row>
        <row r="155">
          <cell r="A155">
            <v>12845</v>
          </cell>
          <cell r="B155" t="str">
            <v>TW BAKERSFIELD</v>
          </cell>
          <cell r="C155" t="str">
            <v>M10071</v>
          </cell>
          <cell r="D155" t="str">
            <v>Net 30, no pink card</v>
          </cell>
          <cell r="E155">
            <v>30</v>
          </cell>
          <cell r="F155" t="str">
            <v>Yes</v>
          </cell>
          <cell r="G155" t="str">
            <v>ID</v>
          </cell>
          <cell r="H155">
            <v>10</v>
          </cell>
          <cell r="I155">
            <v>0.7</v>
          </cell>
          <cell r="J155" t="str">
            <v>Jake McEntee</v>
          </cell>
          <cell r="K155" t="str">
            <v>BAKERSFIELD</v>
          </cell>
          <cell r="L155" t="str">
            <v>CA</v>
          </cell>
          <cell r="M155" t="str">
            <v>800-577-8858</v>
          </cell>
          <cell r="N155"/>
          <cell r="O155">
            <v>1543</v>
          </cell>
          <cell r="P155">
            <v>6634.9</v>
          </cell>
          <cell r="Q155">
            <v>825</v>
          </cell>
          <cell r="R155">
            <v>3547.5</v>
          </cell>
          <cell r="S155">
            <v>825</v>
          </cell>
          <cell r="T155">
            <v>3547.5</v>
          </cell>
          <cell r="U155">
            <v>1464</v>
          </cell>
          <cell r="V155">
            <v>6295.2</v>
          </cell>
          <cell r="W155">
            <v>1494</v>
          </cell>
          <cell r="X155">
            <v>6424.2</v>
          </cell>
          <cell r="Y155"/>
          <cell r="Z155">
            <v>0</v>
          </cell>
          <cell r="AA155"/>
          <cell r="AB155">
            <v>0</v>
          </cell>
          <cell r="AC155"/>
          <cell r="AD155">
            <v>0</v>
          </cell>
          <cell r="AE155">
            <v>0.12720000000000001</v>
          </cell>
          <cell r="AF155"/>
          <cell r="AG155">
            <v>0.13027</v>
          </cell>
          <cell r="AH155">
            <v>0.13027</v>
          </cell>
          <cell r="AI155">
            <v>0.13027</v>
          </cell>
          <cell r="AJ155">
            <v>0.04</v>
          </cell>
          <cell r="AK155" t="str">
            <v>TW</v>
          </cell>
          <cell r="AL155">
            <v>161</v>
          </cell>
          <cell r="AM155">
            <v>28</v>
          </cell>
          <cell r="AN155" t="str">
            <v>04 Co.Store</v>
          </cell>
          <cell r="AO155" t="str">
            <v>Southwest</v>
          </cell>
          <cell r="AP155" t="str">
            <v>West</v>
          </cell>
          <cell r="AQ155"/>
          <cell r="AR155">
            <v>570415</v>
          </cell>
          <cell r="AS155">
            <v>395744</v>
          </cell>
        </row>
        <row r="156">
          <cell r="A156">
            <v>10078</v>
          </cell>
          <cell r="B156" t="str">
            <v>TW BEAUMONT-CA</v>
          </cell>
          <cell r="C156" t="str">
            <v>M10095</v>
          </cell>
          <cell r="D156" t="str">
            <v>Net 30, no pink card</v>
          </cell>
          <cell r="E156">
            <v>30</v>
          </cell>
          <cell r="F156" t="str">
            <v>Yes</v>
          </cell>
          <cell r="G156" t="str">
            <v>ID</v>
          </cell>
          <cell r="H156">
            <v>10</v>
          </cell>
          <cell r="I156">
            <v>0.7</v>
          </cell>
          <cell r="J156" t="str">
            <v>Jake McEntee</v>
          </cell>
          <cell r="K156" t="str">
            <v>BEAUMONT</v>
          </cell>
          <cell r="L156" t="str">
            <v>CA</v>
          </cell>
          <cell r="M156" t="str">
            <v>800-577-8858</v>
          </cell>
          <cell r="N156" t="str">
            <v>ALL 14K TRAILERS - D RATE TO 9,990 GVWR</v>
          </cell>
          <cell r="O156">
            <v>1484</v>
          </cell>
          <cell r="P156">
            <v>6381.2</v>
          </cell>
          <cell r="Q156"/>
          <cell r="R156">
            <v>0</v>
          </cell>
          <cell r="S156">
            <v>834</v>
          </cell>
          <cell r="T156">
            <v>3586.2</v>
          </cell>
          <cell r="U156">
            <v>1412</v>
          </cell>
          <cell r="V156">
            <v>6071.5999999999995</v>
          </cell>
          <cell r="W156">
            <v>1409</v>
          </cell>
          <cell r="X156">
            <v>6058.7</v>
          </cell>
          <cell r="Y156">
            <v>2126</v>
          </cell>
          <cell r="Z156">
            <v>9141.7999999999993</v>
          </cell>
          <cell r="AA156">
            <v>2126</v>
          </cell>
          <cell r="AB156">
            <v>9141.7999999999993</v>
          </cell>
          <cell r="AC156">
            <v>2126</v>
          </cell>
          <cell r="AD156">
            <v>9141.7999999999993</v>
          </cell>
          <cell r="AE156">
            <v>0.12189999999999999</v>
          </cell>
          <cell r="AF156"/>
          <cell r="AG156">
            <v>0.12551999999999999</v>
          </cell>
          <cell r="AH156">
            <v>0.12551999999999999</v>
          </cell>
          <cell r="AI156">
            <v>0.12551999999999999</v>
          </cell>
          <cell r="AJ156">
            <v>0.04</v>
          </cell>
          <cell r="AK156" t="str">
            <v>TW</v>
          </cell>
          <cell r="AL156">
            <v>161</v>
          </cell>
          <cell r="AM156">
            <v>262</v>
          </cell>
          <cell r="AN156" t="str">
            <v>04 Co.Store</v>
          </cell>
          <cell r="AO156" t="str">
            <v>Southwest</v>
          </cell>
          <cell r="AP156" t="str">
            <v>West</v>
          </cell>
          <cell r="AQ156"/>
          <cell r="AR156">
            <v>912628</v>
          </cell>
          <cell r="AS156">
            <v>1014619</v>
          </cell>
        </row>
        <row r="157">
          <cell r="A157">
            <v>12842</v>
          </cell>
          <cell r="B157" t="str">
            <v>TW FOWLER</v>
          </cell>
          <cell r="C157" t="str">
            <v>M10070</v>
          </cell>
          <cell r="D157" t="str">
            <v>Net 30, no pink card</v>
          </cell>
          <cell r="E157">
            <v>30</v>
          </cell>
          <cell r="F157" t="str">
            <v>Yes</v>
          </cell>
          <cell r="G157" t="str">
            <v>ID</v>
          </cell>
          <cell r="H157">
            <v>10</v>
          </cell>
          <cell r="I157">
            <v>0.7</v>
          </cell>
          <cell r="J157" t="str">
            <v>Jake McEntee</v>
          </cell>
          <cell r="K157" t="str">
            <v>FOWLER</v>
          </cell>
          <cell r="L157" t="str">
            <v>CA</v>
          </cell>
          <cell r="M157" t="str">
            <v>800-577-8858</v>
          </cell>
          <cell r="N157"/>
          <cell r="O157">
            <v>1643</v>
          </cell>
          <cell r="P157">
            <v>7064.9</v>
          </cell>
          <cell r="Q157"/>
          <cell r="R157">
            <v>0</v>
          </cell>
          <cell r="S157">
            <v>723</v>
          </cell>
          <cell r="T157">
            <v>3108.9</v>
          </cell>
          <cell r="U157">
            <v>1564</v>
          </cell>
          <cell r="V157">
            <v>6725.2</v>
          </cell>
          <cell r="W157">
            <v>1594</v>
          </cell>
          <cell r="X157">
            <v>6854.2</v>
          </cell>
          <cell r="Y157"/>
          <cell r="Z157">
            <v>0</v>
          </cell>
          <cell r="AA157"/>
          <cell r="AB157">
            <v>0</v>
          </cell>
          <cell r="AC157"/>
          <cell r="AD157">
            <v>0</v>
          </cell>
          <cell r="AE157">
            <v>0.13470000000000001</v>
          </cell>
          <cell r="AF157"/>
          <cell r="AG157">
            <v>0.13800999999999999</v>
          </cell>
          <cell r="AH157">
            <v>0.13800999999999999</v>
          </cell>
          <cell r="AI157">
            <v>0.13800999999999999</v>
          </cell>
          <cell r="AJ157">
            <v>0.04</v>
          </cell>
          <cell r="AK157" t="str">
            <v>TW</v>
          </cell>
          <cell r="AL157">
            <v>161</v>
          </cell>
          <cell r="AM157">
            <v>157</v>
          </cell>
          <cell r="AN157" t="str">
            <v>04 Co.Store</v>
          </cell>
          <cell r="AO157" t="str">
            <v>Southwest</v>
          </cell>
          <cell r="AP157" t="str">
            <v>West</v>
          </cell>
          <cell r="AQ157"/>
          <cell r="AR157">
            <v>642579</v>
          </cell>
          <cell r="AS157">
            <v>434326</v>
          </cell>
        </row>
        <row r="158">
          <cell r="A158">
            <v>12951</v>
          </cell>
          <cell r="B158" t="str">
            <v>TW MARTINEZ</v>
          </cell>
          <cell r="C158" t="str">
            <v>M10039</v>
          </cell>
          <cell r="D158" t="str">
            <v>Net 30, no pink card</v>
          </cell>
          <cell r="E158">
            <v>30</v>
          </cell>
          <cell r="F158" t="str">
            <v>Yes</v>
          </cell>
          <cell r="G158" t="str">
            <v>ID</v>
          </cell>
          <cell r="H158">
            <v>10</v>
          </cell>
          <cell r="I158">
            <v>0.7</v>
          </cell>
          <cell r="J158" t="str">
            <v>Jake McEntee</v>
          </cell>
          <cell r="K158" t="str">
            <v>MARTINEZ</v>
          </cell>
          <cell r="L158" t="str">
            <v>CA</v>
          </cell>
          <cell r="M158" t="str">
            <v>800-577-8858</v>
          </cell>
          <cell r="N158"/>
          <cell r="O158">
            <v>1819</v>
          </cell>
          <cell r="P158">
            <v>7821.7</v>
          </cell>
          <cell r="Q158"/>
          <cell r="R158">
            <v>0</v>
          </cell>
          <cell r="S158">
            <v>601</v>
          </cell>
          <cell r="T158">
            <v>2584.2999999999997</v>
          </cell>
          <cell r="U158">
            <v>1740</v>
          </cell>
          <cell r="V158">
            <v>7482</v>
          </cell>
          <cell r="W158">
            <v>1771</v>
          </cell>
          <cell r="X158">
            <v>7615.2999999999993</v>
          </cell>
          <cell r="Y158"/>
          <cell r="Z158">
            <v>0</v>
          </cell>
          <cell r="AA158"/>
          <cell r="AB158">
            <v>0</v>
          </cell>
          <cell r="AC158"/>
          <cell r="AD158">
            <v>0</v>
          </cell>
          <cell r="AE158">
            <v>5.9500000000000004E-2</v>
          </cell>
          <cell r="AF158"/>
          <cell r="AG158">
            <v>5.9499999999999997E-2</v>
          </cell>
          <cell r="AH158">
            <v>0.161</v>
          </cell>
          <cell r="AI158">
            <v>0.17499999999999999</v>
          </cell>
          <cell r="AJ158">
            <v>0.04</v>
          </cell>
          <cell r="AK158" t="str">
            <v>TW</v>
          </cell>
          <cell r="AL158">
            <v>161</v>
          </cell>
          <cell r="AM158">
            <v>404</v>
          </cell>
          <cell r="AN158" t="str">
            <v>04 Co.Store</v>
          </cell>
          <cell r="AO158" t="str">
            <v>Southwest</v>
          </cell>
          <cell r="AP158" t="str">
            <v>West</v>
          </cell>
          <cell r="AQ158"/>
          <cell r="AR158">
            <v>53265</v>
          </cell>
          <cell r="AS158">
            <v>298086</v>
          </cell>
        </row>
        <row r="159">
          <cell r="A159">
            <v>13171</v>
          </cell>
          <cell r="B159" t="str">
            <v>WARRANTY MOTORS</v>
          </cell>
          <cell r="C159" t="str">
            <v>M11109</v>
          </cell>
          <cell r="D159" t="str">
            <v>NET 5, BT+</v>
          </cell>
          <cell r="E159" t="str">
            <v>CO</v>
          </cell>
          <cell r="F159" t="str">
            <v>Yes</v>
          </cell>
          <cell r="G159" t="str">
            <v>ID</v>
          </cell>
          <cell r="H159">
            <v>7</v>
          </cell>
          <cell r="I159">
            <v>0.7</v>
          </cell>
          <cell r="J159" t="str">
            <v>Nate Erickson</v>
          </cell>
          <cell r="K159" t="str">
            <v>UKIAH</v>
          </cell>
          <cell r="L159" t="str">
            <v>CA</v>
          </cell>
          <cell r="M159" t="str">
            <v>208-459-0106</v>
          </cell>
          <cell r="N159"/>
          <cell r="O159">
            <v>1932</v>
          </cell>
          <cell r="P159">
            <v>8307.6</v>
          </cell>
          <cell r="Q159"/>
          <cell r="R159">
            <v>0</v>
          </cell>
          <cell r="S159">
            <v>700</v>
          </cell>
          <cell r="T159">
            <v>3010</v>
          </cell>
          <cell r="U159">
            <v>1853</v>
          </cell>
          <cell r="V159">
            <v>7967.9</v>
          </cell>
          <cell r="W159">
            <v>1883</v>
          </cell>
          <cell r="X159">
            <v>8096.9</v>
          </cell>
          <cell r="Y159"/>
          <cell r="Z159">
            <v>0</v>
          </cell>
          <cell r="AA159"/>
          <cell r="AB159">
            <v>0</v>
          </cell>
          <cell r="AC159"/>
          <cell r="AD159">
            <v>0</v>
          </cell>
          <cell r="AE159"/>
          <cell r="AF159"/>
          <cell r="AG159"/>
          <cell r="AH159"/>
          <cell r="AI159"/>
          <cell r="AJ159">
            <v>0.03</v>
          </cell>
          <cell r="AK159" t="str">
            <v>3P</v>
          </cell>
          <cell r="AL159">
            <v>187</v>
          </cell>
          <cell r="AM159">
            <v>404</v>
          </cell>
          <cell r="AN159" t="str">
            <v>02 Ramping</v>
          </cell>
          <cell r="AO159" t="str">
            <v>Southwest</v>
          </cell>
          <cell r="AP159" t="str">
            <v>West</v>
          </cell>
          <cell r="AQ159"/>
          <cell r="AR159">
            <v>0</v>
          </cell>
          <cell r="AS159">
            <v>0</v>
          </cell>
        </row>
        <row r="160">
          <cell r="A160">
            <v>13170</v>
          </cell>
          <cell r="B160" t="str">
            <v>4 CORNERS</v>
          </cell>
          <cell r="C160" t="str">
            <v>M11107</v>
          </cell>
          <cell r="D160" t="str">
            <v>Return Mail, no pink card</v>
          </cell>
          <cell r="E160" t="str">
            <v>RM</v>
          </cell>
          <cell r="F160" t="str">
            <v>Yes</v>
          </cell>
          <cell r="G160" t="str">
            <v>TX</v>
          </cell>
          <cell r="H160">
            <v>5</v>
          </cell>
          <cell r="I160">
            <v>0.66500000000000004</v>
          </cell>
          <cell r="J160" t="str">
            <v>Lane Davis</v>
          </cell>
          <cell r="K160" t="str">
            <v>BAYFIELD</v>
          </cell>
          <cell r="L160" t="str">
            <v>CO</v>
          </cell>
          <cell r="M160" t="str">
            <v>800-577-8858</v>
          </cell>
          <cell r="N160" t="str">
            <v>All tandem axle trailers must have BRK2</v>
          </cell>
          <cell r="O160">
            <v>929</v>
          </cell>
          <cell r="P160">
            <v>3994.7</v>
          </cell>
          <cell r="Q160"/>
          <cell r="R160">
            <v>0</v>
          </cell>
          <cell r="S160">
            <v>772</v>
          </cell>
          <cell r="T160">
            <v>3319.6</v>
          </cell>
          <cell r="U160">
            <v>848</v>
          </cell>
          <cell r="V160">
            <v>3646.3999999999996</v>
          </cell>
          <cell r="W160">
            <v>881</v>
          </cell>
          <cell r="X160">
            <v>3788.2999999999997</v>
          </cell>
          <cell r="Y160"/>
          <cell r="Z160">
            <v>0</v>
          </cell>
          <cell r="AA160"/>
          <cell r="AB160">
            <v>0</v>
          </cell>
          <cell r="AC160"/>
          <cell r="AD160">
            <v>0</v>
          </cell>
          <cell r="AE160"/>
          <cell r="AF160"/>
          <cell r="AG160"/>
          <cell r="AH160"/>
          <cell r="AI160"/>
          <cell r="AJ160">
            <v>1.4999999999999999E-2</v>
          </cell>
          <cell r="AK160" t="str">
            <v>3P</v>
          </cell>
          <cell r="AL160">
            <v>275</v>
          </cell>
          <cell r="AM160">
            <v>139</v>
          </cell>
          <cell r="AN160" t="str">
            <v>02 Ramping</v>
          </cell>
          <cell r="AO160" t="str">
            <v>Southwest</v>
          </cell>
          <cell r="AP160" t="str">
            <v>West</v>
          </cell>
          <cell r="AQ160"/>
          <cell r="AR160">
            <v>33490</v>
          </cell>
          <cell r="AS160">
            <v>0</v>
          </cell>
        </row>
        <row r="161">
          <cell r="A161">
            <v>11962</v>
          </cell>
          <cell r="B161" t="str">
            <v>CANON CITY T V, FONTANA CO</v>
          </cell>
          <cell r="C161" t="str">
            <v>M10517</v>
          </cell>
          <cell r="D161" t="str">
            <v>NET 5, BT+</v>
          </cell>
          <cell r="E161" t="str">
            <v>CO</v>
          </cell>
          <cell r="F161" t="str">
            <v>Yes</v>
          </cell>
          <cell r="G161" t="str">
            <v>TX</v>
          </cell>
          <cell r="H161">
            <v>8</v>
          </cell>
          <cell r="I161">
            <v>0.66500000000000004</v>
          </cell>
          <cell r="J161" t="str">
            <v>Orphaned Acct</v>
          </cell>
          <cell r="K161" t="str">
            <v>FLORENCE</v>
          </cell>
          <cell r="L161" t="str">
            <v>CO</v>
          </cell>
          <cell r="M161" t="str">
            <v>800-577-8858</v>
          </cell>
          <cell r="N161" t="str">
            <v>All tandem axle trailers must have BRK2</v>
          </cell>
          <cell r="O161">
            <v>814</v>
          </cell>
          <cell r="P161">
            <v>3500.2</v>
          </cell>
          <cell r="Q161"/>
          <cell r="R161">
            <v>0</v>
          </cell>
          <cell r="S161">
            <v>962</v>
          </cell>
          <cell r="T161">
            <v>4136.5999999999995</v>
          </cell>
          <cell r="U161">
            <v>733</v>
          </cell>
          <cell r="V161">
            <v>3151.9</v>
          </cell>
          <cell r="W161">
            <v>766</v>
          </cell>
          <cell r="X161">
            <v>3293.7999999999997</v>
          </cell>
          <cell r="Y161"/>
          <cell r="Z161">
            <v>0</v>
          </cell>
          <cell r="AA161"/>
          <cell r="AB161">
            <v>0</v>
          </cell>
          <cell r="AC161"/>
          <cell r="AD161">
            <v>0</v>
          </cell>
          <cell r="AE161"/>
          <cell r="AF161"/>
          <cell r="AG161"/>
          <cell r="AH161"/>
          <cell r="AI161"/>
          <cell r="AJ161">
            <v>0</v>
          </cell>
          <cell r="AK161" t="str">
            <v>3P</v>
          </cell>
          <cell r="AL161">
            <v>213</v>
          </cell>
          <cell r="AM161">
            <v>366</v>
          </cell>
          <cell r="AN161" t="str">
            <v>08 Inactive Dealer</v>
          </cell>
          <cell r="AO161" t="str">
            <v>Southwest</v>
          </cell>
          <cell r="AP161" t="str">
            <v>West</v>
          </cell>
          <cell r="AQ161"/>
          <cell r="AR161">
            <v>0</v>
          </cell>
          <cell r="AS161">
            <v>0</v>
          </cell>
        </row>
        <row r="162">
          <cell r="A162" t="str">
            <v>11962A</v>
          </cell>
          <cell r="B162" t="str">
            <v>CANON CITY T V, FONTANA CO</v>
          </cell>
          <cell r="C162" t="str">
            <v>M10517</v>
          </cell>
          <cell r="D162" t="str">
            <v>NET 5, BT+</v>
          </cell>
          <cell r="E162" t="str">
            <v>CO</v>
          </cell>
          <cell r="F162" t="str">
            <v>Yes</v>
          </cell>
          <cell r="G162" t="str">
            <v>TX</v>
          </cell>
          <cell r="H162">
            <v>8</v>
          </cell>
          <cell r="I162">
            <v>0.66500000000000004</v>
          </cell>
          <cell r="J162" t="str">
            <v>Orphaned Acct</v>
          </cell>
          <cell r="K162" t="str">
            <v>PENROSE</v>
          </cell>
          <cell r="L162" t="str">
            <v>CO</v>
          </cell>
          <cell r="M162" t="str">
            <v>800-577-8858</v>
          </cell>
          <cell r="N162" t="str">
            <v>All tandem axle trailers must have BRK2</v>
          </cell>
          <cell r="O162">
            <v>807</v>
          </cell>
          <cell r="P162">
            <v>3470.1</v>
          </cell>
          <cell r="Q162"/>
          <cell r="R162">
            <v>0</v>
          </cell>
          <cell r="S162">
            <v>949</v>
          </cell>
          <cell r="T162">
            <v>4080.7</v>
          </cell>
          <cell r="U162">
            <v>680</v>
          </cell>
          <cell r="V162">
            <v>2924</v>
          </cell>
          <cell r="W162">
            <v>768</v>
          </cell>
          <cell r="X162">
            <v>3302.3999999999996</v>
          </cell>
          <cell r="Y162"/>
          <cell r="Z162">
            <v>0</v>
          </cell>
          <cell r="AA162"/>
          <cell r="AB162">
            <v>0</v>
          </cell>
          <cell r="AC162"/>
          <cell r="AD162">
            <v>0</v>
          </cell>
          <cell r="AE162"/>
          <cell r="AF162"/>
          <cell r="AG162"/>
          <cell r="AH162"/>
          <cell r="AI162"/>
          <cell r="AJ162">
            <v>0</v>
          </cell>
          <cell r="AK162" t="str">
            <v>3P</v>
          </cell>
          <cell r="AL162">
            <v>213</v>
          </cell>
          <cell r="AM162">
            <v>366</v>
          </cell>
          <cell r="AN162" t="str">
            <v>08 Inactive Dealer</v>
          </cell>
          <cell r="AO162" t="str">
            <v>Southwest</v>
          </cell>
          <cell r="AP162" t="str">
            <v>West</v>
          </cell>
          <cell r="AQ162"/>
          <cell r="AR162">
            <v>0</v>
          </cell>
          <cell r="AS162">
            <v>0</v>
          </cell>
        </row>
        <row r="163">
          <cell r="A163" t="str">
            <v>11962B</v>
          </cell>
          <cell r="B163" t="str">
            <v>CANON CITY T V, FONTANA CO</v>
          </cell>
          <cell r="C163" t="str">
            <v>M10517</v>
          </cell>
          <cell r="D163" t="str">
            <v>NET 5, BT+</v>
          </cell>
          <cell r="E163" t="str">
            <v>CO</v>
          </cell>
          <cell r="F163" t="str">
            <v>Yes</v>
          </cell>
          <cell r="G163" t="str">
            <v>TX</v>
          </cell>
          <cell r="H163">
            <v>8</v>
          </cell>
          <cell r="I163">
            <v>0.66500000000000004</v>
          </cell>
          <cell r="J163" t="str">
            <v>Orphaned Acct</v>
          </cell>
          <cell r="K163" t="str">
            <v>FLORENCE</v>
          </cell>
          <cell r="L163" t="str">
            <v>CO</v>
          </cell>
          <cell r="M163" t="str">
            <v>800-577-8858</v>
          </cell>
          <cell r="N163" t="str">
            <v>All tandem axle trailers must have BRK2</v>
          </cell>
          <cell r="O163">
            <v>814</v>
          </cell>
          <cell r="P163">
            <v>3500.2</v>
          </cell>
          <cell r="Q163"/>
          <cell r="R163">
            <v>0</v>
          </cell>
          <cell r="S163">
            <v>962</v>
          </cell>
          <cell r="T163">
            <v>4136.5999999999995</v>
          </cell>
          <cell r="U163">
            <v>733</v>
          </cell>
          <cell r="V163">
            <v>3151.9</v>
          </cell>
          <cell r="W163">
            <v>766</v>
          </cell>
          <cell r="X163">
            <v>3293.7999999999997</v>
          </cell>
          <cell r="Y163"/>
          <cell r="Z163">
            <v>0</v>
          </cell>
          <cell r="AA163"/>
          <cell r="AB163">
            <v>0</v>
          </cell>
          <cell r="AC163"/>
          <cell r="AD163">
            <v>0</v>
          </cell>
          <cell r="AE163"/>
          <cell r="AF163"/>
          <cell r="AG163"/>
          <cell r="AH163"/>
          <cell r="AI163"/>
          <cell r="AJ163">
            <v>0</v>
          </cell>
          <cell r="AK163" t="str">
            <v>3P</v>
          </cell>
          <cell r="AL163">
            <v>213</v>
          </cell>
          <cell r="AM163">
            <v>366</v>
          </cell>
          <cell r="AN163" t="str">
            <v>08 Inactive Dealer</v>
          </cell>
          <cell r="AO163" t="str">
            <v>Southwest</v>
          </cell>
          <cell r="AP163" t="str">
            <v>West</v>
          </cell>
          <cell r="AQ163"/>
          <cell r="AR163">
            <v>0</v>
          </cell>
          <cell r="AS163">
            <v>0</v>
          </cell>
        </row>
        <row r="164">
          <cell r="A164">
            <v>12850</v>
          </cell>
          <cell r="B164" t="str">
            <v>FHE USA INC</v>
          </cell>
          <cell r="C164" t="str">
            <v>M10196</v>
          </cell>
          <cell r="D164" t="str">
            <v>NET 5, BT+</v>
          </cell>
          <cell r="E164" t="str">
            <v>X</v>
          </cell>
          <cell r="F164" t="str">
            <v>Yes</v>
          </cell>
          <cell r="G164" t="str">
            <v>TX</v>
          </cell>
          <cell r="H164">
            <v>6</v>
          </cell>
          <cell r="I164">
            <v>0.66500000000000004</v>
          </cell>
          <cell r="J164" t="str">
            <v>House</v>
          </cell>
          <cell r="K164" t="str">
            <v>FRUITA</v>
          </cell>
          <cell r="L164" t="str">
            <v>CO</v>
          </cell>
          <cell r="M164" t="str">
            <v>800-577-8858</v>
          </cell>
          <cell r="N164"/>
          <cell r="O164">
            <v>1143</v>
          </cell>
          <cell r="P164">
            <v>4914.8999999999996</v>
          </cell>
          <cell r="Q164"/>
          <cell r="R164">
            <v>0</v>
          </cell>
          <cell r="S164"/>
          <cell r="T164">
            <v>0</v>
          </cell>
          <cell r="U164">
            <v>1049</v>
          </cell>
          <cell r="V164">
            <v>4510.7</v>
          </cell>
          <cell r="W164">
            <v>1095</v>
          </cell>
          <cell r="X164">
            <v>4708.5</v>
          </cell>
          <cell r="Y164"/>
          <cell r="Z164">
            <v>0</v>
          </cell>
          <cell r="AA164"/>
          <cell r="AB164">
            <v>0</v>
          </cell>
          <cell r="AC164"/>
          <cell r="AD164">
            <v>0</v>
          </cell>
          <cell r="AE164"/>
          <cell r="AF164"/>
          <cell r="AG164"/>
          <cell r="AH164"/>
          <cell r="AI164"/>
          <cell r="AJ164">
            <v>0</v>
          </cell>
          <cell r="AK164" t="str">
            <v>3P</v>
          </cell>
          <cell r="AL164">
            <v>400</v>
          </cell>
          <cell r="AM164">
            <v>168</v>
          </cell>
          <cell r="AN164" t="str">
            <v>08 Inactive Dealer</v>
          </cell>
          <cell r="AO164" t="str">
            <v>Southwest</v>
          </cell>
          <cell r="AP164" t="str">
            <v>West</v>
          </cell>
          <cell r="AQ164"/>
          <cell r="AR164">
            <v>0</v>
          </cell>
          <cell r="AS164">
            <v>0</v>
          </cell>
        </row>
        <row r="165">
          <cell r="A165">
            <v>12221</v>
          </cell>
          <cell r="B165" t="str">
            <v>FRANK HENRY</v>
          </cell>
          <cell r="C165" t="str">
            <v>M10196</v>
          </cell>
          <cell r="D165" t="str">
            <v>NET 5, BT+</v>
          </cell>
          <cell r="E165" t="str">
            <v>CO</v>
          </cell>
          <cell r="F165" t="str">
            <v>Yes</v>
          </cell>
          <cell r="G165" t="str">
            <v>TX</v>
          </cell>
          <cell r="H165">
            <v>7</v>
          </cell>
          <cell r="I165">
            <v>0.66500000000000004</v>
          </cell>
          <cell r="J165" t="str">
            <v>Orphaned Acct</v>
          </cell>
          <cell r="K165" t="str">
            <v>FRUITA</v>
          </cell>
          <cell r="L165" t="str">
            <v>CO</v>
          </cell>
          <cell r="M165" t="str">
            <v>800-577-8858</v>
          </cell>
          <cell r="N165"/>
          <cell r="O165">
            <v>1143</v>
          </cell>
          <cell r="P165">
            <v>4914.8999999999996</v>
          </cell>
          <cell r="Q165"/>
          <cell r="R165">
            <v>0</v>
          </cell>
          <cell r="S165"/>
          <cell r="T165">
            <v>0</v>
          </cell>
          <cell r="U165">
            <v>1049</v>
          </cell>
          <cell r="V165">
            <v>4510.7</v>
          </cell>
          <cell r="W165">
            <v>1095</v>
          </cell>
          <cell r="X165">
            <v>4708.5</v>
          </cell>
          <cell r="Y165"/>
          <cell r="Z165">
            <v>0</v>
          </cell>
          <cell r="AA165"/>
          <cell r="AB165">
            <v>0</v>
          </cell>
          <cell r="AC165"/>
          <cell r="AD165">
            <v>0</v>
          </cell>
          <cell r="AE165"/>
          <cell r="AF165"/>
          <cell r="AG165"/>
          <cell r="AH165"/>
          <cell r="AI165"/>
          <cell r="AJ165">
            <v>0</v>
          </cell>
          <cell r="AK165" t="str">
            <v>3P</v>
          </cell>
          <cell r="AL165">
            <v>213</v>
          </cell>
          <cell r="AM165">
            <v>168</v>
          </cell>
          <cell r="AN165" t="str">
            <v>08 Inactive Dealer</v>
          </cell>
          <cell r="AO165" t="str">
            <v>Southwest</v>
          </cell>
          <cell r="AP165" t="str">
            <v>West</v>
          </cell>
          <cell r="AQ165"/>
          <cell r="AR165">
            <v>0</v>
          </cell>
          <cell r="AS165">
            <v>0</v>
          </cell>
        </row>
        <row r="166">
          <cell r="A166">
            <v>10904</v>
          </cell>
          <cell r="B166" t="str">
            <v>GREAT WEST</v>
          </cell>
          <cell r="C166" t="str">
            <v>M10208</v>
          </cell>
          <cell r="D166" t="str">
            <v>NET 5, BT+</v>
          </cell>
          <cell r="E166" t="str">
            <v>FP - Northpoint</v>
          </cell>
          <cell r="F166" t="str">
            <v>Yes</v>
          </cell>
          <cell r="G166" t="str">
            <v>TX</v>
          </cell>
          <cell r="H166">
            <v>8</v>
          </cell>
          <cell r="I166">
            <v>0.66500000000000004</v>
          </cell>
          <cell r="J166" t="str">
            <v>Lane Davis</v>
          </cell>
          <cell r="K166" t="str">
            <v>FORT MORGAN</v>
          </cell>
          <cell r="L166" t="str">
            <v>CO</v>
          </cell>
          <cell r="M166" t="str">
            <v>800-577-8858</v>
          </cell>
          <cell r="N166" t="str">
            <v>BRK2 on all tandem axles. Email invoices to GWFinance@greatwesttrailers.com</v>
          </cell>
          <cell r="O166">
            <v>873</v>
          </cell>
          <cell r="P166">
            <v>3753.8999999999996</v>
          </cell>
          <cell r="Q166"/>
          <cell r="R166">
            <v>0</v>
          </cell>
          <cell r="S166"/>
          <cell r="T166">
            <v>0</v>
          </cell>
          <cell r="U166">
            <v>771</v>
          </cell>
          <cell r="V166">
            <v>3315.2999999999997</v>
          </cell>
          <cell r="W166">
            <v>825</v>
          </cell>
          <cell r="X166">
            <v>3547.5</v>
          </cell>
          <cell r="Y166"/>
          <cell r="Z166">
            <v>0</v>
          </cell>
          <cell r="AA166"/>
          <cell r="AB166">
            <v>0</v>
          </cell>
          <cell r="AC166"/>
          <cell r="AD166">
            <v>0</v>
          </cell>
          <cell r="AE166"/>
          <cell r="AF166"/>
          <cell r="AG166"/>
          <cell r="AH166"/>
          <cell r="AI166"/>
          <cell r="AJ166">
            <v>0</v>
          </cell>
          <cell r="AK166" t="str">
            <v>3P</v>
          </cell>
          <cell r="AL166">
            <v>275</v>
          </cell>
          <cell r="AM166">
            <v>110</v>
          </cell>
          <cell r="AN166" t="str">
            <v>01 Existing Dealer</v>
          </cell>
          <cell r="AO166" t="str">
            <v>Southwest</v>
          </cell>
          <cell r="AP166" t="str">
            <v>West</v>
          </cell>
          <cell r="AQ166"/>
          <cell r="AR166">
            <v>0</v>
          </cell>
          <cell r="AS166">
            <v>0</v>
          </cell>
        </row>
        <row r="167">
          <cell r="A167">
            <v>11716</v>
          </cell>
          <cell r="B167" t="str">
            <v>HIEBCO</v>
          </cell>
          <cell r="C167" t="str">
            <v>M10218</v>
          </cell>
          <cell r="D167" t="str">
            <v>NET 5, BT+</v>
          </cell>
          <cell r="E167" t="str">
            <v>CO</v>
          </cell>
          <cell r="F167" t="str">
            <v>Yes</v>
          </cell>
          <cell r="G167" t="str">
            <v>TX</v>
          </cell>
          <cell r="H167">
            <v>7</v>
          </cell>
          <cell r="I167">
            <v>0.66500000000000004</v>
          </cell>
          <cell r="J167" t="str">
            <v>Orphaned Acct</v>
          </cell>
          <cell r="K167" t="str">
            <v>BAYFIELD</v>
          </cell>
          <cell r="L167" t="str">
            <v>CO</v>
          </cell>
          <cell r="M167" t="str">
            <v>800-577-8858</v>
          </cell>
          <cell r="N167" t="str">
            <v>All tandem axle trailers must have BRK2</v>
          </cell>
          <cell r="O167">
            <v>931</v>
          </cell>
          <cell r="P167">
            <v>4003.2999999999997</v>
          </cell>
          <cell r="Q167"/>
          <cell r="R167">
            <v>0</v>
          </cell>
          <cell r="S167"/>
          <cell r="T167">
            <v>0</v>
          </cell>
          <cell r="U167">
            <v>848</v>
          </cell>
          <cell r="V167">
            <v>3646.3999999999996</v>
          </cell>
          <cell r="W167">
            <v>879</v>
          </cell>
          <cell r="X167">
            <v>3779.7</v>
          </cell>
          <cell r="Y167"/>
          <cell r="Z167">
            <v>0</v>
          </cell>
          <cell r="AA167"/>
          <cell r="AB167">
            <v>0</v>
          </cell>
          <cell r="AC167"/>
          <cell r="AD167">
            <v>0</v>
          </cell>
          <cell r="AE167"/>
          <cell r="AF167"/>
          <cell r="AG167"/>
          <cell r="AH167"/>
          <cell r="AI167"/>
          <cell r="AJ167">
            <v>0</v>
          </cell>
          <cell r="AK167" t="str">
            <v>3P</v>
          </cell>
          <cell r="AL167">
            <v>213</v>
          </cell>
          <cell r="AM167">
            <v>139</v>
          </cell>
          <cell r="AN167" t="str">
            <v>08 Inactive Dealer</v>
          </cell>
          <cell r="AO167" t="str">
            <v>Southwest</v>
          </cell>
          <cell r="AP167" t="str">
            <v>West</v>
          </cell>
          <cell r="AQ167"/>
          <cell r="AR167">
            <v>0</v>
          </cell>
          <cell r="AS167">
            <v>0</v>
          </cell>
        </row>
        <row r="168">
          <cell r="A168">
            <v>12837</v>
          </cell>
          <cell r="B168" t="str">
            <v>MGS - MAXEY</v>
          </cell>
          <cell r="C168" t="str">
            <v>M10277</v>
          </cell>
          <cell r="D168" t="str">
            <v>Return Mail, no pink card</v>
          </cell>
          <cell r="E168" t="str">
            <v>F1 - Northpoint</v>
          </cell>
          <cell r="F168" t="str">
            <v>Yes</v>
          </cell>
          <cell r="G168" t="str">
            <v>TX</v>
          </cell>
          <cell r="H168">
            <v>8</v>
          </cell>
          <cell r="I168">
            <v>0.66500000000000004</v>
          </cell>
          <cell r="J168" t="str">
            <v>Dakota Nation</v>
          </cell>
          <cell r="K168" t="str">
            <v>FORT COLLINS</v>
          </cell>
          <cell r="L168" t="str">
            <v>CO</v>
          </cell>
          <cell r="M168" t="str">
            <v>800-577-8858</v>
          </cell>
          <cell r="N168"/>
          <cell r="O168">
            <v>948</v>
          </cell>
          <cell r="P168">
            <v>4076.3999999999996</v>
          </cell>
          <cell r="Q168"/>
          <cell r="R168">
            <v>0</v>
          </cell>
          <cell r="S168"/>
          <cell r="T168">
            <v>0</v>
          </cell>
          <cell r="U168">
            <v>850</v>
          </cell>
          <cell r="V168">
            <v>3655</v>
          </cell>
          <cell r="W168">
            <v>880</v>
          </cell>
          <cell r="X168">
            <v>3784</v>
          </cell>
          <cell r="Y168"/>
          <cell r="Z168">
            <v>0</v>
          </cell>
          <cell r="AA168"/>
          <cell r="AB168">
            <v>0</v>
          </cell>
          <cell r="AC168"/>
          <cell r="AD168">
            <v>0</v>
          </cell>
          <cell r="AE168"/>
          <cell r="AF168"/>
          <cell r="AG168"/>
          <cell r="AH168"/>
          <cell r="AI168"/>
          <cell r="AJ168">
            <v>3.5000000000000003E-2</v>
          </cell>
          <cell r="AK168" t="str">
            <v>3P</v>
          </cell>
          <cell r="AL168">
            <v>223</v>
          </cell>
          <cell r="AM168">
            <v>149</v>
          </cell>
          <cell r="AN168" t="str">
            <v>01 Existing Dealer</v>
          </cell>
          <cell r="AO168" t="str">
            <v>Southwest</v>
          </cell>
          <cell r="AP168" t="str">
            <v>West</v>
          </cell>
          <cell r="AQ168"/>
          <cell r="AR168">
            <v>138345</v>
          </cell>
          <cell r="AS168">
            <v>96683</v>
          </cell>
        </row>
        <row r="169">
          <cell r="A169">
            <v>10885</v>
          </cell>
          <cell r="B169" t="str">
            <v>MAXEY COMPANIES, INC</v>
          </cell>
          <cell r="C169" t="str">
            <v>M10277</v>
          </cell>
          <cell r="D169" t="str">
            <v>NET 5, BT+</v>
          </cell>
          <cell r="E169" t="str">
            <v>FP</v>
          </cell>
          <cell r="F169" t="str">
            <v>Yes</v>
          </cell>
          <cell r="G169" t="str">
            <v>TX</v>
          </cell>
          <cell r="H169">
            <v>6</v>
          </cell>
          <cell r="I169">
            <v>0.66500000000000004</v>
          </cell>
          <cell r="J169" t="str">
            <v>House</v>
          </cell>
          <cell r="K169" t="str">
            <v>FORT COLLINS</v>
          </cell>
          <cell r="L169" t="str">
            <v>CO</v>
          </cell>
          <cell r="M169" t="str">
            <v>800-577-8858</v>
          </cell>
          <cell r="N169" t="str">
            <v>All tandem axle trailers must have BRK2</v>
          </cell>
          <cell r="O169">
            <v>926</v>
          </cell>
          <cell r="P169">
            <v>3981.7999999999997</v>
          </cell>
          <cell r="Q169"/>
          <cell r="R169">
            <v>0</v>
          </cell>
          <cell r="S169"/>
          <cell r="T169">
            <v>0</v>
          </cell>
          <cell r="U169">
            <v>843</v>
          </cell>
          <cell r="V169">
            <v>3624.8999999999996</v>
          </cell>
          <cell r="W169">
            <v>878</v>
          </cell>
          <cell r="X169">
            <v>3775.3999999999996</v>
          </cell>
          <cell r="Y169"/>
          <cell r="Z169">
            <v>0</v>
          </cell>
          <cell r="AA169"/>
          <cell r="AB169">
            <v>0</v>
          </cell>
          <cell r="AC169"/>
          <cell r="AD169">
            <v>0</v>
          </cell>
          <cell r="AE169"/>
          <cell r="AF169"/>
          <cell r="AG169"/>
          <cell r="AH169"/>
          <cell r="AI169"/>
          <cell r="AJ169">
            <v>0.02</v>
          </cell>
          <cell r="AK169" t="str">
            <v>3P</v>
          </cell>
          <cell r="AL169">
            <v>400</v>
          </cell>
          <cell r="AM169">
            <v>149</v>
          </cell>
          <cell r="AN169" t="str">
            <v>01 Existing Dealer</v>
          </cell>
          <cell r="AO169" t="str">
            <v>Southwest</v>
          </cell>
          <cell r="AP169" t="str">
            <v>West</v>
          </cell>
          <cell r="AQ169"/>
          <cell r="AR169">
            <v>0</v>
          </cell>
          <cell r="AS169">
            <v>0</v>
          </cell>
        </row>
        <row r="170">
          <cell r="A170">
            <v>11818</v>
          </cell>
          <cell r="B170" t="str">
            <v>OUTDOOR DEPOT</v>
          </cell>
          <cell r="C170" t="str">
            <v>M10314</v>
          </cell>
          <cell r="D170" t="str">
            <v>Return Mail, no pink card</v>
          </cell>
          <cell r="E170" t="str">
            <v>FP - Wells Fargo</v>
          </cell>
          <cell r="F170" t="str">
            <v>Yes</v>
          </cell>
          <cell r="G170" t="str">
            <v>TX</v>
          </cell>
          <cell r="H170">
            <v>8</v>
          </cell>
          <cell r="I170">
            <v>0.66500000000000004</v>
          </cell>
          <cell r="J170" t="str">
            <v>Orphaned Acct</v>
          </cell>
          <cell r="K170" t="str">
            <v>SOUTH FORK</v>
          </cell>
          <cell r="L170" t="str">
            <v>CO</v>
          </cell>
          <cell r="M170" t="str">
            <v>800-577-8858</v>
          </cell>
          <cell r="N170" t="str">
            <v>All tandem axle trailers must have BRK2</v>
          </cell>
          <cell r="O170">
            <v>850</v>
          </cell>
          <cell r="P170">
            <v>3655</v>
          </cell>
          <cell r="Q170"/>
          <cell r="R170">
            <v>0</v>
          </cell>
          <cell r="S170"/>
          <cell r="T170">
            <v>0</v>
          </cell>
          <cell r="U170">
            <v>770</v>
          </cell>
          <cell r="V170">
            <v>3311</v>
          </cell>
          <cell r="W170">
            <v>802</v>
          </cell>
          <cell r="X170">
            <v>3448.6</v>
          </cell>
          <cell r="Y170"/>
          <cell r="Z170">
            <v>0</v>
          </cell>
          <cell r="AA170"/>
          <cell r="AB170">
            <v>0</v>
          </cell>
          <cell r="AC170"/>
          <cell r="AD170">
            <v>0</v>
          </cell>
          <cell r="AE170"/>
          <cell r="AF170"/>
          <cell r="AG170"/>
          <cell r="AH170"/>
          <cell r="AI170"/>
          <cell r="AJ170">
            <v>0</v>
          </cell>
          <cell r="AK170" t="str">
            <v>3P</v>
          </cell>
          <cell r="AL170">
            <v>213</v>
          </cell>
          <cell r="AM170">
            <v>366</v>
          </cell>
          <cell r="AN170" t="str">
            <v>08 Inactive Dealer</v>
          </cell>
          <cell r="AO170" t="str">
            <v>Southwest</v>
          </cell>
          <cell r="AP170" t="str">
            <v>West</v>
          </cell>
          <cell r="AQ170"/>
          <cell r="AR170">
            <v>0</v>
          </cell>
          <cell r="AS170">
            <v>0</v>
          </cell>
        </row>
        <row r="171">
          <cell r="A171">
            <v>13039</v>
          </cell>
          <cell r="B171" t="str">
            <v>PARKER</v>
          </cell>
          <cell r="C171" t="str">
            <v>M10318</v>
          </cell>
          <cell r="D171" t="str">
            <v>NET 5, BT+</v>
          </cell>
          <cell r="E171" t="str">
            <v>F6 - Northpoint</v>
          </cell>
          <cell r="F171" t="str">
            <v>Yes</v>
          </cell>
          <cell r="G171" t="str">
            <v>TX</v>
          </cell>
          <cell r="H171">
            <v>8</v>
          </cell>
          <cell r="I171">
            <v>0.66500000000000004</v>
          </cell>
          <cell r="J171" t="str">
            <v>Dakota Nation</v>
          </cell>
          <cell r="K171" t="str">
            <v>PARKER</v>
          </cell>
          <cell r="L171" t="str">
            <v>CO</v>
          </cell>
          <cell r="M171" t="str">
            <v>800-577-8858</v>
          </cell>
          <cell r="N171" t="str">
            <v>Tarps on all Dumps,  BRK2 on all Tandems</v>
          </cell>
          <cell r="O171">
            <v>881</v>
          </cell>
          <cell r="P171">
            <v>3788.2999999999997</v>
          </cell>
          <cell r="Q171"/>
          <cell r="R171">
            <v>0</v>
          </cell>
          <cell r="S171">
            <v>880</v>
          </cell>
          <cell r="T171">
            <v>3784</v>
          </cell>
          <cell r="U171">
            <v>796</v>
          </cell>
          <cell r="V171">
            <v>3422.7999999999997</v>
          </cell>
          <cell r="W171">
            <v>832</v>
          </cell>
          <cell r="X171">
            <v>3577.6</v>
          </cell>
          <cell r="Y171"/>
          <cell r="Z171">
            <v>0</v>
          </cell>
          <cell r="AA171"/>
          <cell r="AB171">
            <v>0</v>
          </cell>
          <cell r="AC171"/>
          <cell r="AD171">
            <v>0</v>
          </cell>
          <cell r="AE171"/>
          <cell r="AF171"/>
          <cell r="AG171"/>
          <cell r="AH171"/>
          <cell r="AI171"/>
          <cell r="AJ171">
            <v>4.4999999999999998E-2</v>
          </cell>
          <cell r="AK171" t="str">
            <v>3P</v>
          </cell>
          <cell r="AL171">
            <v>223</v>
          </cell>
          <cell r="AM171">
            <v>110</v>
          </cell>
          <cell r="AN171" t="str">
            <v>01 Existing Dealer</v>
          </cell>
          <cell r="AO171" t="str">
            <v>Southwest</v>
          </cell>
          <cell r="AP171" t="str">
            <v>West</v>
          </cell>
          <cell r="AQ171"/>
          <cell r="AR171">
            <v>716668</v>
          </cell>
          <cell r="AS171">
            <v>156223</v>
          </cell>
        </row>
        <row r="172">
          <cell r="A172">
            <v>11937</v>
          </cell>
          <cell r="B172" t="str">
            <v>PARKER TRAILER</v>
          </cell>
          <cell r="C172" t="str">
            <v>M10318</v>
          </cell>
          <cell r="D172" t="str">
            <v>NET 5, BT+</v>
          </cell>
          <cell r="E172" t="str">
            <v>CO</v>
          </cell>
          <cell r="F172" t="str">
            <v>Yes</v>
          </cell>
          <cell r="G172" t="str">
            <v>TX</v>
          </cell>
          <cell r="H172">
            <v>6</v>
          </cell>
          <cell r="I172">
            <v>0.66500000000000004</v>
          </cell>
          <cell r="J172" t="str">
            <v>House</v>
          </cell>
          <cell r="K172" t="str">
            <v>PARKER</v>
          </cell>
          <cell r="L172" t="str">
            <v>CO</v>
          </cell>
          <cell r="M172" t="str">
            <v>800-577-8858</v>
          </cell>
          <cell r="N172" t="str">
            <v>Tarps on all Dumps,  BRK2 on all Tandems</v>
          </cell>
          <cell r="O172">
            <v>881</v>
          </cell>
          <cell r="P172">
            <v>3788.2999999999997</v>
          </cell>
          <cell r="Q172"/>
          <cell r="R172">
            <v>0</v>
          </cell>
          <cell r="S172">
            <v>880</v>
          </cell>
          <cell r="T172">
            <v>3784</v>
          </cell>
          <cell r="U172">
            <v>796</v>
          </cell>
          <cell r="V172">
            <v>3422.7999999999997</v>
          </cell>
          <cell r="W172">
            <v>832</v>
          </cell>
          <cell r="X172">
            <v>3577.6</v>
          </cell>
          <cell r="Y172"/>
          <cell r="Z172">
            <v>0</v>
          </cell>
          <cell r="AA172"/>
          <cell r="AB172">
            <v>0</v>
          </cell>
          <cell r="AC172"/>
          <cell r="AD172">
            <v>0</v>
          </cell>
          <cell r="AE172"/>
          <cell r="AF172"/>
          <cell r="AG172"/>
          <cell r="AH172"/>
          <cell r="AI172"/>
          <cell r="AJ172">
            <v>4.4999999999999998E-2</v>
          </cell>
          <cell r="AK172" t="str">
            <v>3P</v>
          </cell>
          <cell r="AL172">
            <v>400</v>
          </cell>
          <cell r="AM172">
            <v>110</v>
          </cell>
          <cell r="AN172" t="str">
            <v>01 Existing Dealer</v>
          </cell>
          <cell r="AO172" t="str">
            <v>Southwest</v>
          </cell>
          <cell r="AP172" t="str">
            <v>West</v>
          </cell>
          <cell r="AQ172"/>
          <cell r="AR172">
            <v>0</v>
          </cell>
          <cell r="AS172">
            <v>0</v>
          </cell>
        </row>
        <row r="173">
          <cell r="A173">
            <v>12193</v>
          </cell>
          <cell r="B173" t="str">
            <v>PARKER TRAILER</v>
          </cell>
          <cell r="C173" t="str">
            <v>M10318</v>
          </cell>
          <cell r="D173" t="str">
            <v>NET 5, BT+</v>
          </cell>
          <cell r="E173" t="str">
            <v>FP, ON HOLD</v>
          </cell>
          <cell r="F173" t="str">
            <v>Yes</v>
          </cell>
          <cell r="G173" t="str">
            <v>TX</v>
          </cell>
          <cell r="H173">
            <v>8</v>
          </cell>
          <cell r="I173">
            <v>0.66500000000000004</v>
          </cell>
          <cell r="J173" t="str">
            <v>Orphaned Acct</v>
          </cell>
          <cell r="K173" t="str">
            <v>PARKER</v>
          </cell>
          <cell r="L173" t="str">
            <v>CO</v>
          </cell>
          <cell r="M173" t="str">
            <v>800-577-8858</v>
          </cell>
          <cell r="N173" t="str">
            <v>Tarps on all Dumps,  BRK2 on all Tandems</v>
          </cell>
          <cell r="O173">
            <v>881</v>
          </cell>
          <cell r="P173">
            <v>3788.2999999999997</v>
          </cell>
          <cell r="Q173"/>
          <cell r="R173">
            <v>0</v>
          </cell>
          <cell r="S173">
            <v>880</v>
          </cell>
          <cell r="T173">
            <v>3784</v>
          </cell>
          <cell r="U173">
            <v>796</v>
          </cell>
          <cell r="V173">
            <v>3422.7999999999997</v>
          </cell>
          <cell r="W173">
            <v>832</v>
          </cell>
          <cell r="X173">
            <v>3577.6</v>
          </cell>
          <cell r="Y173"/>
          <cell r="Z173">
            <v>0</v>
          </cell>
          <cell r="AA173"/>
          <cell r="AB173">
            <v>0</v>
          </cell>
          <cell r="AC173"/>
          <cell r="AD173">
            <v>0</v>
          </cell>
          <cell r="AE173"/>
          <cell r="AF173"/>
          <cell r="AG173"/>
          <cell r="AH173"/>
          <cell r="AI173"/>
          <cell r="AJ173">
            <v>4.4999999999999998E-2</v>
          </cell>
          <cell r="AK173" t="str">
            <v>3P</v>
          </cell>
          <cell r="AL173">
            <v>213</v>
          </cell>
          <cell r="AM173">
            <v>110</v>
          </cell>
          <cell r="AN173" t="str">
            <v>08 Inactive Dealer</v>
          </cell>
          <cell r="AO173" t="str">
            <v>Southwest</v>
          </cell>
          <cell r="AP173" t="str">
            <v>West</v>
          </cell>
          <cell r="AQ173"/>
          <cell r="AR173">
            <v>0</v>
          </cell>
          <cell r="AS173">
            <v>0</v>
          </cell>
        </row>
        <row r="174">
          <cell r="A174">
            <v>10369</v>
          </cell>
          <cell r="B174" t="str">
            <v>PARKER TRAILERS, LLC</v>
          </cell>
          <cell r="C174" t="str">
            <v>M10318</v>
          </cell>
          <cell r="D174" t="str">
            <v>NET 5, BT+</v>
          </cell>
          <cell r="E174" t="str">
            <v>FP - Wells Fargo</v>
          </cell>
          <cell r="F174" t="str">
            <v>Yes</v>
          </cell>
          <cell r="G174" t="str">
            <v>TX</v>
          </cell>
          <cell r="H174">
            <v>6</v>
          </cell>
          <cell r="I174">
            <v>0.68200000000000005</v>
          </cell>
          <cell r="J174" t="str">
            <v>House</v>
          </cell>
          <cell r="K174" t="str">
            <v>PARKER</v>
          </cell>
          <cell r="L174" t="str">
            <v>CO</v>
          </cell>
          <cell r="M174" t="str">
            <v>800-577-8858</v>
          </cell>
          <cell r="N174" t="str">
            <v>Tarps on all Dumps,  BRK2 on all Tandems</v>
          </cell>
          <cell r="O174">
            <v>881</v>
          </cell>
          <cell r="P174">
            <v>3788.2999999999997</v>
          </cell>
          <cell r="Q174"/>
          <cell r="R174">
            <v>0</v>
          </cell>
          <cell r="S174">
            <v>880</v>
          </cell>
          <cell r="T174">
            <v>3784</v>
          </cell>
          <cell r="U174">
            <v>796</v>
          </cell>
          <cell r="V174">
            <v>3422.7999999999997</v>
          </cell>
          <cell r="W174">
            <v>832</v>
          </cell>
          <cell r="X174">
            <v>3577.6</v>
          </cell>
          <cell r="Y174"/>
          <cell r="Z174">
            <v>0</v>
          </cell>
          <cell r="AA174"/>
          <cell r="AB174">
            <v>0</v>
          </cell>
          <cell r="AC174"/>
          <cell r="AD174">
            <v>0</v>
          </cell>
          <cell r="AE174"/>
          <cell r="AF174"/>
          <cell r="AG174"/>
          <cell r="AH174"/>
          <cell r="AI174"/>
          <cell r="AJ174">
            <v>4.4999999999999998E-2</v>
          </cell>
          <cell r="AK174" t="str">
            <v>3P</v>
          </cell>
          <cell r="AL174">
            <v>400</v>
          </cell>
          <cell r="AM174">
            <v>110</v>
          </cell>
          <cell r="AN174" t="str">
            <v>08 Inactive Dealer</v>
          </cell>
          <cell r="AO174" t="str">
            <v>Southwest</v>
          </cell>
          <cell r="AP174" t="str">
            <v>West</v>
          </cell>
          <cell r="AQ174"/>
          <cell r="AR174">
            <v>0</v>
          </cell>
          <cell r="AS174">
            <v>0</v>
          </cell>
        </row>
        <row r="175">
          <cell r="A175">
            <v>11701</v>
          </cell>
          <cell r="B175" t="str">
            <v>PARKER TRAILERS, LLC</v>
          </cell>
          <cell r="C175" t="str">
            <v>M10318</v>
          </cell>
          <cell r="D175" t="str">
            <v>NET 5, BT+</v>
          </cell>
          <cell r="E175" t="str">
            <v>CO</v>
          </cell>
          <cell r="F175" t="str">
            <v>Yes</v>
          </cell>
          <cell r="G175" t="str">
            <v>TX</v>
          </cell>
          <cell r="H175">
            <v>6</v>
          </cell>
          <cell r="I175">
            <v>0.68200000000000005</v>
          </cell>
          <cell r="J175" t="str">
            <v>House</v>
          </cell>
          <cell r="K175" t="str">
            <v>PARKER</v>
          </cell>
          <cell r="L175" t="str">
            <v>CO</v>
          </cell>
          <cell r="M175" t="str">
            <v>800-577-8858</v>
          </cell>
          <cell r="N175" t="str">
            <v>Tarps on all Dumps,  BRK2 on all Tandems</v>
          </cell>
          <cell r="O175">
            <v>881</v>
          </cell>
          <cell r="P175">
            <v>3788.2999999999997</v>
          </cell>
          <cell r="Q175"/>
          <cell r="R175">
            <v>0</v>
          </cell>
          <cell r="S175">
            <v>880</v>
          </cell>
          <cell r="T175">
            <v>3784</v>
          </cell>
          <cell r="U175">
            <v>796</v>
          </cell>
          <cell r="V175">
            <v>3422.7999999999997</v>
          </cell>
          <cell r="W175">
            <v>832</v>
          </cell>
          <cell r="X175">
            <v>3577.6</v>
          </cell>
          <cell r="Y175"/>
          <cell r="Z175">
            <v>0</v>
          </cell>
          <cell r="AA175"/>
          <cell r="AB175">
            <v>0</v>
          </cell>
          <cell r="AC175"/>
          <cell r="AD175">
            <v>0</v>
          </cell>
          <cell r="AE175"/>
          <cell r="AF175"/>
          <cell r="AG175"/>
          <cell r="AH175"/>
          <cell r="AI175"/>
          <cell r="AJ175">
            <v>4.4999999999999998E-2</v>
          </cell>
          <cell r="AK175" t="str">
            <v>3P</v>
          </cell>
          <cell r="AL175">
            <v>400</v>
          </cell>
          <cell r="AM175">
            <v>110</v>
          </cell>
          <cell r="AN175" t="str">
            <v>08 Inactive Dealer</v>
          </cell>
          <cell r="AO175" t="str">
            <v>Southwest</v>
          </cell>
          <cell r="AP175" t="str">
            <v>West</v>
          </cell>
          <cell r="AQ175"/>
          <cell r="AR175">
            <v>0</v>
          </cell>
          <cell r="AS175">
            <v>0</v>
          </cell>
        </row>
        <row r="176">
          <cell r="A176">
            <v>10380</v>
          </cell>
          <cell r="B176" t="str">
            <v>PINE COUNTRY, INC.</v>
          </cell>
          <cell r="C176"/>
          <cell r="D176" t="str">
            <v>NET 5, BT+</v>
          </cell>
          <cell r="E176" t="str">
            <v>CO</v>
          </cell>
          <cell r="F176" t="str">
            <v>Yes</v>
          </cell>
          <cell r="G176" t="str">
            <v>TX</v>
          </cell>
          <cell r="H176">
            <v>7</v>
          </cell>
          <cell r="I176">
            <v>0.66500000000000004</v>
          </cell>
          <cell r="J176" t="str">
            <v>House</v>
          </cell>
          <cell r="K176" t="str">
            <v>GRAND JUNCTION</v>
          </cell>
          <cell r="L176" t="str">
            <v>CO</v>
          </cell>
          <cell r="M176" t="str">
            <v>800-577-8858</v>
          </cell>
          <cell r="N176" t="str">
            <v>All tandem axle trailers must have BRK2</v>
          </cell>
          <cell r="O176">
            <v>1135</v>
          </cell>
          <cell r="P176">
            <v>4880.5</v>
          </cell>
          <cell r="Q176"/>
          <cell r="R176">
            <v>0</v>
          </cell>
          <cell r="S176"/>
          <cell r="T176">
            <v>0</v>
          </cell>
          <cell r="U176">
            <v>1041</v>
          </cell>
          <cell r="V176">
            <v>4476.3</v>
          </cell>
          <cell r="W176"/>
          <cell r="X176">
            <v>0</v>
          </cell>
          <cell r="Y176"/>
          <cell r="Z176">
            <v>0</v>
          </cell>
          <cell r="AA176"/>
          <cell r="AB176">
            <v>0</v>
          </cell>
          <cell r="AC176"/>
          <cell r="AD176">
            <v>0</v>
          </cell>
          <cell r="AE176"/>
          <cell r="AF176"/>
          <cell r="AG176"/>
          <cell r="AH176"/>
          <cell r="AI176"/>
          <cell r="AJ176">
            <v>0</v>
          </cell>
          <cell r="AK176" t="str">
            <v>3P</v>
          </cell>
          <cell r="AL176">
            <v>400</v>
          </cell>
          <cell r="AM176">
            <v>168</v>
          </cell>
          <cell r="AN176" t="str">
            <v>08 Inactive Dealer</v>
          </cell>
          <cell r="AO176" t="str">
            <v>Southwest</v>
          </cell>
          <cell r="AP176" t="str">
            <v>West</v>
          </cell>
          <cell r="AQ176"/>
          <cell r="AR176">
            <v>0</v>
          </cell>
          <cell r="AS176">
            <v>0</v>
          </cell>
        </row>
        <row r="177">
          <cell r="A177" t="str">
            <v>12303C</v>
          </cell>
          <cell r="B177" t="str">
            <v>REED TRAILER</v>
          </cell>
          <cell r="C177" t="str">
            <v>M10346</v>
          </cell>
          <cell r="D177" t="str">
            <v>NET 5, BT+</v>
          </cell>
          <cell r="E177" t="str">
            <v>FP - Wells Fargo</v>
          </cell>
          <cell r="F177" t="str">
            <v>Yes</v>
          </cell>
          <cell r="G177" t="str">
            <v>TX</v>
          </cell>
          <cell r="H177">
            <v>8</v>
          </cell>
          <cell r="I177">
            <v>0.66500000000000004</v>
          </cell>
          <cell r="J177" t="str">
            <v>Orphaned Acct</v>
          </cell>
          <cell r="K177" t="str">
            <v>COLORADO SPRINGS</v>
          </cell>
          <cell r="L177" t="str">
            <v>CO</v>
          </cell>
          <cell r="M177" t="str">
            <v>800-577-8858</v>
          </cell>
          <cell r="N177"/>
          <cell r="O177">
            <v>821</v>
          </cell>
          <cell r="P177">
            <v>3530.2999999999997</v>
          </cell>
          <cell r="Q177"/>
          <cell r="R177">
            <v>0</v>
          </cell>
          <cell r="S177"/>
          <cell r="T177">
            <v>0</v>
          </cell>
          <cell r="U177">
            <v>742</v>
          </cell>
          <cell r="V177">
            <v>3190.6</v>
          </cell>
          <cell r="W177">
            <v>773</v>
          </cell>
          <cell r="X177">
            <v>3323.8999999999996</v>
          </cell>
          <cell r="Y177"/>
          <cell r="Z177">
            <v>0</v>
          </cell>
          <cell r="AA177"/>
          <cell r="AB177">
            <v>0</v>
          </cell>
          <cell r="AC177"/>
          <cell r="AD177">
            <v>0</v>
          </cell>
          <cell r="AE177"/>
          <cell r="AF177"/>
          <cell r="AG177"/>
          <cell r="AH177"/>
          <cell r="AI177"/>
          <cell r="AJ177">
            <v>0</v>
          </cell>
          <cell r="AK177" t="str">
            <v>3P</v>
          </cell>
          <cell r="AL177">
            <v>213</v>
          </cell>
          <cell r="AM177">
            <v>89</v>
          </cell>
          <cell r="AN177" t="str">
            <v>01 Existing Dealer</v>
          </cell>
          <cell r="AO177" t="str">
            <v>Southwest</v>
          </cell>
          <cell r="AP177" t="str">
            <v>West</v>
          </cell>
          <cell r="AQ177"/>
          <cell r="AR177">
            <v>0</v>
          </cell>
          <cell r="AS177">
            <v>0</v>
          </cell>
        </row>
        <row r="178">
          <cell r="A178" t="str">
            <v>12303D</v>
          </cell>
          <cell r="B178" t="str">
            <v>REED TRAILER</v>
          </cell>
          <cell r="C178" t="str">
            <v>M10346</v>
          </cell>
          <cell r="D178" t="str">
            <v>NET 5, BT+</v>
          </cell>
          <cell r="E178" t="str">
            <v>FP - Wells Fargo</v>
          </cell>
          <cell r="F178" t="str">
            <v>Yes</v>
          </cell>
          <cell r="G178" t="str">
            <v>TX</v>
          </cell>
          <cell r="H178">
            <v>8</v>
          </cell>
          <cell r="I178">
            <v>0.66500000000000004</v>
          </cell>
          <cell r="J178" t="str">
            <v>Orphaned Acct</v>
          </cell>
          <cell r="K178" t="str">
            <v>WHEAT RIDGE</v>
          </cell>
          <cell r="L178" t="str">
            <v>CO</v>
          </cell>
          <cell r="M178" t="str">
            <v>800-577-8858</v>
          </cell>
          <cell r="N178"/>
          <cell r="O178">
            <v>899</v>
          </cell>
          <cell r="P178">
            <v>3865.7</v>
          </cell>
          <cell r="Q178"/>
          <cell r="R178">
            <v>0</v>
          </cell>
          <cell r="S178"/>
          <cell r="T178">
            <v>0</v>
          </cell>
          <cell r="U178">
            <v>801</v>
          </cell>
          <cell r="V178">
            <v>3444.2999999999997</v>
          </cell>
          <cell r="W178">
            <v>851</v>
          </cell>
          <cell r="X178">
            <v>3659.2999999999997</v>
          </cell>
          <cell r="Y178"/>
          <cell r="Z178">
            <v>0</v>
          </cell>
          <cell r="AA178"/>
          <cell r="AB178">
            <v>0</v>
          </cell>
          <cell r="AC178"/>
          <cell r="AD178">
            <v>0</v>
          </cell>
          <cell r="AE178"/>
          <cell r="AF178"/>
          <cell r="AG178"/>
          <cell r="AH178"/>
          <cell r="AI178"/>
          <cell r="AJ178">
            <v>0</v>
          </cell>
          <cell r="AK178" t="str">
            <v>3P</v>
          </cell>
          <cell r="AL178">
            <v>213</v>
          </cell>
          <cell r="AM178">
            <v>110</v>
          </cell>
          <cell r="AN178" t="str">
            <v>01 Existing Dealer</v>
          </cell>
          <cell r="AO178" t="str">
            <v>Southwest</v>
          </cell>
          <cell r="AP178" t="str">
            <v>West</v>
          </cell>
          <cell r="AQ178"/>
          <cell r="AR178">
            <v>0</v>
          </cell>
          <cell r="AS178">
            <v>0</v>
          </cell>
        </row>
        <row r="179">
          <cell r="A179">
            <v>13066</v>
          </cell>
          <cell r="B179" t="str">
            <v>RIFLE TRUCK &amp; TRAILER</v>
          </cell>
          <cell r="C179" t="str">
            <v>M10333</v>
          </cell>
          <cell r="D179" t="str">
            <v>NET 5, BT+</v>
          </cell>
          <cell r="E179" t="str">
            <v>CO</v>
          </cell>
          <cell r="F179" t="str">
            <v>Yes</v>
          </cell>
          <cell r="G179" t="str">
            <v>TX</v>
          </cell>
          <cell r="H179">
            <v>5</v>
          </cell>
          <cell r="I179">
            <v>0.66500000000000004</v>
          </cell>
          <cell r="J179" t="str">
            <v>Orphaned Acct</v>
          </cell>
          <cell r="K179" t="str">
            <v>RIFLE</v>
          </cell>
          <cell r="L179" t="str">
            <v>CO</v>
          </cell>
          <cell r="M179" t="str">
            <v>800-577-8858</v>
          </cell>
          <cell r="N179" t="str">
            <v>Add SPARES to all trailers, ask about brakes</v>
          </cell>
          <cell r="O179">
            <v>1073</v>
          </cell>
          <cell r="P179">
            <v>4613.8999999999996</v>
          </cell>
          <cell r="Q179"/>
          <cell r="R179">
            <v>0</v>
          </cell>
          <cell r="S179">
            <v>704</v>
          </cell>
          <cell r="T179">
            <v>3027.2</v>
          </cell>
          <cell r="U179">
            <v>978</v>
          </cell>
          <cell r="V179">
            <v>4205.3999999999996</v>
          </cell>
          <cell r="W179">
            <v>1024</v>
          </cell>
          <cell r="X179">
            <v>4403.2</v>
          </cell>
          <cell r="Y179"/>
          <cell r="Z179">
            <v>0</v>
          </cell>
          <cell r="AA179"/>
          <cell r="AB179">
            <v>0</v>
          </cell>
          <cell r="AC179"/>
          <cell r="AD179">
            <v>0</v>
          </cell>
          <cell r="AE179"/>
          <cell r="AF179"/>
          <cell r="AG179"/>
          <cell r="AH179"/>
          <cell r="AI179"/>
          <cell r="AJ179">
            <v>0</v>
          </cell>
          <cell r="AK179" t="str">
            <v>3P</v>
          </cell>
          <cell r="AL179">
            <v>213</v>
          </cell>
          <cell r="AM179">
            <v>168</v>
          </cell>
          <cell r="AN179" t="str">
            <v>01 Existing Dealer</v>
          </cell>
          <cell r="AO179" t="str">
            <v>Southwest</v>
          </cell>
          <cell r="AP179" t="str">
            <v>West</v>
          </cell>
          <cell r="AQ179"/>
          <cell r="AR179">
            <v>0</v>
          </cell>
          <cell r="AS179">
            <v>0</v>
          </cell>
        </row>
        <row r="180">
          <cell r="A180">
            <v>13138</v>
          </cell>
          <cell r="B180" t="str">
            <v>RIFLE TRUCK &amp; TRAILER</v>
          </cell>
          <cell r="C180" t="str">
            <v>M10333</v>
          </cell>
          <cell r="D180" t="str">
            <v>NET 5, BT+</v>
          </cell>
          <cell r="E180" t="str">
            <v>FP - Northpoint</v>
          </cell>
          <cell r="F180" t="str">
            <v>Yes</v>
          </cell>
          <cell r="G180" t="str">
            <v>TX</v>
          </cell>
          <cell r="H180">
            <v>5</v>
          </cell>
          <cell r="I180">
            <v>0.66500000000000004</v>
          </cell>
          <cell r="J180" t="str">
            <v>Orphaned Acct</v>
          </cell>
          <cell r="K180" t="str">
            <v>RIFLE</v>
          </cell>
          <cell r="L180" t="str">
            <v>CO</v>
          </cell>
          <cell r="M180" t="str">
            <v>800-577-8858</v>
          </cell>
          <cell r="N180" t="str">
            <v>Add SPARES to all trailers, ask about brakes</v>
          </cell>
          <cell r="O180">
            <v>1073</v>
          </cell>
          <cell r="P180">
            <v>4613.8999999999996</v>
          </cell>
          <cell r="Q180"/>
          <cell r="R180">
            <v>0</v>
          </cell>
          <cell r="S180">
            <v>704</v>
          </cell>
          <cell r="T180">
            <v>3027.2</v>
          </cell>
          <cell r="U180">
            <v>978</v>
          </cell>
          <cell r="V180">
            <v>4205.3999999999996</v>
          </cell>
          <cell r="W180">
            <v>1024</v>
          </cell>
          <cell r="X180">
            <v>4403.2</v>
          </cell>
          <cell r="Y180"/>
          <cell r="Z180">
            <v>0</v>
          </cell>
          <cell r="AA180"/>
          <cell r="AB180">
            <v>0</v>
          </cell>
          <cell r="AC180"/>
          <cell r="AD180">
            <v>0</v>
          </cell>
          <cell r="AE180"/>
          <cell r="AF180"/>
          <cell r="AG180"/>
          <cell r="AH180"/>
          <cell r="AI180"/>
          <cell r="AJ180">
            <v>0</v>
          </cell>
          <cell r="AK180" t="str">
            <v>3P</v>
          </cell>
          <cell r="AL180">
            <v>213</v>
          </cell>
          <cell r="AM180">
            <v>168</v>
          </cell>
          <cell r="AN180" t="str">
            <v>01 Existing Dealer</v>
          </cell>
          <cell r="AO180" t="str">
            <v>Southwest</v>
          </cell>
          <cell r="AP180" t="str">
            <v>West</v>
          </cell>
          <cell r="AQ180"/>
          <cell r="AR180">
            <v>0</v>
          </cell>
          <cell r="AS180">
            <v>0</v>
          </cell>
        </row>
        <row r="181">
          <cell r="A181">
            <v>12859</v>
          </cell>
          <cell r="B181" t="str">
            <v>RIFLE TRUCK &amp; TRAILER</v>
          </cell>
          <cell r="C181" t="str">
            <v>M10333</v>
          </cell>
          <cell r="D181" t="str">
            <v>NET 5, BT+</v>
          </cell>
          <cell r="E181" t="str">
            <v>FP - Wells Fargo</v>
          </cell>
          <cell r="F181" t="str">
            <v>Yes</v>
          </cell>
          <cell r="G181" t="str">
            <v>TX</v>
          </cell>
          <cell r="H181">
            <v>6</v>
          </cell>
          <cell r="I181">
            <v>0.66500000000000004</v>
          </cell>
          <cell r="J181" t="str">
            <v>House</v>
          </cell>
          <cell r="K181" t="str">
            <v>RIFLE</v>
          </cell>
          <cell r="L181" t="str">
            <v>CO</v>
          </cell>
          <cell r="M181" t="str">
            <v>800-577-8858</v>
          </cell>
          <cell r="N181" t="str">
            <v>Add SPARES to all trailers, ask about brakes</v>
          </cell>
          <cell r="O181">
            <v>1073</v>
          </cell>
          <cell r="P181">
            <v>4613.8999999999996</v>
          </cell>
          <cell r="Q181"/>
          <cell r="R181">
            <v>0</v>
          </cell>
          <cell r="S181">
            <v>704</v>
          </cell>
          <cell r="T181">
            <v>3027.2</v>
          </cell>
          <cell r="U181">
            <v>978</v>
          </cell>
          <cell r="V181">
            <v>4205.3999999999996</v>
          </cell>
          <cell r="W181">
            <v>1024</v>
          </cell>
          <cell r="X181">
            <v>4403.2</v>
          </cell>
          <cell r="Y181"/>
          <cell r="Z181">
            <v>0</v>
          </cell>
          <cell r="AA181"/>
          <cell r="AB181">
            <v>0</v>
          </cell>
          <cell r="AC181"/>
          <cell r="AD181">
            <v>0</v>
          </cell>
          <cell r="AE181"/>
          <cell r="AF181"/>
          <cell r="AG181"/>
          <cell r="AH181"/>
          <cell r="AI181"/>
          <cell r="AJ181">
            <v>0</v>
          </cell>
          <cell r="AK181" t="str">
            <v>3P</v>
          </cell>
          <cell r="AL181">
            <v>400</v>
          </cell>
          <cell r="AM181">
            <v>168</v>
          </cell>
          <cell r="AN181" t="str">
            <v>01 Existing Dealer</v>
          </cell>
          <cell r="AO181" t="str">
            <v>Southwest</v>
          </cell>
          <cell r="AP181" t="str">
            <v>West</v>
          </cell>
          <cell r="AQ181"/>
          <cell r="AR181">
            <v>0</v>
          </cell>
          <cell r="AS181">
            <v>0</v>
          </cell>
        </row>
        <row r="182">
          <cell r="A182" t="str">
            <v>13397J</v>
          </cell>
          <cell r="B182" t="str">
            <v>BCMS / SILVERLINE</v>
          </cell>
          <cell r="C182" t="str">
            <v>M11363</v>
          </cell>
          <cell r="D182" t="str">
            <v>Return Mail, no pink card</v>
          </cell>
          <cell r="E182" t="str">
            <v>F3 - Wells Fargo</v>
          </cell>
          <cell r="F182" t="str">
            <v>Yes</v>
          </cell>
          <cell r="G182" t="str">
            <v>TX</v>
          </cell>
          <cell r="H182">
            <v>8</v>
          </cell>
          <cell r="I182">
            <v>0.66500000000000004</v>
          </cell>
          <cell r="J182" t="str">
            <v>Trent Evans</v>
          </cell>
          <cell r="K182" t="str">
            <v>PENROSE</v>
          </cell>
          <cell r="L182" t="str">
            <v>CO</v>
          </cell>
          <cell r="M182" t="str">
            <v>800-577-8858</v>
          </cell>
          <cell r="N182"/>
          <cell r="O182">
            <v>797</v>
          </cell>
          <cell r="P182">
            <v>3427.1</v>
          </cell>
          <cell r="Q182"/>
          <cell r="R182">
            <v>0</v>
          </cell>
          <cell r="S182"/>
          <cell r="T182">
            <v>0</v>
          </cell>
          <cell r="U182">
            <v>672</v>
          </cell>
          <cell r="V182">
            <v>2889.6</v>
          </cell>
          <cell r="W182">
            <v>755</v>
          </cell>
          <cell r="X182">
            <v>3246.5</v>
          </cell>
          <cell r="Y182"/>
          <cell r="Z182">
            <v>0</v>
          </cell>
          <cell r="AA182"/>
          <cell r="AB182">
            <v>0</v>
          </cell>
          <cell r="AC182"/>
          <cell r="AD182">
            <v>0</v>
          </cell>
          <cell r="AE182"/>
          <cell r="AF182"/>
          <cell r="AG182"/>
          <cell r="AH182"/>
          <cell r="AI182"/>
          <cell r="AJ182">
            <v>0.03</v>
          </cell>
          <cell r="AK182" t="str">
            <v>3P</v>
          </cell>
          <cell r="AL182">
            <v>226</v>
          </cell>
          <cell r="AM182">
            <v>366</v>
          </cell>
          <cell r="AN182" t="str">
            <v>01 Existing Dealer</v>
          </cell>
          <cell r="AO182" t="str">
            <v>Southwest</v>
          </cell>
          <cell r="AP182" t="str">
            <v>West</v>
          </cell>
          <cell r="AQ182"/>
          <cell r="AR182">
            <v>0</v>
          </cell>
          <cell r="AS182">
            <v>0</v>
          </cell>
        </row>
        <row r="183">
          <cell r="A183">
            <v>13084</v>
          </cell>
          <cell r="B183" t="str">
            <v>STEAMBOAT POWERSPORTS LLC</v>
          </cell>
          <cell r="C183" t="str">
            <v>M10963</v>
          </cell>
          <cell r="D183" t="str">
            <v>NET 5, BT+</v>
          </cell>
          <cell r="E183" t="str">
            <v>FP - Wells Fargo</v>
          </cell>
          <cell r="F183" t="str">
            <v>Yes</v>
          </cell>
          <cell r="G183" t="str">
            <v>TX</v>
          </cell>
          <cell r="H183">
            <v>7</v>
          </cell>
          <cell r="I183">
            <v>0.66500000000000004</v>
          </cell>
          <cell r="J183" t="str">
            <v>Lane Davis</v>
          </cell>
          <cell r="K183" t="str">
            <v>STEAMBOAT SPRINGS</v>
          </cell>
          <cell r="L183" t="str">
            <v>CO</v>
          </cell>
          <cell r="M183" t="str">
            <v>800-577-8858</v>
          </cell>
          <cell r="N183"/>
          <cell r="O183">
            <v>1046</v>
          </cell>
          <cell r="P183">
            <v>4497.8</v>
          </cell>
          <cell r="Q183"/>
          <cell r="R183">
            <v>0</v>
          </cell>
          <cell r="S183">
            <v>717</v>
          </cell>
          <cell r="T183">
            <v>3083.1</v>
          </cell>
          <cell r="U183">
            <v>950</v>
          </cell>
          <cell r="V183">
            <v>4085</v>
          </cell>
          <cell r="W183">
            <v>998</v>
          </cell>
          <cell r="X183">
            <v>4291.3999999999996</v>
          </cell>
          <cell r="Y183"/>
          <cell r="Z183">
            <v>0</v>
          </cell>
          <cell r="AA183"/>
          <cell r="AB183">
            <v>0</v>
          </cell>
          <cell r="AC183"/>
          <cell r="AD183">
            <v>0</v>
          </cell>
          <cell r="AE183"/>
          <cell r="AF183"/>
          <cell r="AG183"/>
          <cell r="AH183"/>
          <cell r="AI183"/>
          <cell r="AJ183">
            <v>0</v>
          </cell>
          <cell r="AK183" t="str">
            <v>3P</v>
          </cell>
          <cell r="AL183">
            <v>275</v>
          </cell>
          <cell r="AM183">
            <v>110</v>
          </cell>
          <cell r="AN183" t="str">
            <v>01 Existing Dealer</v>
          </cell>
          <cell r="AO183" t="str">
            <v>Southwest</v>
          </cell>
          <cell r="AP183" t="str">
            <v>West</v>
          </cell>
          <cell r="AQ183"/>
          <cell r="AR183">
            <v>0</v>
          </cell>
          <cell r="AS183">
            <v>0</v>
          </cell>
        </row>
        <row r="184">
          <cell r="A184">
            <v>12350</v>
          </cell>
          <cell r="B184" t="str">
            <v>STERLING TRAILERS, LLC</v>
          </cell>
          <cell r="C184" t="str">
            <v>M10388</v>
          </cell>
          <cell r="D184" t="str">
            <v>NET 5, BT+</v>
          </cell>
          <cell r="E184" t="str">
            <v>CO</v>
          </cell>
          <cell r="F184" t="str">
            <v>Yes</v>
          </cell>
          <cell r="G184" t="str">
            <v>TX</v>
          </cell>
          <cell r="H184">
            <v>7</v>
          </cell>
          <cell r="I184">
            <v>0.66500000000000004</v>
          </cell>
          <cell r="J184" t="str">
            <v>Orphaned Acct</v>
          </cell>
          <cell r="K184" t="str">
            <v>STERLING</v>
          </cell>
          <cell r="L184" t="str">
            <v>CO</v>
          </cell>
          <cell r="M184" t="str">
            <v>800-577-8858</v>
          </cell>
          <cell r="N184"/>
          <cell r="O184">
            <v>881</v>
          </cell>
          <cell r="P184">
            <v>3788.2999999999997</v>
          </cell>
          <cell r="Q184"/>
          <cell r="R184">
            <v>0</v>
          </cell>
          <cell r="S184">
            <v>892</v>
          </cell>
          <cell r="T184">
            <v>3835.6</v>
          </cell>
          <cell r="U184">
            <v>770</v>
          </cell>
          <cell r="V184">
            <v>3311</v>
          </cell>
          <cell r="W184">
            <v>833</v>
          </cell>
          <cell r="X184">
            <v>3581.8999999999996</v>
          </cell>
          <cell r="Y184"/>
          <cell r="Z184">
            <v>0</v>
          </cell>
          <cell r="AA184"/>
          <cell r="AB184">
            <v>0</v>
          </cell>
          <cell r="AC184"/>
          <cell r="AD184">
            <v>0</v>
          </cell>
          <cell r="AE184"/>
          <cell r="AF184"/>
          <cell r="AG184"/>
          <cell r="AH184"/>
          <cell r="AI184"/>
          <cell r="AJ184">
            <v>0</v>
          </cell>
          <cell r="AK184" t="str">
            <v>3P</v>
          </cell>
          <cell r="AL184">
            <v>213</v>
          </cell>
          <cell r="AM184">
            <v>110</v>
          </cell>
          <cell r="AN184" t="str">
            <v>08 Inactive Dealer</v>
          </cell>
          <cell r="AO184" t="str">
            <v>Southwest</v>
          </cell>
          <cell r="AP184" t="str">
            <v>West</v>
          </cell>
          <cell r="AQ184"/>
          <cell r="AR184">
            <v>0</v>
          </cell>
          <cell r="AS184">
            <v>0</v>
          </cell>
        </row>
        <row r="185">
          <cell r="A185">
            <v>13546</v>
          </cell>
          <cell r="B185" t="str">
            <v>TRAILERS WEST</v>
          </cell>
          <cell r="C185" t="str">
            <v>M11164</v>
          </cell>
          <cell r="D185" t="str">
            <v>NET 5, BT+</v>
          </cell>
          <cell r="E185" t="str">
            <v>CO</v>
          </cell>
          <cell r="F185" t="str">
            <v>Yes</v>
          </cell>
          <cell r="G185" t="str">
            <v>TX</v>
          </cell>
          <cell r="H185">
            <v>8</v>
          </cell>
          <cell r="I185">
            <v>0.66500000000000004</v>
          </cell>
          <cell r="J185" t="str">
            <v>Lane Davis</v>
          </cell>
          <cell r="K185" t="str">
            <v>KIOWA</v>
          </cell>
          <cell r="L185" t="str">
            <v>CO</v>
          </cell>
          <cell r="M185" t="str">
            <v>800-577-8858</v>
          </cell>
          <cell r="N185"/>
          <cell r="O185">
            <v>800</v>
          </cell>
          <cell r="P185">
            <v>3440</v>
          </cell>
          <cell r="Q185"/>
          <cell r="R185">
            <v>0</v>
          </cell>
          <cell r="S185">
            <v>924</v>
          </cell>
          <cell r="T185">
            <v>3973.2</v>
          </cell>
          <cell r="U185">
            <v>674</v>
          </cell>
          <cell r="V185">
            <v>2898.2</v>
          </cell>
          <cell r="W185">
            <v>757</v>
          </cell>
          <cell r="X185">
            <v>3255.1</v>
          </cell>
          <cell r="Y185"/>
          <cell r="Z185">
            <v>0</v>
          </cell>
          <cell r="AA185"/>
          <cell r="AB185">
            <v>0</v>
          </cell>
          <cell r="AC185"/>
          <cell r="AD185">
            <v>0</v>
          </cell>
          <cell r="AE185"/>
          <cell r="AF185"/>
          <cell r="AG185"/>
          <cell r="AH185"/>
          <cell r="AI185"/>
          <cell r="AJ185">
            <v>0</v>
          </cell>
          <cell r="AK185" t="str">
            <v>3P</v>
          </cell>
          <cell r="AL185">
            <v>275</v>
          </cell>
          <cell r="AM185">
            <v>89</v>
          </cell>
          <cell r="AN185" t="str">
            <v>03 New Dealer</v>
          </cell>
          <cell r="AO185" t="str">
            <v>Southwest</v>
          </cell>
          <cell r="AP185" t="str">
            <v>West</v>
          </cell>
          <cell r="AQ185"/>
          <cell r="AR185">
            <v>8610</v>
          </cell>
          <cell r="AS185">
            <v>0</v>
          </cell>
        </row>
        <row r="186">
          <cell r="A186" t="str">
            <v>13546A</v>
          </cell>
          <cell r="B186" t="str">
            <v>TRAILERS WEST</v>
          </cell>
          <cell r="C186" t="str">
            <v>M11164</v>
          </cell>
          <cell r="D186" t="str">
            <v>NET 5, BT+</v>
          </cell>
          <cell r="E186" t="str">
            <v>CO</v>
          </cell>
          <cell r="F186" t="str">
            <v>Yes</v>
          </cell>
          <cell r="G186" t="str">
            <v>TX</v>
          </cell>
          <cell r="H186">
            <v>8</v>
          </cell>
          <cell r="I186">
            <v>0.66500000000000004</v>
          </cell>
          <cell r="J186" t="str">
            <v>Lane Davis</v>
          </cell>
          <cell r="K186" t="str">
            <v>FOUNTAIN</v>
          </cell>
          <cell r="L186" t="str">
            <v>CO</v>
          </cell>
          <cell r="M186" t="str">
            <v>800-577-8858</v>
          </cell>
          <cell r="N186"/>
          <cell r="O186">
            <v>800</v>
          </cell>
          <cell r="P186">
            <v>3440</v>
          </cell>
          <cell r="Q186"/>
          <cell r="R186">
            <v>0</v>
          </cell>
          <cell r="S186">
            <v>924</v>
          </cell>
          <cell r="T186">
            <v>3973.2</v>
          </cell>
          <cell r="U186">
            <v>674</v>
          </cell>
          <cell r="V186">
            <v>2898.2</v>
          </cell>
          <cell r="W186">
            <v>757</v>
          </cell>
          <cell r="X186">
            <v>3255.1</v>
          </cell>
          <cell r="Y186"/>
          <cell r="Z186">
            <v>0</v>
          </cell>
          <cell r="AA186"/>
          <cell r="AB186">
            <v>0</v>
          </cell>
          <cell r="AC186"/>
          <cell r="AD186">
            <v>0</v>
          </cell>
          <cell r="AE186"/>
          <cell r="AF186"/>
          <cell r="AG186"/>
          <cell r="AH186"/>
          <cell r="AI186"/>
          <cell r="AJ186">
            <v>0</v>
          </cell>
          <cell r="AK186" t="str">
            <v>3P</v>
          </cell>
          <cell r="AL186">
            <v>275</v>
          </cell>
          <cell r="AM186">
            <v>89</v>
          </cell>
          <cell r="AN186" t="str">
            <v>03 New Dealer</v>
          </cell>
          <cell r="AO186" t="str">
            <v>Southwest</v>
          </cell>
          <cell r="AP186" t="str">
            <v>West</v>
          </cell>
          <cell r="AQ186"/>
          <cell r="AR186">
            <v>0</v>
          </cell>
          <cell r="AS186">
            <v>0</v>
          </cell>
        </row>
        <row r="187">
          <cell r="A187">
            <v>12790</v>
          </cell>
          <cell r="B187" t="str">
            <v>VARNER EQUIPMENT, INC</v>
          </cell>
          <cell r="C187" t="str">
            <v>M10440</v>
          </cell>
          <cell r="D187" t="str">
            <v>NET 5, BT+</v>
          </cell>
          <cell r="E187" t="str">
            <v>F1 - Northpoint</v>
          </cell>
          <cell r="F187" t="str">
            <v>Yes</v>
          </cell>
          <cell r="G187" t="str">
            <v>TX</v>
          </cell>
          <cell r="H187">
            <v>8</v>
          </cell>
          <cell r="I187">
            <v>0.66500000000000004</v>
          </cell>
          <cell r="J187" t="str">
            <v>Dakota Nation</v>
          </cell>
          <cell r="K187" t="str">
            <v>DELTA</v>
          </cell>
          <cell r="L187" t="str">
            <v>CO</v>
          </cell>
          <cell r="M187" t="str">
            <v>800-577-8858</v>
          </cell>
          <cell r="N187"/>
          <cell r="O187">
            <v>996</v>
          </cell>
          <cell r="P187">
            <v>4282.8</v>
          </cell>
          <cell r="Q187"/>
          <cell r="R187">
            <v>0</v>
          </cell>
          <cell r="S187">
            <v>683</v>
          </cell>
          <cell r="T187">
            <v>2936.9</v>
          </cell>
          <cell r="U187">
            <v>916</v>
          </cell>
          <cell r="V187">
            <v>3938.7999999999997</v>
          </cell>
          <cell r="W187">
            <v>948</v>
          </cell>
          <cell r="X187">
            <v>4076.3999999999996</v>
          </cell>
          <cell r="Y187"/>
          <cell r="Z187">
            <v>0</v>
          </cell>
          <cell r="AA187"/>
          <cell r="AB187">
            <v>0</v>
          </cell>
          <cell r="AC187"/>
          <cell r="AD187">
            <v>0</v>
          </cell>
          <cell r="AE187"/>
          <cell r="AF187"/>
          <cell r="AG187"/>
          <cell r="AH187"/>
          <cell r="AI187"/>
          <cell r="AJ187">
            <v>1.4999999999999999E-2</v>
          </cell>
          <cell r="AK187" t="str">
            <v>3P</v>
          </cell>
          <cell r="AL187">
            <v>223</v>
          </cell>
          <cell r="AM187">
            <v>168</v>
          </cell>
          <cell r="AN187" t="str">
            <v>01 Existing Dealer</v>
          </cell>
          <cell r="AO187" t="str">
            <v>Southwest</v>
          </cell>
          <cell r="AP187" t="str">
            <v>West</v>
          </cell>
          <cell r="AQ187"/>
          <cell r="AR187">
            <v>0</v>
          </cell>
          <cell r="AS187">
            <v>101320</v>
          </cell>
        </row>
        <row r="188">
          <cell r="A188" t="str">
            <v>13233D</v>
          </cell>
          <cell r="B188" t="str">
            <v>PREMIER TRUCK</v>
          </cell>
          <cell r="C188" t="str">
            <v>M10874</v>
          </cell>
          <cell r="D188" t="str">
            <v>Net 30, no pink card</v>
          </cell>
          <cell r="E188">
            <v>30</v>
          </cell>
          <cell r="F188" t="str">
            <v>Yes</v>
          </cell>
          <cell r="G188" t="str">
            <v>TX</v>
          </cell>
          <cell r="H188">
            <v>5</v>
          </cell>
          <cell r="I188">
            <v>0.66500000000000004</v>
          </cell>
          <cell r="J188" t="str">
            <v>Dakota Nation</v>
          </cell>
          <cell r="K188" t="str">
            <v>GRAND JUNCTION</v>
          </cell>
          <cell r="L188" t="str">
            <v>CO</v>
          </cell>
          <cell r="M188" t="str">
            <v>800-577-8858</v>
          </cell>
          <cell r="N188" t="str">
            <v>MSO's must read and Fedex to Ft. Wayne, IN. Driver gets BOL only</v>
          </cell>
          <cell r="O188">
            <v>1019</v>
          </cell>
          <cell r="P188">
            <v>4381.7</v>
          </cell>
          <cell r="Q188"/>
          <cell r="R188">
            <v>0</v>
          </cell>
          <cell r="S188">
            <v>0</v>
          </cell>
          <cell r="T188">
            <v>0</v>
          </cell>
          <cell r="U188">
            <v>894</v>
          </cell>
          <cell r="V188">
            <v>3844.2</v>
          </cell>
          <cell r="W188">
            <v>977</v>
          </cell>
          <cell r="X188">
            <v>4201.0999999999995</v>
          </cell>
          <cell r="Y188"/>
          <cell r="Z188">
            <v>0</v>
          </cell>
          <cell r="AA188"/>
          <cell r="AB188">
            <v>0</v>
          </cell>
          <cell r="AC188"/>
          <cell r="AD188">
            <v>0</v>
          </cell>
          <cell r="AE188"/>
          <cell r="AF188"/>
          <cell r="AG188"/>
          <cell r="AH188"/>
          <cell r="AI188"/>
          <cell r="AJ188">
            <v>0</v>
          </cell>
          <cell r="AK188" t="str">
            <v>3P</v>
          </cell>
          <cell r="AL188">
            <v>223</v>
          </cell>
          <cell r="AM188">
            <v>168</v>
          </cell>
          <cell r="AN188" t="str">
            <v>11 National</v>
          </cell>
          <cell r="AO188" t="str">
            <v>Southwest</v>
          </cell>
          <cell r="AP188" t="str">
            <v>West</v>
          </cell>
          <cell r="AQ188"/>
          <cell r="AR188">
            <v>0</v>
          </cell>
          <cell r="AS188">
            <v>0</v>
          </cell>
        </row>
        <row r="189">
          <cell r="A189" t="str">
            <v>12906A</v>
          </cell>
          <cell r="B189" t="str">
            <v>BH TRAILER</v>
          </cell>
          <cell r="C189" t="str">
            <v>M10042</v>
          </cell>
          <cell r="D189" t="str">
            <v>NET 5, BT+</v>
          </cell>
          <cell r="E189" t="str">
            <v>F1 - Northpoint</v>
          </cell>
          <cell r="F189" t="str">
            <v>Yes</v>
          </cell>
          <cell r="G189" t="str">
            <v>OH</v>
          </cell>
          <cell r="H189">
            <v>8</v>
          </cell>
          <cell r="I189">
            <v>0.66500000000000004</v>
          </cell>
          <cell r="J189" t="str">
            <v>Dakota Nation</v>
          </cell>
          <cell r="K189" t="str">
            <v>PLAINFIELD</v>
          </cell>
          <cell r="L189" t="str">
            <v>CT</v>
          </cell>
          <cell r="M189" t="str">
            <v>800-577-8858</v>
          </cell>
          <cell r="N189" t="str">
            <v>Mail all paperwork to Plainfield, CT ship address.  BRK2 on all</v>
          </cell>
          <cell r="O189">
            <v>1577</v>
          </cell>
          <cell r="P189">
            <v>6781.0999999999995</v>
          </cell>
          <cell r="Q189">
            <v>1090</v>
          </cell>
          <cell r="R189">
            <v>4687</v>
          </cell>
          <cell r="S189"/>
          <cell r="T189">
            <v>0</v>
          </cell>
          <cell r="U189">
            <v>1665</v>
          </cell>
          <cell r="V189">
            <v>7159.5</v>
          </cell>
          <cell r="W189">
            <v>1659</v>
          </cell>
          <cell r="X189">
            <v>7133.7</v>
          </cell>
          <cell r="Y189">
            <v>773</v>
          </cell>
          <cell r="Z189">
            <v>3323.8999999999996</v>
          </cell>
          <cell r="AA189">
            <v>773</v>
          </cell>
          <cell r="AB189">
            <v>3323.8999999999996</v>
          </cell>
          <cell r="AC189">
            <v>773</v>
          </cell>
          <cell r="AD189">
            <v>3323.8999999999996</v>
          </cell>
          <cell r="AE189"/>
          <cell r="AF189"/>
          <cell r="AG189"/>
          <cell r="AH189"/>
          <cell r="AI189"/>
          <cell r="AJ189">
            <v>0.02</v>
          </cell>
          <cell r="AK189" t="str">
            <v>3P</v>
          </cell>
          <cell r="AL189">
            <v>223</v>
          </cell>
          <cell r="AM189">
            <v>319</v>
          </cell>
          <cell r="AN189" t="str">
            <v>01 Existing Dealer</v>
          </cell>
          <cell r="AO189" t="str">
            <v>Northeast</v>
          </cell>
          <cell r="AP189" t="str">
            <v>North</v>
          </cell>
          <cell r="AQ189"/>
          <cell r="AR189">
            <v>0</v>
          </cell>
          <cell r="AS189">
            <v>0</v>
          </cell>
        </row>
        <row r="190">
          <cell r="A190">
            <v>11883</v>
          </cell>
          <cell r="B190" t="str">
            <v>CONNECTICUT TRAILERS</v>
          </cell>
          <cell r="C190" t="str">
            <v>M10159</v>
          </cell>
          <cell r="D190" t="str">
            <v>NET 5, BT+</v>
          </cell>
          <cell r="E190" t="str">
            <v>FP - Northpoint</v>
          </cell>
          <cell r="F190" t="str">
            <v>Yes</v>
          </cell>
          <cell r="G190" t="str">
            <v>OH</v>
          </cell>
          <cell r="H190">
            <v>8</v>
          </cell>
          <cell r="I190">
            <v>0.66500000000000004</v>
          </cell>
          <cell r="J190" t="str">
            <v>JL Smith</v>
          </cell>
          <cell r="K190" t="str">
            <v>BOLTON</v>
          </cell>
          <cell r="L190" t="str">
            <v>CT</v>
          </cell>
          <cell r="M190" t="str">
            <v>800-577-8858</v>
          </cell>
          <cell r="N190" t="str">
            <v>All tandem axle trailers must have BRK2</v>
          </cell>
          <cell r="O190">
            <v>1561</v>
          </cell>
          <cell r="P190">
            <v>6712.2999999999993</v>
          </cell>
          <cell r="Q190">
            <v>1106</v>
          </cell>
          <cell r="R190">
            <v>4755.8</v>
          </cell>
          <cell r="S190"/>
          <cell r="T190">
            <v>0</v>
          </cell>
          <cell r="U190">
            <v>1659</v>
          </cell>
          <cell r="V190">
            <v>7133.7</v>
          </cell>
          <cell r="W190">
            <v>1642</v>
          </cell>
          <cell r="X190">
            <v>7060.5999999999995</v>
          </cell>
          <cell r="Y190">
            <v>769</v>
          </cell>
          <cell r="Z190">
            <v>3306.7</v>
          </cell>
          <cell r="AA190">
            <v>769</v>
          </cell>
          <cell r="AB190">
            <v>3306.7</v>
          </cell>
          <cell r="AC190">
            <v>769</v>
          </cell>
          <cell r="AD190">
            <v>3306.7</v>
          </cell>
          <cell r="AE190"/>
          <cell r="AF190"/>
          <cell r="AG190"/>
          <cell r="AH190"/>
          <cell r="AI190"/>
          <cell r="AJ190">
            <v>0</v>
          </cell>
          <cell r="AK190" t="str">
            <v>3P</v>
          </cell>
          <cell r="AL190">
            <v>151</v>
          </cell>
          <cell r="AM190">
            <v>184</v>
          </cell>
          <cell r="AN190" t="str">
            <v>01 Existing Dealer</v>
          </cell>
          <cell r="AO190" t="str">
            <v>Northeast</v>
          </cell>
          <cell r="AP190" t="str">
            <v>North</v>
          </cell>
          <cell r="AQ190"/>
          <cell r="AR190">
            <v>21788</v>
          </cell>
          <cell r="AS190">
            <v>0</v>
          </cell>
        </row>
        <row r="191">
          <cell r="A191">
            <v>10811</v>
          </cell>
          <cell r="B191" t="str">
            <v>CRANE &amp; SON</v>
          </cell>
          <cell r="C191" t="str">
            <v>M10164</v>
          </cell>
          <cell r="D191" t="str">
            <v>NET 5, BT+</v>
          </cell>
          <cell r="E191" t="str">
            <v>FP - Wells Fargo</v>
          </cell>
          <cell r="F191" t="str">
            <v>Yes</v>
          </cell>
          <cell r="G191" t="str">
            <v>OH</v>
          </cell>
          <cell r="H191">
            <v>6</v>
          </cell>
          <cell r="I191">
            <v>0.66500000000000004</v>
          </cell>
          <cell r="J191" t="str">
            <v>JL Smith</v>
          </cell>
          <cell r="K191" t="str">
            <v>CANAAN</v>
          </cell>
          <cell r="L191" t="str">
            <v>CT</v>
          </cell>
          <cell r="M191" t="str">
            <v>800-577-8858</v>
          </cell>
          <cell r="N191" t="str">
            <v>All tandem axle trailers must have BRK2</v>
          </cell>
          <cell r="O191">
            <v>1537</v>
          </cell>
          <cell r="P191">
            <v>6609.0999999999995</v>
          </cell>
          <cell r="Q191">
            <v>1100</v>
          </cell>
          <cell r="R191">
            <v>4730</v>
          </cell>
          <cell r="S191"/>
          <cell r="T191">
            <v>0</v>
          </cell>
          <cell r="U191">
            <v>1613</v>
          </cell>
          <cell r="V191">
            <v>6935.9</v>
          </cell>
          <cell r="W191">
            <v>1617</v>
          </cell>
          <cell r="X191">
            <v>6953.0999999999995</v>
          </cell>
          <cell r="Y191">
            <v>726</v>
          </cell>
          <cell r="Z191">
            <v>3121.7999999999997</v>
          </cell>
          <cell r="AA191">
            <v>726</v>
          </cell>
          <cell r="AB191">
            <v>3121.7999999999997</v>
          </cell>
          <cell r="AC191">
            <v>726</v>
          </cell>
          <cell r="AD191">
            <v>3121.7999999999997</v>
          </cell>
          <cell r="AE191"/>
          <cell r="AF191"/>
          <cell r="AG191"/>
          <cell r="AH191"/>
          <cell r="AI191"/>
          <cell r="AJ191">
            <v>0</v>
          </cell>
          <cell r="AK191" t="str">
            <v>3P</v>
          </cell>
          <cell r="AL191">
            <v>151</v>
          </cell>
          <cell r="AM191">
            <v>318</v>
          </cell>
          <cell r="AN191" t="str">
            <v>03 New Dealer</v>
          </cell>
          <cell r="AO191" t="str">
            <v>Northeast</v>
          </cell>
          <cell r="AP191" t="str">
            <v>North</v>
          </cell>
          <cell r="AQ191"/>
          <cell r="AR191">
            <v>0</v>
          </cell>
          <cell r="AS191">
            <v>0</v>
          </cell>
        </row>
        <row r="192">
          <cell r="A192">
            <v>12791</v>
          </cell>
          <cell r="B192" t="str">
            <v>NEW ENGLAND SELF-SERVE, INC DBA NESS AUTOMOTIVE</v>
          </cell>
          <cell r="C192" t="str">
            <v>M10300</v>
          </cell>
          <cell r="D192" t="str">
            <v>NET 5, BT+</v>
          </cell>
          <cell r="E192" t="str">
            <v>CO</v>
          </cell>
          <cell r="F192" t="str">
            <v>Yes</v>
          </cell>
          <cell r="G192" t="str">
            <v>OH</v>
          </cell>
          <cell r="H192">
            <v>7</v>
          </cell>
          <cell r="I192">
            <v>0.66500000000000004</v>
          </cell>
          <cell r="J192" t="str">
            <v>Orphaned Acct</v>
          </cell>
          <cell r="K192" t="str">
            <v>DANBURY</v>
          </cell>
          <cell r="L192" t="str">
            <v>CT</v>
          </cell>
          <cell r="M192" t="str">
            <v>800-577-8858</v>
          </cell>
          <cell r="N192"/>
          <cell r="O192">
            <v>1503</v>
          </cell>
          <cell r="P192">
            <v>6462.9</v>
          </cell>
          <cell r="Q192">
            <v>1046</v>
          </cell>
          <cell r="R192">
            <v>4497.8</v>
          </cell>
          <cell r="S192"/>
          <cell r="T192">
            <v>0</v>
          </cell>
          <cell r="U192">
            <v>1589</v>
          </cell>
          <cell r="V192">
            <v>6832.7</v>
          </cell>
          <cell r="W192">
            <v>1584</v>
          </cell>
          <cell r="X192">
            <v>6811.2</v>
          </cell>
          <cell r="Y192">
            <v>699</v>
          </cell>
          <cell r="Z192">
            <v>3005.7</v>
          </cell>
          <cell r="AA192">
            <v>699</v>
          </cell>
          <cell r="AB192">
            <v>3005.7</v>
          </cell>
          <cell r="AC192">
            <v>699</v>
          </cell>
          <cell r="AD192">
            <v>3005.7</v>
          </cell>
          <cell r="AE192"/>
          <cell r="AF192"/>
          <cell r="AG192"/>
          <cell r="AH192"/>
          <cell r="AI192"/>
          <cell r="AJ192">
            <v>0</v>
          </cell>
          <cell r="AK192" t="str">
            <v>3P</v>
          </cell>
          <cell r="AL192">
            <v>213</v>
          </cell>
          <cell r="AM192">
            <v>321</v>
          </cell>
          <cell r="AN192" t="str">
            <v>08 Inactive Dealer</v>
          </cell>
          <cell r="AO192" t="str">
            <v>Northeast</v>
          </cell>
          <cell r="AP192" t="str">
            <v>North</v>
          </cell>
          <cell r="AQ192"/>
          <cell r="AR192">
            <v>0</v>
          </cell>
          <cell r="AS192">
            <v>0</v>
          </cell>
        </row>
        <row r="193">
          <cell r="A193">
            <v>10500</v>
          </cell>
          <cell r="B193" t="str">
            <v>TRAILER DEPOT</v>
          </cell>
          <cell r="C193" t="str">
            <v>M10403</v>
          </cell>
          <cell r="D193" t="str">
            <v>Net 30, no pink card</v>
          </cell>
          <cell r="E193">
            <v>30</v>
          </cell>
          <cell r="F193" t="str">
            <v>Yes</v>
          </cell>
          <cell r="G193" t="str">
            <v>OH</v>
          </cell>
          <cell r="H193">
            <v>5</v>
          </cell>
          <cell r="I193">
            <v>0.66500000000000004</v>
          </cell>
          <cell r="J193" t="str">
            <v>Orphaned Acct</v>
          </cell>
          <cell r="K193" t="str">
            <v>NORTHFORD</v>
          </cell>
          <cell r="L193" t="str">
            <v>CT</v>
          </cell>
          <cell r="M193" t="str">
            <v>800-577-8858</v>
          </cell>
          <cell r="N193"/>
          <cell r="O193">
            <v>1521</v>
          </cell>
          <cell r="P193">
            <v>6540.3</v>
          </cell>
          <cell r="Q193">
            <v>1065</v>
          </cell>
          <cell r="R193">
            <v>4579.5</v>
          </cell>
          <cell r="S193"/>
          <cell r="T193">
            <v>0</v>
          </cell>
          <cell r="U193">
            <v>1626</v>
          </cell>
          <cell r="V193">
            <v>6991.7999999999993</v>
          </cell>
          <cell r="W193">
            <v>1601</v>
          </cell>
          <cell r="X193">
            <v>6884.2999999999993</v>
          </cell>
          <cell r="Y193">
            <v>713</v>
          </cell>
          <cell r="Z193">
            <v>3065.9</v>
          </cell>
          <cell r="AA193">
            <v>713</v>
          </cell>
          <cell r="AB193">
            <v>3065.9</v>
          </cell>
          <cell r="AC193">
            <v>713</v>
          </cell>
          <cell r="AD193">
            <v>3065.9</v>
          </cell>
          <cell r="AE193"/>
          <cell r="AF193"/>
          <cell r="AG193"/>
          <cell r="AH193"/>
          <cell r="AI193"/>
          <cell r="AJ193">
            <v>0</v>
          </cell>
          <cell r="AK193" t="str">
            <v>3P</v>
          </cell>
          <cell r="AL193">
            <v>213</v>
          </cell>
          <cell r="AM193">
            <v>318</v>
          </cell>
          <cell r="AN193" t="str">
            <v>01 Existing Dealer</v>
          </cell>
          <cell r="AO193" t="str">
            <v>Northeast</v>
          </cell>
          <cell r="AP193" t="str">
            <v>North</v>
          </cell>
          <cell r="AQ193"/>
          <cell r="AR193">
            <v>0</v>
          </cell>
          <cell r="AS193">
            <v>0</v>
          </cell>
        </row>
        <row r="194">
          <cell r="A194">
            <v>11863</v>
          </cell>
          <cell r="B194" t="str">
            <v>TRAILER DEPOT</v>
          </cell>
          <cell r="C194" t="str">
            <v>M10403</v>
          </cell>
          <cell r="D194" t="str">
            <v>NET 5, BT+</v>
          </cell>
          <cell r="E194" t="str">
            <v>FP - Northpoint</v>
          </cell>
          <cell r="F194" t="str">
            <v>Yes</v>
          </cell>
          <cell r="G194" t="str">
            <v>OH</v>
          </cell>
          <cell r="H194">
            <v>8</v>
          </cell>
          <cell r="I194">
            <v>0.66500000000000004</v>
          </cell>
          <cell r="J194" t="str">
            <v>Orphaned Acct</v>
          </cell>
          <cell r="K194" t="str">
            <v>NORTHFORD</v>
          </cell>
          <cell r="L194" t="str">
            <v>CT</v>
          </cell>
          <cell r="M194" t="str">
            <v>800-577-8858</v>
          </cell>
          <cell r="N194"/>
          <cell r="O194">
            <v>1521</v>
          </cell>
          <cell r="P194">
            <v>6540.3</v>
          </cell>
          <cell r="Q194">
            <v>1065</v>
          </cell>
          <cell r="R194">
            <v>4579.5</v>
          </cell>
          <cell r="S194"/>
          <cell r="T194">
            <v>0</v>
          </cell>
          <cell r="U194">
            <v>1626</v>
          </cell>
          <cell r="V194">
            <v>6991.7999999999993</v>
          </cell>
          <cell r="W194">
            <v>1601</v>
          </cell>
          <cell r="X194">
            <v>6884.2999999999993</v>
          </cell>
          <cell r="Y194">
            <v>713</v>
          </cell>
          <cell r="Z194">
            <v>3065.9</v>
          </cell>
          <cell r="AA194">
            <v>713</v>
          </cell>
          <cell r="AB194">
            <v>3065.9</v>
          </cell>
          <cell r="AC194">
            <v>713</v>
          </cell>
          <cell r="AD194">
            <v>3065.9</v>
          </cell>
          <cell r="AE194"/>
          <cell r="AF194"/>
          <cell r="AG194"/>
          <cell r="AH194"/>
          <cell r="AI194"/>
          <cell r="AJ194">
            <v>0</v>
          </cell>
          <cell r="AK194" t="str">
            <v>3P</v>
          </cell>
          <cell r="AL194">
            <v>213</v>
          </cell>
          <cell r="AM194">
            <v>318</v>
          </cell>
          <cell r="AN194" t="str">
            <v>01 Existing Dealer</v>
          </cell>
          <cell r="AO194" t="str">
            <v>Northeast</v>
          </cell>
          <cell r="AP194" t="str">
            <v>North</v>
          </cell>
          <cell r="AQ194"/>
          <cell r="AR194">
            <v>0</v>
          </cell>
          <cell r="AS194">
            <v>0</v>
          </cell>
        </row>
        <row r="195">
          <cell r="A195">
            <v>12862</v>
          </cell>
          <cell r="B195" t="str">
            <v>WESCO INC</v>
          </cell>
          <cell r="C195" t="str">
            <v>M10450</v>
          </cell>
          <cell r="D195" t="str">
            <v>NET 5, BT+</v>
          </cell>
          <cell r="E195" t="str">
            <v>FP- Northpoint</v>
          </cell>
          <cell r="F195" t="str">
            <v>Yes</v>
          </cell>
          <cell r="G195" t="str">
            <v>OH</v>
          </cell>
          <cell r="H195">
            <v>8</v>
          </cell>
          <cell r="I195">
            <v>0.66500000000000004</v>
          </cell>
          <cell r="J195" t="str">
            <v>Orphaned Acct</v>
          </cell>
          <cell r="K195" t="str">
            <v>NORWALK</v>
          </cell>
          <cell r="L195" t="str">
            <v>CT</v>
          </cell>
          <cell r="M195" t="str">
            <v>800-577-8858</v>
          </cell>
          <cell r="N195"/>
          <cell r="O195">
            <v>1478</v>
          </cell>
          <cell r="P195">
            <v>6355.4</v>
          </cell>
          <cell r="Q195">
            <v>1023</v>
          </cell>
          <cell r="R195">
            <v>4398.8999999999996</v>
          </cell>
          <cell r="S195"/>
          <cell r="T195">
            <v>0</v>
          </cell>
          <cell r="U195">
            <v>1583</v>
          </cell>
          <cell r="V195">
            <v>6806.9</v>
          </cell>
          <cell r="W195">
            <v>1559</v>
          </cell>
          <cell r="X195">
            <v>6703.7</v>
          </cell>
          <cell r="Y195">
            <v>673</v>
          </cell>
          <cell r="Z195">
            <v>2893.9</v>
          </cell>
          <cell r="AA195">
            <v>673</v>
          </cell>
          <cell r="AB195">
            <v>2893.9</v>
          </cell>
          <cell r="AC195">
            <v>673</v>
          </cell>
          <cell r="AD195">
            <v>2893.9</v>
          </cell>
          <cell r="AE195"/>
          <cell r="AF195"/>
          <cell r="AG195"/>
          <cell r="AH195"/>
          <cell r="AI195"/>
          <cell r="AJ195">
            <v>0</v>
          </cell>
          <cell r="AK195" t="str">
            <v>3P</v>
          </cell>
          <cell r="AL195">
            <v>213</v>
          </cell>
          <cell r="AM195">
            <v>321</v>
          </cell>
          <cell r="AN195" t="str">
            <v>08 Inactive Dealer</v>
          </cell>
          <cell r="AO195" t="str">
            <v>Northeast</v>
          </cell>
          <cell r="AP195" t="str">
            <v>North</v>
          </cell>
          <cell r="AQ195"/>
          <cell r="AR195">
            <v>0</v>
          </cell>
          <cell r="AS195">
            <v>0</v>
          </cell>
        </row>
        <row r="196">
          <cell r="A196">
            <v>12634</v>
          </cell>
          <cell r="B196" t="str">
            <v>DELWOOD TRAILER</v>
          </cell>
          <cell r="C196" t="str">
            <v>M10179</v>
          </cell>
          <cell r="D196" t="str">
            <v>NET 5, BT+</v>
          </cell>
          <cell r="E196" t="str">
            <v>CO</v>
          </cell>
          <cell r="F196" t="str">
            <v>Yes</v>
          </cell>
          <cell r="G196" t="str">
            <v>OH</v>
          </cell>
          <cell r="H196">
            <v>7</v>
          </cell>
          <cell r="I196">
            <v>0.66500000000000004</v>
          </cell>
          <cell r="J196" t="str">
            <v>Orphaned Acct</v>
          </cell>
          <cell r="K196" t="str">
            <v>FELTON</v>
          </cell>
          <cell r="L196" t="str">
            <v>DE</v>
          </cell>
          <cell r="M196" t="str">
            <v>800-577-8858</v>
          </cell>
          <cell r="N196"/>
          <cell r="O196">
            <v>1307</v>
          </cell>
          <cell r="P196">
            <v>5620.0999999999995</v>
          </cell>
          <cell r="Q196">
            <v>834</v>
          </cell>
          <cell r="R196">
            <v>3586.2</v>
          </cell>
          <cell r="S196"/>
          <cell r="T196">
            <v>0</v>
          </cell>
          <cell r="U196">
            <v>1403</v>
          </cell>
          <cell r="V196">
            <v>6032.9</v>
          </cell>
          <cell r="W196">
            <v>1387</v>
          </cell>
          <cell r="X196">
            <v>5964.0999999999995</v>
          </cell>
          <cell r="Y196">
            <v>552</v>
          </cell>
          <cell r="Z196">
            <v>2373.6</v>
          </cell>
          <cell r="AA196">
            <v>552</v>
          </cell>
          <cell r="AB196">
            <v>2373.6</v>
          </cell>
          <cell r="AC196">
            <v>552</v>
          </cell>
          <cell r="AD196">
            <v>2373.6</v>
          </cell>
          <cell r="AE196"/>
          <cell r="AF196"/>
          <cell r="AG196"/>
          <cell r="AH196"/>
          <cell r="AI196"/>
          <cell r="AJ196">
            <v>0</v>
          </cell>
          <cell r="AK196" t="str">
            <v>3P</v>
          </cell>
          <cell r="AL196">
            <v>213</v>
          </cell>
          <cell r="AM196">
            <v>116</v>
          </cell>
          <cell r="AN196" t="str">
            <v>01 Existing Dealer</v>
          </cell>
          <cell r="AO196" t="str">
            <v>Northeast</v>
          </cell>
          <cell r="AP196" t="str">
            <v>North</v>
          </cell>
          <cell r="AQ196"/>
          <cell r="AR196">
            <v>0</v>
          </cell>
          <cell r="AS196">
            <v>0</v>
          </cell>
        </row>
        <row r="197">
          <cell r="A197" t="str">
            <v>12619G</v>
          </cell>
          <cell r="B197" t="str">
            <v>AG PRO</v>
          </cell>
          <cell r="C197" t="str">
            <v>M10016</v>
          </cell>
          <cell r="D197" t="str">
            <v>Net 60, no pink card</v>
          </cell>
          <cell r="E197">
            <v>60</v>
          </cell>
          <cell r="F197" t="str">
            <v>Yes</v>
          </cell>
          <cell r="G197" t="str">
            <v>GA</v>
          </cell>
          <cell r="H197">
            <v>5</v>
          </cell>
          <cell r="I197">
            <v>0.66500000000000004</v>
          </cell>
          <cell r="J197" t="str">
            <v>Dakota Nation</v>
          </cell>
          <cell r="K197" t="str">
            <v>MERSHON</v>
          </cell>
          <cell r="L197" t="str">
            <v>GA</v>
          </cell>
          <cell r="M197" t="str">
            <v>800-577-8858</v>
          </cell>
          <cell r="N197" t="str">
            <v>Freight Terms same as account, email invoices</v>
          </cell>
          <cell r="O197">
            <v>944</v>
          </cell>
          <cell r="P197">
            <v>4059.2</v>
          </cell>
          <cell r="Q197">
            <v>111</v>
          </cell>
          <cell r="R197">
            <v>477.29999999999995</v>
          </cell>
          <cell r="S197"/>
          <cell r="T197">
            <v>0</v>
          </cell>
          <cell r="U197">
            <v>1041</v>
          </cell>
          <cell r="V197">
            <v>4476.3</v>
          </cell>
          <cell r="W197">
            <v>965</v>
          </cell>
          <cell r="X197">
            <v>4149.5</v>
          </cell>
          <cell r="Y197"/>
          <cell r="Z197">
            <v>0</v>
          </cell>
          <cell r="AA197"/>
          <cell r="AB197">
            <v>0</v>
          </cell>
          <cell r="AC197"/>
          <cell r="AD197">
            <v>0</v>
          </cell>
          <cell r="AE197"/>
          <cell r="AF197"/>
          <cell r="AG197"/>
          <cell r="AH197"/>
          <cell r="AI197"/>
          <cell r="AJ197">
            <v>0</v>
          </cell>
          <cell r="AK197" t="str">
            <v>3P</v>
          </cell>
          <cell r="AL197">
            <v>223</v>
          </cell>
          <cell r="AM197">
            <v>467</v>
          </cell>
          <cell r="AN197" t="str">
            <v>01 Existing Dealer</v>
          </cell>
          <cell r="AO197" t="str">
            <v>Southeast</v>
          </cell>
          <cell r="AP197" t="str">
            <v>South</v>
          </cell>
          <cell r="AQ197"/>
          <cell r="AR197">
            <v>0</v>
          </cell>
          <cell r="AS197">
            <v>0</v>
          </cell>
        </row>
        <row r="198">
          <cell r="A198">
            <v>10758</v>
          </cell>
          <cell r="B198" t="str">
            <v>A+ TRAILERS</v>
          </cell>
          <cell r="C198" t="str">
            <v>M10006</v>
          </cell>
          <cell r="D198" t="str">
            <v>NET 5, BT+</v>
          </cell>
          <cell r="E198" t="str">
            <v>CF</v>
          </cell>
          <cell r="F198" t="str">
            <v>Yes</v>
          </cell>
          <cell r="G198" t="str">
            <v>GA</v>
          </cell>
          <cell r="H198">
            <v>7</v>
          </cell>
          <cell r="I198">
            <v>0.66500000000000004</v>
          </cell>
          <cell r="J198" t="str">
            <v>Orphaned Acct</v>
          </cell>
          <cell r="K198" t="str">
            <v>LAND O' LAKES</v>
          </cell>
          <cell r="L198" t="str">
            <v>FL</v>
          </cell>
          <cell r="M198" t="str">
            <v>800-577-8858</v>
          </cell>
          <cell r="N198"/>
          <cell r="O198">
            <v>973</v>
          </cell>
          <cell r="P198">
            <v>4183.8999999999996</v>
          </cell>
          <cell r="Q198">
            <v>300</v>
          </cell>
          <cell r="R198">
            <v>1290</v>
          </cell>
          <cell r="S198"/>
          <cell r="T198">
            <v>0</v>
          </cell>
          <cell r="U198">
            <v>1136</v>
          </cell>
          <cell r="V198">
            <v>4884.8</v>
          </cell>
          <cell r="W198">
            <v>1012</v>
          </cell>
          <cell r="X198">
            <v>4351.5999999999995</v>
          </cell>
          <cell r="Y198"/>
          <cell r="Z198">
            <v>0</v>
          </cell>
          <cell r="AA198"/>
          <cell r="AB198">
            <v>0</v>
          </cell>
          <cell r="AC198"/>
          <cell r="AD198">
            <v>0</v>
          </cell>
          <cell r="AE198"/>
          <cell r="AF198"/>
          <cell r="AG198"/>
          <cell r="AH198"/>
          <cell r="AI198"/>
          <cell r="AJ198">
            <v>0</v>
          </cell>
          <cell r="AK198" t="str">
            <v>3P</v>
          </cell>
          <cell r="AL198">
            <v>213</v>
          </cell>
          <cell r="AM198">
            <v>440</v>
          </cell>
          <cell r="AN198" t="str">
            <v>08 Inactive Dealer</v>
          </cell>
          <cell r="AO198" t="str">
            <v>Southeast</v>
          </cell>
          <cell r="AP198" t="str">
            <v>South</v>
          </cell>
          <cell r="AQ198"/>
          <cell r="AR198">
            <v>0</v>
          </cell>
          <cell r="AS198">
            <v>0</v>
          </cell>
        </row>
        <row r="199">
          <cell r="A199">
            <v>13161</v>
          </cell>
          <cell r="B199" t="str">
            <v>A-1 ACCESSORIES</v>
          </cell>
          <cell r="C199" t="str">
            <v>M10007</v>
          </cell>
          <cell r="D199" t="str">
            <v>NET 5, BT+</v>
          </cell>
          <cell r="E199" t="str">
            <v>CO</v>
          </cell>
          <cell r="F199" t="str">
            <v>Yes</v>
          </cell>
          <cell r="G199" t="str">
            <v>GA</v>
          </cell>
          <cell r="H199">
            <v>7</v>
          </cell>
          <cell r="I199">
            <v>0.66500000000000004</v>
          </cell>
          <cell r="J199" t="str">
            <v>Trent Evans</v>
          </cell>
          <cell r="K199" t="str">
            <v>CANTONMENT</v>
          </cell>
          <cell r="L199" t="str">
            <v>FL</v>
          </cell>
          <cell r="M199" t="str">
            <v>800-577-8858</v>
          </cell>
          <cell r="N199"/>
          <cell r="O199">
            <v>564</v>
          </cell>
          <cell r="P199">
            <v>2425.1999999999998</v>
          </cell>
          <cell r="Q199">
            <v>276</v>
          </cell>
          <cell r="R199">
            <v>1186.8</v>
          </cell>
          <cell r="S199"/>
          <cell r="T199">
            <v>0</v>
          </cell>
          <cell r="U199">
            <v>727</v>
          </cell>
          <cell r="V199">
            <v>3126.1</v>
          </cell>
          <cell r="W199">
            <v>603</v>
          </cell>
          <cell r="X199">
            <v>2592.9</v>
          </cell>
          <cell r="Y199">
            <v>719</v>
          </cell>
          <cell r="Z199">
            <v>3091.7</v>
          </cell>
          <cell r="AA199">
            <v>719</v>
          </cell>
          <cell r="AB199">
            <v>3091.7</v>
          </cell>
          <cell r="AC199">
            <v>719</v>
          </cell>
          <cell r="AD199">
            <v>3091.7</v>
          </cell>
          <cell r="AE199"/>
          <cell r="AF199"/>
          <cell r="AG199"/>
          <cell r="AH199"/>
          <cell r="AI199"/>
          <cell r="AJ199">
            <v>0</v>
          </cell>
          <cell r="AK199" t="str">
            <v>3P</v>
          </cell>
          <cell r="AL199">
            <v>226</v>
          </cell>
          <cell r="AM199">
            <v>343</v>
          </cell>
          <cell r="AN199" t="str">
            <v>01 Existing Dealer</v>
          </cell>
          <cell r="AO199" t="str">
            <v>Southeast</v>
          </cell>
          <cell r="AP199" t="str">
            <v>South</v>
          </cell>
          <cell r="AQ199"/>
          <cell r="AR199">
            <v>0</v>
          </cell>
          <cell r="AS199">
            <v>0</v>
          </cell>
        </row>
        <row r="200">
          <cell r="A200">
            <v>12467</v>
          </cell>
          <cell r="B200" t="str">
            <v>A-1 ACCESSORIES</v>
          </cell>
          <cell r="C200" t="str">
            <v>M10007</v>
          </cell>
          <cell r="D200" t="str">
            <v>NET 5, BT+</v>
          </cell>
          <cell r="E200" t="str">
            <v>S1</v>
          </cell>
          <cell r="F200" t="str">
            <v>Copies</v>
          </cell>
          <cell r="G200" t="str">
            <v>GA</v>
          </cell>
          <cell r="H200">
            <v>9</v>
          </cell>
          <cell r="I200">
            <v>0.66500000000000004</v>
          </cell>
          <cell r="J200" t="str">
            <v>Trent Evans</v>
          </cell>
          <cell r="K200" t="str">
            <v>CANTONMENT</v>
          </cell>
          <cell r="L200" t="str">
            <v>FL</v>
          </cell>
          <cell r="M200" t="str">
            <v>800-577-8858</v>
          </cell>
          <cell r="N200" t="str">
            <v>!!!!! SEND COPIES OF MSO'S TO DEALER</v>
          </cell>
          <cell r="O200">
            <v>564</v>
          </cell>
          <cell r="P200">
            <v>2425.1999999999998</v>
          </cell>
          <cell r="Q200">
            <v>276</v>
          </cell>
          <cell r="R200">
            <v>1186.8</v>
          </cell>
          <cell r="S200"/>
          <cell r="T200">
            <v>0</v>
          </cell>
          <cell r="U200">
            <v>727</v>
          </cell>
          <cell r="V200">
            <v>3126.1</v>
          </cell>
          <cell r="W200">
            <v>603</v>
          </cell>
          <cell r="X200">
            <v>2592.9</v>
          </cell>
          <cell r="Y200">
            <v>719</v>
          </cell>
          <cell r="Z200">
            <v>3091.7</v>
          </cell>
          <cell r="AA200">
            <v>719</v>
          </cell>
          <cell r="AB200">
            <v>3091.7</v>
          </cell>
          <cell r="AC200">
            <v>719</v>
          </cell>
          <cell r="AD200">
            <v>3091.7</v>
          </cell>
          <cell r="AE200"/>
          <cell r="AF200"/>
          <cell r="AG200"/>
          <cell r="AH200"/>
          <cell r="AI200"/>
          <cell r="AJ200">
            <v>0</v>
          </cell>
          <cell r="AK200" t="str">
            <v>3P</v>
          </cell>
          <cell r="AL200">
            <v>226</v>
          </cell>
          <cell r="AM200">
            <v>343</v>
          </cell>
          <cell r="AN200" t="str">
            <v>01 Existing Dealer</v>
          </cell>
          <cell r="AO200" t="str">
            <v>Southeast</v>
          </cell>
          <cell r="AP200" t="str">
            <v>South</v>
          </cell>
          <cell r="AQ200"/>
          <cell r="AR200">
            <v>0</v>
          </cell>
          <cell r="AS200">
            <v>0</v>
          </cell>
        </row>
        <row r="201">
          <cell r="A201">
            <v>12806</v>
          </cell>
          <cell r="B201" t="str">
            <v>AFFORDABLE TRAILER</v>
          </cell>
          <cell r="C201" t="str">
            <v>M10013</v>
          </cell>
          <cell r="D201" t="str">
            <v>NET 5, BT+</v>
          </cell>
          <cell r="E201" t="str">
            <v>F1 - Wells Fargo</v>
          </cell>
          <cell r="F201" t="str">
            <v>Yes</v>
          </cell>
          <cell r="G201" t="str">
            <v>GA</v>
          </cell>
          <cell r="H201">
            <v>7</v>
          </cell>
          <cell r="I201">
            <v>0.66500000000000004</v>
          </cell>
          <cell r="J201" t="str">
            <v>Trent Evans</v>
          </cell>
          <cell r="K201" t="str">
            <v>VERO BEACH</v>
          </cell>
          <cell r="L201" t="str">
            <v>FL</v>
          </cell>
          <cell r="M201" t="str">
            <v>800-577-8858</v>
          </cell>
          <cell r="N201"/>
          <cell r="O201">
            <v>1110</v>
          </cell>
          <cell r="P201">
            <v>4773</v>
          </cell>
          <cell r="Q201">
            <v>405</v>
          </cell>
          <cell r="R201">
            <v>1741.5</v>
          </cell>
          <cell r="S201"/>
          <cell r="T201">
            <v>0</v>
          </cell>
          <cell r="U201">
            <v>1273</v>
          </cell>
          <cell r="V201">
            <v>5473.9</v>
          </cell>
          <cell r="W201">
            <v>1149</v>
          </cell>
          <cell r="X201">
            <v>4940.7</v>
          </cell>
          <cell r="Y201">
            <v>1014</v>
          </cell>
          <cell r="Z201">
            <v>4360.2</v>
          </cell>
          <cell r="AA201">
            <v>1014</v>
          </cell>
          <cell r="AB201">
            <v>4360.2</v>
          </cell>
          <cell r="AC201">
            <v>1014</v>
          </cell>
          <cell r="AD201">
            <v>4360.2</v>
          </cell>
          <cell r="AE201"/>
          <cell r="AF201"/>
          <cell r="AG201"/>
          <cell r="AH201"/>
          <cell r="AI201"/>
          <cell r="AJ201">
            <v>5.0000000000000001E-3</v>
          </cell>
          <cell r="AK201" t="str">
            <v>3P</v>
          </cell>
          <cell r="AL201">
            <v>226</v>
          </cell>
          <cell r="AM201">
            <v>152</v>
          </cell>
          <cell r="AN201" t="str">
            <v>01 Existing Dealer</v>
          </cell>
          <cell r="AO201" t="str">
            <v>Southeast</v>
          </cell>
          <cell r="AP201" t="str">
            <v>South</v>
          </cell>
          <cell r="AQ201"/>
          <cell r="AR201">
            <v>0</v>
          </cell>
          <cell r="AS201">
            <v>0</v>
          </cell>
        </row>
        <row r="202">
          <cell r="A202" t="str">
            <v>12806A</v>
          </cell>
          <cell r="B202" t="str">
            <v>AFFORDABLE TRAILER</v>
          </cell>
          <cell r="C202" t="str">
            <v>M10013</v>
          </cell>
          <cell r="D202" t="str">
            <v>NET 5, BT+</v>
          </cell>
          <cell r="E202" t="str">
            <v>F1 - Wells Fargo</v>
          </cell>
          <cell r="F202" t="str">
            <v>Yes</v>
          </cell>
          <cell r="G202" t="str">
            <v>GA</v>
          </cell>
          <cell r="H202">
            <v>7</v>
          </cell>
          <cell r="I202">
            <v>0.66500000000000004</v>
          </cell>
          <cell r="J202" t="str">
            <v>Trent Evans</v>
          </cell>
          <cell r="K202" t="str">
            <v>MELBOURNE</v>
          </cell>
          <cell r="L202" t="str">
            <v>FL</v>
          </cell>
          <cell r="M202" t="str">
            <v>800-577-8858</v>
          </cell>
          <cell r="N202"/>
          <cell r="O202">
            <v>1069</v>
          </cell>
          <cell r="P202">
            <v>4596.7</v>
          </cell>
          <cell r="Q202">
            <v>364</v>
          </cell>
          <cell r="R202">
            <v>1565.2</v>
          </cell>
          <cell r="S202"/>
          <cell r="T202">
            <v>0</v>
          </cell>
          <cell r="U202">
            <v>1232</v>
          </cell>
          <cell r="V202">
            <v>5297.5999999999995</v>
          </cell>
          <cell r="W202">
            <v>1108</v>
          </cell>
          <cell r="X202">
            <v>4764.3999999999996</v>
          </cell>
          <cell r="Y202">
            <v>990</v>
          </cell>
          <cell r="Z202">
            <v>4257</v>
          </cell>
          <cell r="AA202">
            <v>990</v>
          </cell>
          <cell r="AB202">
            <v>4257</v>
          </cell>
          <cell r="AC202">
            <v>990</v>
          </cell>
          <cell r="AD202">
            <v>4257</v>
          </cell>
          <cell r="AE202"/>
          <cell r="AF202"/>
          <cell r="AG202"/>
          <cell r="AH202"/>
          <cell r="AI202"/>
          <cell r="AJ202">
            <v>5.0000000000000001E-3</v>
          </cell>
          <cell r="AK202" t="str">
            <v>3P</v>
          </cell>
          <cell r="AL202">
            <v>226</v>
          </cell>
          <cell r="AM202">
            <v>289</v>
          </cell>
          <cell r="AN202" t="str">
            <v>01 Existing Dealer</v>
          </cell>
          <cell r="AO202" t="str">
            <v>Southeast</v>
          </cell>
          <cell r="AP202" t="str">
            <v>South</v>
          </cell>
          <cell r="AQ202"/>
          <cell r="AR202">
            <v>0</v>
          </cell>
          <cell r="AS202">
            <v>0</v>
          </cell>
        </row>
        <row r="203">
          <cell r="A203" t="str">
            <v>12619A</v>
          </cell>
          <cell r="B203" t="str">
            <v>AG PRO</v>
          </cell>
          <cell r="C203" t="str">
            <v>M10016</v>
          </cell>
          <cell r="D203" t="str">
            <v>Net 60, no pink card</v>
          </cell>
          <cell r="E203">
            <v>60</v>
          </cell>
          <cell r="F203" t="str">
            <v>Yes</v>
          </cell>
          <cell r="G203" t="str">
            <v>GA</v>
          </cell>
          <cell r="H203">
            <v>5</v>
          </cell>
          <cell r="I203">
            <v>0.66500000000000004</v>
          </cell>
          <cell r="J203" t="str">
            <v>Dakota Nation</v>
          </cell>
          <cell r="K203" t="str">
            <v>GAINESVILLE</v>
          </cell>
          <cell r="L203" t="str">
            <v>FL</v>
          </cell>
          <cell r="M203" t="str">
            <v>800-577-8858</v>
          </cell>
          <cell r="N203" t="str">
            <v>Freight Terms same as account, email invoices</v>
          </cell>
          <cell r="O203">
            <v>896</v>
          </cell>
          <cell r="P203">
            <v>3852.7999999999997</v>
          </cell>
          <cell r="Q203">
            <v>191</v>
          </cell>
          <cell r="R203">
            <v>821.3</v>
          </cell>
          <cell r="S203"/>
          <cell r="T203">
            <v>0</v>
          </cell>
          <cell r="U203">
            <v>1059</v>
          </cell>
          <cell r="V203">
            <v>4553.7</v>
          </cell>
          <cell r="W203">
            <v>935</v>
          </cell>
          <cell r="X203">
            <v>4020.5</v>
          </cell>
          <cell r="Y203"/>
          <cell r="Z203">
            <v>0</v>
          </cell>
          <cell r="AA203"/>
          <cell r="AB203">
            <v>0</v>
          </cell>
          <cell r="AC203"/>
          <cell r="AD203">
            <v>0</v>
          </cell>
          <cell r="AE203"/>
          <cell r="AF203"/>
          <cell r="AG203"/>
          <cell r="AH203"/>
          <cell r="AI203"/>
          <cell r="AJ203">
            <v>0</v>
          </cell>
          <cell r="AK203" t="str">
            <v>3P</v>
          </cell>
          <cell r="AL203">
            <v>223</v>
          </cell>
          <cell r="AM203">
            <v>159</v>
          </cell>
          <cell r="AN203" t="str">
            <v>01 Existing Dealer</v>
          </cell>
          <cell r="AO203" t="str">
            <v>Southeast</v>
          </cell>
          <cell r="AP203" t="str">
            <v>South</v>
          </cell>
          <cell r="AQ203"/>
          <cell r="AR203">
            <v>0</v>
          </cell>
          <cell r="AS203">
            <v>0</v>
          </cell>
        </row>
        <row r="204">
          <cell r="A204" t="str">
            <v>12619B</v>
          </cell>
          <cell r="B204" t="str">
            <v>AG PRO</v>
          </cell>
          <cell r="C204" t="str">
            <v>M10016</v>
          </cell>
          <cell r="D204" t="str">
            <v>Net 60, no pink card</v>
          </cell>
          <cell r="E204">
            <v>60</v>
          </cell>
          <cell r="F204" t="str">
            <v>Yes</v>
          </cell>
          <cell r="G204" t="str">
            <v>GA</v>
          </cell>
          <cell r="H204">
            <v>5</v>
          </cell>
          <cell r="I204">
            <v>0.66500000000000004</v>
          </cell>
          <cell r="J204" t="str">
            <v>Dakota Nation</v>
          </cell>
          <cell r="K204" t="str">
            <v>TALLAHASSEE</v>
          </cell>
          <cell r="L204" t="str">
            <v>FL</v>
          </cell>
          <cell r="M204" t="str">
            <v>800-577-8858</v>
          </cell>
          <cell r="N204" t="str">
            <v>Freight Terms same as account, email invoices</v>
          </cell>
          <cell r="O204">
            <v>751</v>
          </cell>
          <cell r="P204">
            <v>3229.2999999999997</v>
          </cell>
          <cell r="Q204">
            <v>129</v>
          </cell>
          <cell r="R204">
            <v>554.69999999999993</v>
          </cell>
          <cell r="S204"/>
          <cell r="T204">
            <v>0</v>
          </cell>
          <cell r="U204">
            <v>914</v>
          </cell>
          <cell r="V204">
            <v>3930.2</v>
          </cell>
          <cell r="W204">
            <v>790</v>
          </cell>
          <cell r="X204">
            <v>3397</v>
          </cell>
          <cell r="Y204"/>
          <cell r="Z204">
            <v>0</v>
          </cell>
          <cell r="AA204"/>
          <cell r="AB204">
            <v>0</v>
          </cell>
          <cell r="AC204"/>
          <cell r="AD204">
            <v>0</v>
          </cell>
          <cell r="AE204"/>
          <cell r="AF204"/>
          <cell r="AG204"/>
          <cell r="AH204"/>
          <cell r="AI204"/>
          <cell r="AJ204">
            <v>0</v>
          </cell>
          <cell r="AK204" t="str">
            <v>3P</v>
          </cell>
          <cell r="AL204">
            <v>223</v>
          </cell>
          <cell r="AM204">
            <v>439</v>
          </cell>
          <cell r="AN204" t="str">
            <v>01 Existing Dealer</v>
          </cell>
          <cell r="AO204" t="str">
            <v>Southeast</v>
          </cell>
          <cell r="AP204" t="str">
            <v>South</v>
          </cell>
          <cell r="AQ204"/>
          <cell r="AR204">
            <v>0</v>
          </cell>
          <cell r="AS204">
            <v>0</v>
          </cell>
        </row>
        <row r="205">
          <cell r="A205" t="str">
            <v>12619C</v>
          </cell>
          <cell r="B205" t="str">
            <v>AG PRO</v>
          </cell>
          <cell r="C205" t="str">
            <v>M10016</v>
          </cell>
          <cell r="D205" t="str">
            <v>Net 60, no pink card</v>
          </cell>
          <cell r="E205">
            <v>60</v>
          </cell>
          <cell r="F205" t="str">
            <v>Yes</v>
          </cell>
          <cell r="G205" t="str">
            <v>GA</v>
          </cell>
          <cell r="H205">
            <v>5</v>
          </cell>
          <cell r="I205">
            <v>0.66500000000000004</v>
          </cell>
          <cell r="J205" t="str">
            <v>Dakota Nation</v>
          </cell>
          <cell r="K205" t="str">
            <v>MIDDLEBURG</v>
          </cell>
          <cell r="L205" t="str">
            <v>FL</v>
          </cell>
          <cell r="M205" t="str">
            <v>800-577-8858</v>
          </cell>
          <cell r="N205" t="str">
            <v>Freight Terms same as account, email invoices</v>
          </cell>
          <cell r="O205">
            <v>916</v>
          </cell>
          <cell r="P205">
            <v>3938.7999999999997</v>
          </cell>
          <cell r="Q205">
            <v>211</v>
          </cell>
          <cell r="R205">
            <v>907.3</v>
          </cell>
          <cell r="S205"/>
          <cell r="T205">
            <v>0</v>
          </cell>
          <cell r="U205">
            <v>1079</v>
          </cell>
          <cell r="V205">
            <v>4639.7</v>
          </cell>
          <cell r="W205">
            <v>955</v>
          </cell>
          <cell r="X205">
            <v>4106.5</v>
          </cell>
          <cell r="Y205"/>
          <cell r="Z205">
            <v>0</v>
          </cell>
          <cell r="AA205"/>
          <cell r="AB205">
            <v>0</v>
          </cell>
          <cell r="AC205"/>
          <cell r="AD205">
            <v>0</v>
          </cell>
          <cell r="AE205"/>
          <cell r="AF205"/>
          <cell r="AG205"/>
          <cell r="AH205"/>
          <cell r="AI205"/>
          <cell r="AJ205">
            <v>0</v>
          </cell>
          <cell r="AK205" t="str">
            <v>3P</v>
          </cell>
          <cell r="AL205">
            <v>223</v>
          </cell>
          <cell r="AM205">
            <v>212</v>
          </cell>
          <cell r="AN205" t="str">
            <v>01 Existing Dealer</v>
          </cell>
          <cell r="AO205" t="str">
            <v>Southeast</v>
          </cell>
          <cell r="AP205" t="str">
            <v>South</v>
          </cell>
          <cell r="AQ205"/>
          <cell r="AR205">
            <v>0</v>
          </cell>
          <cell r="AS205">
            <v>0</v>
          </cell>
        </row>
        <row r="206">
          <cell r="A206" t="str">
            <v>12619D</v>
          </cell>
          <cell r="B206" t="str">
            <v>AG PRO</v>
          </cell>
          <cell r="C206" t="str">
            <v>M10016</v>
          </cell>
          <cell r="D206" t="str">
            <v>Net 60, no pink card</v>
          </cell>
          <cell r="E206">
            <v>60</v>
          </cell>
          <cell r="F206" t="str">
            <v>Yes</v>
          </cell>
          <cell r="G206" t="str">
            <v>GA</v>
          </cell>
          <cell r="H206">
            <v>5</v>
          </cell>
          <cell r="I206">
            <v>0.66500000000000004</v>
          </cell>
          <cell r="J206" t="str">
            <v>Dakota Nation</v>
          </cell>
          <cell r="K206" t="str">
            <v>HASTINGS</v>
          </cell>
          <cell r="L206" t="str">
            <v>FL</v>
          </cell>
          <cell r="M206" t="str">
            <v>800-577-8858</v>
          </cell>
          <cell r="N206" t="str">
            <v>Freight Terms same as account, email invoices</v>
          </cell>
          <cell r="O206">
            <v>962</v>
          </cell>
          <cell r="P206">
            <v>4136.5999999999995</v>
          </cell>
          <cell r="Q206">
            <v>257</v>
          </cell>
          <cell r="R206">
            <v>1105.0999999999999</v>
          </cell>
          <cell r="S206"/>
          <cell r="T206">
            <v>0</v>
          </cell>
          <cell r="U206">
            <v>1125</v>
          </cell>
          <cell r="V206">
            <v>4837.5</v>
          </cell>
          <cell r="W206">
            <v>1001</v>
          </cell>
          <cell r="X206">
            <v>4304.3</v>
          </cell>
          <cell r="Y206"/>
          <cell r="Z206">
            <v>0</v>
          </cell>
          <cell r="AA206"/>
          <cell r="AB206">
            <v>0</v>
          </cell>
          <cell r="AC206"/>
          <cell r="AD206">
            <v>0</v>
          </cell>
          <cell r="AE206"/>
          <cell r="AF206"/>
          <cell r="AG206"/>
          <cell r="AH206"/>
          <cell r="AI206"/>
          <cell r="AJ206">
            <v>0</v>
          </cell>
          <cell r="AK206" t="str">
            <v>3P</v>
          </cell>
          <cell r="AL206">
            <v>223</v>
          </cell>
          <cell r="AM206">
            <v>212</v>
          </cell>
          <cell r="AN206" t="str">
            <v>01 Existing Dealer</v>
          </cell>
          <cell r="AO206" t="str">
            <v>Southeast</v>
          </cell>
          <cell r="AP206" t="str">
            <v>South</v>
          </cell>
          <cell r="AQ206"/>
          <cell r="AR206">
            <v>0</v>
          </cell>
          <cell r="AS206">
            <v>0</v>
          </cell>
        </row>
        <row r="207">
          <cell r="A207" t="str">
            <v>12619F</v>
          </cell>
          <cell r="B207" t="str">
            <v>AG PRO</v>
          </cell>
          <cell r="C207" t="str">
            <v>M10016</v>
          </cell>
          <cell r="D207" t="str">
            <v>Net 60, no pink card</v>
          </cell>
          <cell r="E207">
            <v>60</v>
          </cell>
          <cell r="F207" t="str">
            <v>Yes</v>
          </cell>
          <cell r="G207" t="str">
            <v>GA</v>
          </cell>
          <cell r="H207">
            <v>5</v>
          </cell>
          <cell r="I207">
            <v>0.66500000000000004</v>
          </cell>
          <cell r="J207" t="str">
            <v>Dakota Nation</v>
          </cell>
          <cell r="K207" t="str">
            <v>OCALA, FL</v>
          </cell>
          <cell r="L207" t="str">
            <v>FL</v>
          </cell>
          <cell r="M207" t="str">
            <v>800-577-8858</v>
          </cell>
          <cell r="N207" t="str">
            <v>Freight Terms same as account, email invoices</v>
          </cell>
          <cell r="O207">
            <v>923</v>
          </cell>
          <cell r="P207">
            <v>3968.8999999999996</v>
          </cell>
          <cell r="Q207">
            <v>218</v>
          </cell>
          <cell r="R207">
            <v>937.4</v>
          </cell>
          <cell r="S207"/>
          <cell r="T207">
            <v>0</v>
          </cell>
          <cell r="U207">
            <v>1086</v>
          </cell>
          <cell r="V207">
            <v>4669.8</v>
          </cell>
          <cell r="W207">
            <v>962</v>
          </cell>
          <cell r="X207">
            <v>4136.5999999999995</v>
          </cell>
          <cell r="Y207"/>
          <cell r="Z207">
            <v>0</v>
          </cell>
          <cell r="AA207"/>
          <cell r="AB207">
            <v>0</v>
          </cell>
          <cell r="AC207"/>
          <cell r="AD207">
            <v>0</v>
          </cell>
          <cell r="AE207"/>
          <cell r="AF207"/>
          <cell r="AG207"/>
          <cell r="AH207"/>
          <cell r="AI207"/>
          <cell r="AJ207">
            <v>0</v>
          </cell>
          <cell r="AK207" t="str">
            <v>3P</v>
          </cell>
          <cell r="AL207">
            <v>223</v>
          </cell>
          <cell r="AM207">
            <v>326</v>
          </cell>
          <cell r="AN207" t="str">
            <v>01 Existing Dealer</v>
          </cell>
          <cell r="AO207" t="str">
            <v>Southeast</v>
          </cell>
          <cell r="AP207" t="str">
            <v>South</v>
          </cell>
          <cell r="AQ207"/>
          <cell r="AR207">
            <v>0</v>
          </cell>
          <cell r="AS207">
            <v>0</v>
          </cell>
        </row>
        <row r="208">
          <cell r="A208" t="str">
            <v>12619K</v>
          </cell>
          <cell r="B208" t="str">
            <v>AG PRO</v>
          </cell>
          <cell r="C208" t="str">
            <v>M10016</v>
          </cell>
          <cell r="D208" t="str">
            <v>Net 60, no pink card</v>
          </cell>
          <cell r="E208">
            <v>60</v>
          </cell>
          <cell r="F208" t="str">
            <v>Yes</v>
          </cell>
          <cell r="G208" t="str">
            <v>GA</v>
          </cell>
          <cell r="H208">
            <v>5</v>
          </cell>
          <cell r="I208">
            <v>0.66500000000000004</v>
          </cell>
          <cell r="J208" t="str">
            <v>Dakota Nation</v>
          </cell>
          <cell r="K208" t="str">
            <v>ST. AUGUSTINE</v>
          </cell>
          <cell r="L208" t="str">
            <v>FL</v>
          </cell>
          <cell r="M208" t="str">
            <v>800-577-8858</v>
          </cell>
          <cell r="N208" t="str">
            <v>Freight Terms same as account, email invoices</v>
          </cell>
          <cell r="O208"/>
          <cell r="P208">
            <v>0</v>
          </cell>
          <cell r="Q208">
            <v>247</v>
          </cell>
          <cell r="R208">
            <v>1062.0999999999999</v>
          </cell>
          <cell r="S208"/>
          <cell r="T208">
            <v>0</v>
          </cell>
          <cell r="U208"/>
          <cell r="V208">
            <v>0</v>
          </cell>
          <cell r="W208"/>
          <cell r="X208">
            <v>0</v>
          </cell>
          <cell r="Y208"/>
          <cell r="Z208">
            <v>0</v>
          </cell>
          <cell r="AA208"/>
          <cell r="AB208">
            <v>0</v>
          </cell>
          <cell r="AC208"/>
          <cell r="AD208">
            <v>0</v>
          </cell>
          <cell r="AE208"/>
          <cell r="AF208"/>
          <cell r="AG208"/>
          <cell r="AH208"/>
          <cell r="AI208"/>
          <cell r="AJ208">
            <v>0</v>
          </cell>
          <cell r="AK208" t="str">
            <v>3P</v>
          </cell>
          <cell r="AL208">
            <v>223</v>
          </cell>
          <cell r="AM208">
            <v>212</v>
          </cell>
          <cell r="AN208" t="str">
            <v>01 Existing Dealer</v>
          </cell>
          <cell r="AO208" t="str">
            <v>Southeast</v>
          </cell>
          <cell r="AP208" t="str">
            <v>South</v>
          </cell>
          <cell r="AQ208"/>
          <cell r="AR208">
            <v>0</v>
          </cell>
          <cell r="AS208">
            <v>0</v>
          </cell>
        </row>
        <row r="209">
          <cell r="A209" t="str">
            <v>12619P</v>
          </cell>
          <cell r="B209" t="str">
            <v>AG PRO</v>
          </cell>
          <cell r="C209" t="str">
            <v>M10016</v>
          </cell>
          <cell r="D209" t="str">
            <v>Net 60, no pink card</v>
          </cell>
          <cell r="E209">
            <v>60</v>
          </cell>
          <cell r="F209" t="str">
            <v>Yes</v>
          </cell>
          <cell r="G209" t="str">
            <v>GA</v>
          </cell>
          <cell r="H209">
            <v>5</v>
          </cell>
          <cell r="I209">
            <v>0.66500000000000004</v>
          </cell>
          <cell r="J209" t="str">
            <v>Dakota Nation</v>
          </cell>
          <cell r="K209" t="str">
            <v>JACKSONVILLE</v>
          </cell>
          <cell r="L209" t="str">
            <v>FL</v>
          </cell>
          <cell r="M209" t="str">
            <v>800-577-8858</v>
          </cell>
          <cell r="N209" t="str">
            <v>Freight Terms same as account, email invoices</v>
          </cell>
          <cell r="O209"/>
          <cell r="P209">
            <v>0</v>
          </cell>
          <cell r="Q209">
            <v>215</v>
          </cell>
          <cell r="R209">
            <v>924.5</v>
          </cell>
          <cell r="S209"/>
          <cell r="T209">
            <v>0</v>
          </cell>
          <cell r="U209"/>
          <cell r="V209">
            <v>0</v>
          </cell>
          <cell r="W209"/>
          <cell r="X209">
            <v>0</v>
          </cell>
          <cell r="Y209"/>
          <cell r="Z209">
            <v>0</v>
          </cell>
          <cell r="AA209"/>
          <cell r="AB209">
            <v>0</v>
          </cell>
          <cell r="AC209"/>
          <cell r="AD209">
            <v>0</v>
          </cell>
          <cell r="AE209"/>
          <cell r="AF209"/>
          <cell r="AG209"/>
          <cell r="AH209"/>
          <cell r="AI209"/>
          <cell r="AJ209">
            <v>0</v>
          </cell>
          <cell r="AK209" t="str">
            <v>3P</v>
          </cell>
          <cell r="AL209">
            <v>223</v>
          </cell>
          <cell r="AM209">
            <v>212</v>
          </cell>
          <cell r="AN209" t="str">
            <v>01 Existing Dealer</v>
          </cell>
          <cell r="AO209" t="str">
            <v>Southeast</v>
          </cell>
          <cell r="AP209" t="str">
            <v>South</v>
          </cell>
          <cell r="AQ209"/>
          <cell r="AR209">
            <v>0</v>
          </cell>
          <cell r="AS209">
            <v>0</v>
          </cell>
        </row>
        <row r="210">
          <cell r="A210" t="str">
            <v>12619Q</v>
          </cell>
          <cell r="B210" t="str">
            <v>AG PRO</v>
          </cell>
          <cell r="C210" t="str">
            <v>M10016</v>
          </cell>
          <cell r="D210" t="str">
            <v>Net 60, no pink card</v>
          </cell>
          <cell r="E210">
            <v>60</v>
          </cell>
          <cell r="F210" t="str">
            <v>Yes</v>
          </cell>
          <cell r="G210" t="str">
            <v>GA</v>
          </cell>
          <cell r="H210">
            <v>5</v>
          </cell>
          <cell r="I210">
            <v>0.66500000000000004</v>
          </cell>
          <cell r="J210" t="str">
            <v>Dakota Nation</v>
          </cell>
          <cell r="K210" t="str">
            <v>CHIEFLAND</v>
          </cell>
          <cell r="L210" t="str">
            <v>FL</v>
          </cell>
          <cell r="M210" t="str">
            <v>800-577-8858</v>
          </cell>
          <cell r="N210" t="str">
            <v>Freight Terms same as account, email invoices</v>
          </cell>
          <cell r="O210"/>
          <cell r="P210">
            <v>0</v>
          </cell>
          <cell r="Q210">
            <v>197</v>
          </cell>
          <cell r="R210">
            <v>847.09999999999991</v>
          </cell>
          <cell r="S210"/>
          <cell r="T210">
            <v>0</v>
          </cell>
          <cell r="U210"/>
          <cell r="V210">
            <v>0</v>
          </cell>
          <cell r="W210"/>
          <cell r="X210">
            <v>0</v>
          </cell>
          <cell r="Y210"/>
          <cell r="Z210">
            <v>0</v>
          </cell>
          <cell r="AA210"/>
          <cell r="AB210">
            <v>0</v>
          </cell>
          <cell r="AC210"/>
          <cell r="AD210">
            <v>0</v>
          </cell>
          <cell r="AE210"/>
          <cell r="AF210"/>
          <cell r="AG210"/>
          <cell r="AH210"/>
          <cell r="AI210"/>
          <cell r="AJ210">
            <v>0</v>
          </cell>
          <cell r="AK210" t="str">
            <v>3P</v>
          </cell>
          <cell r="AL210">
            <v>223</v>
          </cell>
          <cell r="AM210">
            <v>159</v>
          </cell>
          <cell r="AN210" t="str">
            <v>01 Existing Dealer</v>
          </cell>
          <cell r="AO210" t="str">
            <v>Southeast</v>
          </cell>
          <cell r="AP210" t="str">
            <v>South</v>
          </cell>
          <cell r="AQ210"/>
          <cell r="AR210">
            <v>0</v>
          </cell>
          <cell r="AS210">
            <v>0</v>
          </cell>
        </row>
        <row r="211">
          <cell r="A211" t="str">
            <v>12619S</v>
          </cell>
          <cell r="B211" t="str">
            <v>AG PRO</v>
          </cell>
          <cell r="C211" t="str">
            <v>M10016</v>
          </cell>
          <cell r="D211" t="str">
            <v>Net 60, no pink card</v>
          </cell>
          <cell r="E211">
            <v>60</v>
          </cell>
          <cell r="F211" t="str">
            <v>Yes</v>
          </cell>
          <cell r="G211" t="str">
            <v>GA</v>
          </cell>
          <cell r="H211">
            <v>5</v>
          </cell>
          <cell r="I211">
            <v>0.66500000000000004</v>
          </cell>
          <cell r="J211" t="str">
            <v>Dakota Nation</v>
          </cell>
          <cell r="K211" t="str">
            <v>LAKE CITY</v>
          </cell>
          <cell r="L211" t="str">
            <v>FL</v>
          </cell>
          <cell r="M211" t="str">
            <v>800-577-8858</v>
          </cell>
          <cell r="N211" t="str">
            <v>Freight Terms same as account, email invoices</v>
          </cell>
          <cell r="O211"/>
          <cell r="P211">
            <v>0</v>
          </cell>
          <cell r="Q211">
            <v>148</v>
          </cell>
          <cell r="R211">
            <v>636.4</v>
          </cell>
          <cell r="S211"/>
          <cell r="T211">
            <v>0</v>
          </cell>
          <cell r="U211"/>
          <cell r="V211">
            <v>0</v>
          </cell>
          <cell r="W211"/>
          <cell r="X211">
            <v>0</v>
          </cell>
          <cell r="Y211"/>
          <cell r="Z211">
            <v>0</v>
          </cell>
          <cell r="AA211"/>
          <cell r="AB211">
            <v>0</v>
          </cell>
          <cell r="AC211"/>
          <cell r="AD211">
            <v>0</v>
          </cell>
          <cell r="AE211"/>
          <cell r="AF211"/>
          <cell r="AG211"/>
          <cell r="AH211"/>
          <cell r="AI211"/>
          <cell r="AJ211">
            <v>0</v>
          </cell>
          <cell r="AK211" t="str">
            <v>3P</v>
          </cell>
          <cell r="AL211">
            <v>223</v>
          </cell>
          <cell r="AM211">
            <v>212</v>
          </cell>
          <cell r="AN211" t="str">
            <v>01 Existing Dealer</v>
          </cell>
          <cell r="AO211" t="str">
            <v>Southeast</v>
          </cell>
          <cell r="AP211" t="str">
            <v>South</v>
          </cell>
          <cell r="AQ211"/>
          <cell r="AR211">
            <v>0</v>
          </cell>
          <cell r="AS211">
            <v>0</v>
          </cell>
        </row>
        <row r="212">
          <cell r="A212" t="str">
            <v>12619T</v>
          </cell>
          <cell r="B212" t="str">
            <v>AG PRO</v>
          </cell>
          <cell r="C212" t="str">
            <v>M10016</v>
          </cell>
          <cell r="D212" t="str">
            <v>Net 60, no pink card</v>
          </cell>
          <cell r="E212">
            <v>60</v>
          </cell>
          <cell r="F212" t="str">
            <v>Yes</v>
          </cell>
          <cell r="G212" t="str">
            <v>GA</v>
          </cell>
          <cell r="H212">
            <v>5</v>
          </cell>
          <cell r="I212">
            <v>0.66500000000000004</v>
          </cell>
          <cell r="J212" t="str">
            <v>Dakota Nation</v>
          </cell>
          <cell r="K212" t="str">
            <v>CRYSTAL RIVER</v>
          </cell>
          <cell r="L212" t="str">
            <v>FL</v>
          </cell>
          <cell r="M212" t="str">
            <v>800-577-8858</v>
          </cell>
          <cell r="N212" t="str">
            <v>Freight Terms same as account, email invoices</v>
          </cell>
          <cell r="O212"/>
          <cell r="P212">
            <v>0</v>
          </cell>
          <cell r="Q212">
            <v>249</v>
          </cell>
          <cell r="R212">
            <v>1070.7</v>
          </cell>
          <cell r="S212"/>
          <cell r="T212">
            <v>0</v>
          </cell>
          <cell r="U212"/>
          <cell r="V212">
            <v>0</v>
          </cell>
          <cell r="W212"/>
          <cell r="X212">
            <v>0</v>
          </cell>
          <cell r="Y212"/>
          <cell r="Z212">
            <v>0</v>
          </cell>
          <cell r="AA212"/>
          <cell r="AB212">
            <v>0</v>
          </cell>
          <cell r="AC212"/>
          <cell r="AD212">
            <v>0</v>
          </cell>
          <cell r="AE212"/>
          <cell r="AF212"/>
          <cell r="AG212"/>
          <cell r="AH212"/>
          <cell r="AI212"/>
          <cell r="AJ212">
            <v>0</v>
          </cell>
          <cell r="AK212" t="str">
            <v>3P</v>
          </cell>
          <cell r="AL212">
            <v>223</v>
          </cell>
          <cell r="AM212">
            <v>440</v>
          </cell>
          <cell r="AN212" t="str">
            <v>01 Existing Dealer</v>
          </cell>
          <cell r="AO212" t="str">
            <v>Southeast</v>
          </cell>
          <cell r="AP212" t="str">
            <v>South</v>
          </cell>
          <cell r="AQ212"/>
          <cell r="AR212">
            <v>0</v>
          </cell>
          <cell r="AS212">
            <v>0</v>
          </cell>
        </row>
        <row r="213">
          <cell r="A213" t="str">
            <v>12619U</v>
          </cell>
          <cell r="B213" t="str">
            <v>AG PRO</v>
          </cell>
          <cell r="C213" t="str">
            <v>M10016</v>
          </cell>
          <cell r="D213" t="str">
            <v>Net 60, no pink card</v>
          </cell>
          <cell r="E213">
            <v>60</v>
          </cell>
          <cell r="F213" t="str">
            <v>Yes</v>
          </cell>
          <cell r="G213" t="str">
            <v>GA</v>
          </cell>
          <cell r="H213">
            <v>5</v>
          </cell>
          <cell r="I213">
            <v>0.66500000000000004</v>
          </cell>
          <cell r="J213" t="str">
            <v>Dakota Nation</v>
          </cell>
          <cell r="K213" t="str">
            <v>LIVE OAK</v>
          </cell>
          <cell r="L213" t="str">
            <v>FL</v>
          </cell>
          <cell r="M213" t="str">
            <v>800-577-8858</v>
          </cell>
          <cell r="N213" t="str">
            <v>Freight Terms same as account, email invoices</v>
          </cell>
          <cell r="O213">
            <v>835</v>
          </cell>
          <cell r="P213">
            <v>3590.5</v>
          </cell>
          <cell r="Q213">
            <v>134</v>
          </cell>
          <cell r="R213">
            <v>576.19999999999993</v>
          </cell>
          <cell r="S213"/>
          <cell r="T213">
            <v>0</v>
          </cell>
          <cell r="U213">
            <v>1001</v>
          </cell>
          <cell r="V213">
            <v>4304.3</v>
          </cell>
          <cell r="W213">
            <v>870</v>
          </cell>
          <cell r="X213">
            <v>3741</v>
          </cell>
          <cell r="Y213">
            <v>755</v>
          </cell>
          <cell r="Z213">
            <v>3246.5</v>
          </cell>
          <cell r="AA213">
            <v>755</v>
          </cell>
          <cell r="AB213">
            <v>3246.5</v>
          </cell>
          <cell r="AC213">
            <v>755</v>
          </cell>
          <cell r="AD213">
            <v>3246.5</v>
          </cell>
          <cell r="AE213"/>
          <cell r="AF213"/>
          <cell r="AG213"/>
          <cell r="AH213"/>
          <cell r="AI213"/>
          <cell r="AJ213">
            <v>0</v>
          </cell>
          <cell r="AK213" t="str">
            <v>3P</v>
          </cell>
          <cell r="AL213">
            <v>223</v>
          </cell>
          <cell r="AM213">
            <v>212</v>
          </cell>
          <cell r="AN213" t="str">
            <v>01 Existing Dealer</v>
          </cell>
          <cell r="AO213" t="str">
            <v>Southeast</v>
          </cell>
          <cell r="AP213" t="str">
            <v>South</v>
          </cell>
          <cell r="AQ213"/>
          <cell r="AR213">
            <v>0</v>
          </cell>
          <cell r="AS213">
            <v>0</v>
          </cell>
        </row>
        <row r="214">
          <cell r="A214">
            <v>12256</v>
          </cell>
          <cell r="B214" t="str">
            <v>ALL AMERICAN</v>
          </cell>
          <cell r="C214" t="str">
            <v>M10020</v>
          </cell>
          <cell r="D214">
            <v>30</v>
          </cell>
          <cell r="E214" t="str">
            <v>RM</v>
          </cell>
          <cell r="F214" t="str">
            <v>Yes</v>
          </cell>
          <cell r="G214" t="str">
            <v>GA</v>
          </cell>
          <cell r="H214">
            <v>7</v>
          </cell>
          <cell r="I214">
            <v>0.66500000000000004</v>
          </cell>
          <cell r="J214" t="str">
            <v>Lane Davis</v>
          </cell>
          <cell r="K214" t="str">
            <v>PALM SPRINGS</v>
          </cell>
          <cell r="L214" t="str">
            <v>FL</v>
          </cell>
          <cell r="M214" t="str">
            <v>800-577-8858</v>
          </cell>
          <cell r="N214" t="str">
            <v>Fedex to Suite E-404 1601 Belvedere Road, East Tower West Palm Beach, FL 33406</v>
          </cell>
          <cell r="O214">
            <v>1168</v>
          </cell>
          <cell r="P214">
            <v>5022.3999999999996</v>
          </cell>
          <cell r="Q214">
            <v>466</v>
          </cell>
          <cell r="R214">
            <v>2003.8</v>
          </cell>
          <cell r="S214"/>
          <cell r="T214">
            <v>0</v>
          </cell>
          <cell r="U214">
            <v>1359</v>
          </cell>
          <cell r="V214">
            <v>5843.7</v>
          </cell>
          <cell r="W214">
            <v>1205</v>
          </cell>
          <cell r="X214">
            <v>5181.5</v>
          </cell>
          <cell r="Y214">
            <v>1081</v>
          </cell>
          <cell r="Z214">
            <v>4648.3</v>
          </cell>
          <cell r="AA214">
            <v>1081</v>
          </cell>
          <cell r="AB214">
            <v>4648.3</v>
          </cell>
          <cell r="AC214">
            <v>1081</v>
          </cell>
          <cell r="AD214">
            <v>4648.3</v>
          </cell>
          <cell r="AE214"/>
          <cell r="AF214"/>
          <cell r="AG214"/>
          <cell r="AH214"/>
          <cell r="AI214"/>
          <cell r="AJ214">
            <v>7.0000000000000007E-2</v>
          </cell>
          <cell r="AK214" t="str">
            <v>3P</v>
          </cell>
          <cell r="AL214">
            <v>275</v>
          </cell>
          <cell r="AM214">
            <v>469</v>
          </cell>
          <cell r="AN214" t="str">
            <v>01 Existing Dealer</v>
          </cell>
          <cell r="AO214" t="str">
            <v>Southeast</v>
          </cell>
          <cell r="AP214" t="str">
            <v>South</v>
          </cell>
          <cell r="AQ214"/>
          <cell r="AR214">
            <v>0</v>
          </cell>
          <cell r="AS214">
            <v>0</v>
          </cell>
        </row>
        <row r="215">
          <cell r="A215" t="str">
            <v>12256A</v>
          </cell>
          <cell r="B215" t="str">
            <v>ALL AMERICAN</v>
          </cell>
          <cell r="C215" t="str">
            <v>M10020</v>
          </cell>
          <cell r="D215">
            <v>30</v>
          </cell>
          <cell r="E215" t="str">
            <v>RM</v>
          </cell>
          <cell r="F215" t="str">
            <v>Yes</v>
          </cell>
          <cell r="G215" t="str">
            <v>GA</v>
          </cell>
          <cell r="H215">
            <v>7</v>
          </cell>
          <cell r="I215">
            <v>0.66500000000000004</v>
          </cell>
          <cell r="J215" t="str">
            <v>Lane Davis</v>
          </cell>
          <cell r="K215" t="str">
            <v>FORT PIERCE</v>
          </cell>
          <cell r="L215" t="str">
            <v>FL</v>
          </cell>
          <cell r="M215" t="str">
            <v>800-577-8858</v>
          </cell>
          <cell r="N215" t="str">
            <v>Fedex to Suite E-404 1601 Belvedere Road, East Tower West Palm Beach, FL 33406</v>
          </cell>
          <cell r="O215">
            <v>1106</v>
          </cell>
          <cell r="P215">
            <v>4755.8</v>
          </cell>
          <cell r="Q215">
            <v>404</v>
          </cell>
          <cell r="R215">
            <v>1737.1999999999998</v>
          </cell>
          <cell r="S215"/>
          <cell r="T215">
            <v>0</v>
          </cell>
          <cell r="U215">
            <v>1298</v>
          </cell>
          <cell r="V215">
            <v>5581.4</v>
          </cell>
          <cell r="W215">
            <v>1143</v>
          </cell>
          <cell r="X215">
            <v>4914.8999999999996</v>
          </cell>
          <cell r="Y215"/>
          <cell r="Z215">
            <v>0</v>
          </cell>
          <cell r="AA215"/>
          <cell r="AB215">
            <v>0</v>
          </cell>
          <cell r="AC215"/>
          <cell r="AD215">
            <v>0</v>
          </cell>
          <cell r="AE215"/>
          <cell r="AF215"/>
          <cell r="AG215"/>
          <cell r="AH215"/>
          <cell r="AI215"/>
          <cell r="AJ215">
            <v>7.0000000000000007E-2</v>
          </cell>
          <cell r="AK215" t="str">
            <v>3P</v>
          </cell>
          <cell r="AL215">
            <v>275</v>
          </cell>
          <cell r="AM215">
            <v>152</v>
          </cell>
          <cell r="AN215" t="str">
            <v>01 Existing Dealer</v>
          </cell>
          <cell r="AO215" t="str">
            <v>Southeast</v>
          </cell>
          <cell r="AP215" t="str">
            <v>South</v>
          </cell>
          <cell r="AQ215"/>
          <cell r="AR215">
            <v>0</v>
          </cell>
          <cell r="AS215">
            <v>0</v>
          </cell>
        </row>
        <row r="216">
          <cell r="A216" t="str">
            <v>12256C</v>
          </cell>
          <cell r="B216" t="str">
            <v>ALL AMERICAN</v>
          </cell>
          <cell r="C216" t="str">
            <v>M10020</v>
          </cell>
          <cell r="D216">
            <v>30</v>
          </cell>
          <cell r="E216" t="str">
            <v>RM</v>
          </cell>
          <cell r="F216" t="str">
            <v>Yes</v>
          </cell>
          <cell r="G216" t="str">
            <v>GA</v>
          </cell>
          <cell r="H216">
            <v>7</v>
          </cell>
          <cell r="I216">
            <v>0.66500000000000004</v>
          </cell>
          <cell r="J216" t="str">
            <v>Lane Davis</v>
          </cell>
          <cell r="K216" t="str">
            <v>LANTANA</v>
          </cell>
          <cell r="L216" t="str">
            <v>FL</v>
          </cell>
          <cell r="M216" t="str">
            <v>800-577-8858</v>
          </cell>
          <cell r="N216" t="str">
            <v>Fedex to Suite E-404 1601 Belvedere Road, East Tower West Palm Beach, FL 33406</v>
          </cell>
          <cell r="O216">
            <v>1170</v>
          </cell>
          <cell r="P216">
            <v>5031</v>
          </cell>
          <cell r="Q216">
            <v>465</v>
          </cell>
          <cell r="R216">
            <v>1999.5</v>
          </cell>
          <cell r="S216"/>
          <cell r="T216">
            <v>0</v>
          </cell>
          <cell r="U216">
            <v>1333</v>
          </cell>
          <cell r="V216">
            <v>5731.9</v>
          </cell>
          <cell r="W216">
            <v>1209</v>
          </cell>
          <cell r="X216">
            <v>5198.7</v>
          </cell>
          <cell r="Y216"/>
          <cell r="Z216">
            <v>0</v>
          </cell>
          <cell r="AA216"/>
          <cell r="AB216">
            <v>0</v>
          </cell>
          <cell r="AC216"/>
          <cell r="AD216">
            <v>0</v>
          </cell>
          <cell r="AE216"/>
          <cell r="AF216"/>
          <cell r="AG216"/>
          <cell r="AH216"/>
          <cell r="AI216"/>
          <cell r="AJ216">
            <v>7.0000000000000007E-2</v>
          </cell>
          <cell r="AK216" t="str">
            <v>3P</v>
          </cell>
          <cell r="AL216">
            <v>275</v>
          </cell>
          <cell r="AM216">
            <v>469</v>
          </cell>
          <cell r="AN216" t="str">
            <v>01 Existing Dealer</v>
          </cell>
          <cell r="AO216" t="str">
            <v>Southeast</v>
          </cell>
          <cell r="AP216" t="str">
            <v>South</v>
          </cell>
          <cell r="AQ216"/>
          <cell r="AR216">
            <v>0</v>
          </cell>
          <cell r="AS216">
            <v>0</v>
          </cell>
        </row>
        <row r="217">
          <cell r="A217">
            <v>12534</v>
          </cell>
          <cell r="B217" t="str">
            <v>ALL AMERICAN</v>
          </cell>
          <cell r="C217" t="str">
            <v>M10020</v>
          </cell>
          <cell r="D217">
            <v>30</v>
          </cell>
          <cell r="E217" t="str">
            <v>F5 - Northpoint</v>
          </cell>
          <cell r="F217" t="str">
            <v>Yes</v>
          </cell>
          <cell r="G217" t="str">
            <v>GA</v>
          </cell>
          <cell r="H217">
            <v>8</v>
          </cell>
          <cell r="I217">
            <v>0.66500000000000004</v>
          </cell>
          <cell r="J217" t="str">
            <v>Lane Davis</v>
          </cell>
          <cell r="K217" t="str">
            <v>PALM SPRINGS</v>
          </cell>
          <cell r="L217" t="str">
            <v>FL</v>
          </cell>
          <cell r="M217" t="str">
            <v>800-577-8858</v>
          </cell>
          <cell r="N217" t="str">
            <v>Fedex to Suite E-404 1601 Belvedere Road, East Tower West Palm Beach, FL 33406</v>
          </cell>
          <cell r="O217">
            <v>1168</v>
          </cell>
          <cell r="P217">
            <v>5022.3999999999996</v>
          </cell>
          <cell r="Q217">
            <v>466</v>
          </cell>
          <cell r="R217">
            <v>2003.8</v>
          </cell>
          <cell r="S217"/>
          <cell r="T217">
            <v>0</v>
          </cell>
          <cell r="U217">
            <v>1359</v>
          </cell>
          <cell r="V217">
            <v>5843.7</v>
          </cell>
          <cell r="W217">
            <v>1205</v>
          </cell>
          <cell r="X217">
            <v>5181.5</v>
          </cell>
          <cell r="Y217">
            <v>1081</v>
          </cell>
          <cell r="Z217">
            <v>4648.3</v>
          </cell>
          <cell r="AA217">
            <v>1081</v>
          </cell>
          <cell r="AB217">
            <v>4648.3</v>
          </cell>
          <cell r="AC217">
            <v>1081</v>
          </cell>
          <cell r="AD217">
            <v>4648.3</v>
          </cell>
          <cell r="AE217"/>
          <cell r="AF217"/>
          <cell r="AG217"/>
          <cell r="AH217"/>
          <cell r="AI217"/>
          <cell r="AJ217">
            <v>7.0000000000000007E-2</v>
          </cell>
          <cell r="AK217" t="str">
            <v>3P</v>
          </cell>
          <cell r="AL217">
            <v>275</v>
          </cell>
          <cell r="AM217">
            <v>469</v>
          </cell>
          <cell r="AN217" t="str">
            <v>01 Existing Dealer</v>
          </cell>
          <cell r="AO217" t="str">
            <v>Southeast</v>
          </cell>
          <cell r="AP217" t="str">
            <v>South</v>
          </cell>
          <cell r="AQ217"/>
          <cell r="AR217">
            <v>772419</v>
          </cell>
          <cell r="AS217">
            <v>466927</v>
          </cell>
        </row>
        <row r="218">
          <cell r="A218" t="str">
            <v>12534A</v>
          </cell>
          <cell r="B218" t="str">
            <v>ALL AMERICAN</v>
          </cell>
          <cell r="C218" t="str">
            <v>M10020</v>
          </cell>
          <cell r="D218">
            <v>30</v>
          </cell>
          <cell r="E218" t="str">
            <v>F5 - Northpoint</v>
          </cell>
          <cell r="F218" t="str">
            <v>Yes</v>
          </cell>
          <cell r="G218" t="str">
            <v>GA</v>
          </cell>
          <cell r="H218">
            <v>8</v>
          </cell>
          <cell r="I218">
            <v>0.66500000000000004</v>
          </cell>
          <cell r="J218" t="str">
            <v>Lane Davis</v>
          </cell>
          <cell r="K218" t="str">
            <v>FORT PIERCE</v>
          </cell>
          <cell r="L218" t="str">
            <v>FL</v>
          </cell>
          <cell r="M218" t="str">
            <v>800-577-8858</v>
          </cell>
          <cell r="N218" t="str">
            <v>Fedex to Suite E-404 1601 Belvedere Road, East Tower West Palm Beach, FL 33406</v>
          </cell>
          <cell r="O218">
            <v>1106</v>
          </cell>
          <cell r="P218">
            <v>4755.8</v>
          </cell>
          <cell r="Q218">
            <v>404</v>
          </cell>
          <cell r="R218">
            <v>1737.1999999999998</v>
          </cell>
          <cell r="S218"/>
          <cell r="T218">
            <v>0</v>
          </cell>
          <cell r="U218">
            <v>1298</v>
          </cell>
          <cell r="V218">
            <v>5581.4</v>
          </cell>
          <cell r="W218">
            <v>1143</v>
          </cell>
          <cell r="X218">
            <v>4914.8999999999996</v>
          </cell>
          <cell r="Y218"/>
          <cell r="Z218">
            <v>0</v>
          </cell>
          <cell r="AA218"/>
          <cell r="AB218">
            <v>0</v>
          </cell>
          <cell r="AC218"/>
          <cell r="AD218">
            <v>0</v>
          </cell>
          <cell r="AE218"/>
          <cell r="AF218"/>
          <cell r="AG218"/>
          <cell r="AH218"/>
          <cell r="AI218"/>
          <cell r="AJ218">
            <v>7.0000000000000007E-2</v>
          </cell>
          <cell r="AK218" t="str">
            <v>3P</v>
          </cell>
          <cell r="AL218">
            <v>275</v>
          </cell>
          <cell r="AM218">
            <v>152</v>
          </cell>
          <cell r="AN218" t="str">
            <v>01 Existing Dealer</v>
          </cell>
          <cell r="AO218" t="str">
            <v>Southeast</v>
          </cell>
          <cell r="AP218" t="str">
            <v>South</v>
          </cell>
          <cell r="AQ218"/>
          <cell r="AR218">
            <v>0</v>
          </cell>
          <cell r="AS218">
            <v>0</v>
          </cell>
        </row>
        <row r="219">
          <cell r="A219" t="str">
            <v>12534C</v>
          </cell>
          <cell r="B219" t="str">
            <v>ALL AMERICAN</v>
          </cell>
          <cell r="C219" t="str">
            <v>M10020</v>
          </cell>
          <cell r="D219">
            <v>30</v>
          </cell>
          <cell r="E219" t="str">
            <v>F5 - Northpoint</v>
          </cell>
          <cell r="F219" t="str">
            <v>Yes</v>
          </cell>
          <cell r="G219" t="str">
            <v>GA</v>
          </cell>
          <cell r="H219">
            <v>8</v>
          </cell>
          <cell r="I219">
            <v>0.66500000000000004</v>
          </cell>
          <cell r="J219" t="str">
            <v>Lane Davis</v>
          </cell>
          <cell r="K219" t="str">
            <v>LANTANA</v>
          </cell>
          <cell r="L219" t="str">
            <v>FL</v>
          </cell>
          <cell r="M219" t="str">
            <v>800-577-8858</v>
          </cell>
          <cell r="N219" t="str">
            <v>Fedex to Suite E-404 1601 Belvedere Road, East Tower West Palm Beach, FL 33406</v>
          </cell>
          <cell r="O219">
            <v>1170</v>
          </cell>
          <cell r="P219">
            <v>5031</v>
          </cell>
          <cell r="Q219">
            <v>465</v>
          </cell>
          <cell r="R219">
            <v>1999.5</v>
          </cell>
          <cell r="S219"/>
          <cell r="T219">
            <v>0</v>
          </cell>
          <cell r="U219">
            <v>1333</v>
          </cell>
          <cell r="V219">
            <v>5731.9</v>
          </cell>
          <cell r="W219">
            <v>1209</v>
          </cell>
          <cell r="X219">
            <v>5198.7</v>
          </cell>
          <cell r="Y219"/>
          <cell r="Z219">
            <v>0</v>
          </cell>
          <cell r="AA219"/>
          <cell r="AB219">
            <v>0</v>
          </cell>
          <cell r="AC219"/>
          <cell r="AD219">
            <v>0</v>
          </cell>
          <cell r="AE219"/>
          <cell r="AF219"/>
          <cell r="AG219"/>
          <cell r="AH219"/>
          <cell r="AI219"/>
          <cell r="AJ219">
            <v>7.0000000000000007E-2</v>
          </cell>
          <cell r="AK219" t="str">
            <v>3P</v>
          </cell>
          <cell r="AL219">
            <v>275</v>
          </cell>
          <cell r="AM219">
            <v>469</v>
          </cell>
          <cell r="AN219" t="str">
            <v>01 Existing Dealer</v>
          </cell>
          <cell r="AO219" t="str">
            <v>Southeast</v>
          </cell>
          <cell r="AP219" t="str">
            <v>South</v>
          </cell>
          <cell r="AQ219"/>
          <cell r="AR219">
            <v>0</v>
          </cell>
          <cell r="AS219">
            <v>0</v>
          </cell>
        </row>
        <row r="220">
          <cell r="A220" t="str">
            <v>12534D</v>
          </cell>
          <cell r="B220" t="str">
            <v>ALL AMERICAN</v>
          </cell>
          <cell r="C220" t="str">
            <v>M10020</v>
          </cell>
          <cell r="D220">
            <v>30</v>
          </cell>
          <cell r="E220" t="str">
            <v>F5 - Northpoint</v>
          </cell>
          <cell r="F220" t="str">
            <v>Yes</v>
          </cell>
          <cell r="G220" t="str">
            <v>GA</v>
          </cell>
          <cell r="H220">
            <v>8</v>
          </cell>
          <cell r="I220">
            <v>0.66500000000000004</v>
          </cell>
          <cell r="J220" t="str">
            <v>Lane Davis</v>
          </cell>
          <cell r="K220" t="str">
            <v>SEBRING</v>
          </cell>
          <cell r="L220" t="str">
            <v>FL</v>
          </cell>
          <cell r="M220" t="str">
            <v>800-577-8858</v>
          </cell>
          <cell r="N220" t="str">
            <v>Fedex to Suite E-404 1601 Belvedere Road, East Tower West Palm Beach, FL 33406</v>
          </cell>
          <cell r="O220">
            <v>1088</v>
          </cell>
          <cell r="P220">
            <v>4678.3999999999996</v>
          </cell>
          <cell r="Q220">
            <v>381</v>
          </cell>
          <cell r="R220">
            <v>1638.3</v>
          </cell>
          <cell r="S220"/>
          <cell r="T220">
            <v>0</v>
          </cell>
          <cell r="U220">
            <v>1252</v>
          </cell>
          <cell r="V220">
            <v>5383.5999999999995</v>
          </cell>
          <cell r="W220">
            <v>1125</v>
          </cell>
          <cell r="X220">
            <v>4837.5</v>
          </cell>
          <cell r="Y220">
            <v>1004</v>
          </cell>
          <cell r="Z220">
            <v>4317.2</v>
          </cell>
          <cell r="AA220">
            <v>1004</v>
          </cell>
          <cell r="AB220">
            <v>4317.2</v>
          </cell>
          <cell r="AC220">
            <v>1004</v>
          </cell>
          <cell r="AD220">
            <v>4317.2</v>
          </cell>
          <cell r="AE220"/>
          <cell r="AF220"/>
          <cell r="AG220"/>
          <cell r="AH220"/>
          <cell r="AI220"/>
          <cell r="AJ220">
            <v>7.0000000000000007E-2</v>
          </cell>
          <cell r="AK220" t="str">
            <v>3P</v>
          </cell>
          <cell r="AL220">
            <v>275</v>
          </cell>
          <cell r="AM220">
            <v>151</v>
          </cell>
          <cell r="AN220" t="str">
            <v>01 Existing Dealer</v>
          </cell>
          <cell r="AO220" t="str">
            <v>Southeast</v>
          </cell>
          <cell r="AP220" t="str">
            <v>South</v>
          </cell>
          <cell r="AQ220"/>
          <cell r="AR220">
            <v>0</v>
          </cell>
          <cell r="AS220">
            <v>0</v>
          </cell>
        </row>
        <row r="221">
          <cell r="A221" t="str">
            <v>12534E</v>
          </cell>
          <cell r="B221" t="str">
            <v>ALL AMERICAN</v>
          </cell>
          <cell r="C221" t="str">
            <v>M10020</v>
          </cell>
          <cell r="D221">
            <v>30</v>
          </cell>
          <cell r="E221" t="str">
            <v>F5 - Northpoint</v>
          </cell>
          <cell r="F221" t="str">
            <v>Yes</v>
          </cell>
          <cell r="G221" t="str">
            <v>GA</v>
          </cell>
          <cell r="H221">
            <v>8</v>
          </cell>
          <cell r="I221">
            <v>0.66500000000000004</v>
          </cell>
          <cell r="J221" t="str">
            <v>Lane Davis</v>
          </cell>
          <cell r="K221" t="str">
            <v>DADE CITY</v>
          </cell>
          <cell r="L221" t="str">
            <v>FL</v>
          </cell>
          <cell r="M221" t="str">
            <v>800-577-8858</v>
          </cell>
          <cell r="N221" t="str">
            <v>Fedex to Suite E-404 1601 Belvedere Road, East Tower West Palm Beach, FL 33406</v>
          </cell>
          <cell r="O221">
            <v>992</v>
          </cell>
          <cell r="P221">
            <v>4265.5999999999995</v>
          </cell>
          <cell r="Q221">
            <v>289</v>
          </cell>
          <cell r="R221">
            <v>1242.7</v>
          </cell>
          <cell r="S221"/>
          <cell r="T221">
            <v>0</v>
          </cell>
          <cell r="U221">
            <v>1150</v>
          </cell>
          <cell r="V221">
            <v>4945</v>
          </cell>
          <cell r="W221">
            <v>1030</v>
          </cell>
          <cell r="X221">
            <v>4429</v>
          </cell>
          <cell r="Y221">
            <v>912</v>
          </cell>
          <cell r="Z221">
            <v>3921.6</v>
          </cell>
          <cell r="AA221">
            <v>912</v>
          </cell>
          <cell r="AB221">
            <v>3921.6</v>
          </cell>
          <cell r="AC221">
            <v>912</v>
          </cell>
          <cell r="AD221">
            <v>3921.6</v>
          </cell>
          <cell r="AE221"/>
          <cell r="AF221"/>
          <cell r="AG221"/>
          <cell r="AH221"/>
          <cell r="AI221"/>
          <cell r="AJ221">
            <v>7.0000000000000007E-2</v>
          </cell>
          <cell r="AK221" t="str">
            <v>3P</v>
          </cell>
          <cell r="AL221">
            <v>275</v>
          </cell>
          <cell r="AM221">
            <v>440</v>
          </cell>
          <cell r="AN221" t="str">
            <v>01 Existing Dealer</v>
          </cell>
          <cell r="AO221" t="str">
            <v>Southeast</v>
          </cell>
          <cell r="AP221" t="str">
            <v>South</v>
          </cell>
          <cell r="AQ221"/>
          <cell r="AR221">
            <v>0</v>
          </cell>
          <cell r="AS221">
            <v>0</v>
          </cell>
        </row>
        <row r="222">
          <cell r="A222">
            <v>12471</v>
          </cell>
          <cell r="B222" t="str">
            <v>BARRY'S TRAILERS</v>
          </cell>
          <cell r="C222" t="str">
            <v>M10045</v>
          </cell>
          <cell r="D222" t="str">
            <v>NET 5, BT+</v>
          </cell>
          <cell r="E222" t="str">
            <v>C6</v>
          </cell>
          <cell r="F222" t="str">
            <v>Copies</v>
          </cell>
          <cell r="G222" t="str">
            <v>GA</v>
          </cell>
          <cell r="H222">
            <v>7</v>
          </cell>
          <cell r="I222">
            <v>0.66500000000000004</v>
          </cell>
          <cell r="J222" t="str">
            <v>Orphaned Acct</v>
          </cell>
          <cell r="K222" t="str">
            <v>SARASOTA</v>
          </cell>
          <cell r="L222" t="str">
            <v>FL</v>
          </cell>
          <cell r="M222" t="str">
            <v>800-577-8858</v>
          </cell>
          <cell r="N222"/>
          <cell r="O222">
            <v>1070</v>
          </cell>
          <cell r="P222">
            <v>4601</v>
          </cell>
          <cell r="Q222">
            <v>364</v>
          </cell>
          <cell r="R222">
            <v>1565.2</v>
          </cell>
          <cell r="S222"/>
          <cell r="T222">
            <v>0</v>
          </cell>
          <cell r="U222">
            <v>1233</v>
          </cell>
          <cell r="V222">
            <v>5301.9</v>
          </cell>
          <cell r="W222">
            <v>1109</v>
          </cell>
          <cell r="X222">
            <v>4768.7</v>
          </cell>
          <cell r="Y222"/>
          <cell r="Z222">
            <v>0</v>
          </cell>
          <cell r="AA222"/>
          <cell r="AB222">
            <v>0</v>
          </cell>
          <cell r="AC222"/>
          <cell r="AD222">
            <v>0</v>
          </cell>
          <cell r="AE222"/>
          <cell r="AF222"/>
          <cell r="AG222"/>
          <cell r="AH222"/>
          <cell r="AI222"/>
          <cell r="AJ222">
            <v>0</v>
          </cell>
          <cell r="AK222" t="str">
            <v>3P</v>
          </cell>
          <cell r="AL222">
            <v>213</v>
          </cell>
          <cell r="AM222">
            <v>408</v>
          </cell>
          <cell r="AN222" t="str">
            <v>01 Existing Dealer</v>
          </cell>
          <cell r="AO222" t="str">
            <v>Southeast</v>
          </cell>
          <cell r="AP222" t="str">
            <v>South</v>
          </cell>
          <cell r="AQ222"/>
          <cell r="AR222">
            <v>0</v>
          </cell>
          <cell r="AS222">
            <v>0</v>
          </cell>
        </row>
        <row r="223">
          <cell r="A223">
            <v>13364</v>
          </cell>
          <cell r="B223" t="str">
            <v>BARRY'S TRAILERS</v>
          </cell>
          <cell r="C223" t="str">
            <v>M10045</v>
          </cell>
          <cell r="D223" t="str">
            <v>NET 5, BT+</v>
          </cell>
          <cell r="E223" t="str">
            <v>CO</v>
          </cell>
          <cell r="F223" t="str">
            <v>Yes</v>
          </cell>
          <cell r="G223" t="str">
            <v>GA</v>
          </cell>
          <cell r="H223">
            <v>7</v>
          </cell>
          <cell r="I223">
            <v>0.66500000000000004</v>
          </cell>
          <cell r="J223" t="str">
            <v>Orphaned Acct</v>
          </cell>
          <cell r="K223" t="str">
            <v>SARASOTA</v>
          </cell>
          <cell r="L223" t="str">
            <v>FL</v>
          </cell>
          <cell r="M223" t="str">
            <v>800-577-8858</v>
          </cell>
          <cell r="N223"/>
          <cell r="O223">
            <v>1070</v>
          </cell>
          <cell r="P223">
            <v>4601</v>
          </cell>
          <cell r="Q223">
            <v>364</v>
          </cell>
          <cell r="R223">
            <v>1565.2</v>
          </cell>
          <cell r="S223"/>
          <cell r="T223">
            <v>0</v>
          </cell>
          <cell r="U223">
            <v>1233</v>
          </cell>
          <cell r="V223">
            <v>5301.9</v>
          </cell>
          <cell r="W223">
            <v>1109</v>
          </cell>
          <cell r="X223">
            <v>4768.7</v>
          </cell>
          <cell r="Y223"/>
          <cell r="Z223">
            <v>0</v>
          </cell>
          <cell r="AA223"/>
          <cell r="AB223">
            <v>0</v>
          </cell>
          <cell r="AC223"/>
          <cell r="AD223">
            <v>0</v>
          </cell>
          <cell r="AE223"/>
          <cell r="AF223"/>
          <cell r="AG223"/>
          <cell r="AH223"/>
          <cell r="AI223"/>
          <cell r="AJ223">
            <v>0</v>
          </cell>
          <cell r="AK223" t="str">
            <v>3P</v>
          </cell>
          <cell r="AL223">
            <v>213</v>
          </cell>
          <cell r="AM223">
            <v>408</v>
          </cell>
          <cell r="AN223" t="str">
            <v>01 Existing Dealer</v>
          </cell>
          <cell r="AO223" t="str">
            <v>Southeast</v>
          </cell>
          <cell r="AP223" t="str">
            <v>South</v>
          </cell>
          <cell r="AQ223"/>
          <cell r="AR223">
            <v>0</v>
          </cell>
          <cell r="AS223">
            <v>0</v>
          </cell>
        </row>
        <row r="224">
          <cell r="A224">
            <v>10969</v>
          </cell>
          <cell r="B224" t="str">
            <v>BURKHARDS</v>
          </cell>
          <cell r="C224" t="str">
            <v>M10123</v>
          </cell>
          <cell r="D224" t="str">
            <v>NET 5, BT+</v>
          </cell>
          <cell r="E224" t="str">
            <v>FP - Northpoint</v>
          </cell>
          <cell r="F224" t="str">
            <v>Yes</v>
          </cell>
          <cell r="G224" t="str">
            <v>GA</v>
          </cell>
          <cell r="H224">
            <v>8</v>
          </cell>
          <cell r="I224">
            <v>0.66500000000000004</v>
          </cell>
          <cell r="J224" t="str">
            <v>JL Smith</v>
          </cell>
          <cell r="K224" t="str">
            <v>DAVIE</v>
          </cell>
          <cell r="L224" t="str">
            <v>FL</v>
          </cell>
          <cell r="M224" t="str">
            <v>800-577-8858</v>
          </cell>
          <cell r="N224"/>
          <cell r="O224">
            <v>1214</v>
          </cell>
          <cell r="P224">
            <v>5220.2</v>
          </cell>
          <cell r="Q224">
            <v>509</v>
          </cell>
          <cell r="R224">
            <v>2188.6999999999998</v>
          </cell>
          <cell r="S224"/>
          <cell r="T224">
            <v>0</v>
          </cell>
          <cell r="U224">
            <v>1377</v>
          </cell>
          <cell r="V224">
            <v>5921.0999999999995</v>
          </cell>
          <cell r="W224">
            <v>1253</v>
          </cell>
          <cell r="X224">
            <v>5387.9</v>
          </cell>
          <cell r="Y224"/>
          <cell r="Z224">
            <v>0</v>
          </cell>
          <cell r="AA224"/>
          <cell r="AB224">
            <v>0</v>
          </cell>
          <cell r="AC224"/>
          <cell r="AD224">
            <v>0</v>
          </cell>
          <cell r="AE224"/>
          <cell r="AF224"/>
          <cell r="AG224"/>
          <cell r="AH224"/>
          <cell r="AI224"/>
          <cell r="AJ224">
            <v>0</v>
          </cell>
          <cell r="AK224" t="str">
            <v>3P</v>
          </cell>
          <cell r="AL224">
            <v>151</v>
          </cell>
          <cell r="AM224">
            <v>293</v>
          </cell>
          <cell r="AN224" t="str">
            <v>01 Existing Dealer</v>
          </cell>
          <cell r="AO224" t="str">
            <v>Southeast</v>
          </cell>
          <cell r="AP224" t="str">
            <v>South</v>
          </cell>
          <cell r="AQ224"/>
          <cell r="AR224">
            <v>0</v>
          </cell>
          <cell r="AS224">
            <v>0</v>
          </cell>
        </row>
        <row r="225">
          <cell r="A225">
            <v>11685</v>
          </cell>
          <cell r="B225" t="str">
            <v>CAMP - OUT</v>
          </cell>
          <cell r="C225" t="str">
            <v>M10129</v>
          </cell>
          <cell r="D225" t="str">
            <v>NET 5, BT+</v>
          </cell>
          <cell r="E225" t="str">
            <v>CO</v>
          </cell>
          <cell r="F225" t="str">
            <v>Yes</v>
          </cell>
          <cell r="G225" t="str">
            <v>GA</v>
          </cell>
          <cell r="H225">
            <v>7</v>
          </cell>
          <cell r="I225">
            <v>0.66500000000000004</v>
          </cell>
          <cell r="J225" t="str">
            <v>Orphaned Acct</v>
          </cell>
          <cell r="K225" t="str">
            <v>MIAMI</v>
          </cell>
          <cell r="L225" t="str">
            <v>FL</v>
          </cell>
          <cell r="M225" t="str">
            <v>800-577-8858</v>
          </cell>
          <cell r="N225"/>
          <cell r="O225">
            <v>1255</v>
          </cell>
          <cell r="P225">
            <v>5396.5</v>
          </cell>
          <cell r="Q225">
            <v>550</v>
          </cell>
          <cell r="R225">
            <v>2365</v>
          </cell>
          <cell r="S225"/>
          <cell r="T225">
            <v>0</v>
          </cell>
          <cell r="U225">
            <v>1418</v>
          </cell>
          <cell r="V225">
            <v>6097.4</v>
          </cell>
          <cell r="W225">
            <v>1294</v>
          </cell>
          <cell r="X225">
            <v>5564.2</v>
          </cell>
          <cell r="Y225"/>
          <cell r="Z225">
            <v>0</v>
          </cell>
          <cell r="AA225"/>
          <cell r="AB225">
            <v>0</v>
          </cell>
          <cell r="AC225"/>
          <cell r="AD225">
            <v>0</v>
          </cell>
          <cell r="AE225"/>
          <cell r="AF225"/>
          <cell r="AG225"/>
          <cell r="AH225"/>
          <cell r="AI225"/>
          <cell r="AJ225">
            <v>0</v>
          </cell>
          <cell r="AK225" t="str">
            <v>3P</v>
          </cell>
          <cell r="AL225">
            <v>213</v>
          </cell>
          <cell r="AM225">
            <v>293</v>
          </cell>
          <cell r="AN225" t="str">
            <v>01 Existing Dealer</v>
          </cell>
          <cell r="AO225" t="str">
            <v>Southeast</v>
          </cell>
          <cell r="AP225" t="str">
            <v>South</v>
          </cell>
          <cell r="AQ225"/>
          <cell r="AR225">
            <v>0</v>
          </cell>
          <cell r="AS225">
            <v>0</v>
          </cell>
        </row>
        <row r="226">
          <cell r="A226">
            <v>12492</v>
          </cell>
          <cell r="B226" t="str">
            <v>CAMP - OUT</v>
          </cell>
          <cell r="C226" t="str">
            <v>M10129</v>
          </cell>
          <cell r="D226" t="str">
            <v>NET 5, BT+</v>
          </cell>
          <cell r="E226" t="str">
            <v>C6</v>
          </cell>
          <cell r="F226" t="str">
            <v>Copies</v>
          </cell>
          <cell r="G226" t="str">
            <v>GA</v>
          </cell>
          <cell r="H226">
            <v>9</v>
          </cell>
          <cell r="I226">
            <v>0.66500000000000004</v>
          </cell>
          <cell r="J226" t="str">
            <v>Orphaned Acct</v>
          </cell>
          <cell r="K226" t="str">
            <v>MIAMI</v>
          </cell>
          <cell r="L226" t="str">
            <v>FL</v>
          </cell>
          <cell r="M226" t="str">
            <v>800-577-8858</v>
          </cell>
          <cell r="N226" t="str">
            <v>DEALER PAYS HALF OF LOAD VALUE + FREIGHT</v>
          </cell>
          <cell r="O226">
            <v>1255</v>
          </cell>
          <cell r="P226">
            <v>5396.5</v>
          </cell>
          <cell r="Q226">
            <v>550</v>
          </cell>
          <cell r="R226">
            <v>2365</v>
          </cell>
          <cell r="S226"/>
          <cell r="T226">
            <v>0</v>
          </cell>
          <cell r="U226">
            <v>1418</v>
          </cell>
          <cell r="V226">
            <v>6097.4</v>
          </cell>
          <cell r="W226">
            <v>1294</v>
          </cell>
          <cell r="X226">
            <v>5564.2</v>
          </cell>
          <cell r="Y226"/>
          <cell r="Z226">
            <v>0</v>
          </cell>
          <cell r="AA226"/>
          <cell r="AB226">
            <v>0</v>
          </cell>
          <cell r="AC226"/>
          <cell r="AD226">
            <v>0</v>
          </cell>
          <cell r="AE226"/>
          <cell r="AF226"/>
          <cell r="AG226"/>
          <cell r="AH226"/>
          <cell r="AI226"/>
          <cell r="AJ226">
            <v>0</v>
          </cell>
          <cell r="AK226" t="str">
            <v>3P</v>
          </cell>
          <cell r="AL226">
            <v>213</v>
          </cell>
          <cell r="AM226">
            <v>293</v>
          </cell>
          <cell r="AN226" t="str">
            <v>08 Inactive Dealer</v>
          </cell>
          <cell r="AO226" t="str">
            <v>Southeast</v>
          </cell>
          <cell r="AP226" t="str">
            <v>South</v>
          </cell>
          <cell r="AQ226"/>
          <cell r="AR226">
            <v>0</v>
          </cell>
          <cell r="AS226">
            <v>0</v>
          </cell>
        </row>
        <row r="227">
          <cell r="A227" t="str">
            <v>13633A</v>
          </cell>
          <cell r="B227" t="str">
            <v>BANDIT DBA CHAMPION</v>
          </cell>
          <cell r="C227" t="str">
            <v>M10139</v>
          </cell>
          <cell r="D227" t="str">
            <v>NET 5, BT+</v>
          </cell>
          <cell r="E227" t="str">
            <v>CO</v>
          </cell>
          <cell r="F227" t="str">
            <v>Yes</v>
          </cell>
          <cell r="G227" t="str">
            <v>GA</v>
          </cell>
          <cell r="H227">
            <v>7</v>
          </cell>
          <cell r="I227">
            <v>0.66500000000000004</v>
          </cell>
          <cell r="J227" t="str">
            <v>Dakota Nation</v>
          </cell>
          <cell r="K227" t="str">
            <v>TAMPA</v>
          </cell>
          <cell r="L227" t="str">
            <v>FL</v>
          </cell>
          <cell r="M227" t="str">
            <v>800-577-8858</v>
          </cell>
          <cell r="N227" t="str">
            <v>PLEASE MAKE MSO's READ SHIP TO.</v>
          </cell>
          <cell r="O227">
            <v>1028</v>
          </cell>
          <cell r="P227">
            <v>4420.3999999999996</v>
          </cell>
          <cell r="Q227">
            <v>322</v>
          </cell>
          <cell r="R227">
            <v>1384.6</v>
          </cell>
          <cell r="S227"/>
          <cell r="T227">
            <v>0</v>
          </cell>
          <cell r="U227">
            <v>1191</v>
          </cell>
          <cell r="V227">
            <v>5121.3</v>
          </cell>
          <cell r="W227">
            <v>1066</v>
          </cell>
          <cell r="X227">
            <v>4583.8</v>
          </cell>
          <cell r="Y227">
            <v>940</v>
          </cell>
          <cell r="Z227">
            <v>4042</v>
          </cell>
          <cell r="AA227">
            <v>940</v>
          </cell>
          <cell r="AB227">
            <v>4042</v>
          </cell>
          <cell r="AC227">
            <v>940</v>
          </cell>
          <cell r="AD227">
            <v>4042</v>
          </cell>
          <cell r="AE227"/>
          <cell r="AF227"/>
          <cell r="AG227"/>
          <cell r="AH227"/>
          <cell r="AI227"/>
          <cell r="AJ227">
            <v>0.03</v>
          </cell>
          <cell r="AK227" t="str">
            <v>3P</v>
          </cell>
          <cell r="AL227">
            <v>223</v>
          </cell>
          <cell r="AM227">
            <v>440</v>
          </cell>
          <cell r="AN227" t="str">
            <v>01 Existing Dealer</v>
          </cell>
          <cell r="AO227" t="str">
            <v>Southeast</v>
          </cell>
          <cell r="AP227" t="str">
            <v>South</v>
          </cell>
          <cell r="AQ227"/>
          <cell r="AR227">
            <v>0</v>
          </cell>
          <cell r="AS227">
            <v>0</v>
          </cell>
        </row>
        <row r="228">
          <cell r="A228">
            <v>13633</v>
          </cell>
          <cell r="B228" t="str">
            <v>BANDIT DBA CHAMPION</v>
          </cell>
          <cell r="C228" t="str">
            <v>M10139</v>
          </cell>
          <cell r="D228" t="str">
            <v>NET 5, BT+</v>
          </cell>
          <cell r="E228" t="str">
            <v>CO</v>
          </cell>
          <cell r="F228" t="str">
            <v>Yes</v>
          </cell>
          <cell r="G228" t="str">
            <v>GA</v>
          </cell>
          <cell r="H228">
            <v>7</v>
          </cell>
          <cell r="I228">
            <v>0.66500000000000004</v>
          </cell>
          <cell r="J228" t="str">
            <v>Dakota Nation</v>
          </cell>
          <cell r="K228" t="str">
            <v>HARMONY</v>
          </cell>
          <cell r="L228" t="str">
            <v>FL</v>
          </cell>
          <cell r="M228" t="str">
            <v>800-577-8858</v>
          </cell>
          <cell r="N228" t="str">
            <v>****DO NOT USE****   USE 13633A SHIP TO FOR TAMPA</v>
          </cell>
          <cell r="O228"/>
          <cell r="P228">
            <v>0</v>
          </cell>
          <cell r="Q228"/>
          <cell r="R228">
            <v>0</v>
          </cell>
          <cell r="S228"/>
          <cell r="T228">
            <v>0</v>
          </cell>
          <cell r="U228"/>
          <cell r="V228">
            <v>0</v>
          </cell>
          <cell r="W228"/>
          <cell r="X228">
            <v>0</v>
          </cell>
          <cell r="Y228"/>
          <cell r="Z228">
            <v>0</v>
          </cell>
          <cell r="AA228"/>
          <cell r="AB228">
            <v>0</v>
          </cell>
          <cell r="AC228"/>
          <cell r="AD228">
            <v>0</v>
          </cell>
          <cell r="AE228"/>
          <cell r="AF228"/>
          <cell r="AG228"/>
          <cell r="AH228"/>
          <cell r="AI228"/>
          <cell r="AJ228">
            <v>0.03</v>
          </cell>
          <cell r="AK228" t="str">
            <v>3P</v>
          </cell>
          <cell r="AL228">
            <v>223</v>
          </cell>
          <cell r="AM228"/>
          <cell r="AN228" t="str">
            <v>01 Existing Dealer</v>
          </cell>
          <cell r="AO228" t="str">
            <v>Southeast</v>
          </cell>
          <cell r="AP228" t="str">
            <v>South</v>
          </cell>
          <cell r="AQ228"/>
          <cell r="AR228">
            <v>0</v>
          </cell>
          <cell r="AS228">
            <v>52212</v>
          </cell>
        </row>
        <row r="229">
          <cell r="A229">
            <v>10659</v>
          </cell>
          <cell r="B229" t="str">
            <v>CHAMPION TRAILERS</v>
          </cell>
          <cell r="C229" t="str">
            <v>M10139</v>
          </cell>
          <cell r="D229" t="str">
            <v>NET 5, BT+</v>
          </cell>
          <cell r="E229" t="str">
            <v>CO</v>
          </cell>
          <cell r="F229" t="str">
            <v>Yes</v>
          </cell>
          <cell r="G229" t="str">
            <v>GA</v>
          </cell>
          <cell r="H229">
            <v>7</v>
          </cell>
          <cell r="I229">
            <v>0.66500000000000004</v>
          </cell>
          <cell r="J229" t="str">
            <v>Dakota Nation</v>
          </cell>
          <cell r="K229" t="str">
            <v>TAMPA</v>
          </cell>
          <cell r="L229" t="str">
            <v>FL</v>
          </cell>
          <cell r="M229" t="str">
            <v>800-577-8858</v>
          </cell>
          <cell r="N229"/>
          <cell r="O229">
            <v>1028</v>
          </cell>
          <cell r="P229">
            <v>4420.3999999999996</v>
          </cell>
          <cell r="Q229">
            <v>322</v>
          </cell>
          <cell r="R229">
            <v>1384.6</v>
          </cell>
          <cell r="S229"/>
          <cell r="T229">
            <v>0</v>
          </cell>
          <cell r="U229">
            <v>1191</v>
          </cell>
          <cell r="V229">
            <v>5121.3</v>
          </cell>
          <cell r="W229">
            <v>1066</v>
          </cell>
          <cell r="X229">
            <v>4583.8</v>
          </cell>
          <cell r="Y229">
            <v>940</v>
          </cell>
          <cell r="Z229">
            <v>4042</v>
          </cell>
          <cell r="AA229">
            <v>940</v>
          </cell>
          <cell r="AB229">
            <v>4042</v>
          </cell>
          <cell r="AC229">
            <v>940</v>
          </cell>
          <cell r="AD229">
            <v>4042</v>
          </cell>
          <cell r="AE229"/>
          <cell r="AF229"/>
          <cell r="AG229"/>
          <cell r="AH229"/>
          <cell r="AI229"/>
          <cell r="AJ229">
            <v>0.03</v>
          </cell>
          <cell r="AK229" t="str">
            <v>3P</v>
          </cell>
          <cell r="AL229">
            <v>223</v>
          </cell>
          <cell r="AM229">
            <v>440</v>
          </cell>
          <cell r="AN229" t="str">
            <v>01 Existing Dealer</v>
          </cell>
          <cell r="AO229" t="str">
            <v>Southeast</v>
          </cell>
          <cell r="AP229" t="str">
            <v>South</v>
          </cell>
          <cell r="AQ229"/>
          <cell r="AR229">
            <v>298896</v>
          </cell>
          <cell r="AS229">
            <v>0</v>
          </cell>
        </row>
        <row r="230">
          <cell r="A230">
            <v>13511</v>
          </cell>
          <cell r="B230" t="str">
            <v>HITCHIN TRAILERS</v>
          </cell>
          <cell r="C230" t="str">
            <v>M11485</v>
          </cell>
          <cell r="D230" t="str">
            <v>NET 5, BT+</v>
          </cell>
          <cell r="E230" t="str">
            <v>FP-Northpoint</v>
          </cell>
          <cell r="F230" t="str">
            <v>Yes</v>
          </cell>
          <cell r="G230" t="str">
            <v>GA</v>
          </cell>
          <cell r="H230">
            <v>8</v>
          </cell>
          <cell r="I230">
            <v>0.66500000000000004</v>
          </cell>
          <cell r="J230" t="str">
            <v>Orphaned Acct</v>
          </cell>
          <cell r="K230" t="str">
            <v>PALMETTO</v>
          </cell>
          <cell r="L230" t="str">
            <v>FL</v>
          </cell>
          <cell r="M230" t="str">
            <v>800-577-8858</v>
          </cell>
          <cell r="N230"/>
          <cell r="O230">
            <v>1058</v>
          </cell>
          <cell r="P230">
            <v>4549.3999999999996</v>
          </cell>
          <cell r="Q230">
            <v>354</v>
          </cell>
          <cell r="R230">
            <v>1522.2</v>
          </cell>
          <cell r="S230"/>
          <cell r="T230">
            <v>0</v>
          </cell>
          <cell r="U230">
            <v>1221</v>
          </cell>
          <cell r="V230">
            <v>5250.3</v>
          </cell>
          <cell r="W230">
            <v>1097</v>
          </cell>
          <cell r="X230">
            <v>4717.0999999999995</v>
          </cell>
          <cell r="Y230">
            <v>971</v>
          </cell>
          <cell r="Z230">
            <v>4175.3</v>
          </cell>
          <cell r="AA230">
            <v>971</v>
          </cell>
          <cell r="AB230">
            <v>4175.3</v>
          </cell>
          <cell r="AC230">
            <v>971</v>
          </cell>
          <cell r="AD230">
            <v>4175.3</v>
          </cell>
          <cell r="AE230"/>
          <cell r="AF230"/>
          <cell r="AG230"/>
          <cell r="AH230"/>
          <cell r="AI230"/>
          <cell r="AJ230">
            <v>0.03</v>
          </cell>
          <cell r="AK230" t="str">
            <v>3P</v>
          </cell>
          <cell r="AL230">
            <v>213</v>
          </cell>
          <cell r="AM230">
            <v>440</v>
          </cell>
          <cell r="AN230" t="str">
            <v>03 New Dealer</v>
          </cell>
          <cell r="AO230" t="str">
            <v>Southeast</v>
          </cell>
          <cell r="AP230" t="str">
            <v>South</v>
          </cell>
          <cell r="AQ230"/>
          <cell r="AR230">
            <v>0</v>
          </cell>
          <cell r="AS230">
            <v>0</v>
          </cell>
        </row>
        <row r="231">
          <cell r="A231">
            <v>12240</v>
          </cell>
          <cell r="B231" t="str">
            <v>JACKSONVILLE TRAILER SALES LLC</v>
          </cell>
          <cell r="C231" t="str">
            <v>M10234</v>
          </cell>
          <cell r="D231" t="str">
            <v>NET 5, BT+</v>
          </cell>
          <cell r="E231" t="str">
            <v>C6</v>
          </cell>
          <cell r="F231" t="str">
            <v>Copies</v>
          </cell>
          <cell r="G231" t="str">
            <v>GA</v>
          </cell>
          <cell r="H231">
            <v>6</v>
          </cell>
          <cell r="I231">
            <v>0.66500000000000004</v>
          </cell>
          <cell r="J231" t="str">
            <v>House</v>
          </cell>
          <cell r="K231" t="str">
            <v>MIDDLEBURG</v>
          </cell>
          <cell r="L231" t="str">
            <v>FL</v>
          </cell>
          <cell r="M231" t="str">
            <v>800-577-8858</v>
          </cell>
          <cell r="N231" t="str">
            <v>Please give 3 days notice before delivery</v>
          </cell>
          <cell r="O231">
            <v>916</v>
          </cell>
          <cell r="P231">
            <v>3938.7999999999997</v>
          </cell>
          <cell r="Q231">
            <v>211</v>
          </cell>
          <cell r="R231">
            <v>907.3</v>
          </cell>
          <cell r="S231"/>
          <cell r="T231">
            <v>0</v>
          </cell>
          <cell r="U231">
            <v>1079</v>
          </cell>
          <cell r="V231">
            <v>4639.7</v>
          </cell>
          <cell r="W231">
            <v>955</v>
          </cell>
          <cell r="X231">
            <v>4106.5</v>
          </cell>
          <cell r="Y231"/>
          <cell r="Z231">
            <v>0</v>
          </cell>
          <cell r="AA231"/>
          <cell r="AB231">
            <v>0</v>
          </cell>
          <cell r="AC231"/>
          <cell r="AD231">
            <v>0</v>
          </cell>
          <cell r="AE231"/>
          <cell r="AF231"/>
          <cell r="AG231"/>
          <cell r="AH231"/>
          <cell r="AI231"/>
          <cell r="AJ231">
            <v>0</v>
          </cell>
          <cell r="AK231" t="str">
            <v>3P</v>
          </cell>
          <cell r="AL231">
            <v>400</v>
          </cell>
          <cell r="AM231">
            <v>212</v>
          </cell>
          <cell r="AN231" t="str">
            <v>08 Inactive Dealer</v>
          </cell>
          <cell r="AO231" t="str">
            <v>Southeast</v>
          </cell>
          <cell r="AP231" t="str">
            <v>South</v>
          </cell>
          <cell r="AQ231"/>
          <cell r="AR231">
            <v>0</v>
          </cell>
          <cell r="AS231">
            <v>0</v>
          </cell>
        </row>
        <row r="232">
          <cell r="A232">
            <v>12937</v>
          </cell>
          <cell r="B232" t="str">
            <v>L3C AG98</v>
          </cell>
          <cell r="C232" t="str">
            <v>M10259</v>
          </cell>
          <cell r="D232" t="str">
            <v>NET 5, BT+</v>
          </cell>
          <cell r="E232" t="str">
            <v>F3 - Ask</v>
          </cell>
          <cell r="F232" t="str">
            <v>Yes</v>
          </cell>
          <cell r="G232" t="str">
            <v>GA</v>
          </cell>
          <cell r="H232">
            <v>8</v>
          </cell>
          <cell r="I232">
            <v>0.66500000000000004</v>
          </cell>
          <cell r="J232" t="str">
            <v>JL Smith</v>
          </cell>
          <cell r="K232" t="str">
            <v>OKEECHOBEE</v>
          </cell>
          <cell r="L232" t="str">
            <v>FL</v>
          </cell>
          <cell r="M232" t="str">
            <v>800-577-8858</v>
          </cell>
          <cell r="N232"/>
          <cell r="O232">
            <v>1100</v>
          </cell>
          <cell r="P232">
            <v>4730</v>
          </cell>
          <cell r="Q232">
            <v>395</v>
          </cell>
          <cell r="R232">
            <v>1698.5</v>
          </cell>
          <cell r="S232"/>
          <cell r="T232">
            <v>0</v>
          </cell>
          <cell r="U232">
            <v>1263</v>
          </cell>
          <cell r="V232">
            <v>5430.9</v>
          </cell>
          <cell r="W232">
            <v>1139</v>
          </cell>
          <cell r="X232">
            <v>4897.7</v>
          </cell>
          <cell r="Y232"/>
          <cell r="Z232">
            <v>0</v>
          </cell>
          <cell r="AA232">
            <v>1014</v>
          </cell>
          <cell r="AB232">
            <v>4360.2</v>
          </cell>
          <cell r="AC232">
            <v>1014</v>
          </cell>
          <cell r="AD232">
            <v>4360.2</v>
          </cell>
          <cell r="AE232"/>
          <cell r="AF232"/>
          <cell r="AG232"/>
          <cell r="AH232"/>
          <cell r="AI232"/>
          <cell r="AJ232">
            <v>0</v>
          </cell>
          <cell r="AK232" t="str">
            <v>3P</v>
          </cell>
          <cell r="AL232">
            <v>151</v>
          </cell>
          <cell r="AM232">
            <v>469</v>
          </cell>
          <cell r="AN232" t="str">
            <v>01 Existing Dealer</v>
          </cell>
          <cell r="AO232" t="str">
            <v>Southeast</v>
          </cell>
          <cell r="AP232" t="str">
            <v>South</v>
          </cell>
          <cell r="AQ232"/>
          <cell r="AR232">
            <v>90196</v>
          </cell>
          <cell r="AS232">
            <v>0</v>
          </cell>
        </row>
        <row r="233">
          <cell r="A233">
            <v>12535</v>
          </cell>
          <cell r="B233" t="str">
            <v>LOVE MOTORSPORTS</v>
          </cell>
          <cell r="C233" t="str">
            <v>M10270</v>
          </cell>
          <cell r="D233" t="str">
            <v>NET 5, BT+</v>
          </cell>
          <cell r="E233" t="str">
            <v>FP - Wells Fargo</v>
          </cell>
          <cell r="F233" t="str">
            <v>Yes</v>
          </cell>
          <cell r="G233" t="str">
            <v>GA</v>
          </cell>
          <cell r="H233">
            <v>8</v>
          </cell>
          <cell r="I233">
            <v>0.66500000000000004</v>
          </cell>
          <cell r="J233" t="str">
            <v>JL Smith</v>
          </cell>
          <cell r="K233" t="str">
            <v>HOMOSASSA</v>
          </cell>
          <cell r="L233" t="str">
            <v>FL</v>
          </cell>
          <cell r="M233" t="str">
            <v>800-577-8858</v>
          </cell>
          <cell r="N233"/>
          <cell r="O233">
            <v>929</v>
          </cell>
          <cell r="P233">
            <v>3994.7</v>
          </cell>
          <cell r="Q233">
            <v>263</v>
          </cell>
          <cell r="R233">
            <v>1130.8999999999999</v>
          </cell>
          <cell r="S233"/>
          <cell r="T233">
            <v>0</v>
          </cell>
          <cell r="U233">
            <v>1092</v>
          </cell>
          <cell r="V233">
            <v>4695.5999999999995</v>
          </cell>
          <cell r="W233">
            <v>968</v>
          </cell>
          <cell r="X233">
            <v>4162.3999999999996</v>
          </cell>
          <cell r="Y233"/>
          <cell r="Z233">
            <v>0</v>
          </cell>
          <cell r="AA233"/>
          <cell r="AB233">
            <v>0</v>
          </cell>
          <cell r="AC233"/>
          <cell r="AD233">
            <v>0</v>
          </cell>
          <cell r="AE233"/>
          <cell r="AF233"/>
          <cell r="AG233"/>
          <cell r="AH233"/>
          <cell r="AI233"/>
          <cell r="AJ233">
            <v>0</v>
          </cell>
          <cell r="AK233" t="str">
            <v>3P</v>
          </cell>
          <cell r="AL233">
            <v>151</v>
          </cell>
          <cell r="AM233">
            <v>440</v>
          </cell>
          <cell r="AN233" t="str">
            <v>01 Existing Dealer</v>
          </cell>
          <cell r="AO233" t="str">
            <v>Southeast</v>
          </cell>
          <cell r="AP233" t="str">
            <v>South</v>
          </cell>
          <cell r="AQ233"/>
          <cell r="AR233">
            <v>0</v>
          </cell>
          <cell r="AS233">
            <v>0</v>
          </cell>
        </row>
        <row r="234">
          <cell r="A234">
            <v>13132</v>
          </cell>
          <cell r="B234" t="str">
            <v>MAIN STREET MOWER, INC</v>
          </cell>
          <cell r="C234" t="str">
            <v>M11053</v>
          </cell>
          <cell r="D234" t="str">
            <v>NET 5, BT+</v>
          </cell>
          <cell r="E234" t="str">
            <v>F3 - Wells Fargo</v>
          </cell>
          <cell r="F234" t="str">
            <v>Yes</v>
          </cell>
          <cell r="G234" t="str">
            <v>GA</v>
          </cell>
          <cell r="H234">
            <v>7</v>
          </cell>
          <cell r="I234">
            <v>0.66500000000000004</v>
          </cell>
          <cell r="J234" t="str">
            <v>Trent Evans</v>
          </cell>
          <cell r="K234" t="str">
            <v>WINTER GARDEN</v>
          </cell>
          <cell r="L234" t="str">
            <v>FL</v>
          </cell>
          <cell r="M234" t="str">
            <v>800-577-8858</v>
          </cell>
          <cell r="N234"/>
          <cell r="O234">
            <v>991</v>
          </cell>
          <cell r="P234">
            <v>4261.3</v>
          </cell>
          <cell r="Q234">
            <v>286</v>
          </cell>
          <cell r="R234">
            <v>1229.8</v>
          </cell>
          <cell r="S234"/>
          <cell r="T234">
            <v>0</v>
          </cell>
          <cell r="U234">
            <v>1154</v>
          </cell>
          <cell r="V234">
            <v>4962.2</v>
          </cell>
          <cell r="W234">
            <v>1030</v>
          </cell>
          <cell r="X234">
            <v>4429</v>
          </cell>
          <cell r="Y234">
            <v>904</v>
          </cell>
          <cell r="Z234">
            <v>3887.2</v>
          </cell>
          <cell r="AA234">
            <v>904</v>
          </cell>
          <cell r="AB234">
            <v>3887.2</v>
          </cell>
          <cell r="AC234">
            <v>904</v>
          </cell>
          <cell r="AD234">
            <v>3887.2</v>
          </cell>
          <cell r="AE234"/>
          <cell r="AF234"/>
          <cell r="AG234"/>
          <cell r="AH234"/>
          <cell r="AI234"/>
          <cell r="AJ234">
            <v>0.01</v>
          </cell>
          <cell r="AK234" t="str">
            <v>3P</v>
          </cell>
          <cell r="AL234">
            <v>226</v>
          </cell>
          <cell r="AM234">
            <v>336</v>
          </cell>
          <cell r="AN234" t="str">
            <v>01 Existing Dealer</v>
          </cell>
          <cell r="AO234" t="str">
            <v>Southeast</v>
          </cell>
          <cell r="AP234" t="str">
            <v>South</v>
          </cell>
          <cell r="AQ234"/>
          <cell r="AR234">
            <v>65410</v>
          </cell>
          <cell r="AS234">
            <v>29875</v>
          </cell>
        </row>
        <row r="235">
          <cell r="A235">
            <v>12708</v>
          </cell>
          <cell r="B235" t="str">
            <v>MIAMI TRAILER</v>
          </cell>
          <cell r="C235" t="str">
            <v>M10283</v>
          </cell>
          <cell r="D235" t="str">
            <v>CF</v>
          </cell>
          <cell r="E235" t="str">
            <v>Certified Funds</v>
          </cell>
          <cell r="F235" t="str">
            <v>Yes</v>
          </cell>
          <cell r="G235" t="str">
            <v>GA</v>
          </cell>
          <cell r="H235">
            <v>7</v>
          </cell>
          <cell r="I235">
            <v>0.66500000000000004</v>
          </cell>
          <cell r="J235" t="str">
            <v>Orphaned Acct</v>
          </cell>
          <cell r="K235" t="str">
            <v>MIAMI</v>
          </cell>
          <cell r="L235" t="str">
            <v>FL</v>
          </cell>
          <cell r="M235" t="str">
            <v>800-577-8858</v>
          </cell>
          <cell r="N235" t="str">
            <v>BRK2 on all tandems: Cannot take loads on Friday</v>
          </cell>
          <cell r="O235">
            <v>1233</v>
          </cell>
          <cell r="P235">
            <v>5301.9</v>
          </cell>
          <cell r="Q235">
            <v>528</v>
          </cell>
          <cell r="R235">
            <v>2270.4</v>
          </cell>
          <cell r="S235"/>
          <cell r="T235">
            <v>0</v>
          </cell>
          <cell r="U235">
            <v>1396</v>
          </cell>
          <cell r="V235">
            <v>6002.8</v>
          </cell>
          <cell r="W235">
            <v>1272</v>
          </cell>
          <cell r="X235">
            <v>5469.5999999999995</v>
          </cell>
          <cell r="Y235"/>
          <cell r="Z235">
            <v>0</v>
          </cell>
          <cell r="AA235"/>
          <cell r="AB235">
            <v>0</v>
          </cell>
          <cell r="AC235"/>
          <cell r="AD235">
            <v>0</v>
          </cell>
          <cell r="AE235"/>
          <cell r="AF235"/>
          <cell r="AG235"/>
          <cell r="AH235"/>
          <cell r="AI235"/>
          <cell r="AJ235">
            <v>0</v>
          </cell>
          <cell r="AK235" t="str">
            <v>3P</v>
          </cell>
          <cell r="AL235">
            <v>213</v>
          </cell>
          <cell r="AM235">
            <v>293</v>
          </cell>
          <cell r="AN235" t="str">
            <v>01 Existing Dealer</v>
          </cell>
          <cell r="AO235" t="str">
            <v>Southeast</v>
          </cell>
          <cell r="AP235" t="str">
            <v>South</v>
          </cell>
          <cell r="AQ235"/>
          <cell r="AR235">
            <v>0</v>
          </cell>
          <cell r="AS235">
            <v>0</v>
          </cell>
        </row>
        <row r="236">
          <cell r="A236">
            <v>12637</v>
          </cell>
          <cell r="B236" t="str">
            <v>NAPLES CUSTOM HITCH &amp; TRAILER</v>
          </cell>
          <cell r="C236" t="str">
            <v>M10296</v>
          </cell>
          <cell r="D236" t="str">
            <v>NET 5, BT+</v>
          </cell>
          <cell r="E236" t="str">
            <v>CO</v>
          </cell>
          <cell r="F236" t="str">
            <v>Yes</v>
          </cell>
          <cell r="G236" t="str">
            <v>GA</v>
          </cell>
          <cell r="H236">
            <v>7</v>
          </cell>
          <cell r="I236">
            <v>0.66500000000000004</v>
          </cell>
          <cell r="J236" t="str">
            <v>Orphaned Acct</v>
          </cell>
          <cell r="K236" t="str">
            <v>NAPLES</v>
          </cell>
          <cell r="L236" t="str">
            <v>FL</v>
          </cell>
          <cell r="M236" t="str">
            <v>800-577-8858</v>
          </cell>
          <cell r="N236"/>
          <cell r="O236">
            <v>1176</v>
          </cell>
          <cell r="P236">
            <v>5056.8</v>
          </cell>
          <cell r="Q236">
            <v>471</v>
          </cell>
          <cell r="R236">
            <v>2025.3</v>
          </cell>
          <cell r="S236"/>
          <cell r="T236">
            <v>0</v>
          </cell>
          <cell r="U236">
            <v>1339</v>
          </cell>
          <cell r="V236">
            <v>5757.7</v>
          </cell>
          <cell r="W236">
            <v>1215</v>
          </cell>
          <cell r="X236">
            <v>5224.5</v>
          </cell>
          <cell r="Y236"/>
          <cell r="Z236">
            <v>0</v>
          </cell>
          <cell r="AA236"/>
          <cell r="AB236">
            <v>0</v>
          </cell>
          <cell r="AC236"/>
          <cell r="AD236">
            <v>0</v>
          </cell>
          <cell r="AE236"/>
          <cell r="AF236"/>
          <cell r="AG236"/>
          <cell r="AH236"/>
          <cell r="AI236"/>
          <cell r="AJ236">
            <v>0</v>
          </cell>
          <cell r="AK236" t="str">
            <v>3P</v>
          </cell>
          <cell r="AL236">
            <v>213</v>
          </cell>
          <cell r="AM236">
            <v>313</v>
          </cell>
          <cell r="AN236" t="str">
            <v>08 Inactive Dealer</v>
          </cell>
          <cell r="AO236" t="str">
            <v>Southeast</v>
          </cell>
          <cell r="AP236" t="str">
            <v>South</v>
          </cell>
          <cell r="AQ236"/>
          <cell r="AR236">
            <v>0</v>
          </cell>
          <cell r="AS236">
            <v>0</v>
          </cell>
        </row>
        <row r="237">
          <cell r="A237">
            <v>11910</v>
          </cell>
          <cell r="B237" t="str">
            <v>NELSONS STAGE STOP, INC. (NELSON'S TRAILER SALES)</v>
          </cell>
          <cell r="C237" t="str">
            <v>M10299</v>
          </cell>
          <cell r="D237" t="str">
            <v>NET 5, BT+</v>
          </cell>
          <cell r="E237" t="str">
            <v>FP - Wells Fargo</v>
          </cell>
          <cell r="F237" t="str">
            <v>Yes</v>
          </cell>
          <cell r="G237" t="str">
            <v>GA</v>
          </cell>
          <cell r="H237">
            <v>8</v>
          </cell>
          <cell r="I237">
            <v>0.66500000000000004</v>
          </cell>
          <cell r="J237" t="str">
            <v>House</v>
          </cell>
          <cell r="K237" t="str">
            <v>OCALA</v>
          </cell>
          <cell r="L237" t="str">
            <v>FL</v>
          </cell>
          <cell r="M237" t="str">
            <v>800-577-8858</v>
          </cell>
          <cell r="N237"/>
          <cell r="O237">
            <v>930</v>
          </cell>
          <cell r="P237">
            <v>3999</v>
          </cell>
          <cell r="Q237">
            <v>225</v>
          </cell>
          <cell r="R237">
            <v>967.5</v>
          </cell>
          <cell r="S237"/>
          <cell r="T237">
            <v>0</v>
          </cell>
          <cell r="U237">
            <v>1093</v>
          </cell>
          <cell r="V237">
            <v>4699.8999999999996</v>
          </cell>
          <cell r="W237">
            <v>969</v>
          </cell>
          <cell r="X237">
            <v>4166.7</v>
          </cell>
          <cell r="Y237"/>
          <cell r="Z237">
            <v>0</v>
          </cell>
          <cell r="AA237"/>
          <cell r="AB237">
            <v>0</v>
          </cell>
          <cell r="AC237"/>
          <cell r="AD237">
            <v>0</v>
          </cell>
          <cell r="AE237"/>
          <cell r="AF237"/>
          <cell r="AG237"/>
          <cell r="AH237"/>
          <cell r="AI237"/>
          <cell r="AJ237">
            <v>0</v>
          </cell>
          <cell r="AK237" t="str">
            <v>3P</v>
          </cell>
          <cell r="AL237">
            <v>400</v>
          </cell>
          <cell r="AM237">
            <v>326</v>
          </cell>
          <cell r="AN237" t="str">
            <v>08 Inactive Dealer</v>
          </cell>
          <cell r="AO237" t="str">
            <v>Southeast</v>
          </cell>
          <cell r="AP237" t="str">
            <v>South</v>
          </cell>
          <cell r="AQ237"/>
          <cell r="AR237">
            <v>0</v>
          </cell>
          <cell r="AS237">
            <v>0</v>
          </cell>
        </row>
        <row r="238">
          <cell r="A238">
            <v>12395</v>
          </cell>
          <cell r="B238" t="str">
            <v>NELSON'S TRUCK AND TRAILER SALES, LLC</v>
          </cell>
          <cell r="C238" t="str">
            <v>M10299</v>
          </cell>
          <cell r="D238" t="str">
            <v>NET 5, BT+</v>
          </cell>
          <cell r="E238" t="str">
            <v>CO</v>
          </cell>
          <cell r="F238" t="str">
            <v>Yes</v>
          </cell>
          <cell r="G238" t="str">
            <v>GA</v>
          </cell>
          <cell r="H238">
            <v>7</v>
          </cell>
          <cell r="I238">
            <v>0.66500000000000004</v>
          </cell>
          <cell r="J238" t="str">
            <v>House</v>
          </cell>
          <cell r="K238" t="str">
            <v>OCALA</v>
          </cell>
          <cell r="L238" t="str">
            <v>FL</v>
          </cell>
          <cell r="M238" t="str">
            <v>800-577-8858</v>
          </cell>
          <cell r="N238"/>
          <cell r="O238">
            <v>930</v>
          </cell>
          <cell r="P238">
            <v>3999</v>
          </cell>
          <cell r="Q238">
            <v>225</v>
          </cell>
          <cell r="R238">
            <v>967.5</v>
          </cell>
          <cell r="S238"/>
          <cell r="T238">
            <v>0</v>
          </cell>
          <cell r="U238">
            <v>1093</v>
          </cell>
          <cell r="V238">
            <v>4699.8999999999996</v>
          </cell>
          <cell r="W238">
            <v>969</v>
          </cell>
          <cell r="X238">
            <v>4166.7</v>
          </cell>
          <cell r="Y238"/>
          <cell r="Z238">
            <v>0</v>
          </cell>
          <cell r="AA238"/>
          <cell r="AB238">
            <v>0</v>
          </cell>
          <cell r="AC238"/>
          <cell r="AD238">
            <v>0</v>
          </cell>
          <cell r="AE238"/>
          <cell r="AF238"/>
          <cell r="AG238"/>
          <cell r="AH238"/>
          <cell r="AI238"/>
          <cell r="AJ238">
            <v>0</v>
          </cell>
          <cell r="AK238" t="str">
            <v>3P</v>
          </cell>
          <cell r="AL238">
            <v>400</v>
          </cell>
          <cell r="AM238">
            <v>326</v>
          </cell>
          <cell r="AN238" t="str">
            <v>08 Inactive Dealer</v>
          </cell>
          <cell r="AO238" t="str">
            <v>Southeast</v>
          </cell>
          <cell r="AP238" t="str">
            <v>South</v>
          </cell>
          <cell r="AQ238"/>
          <cell r="AR238">
            <v>0</v>
          </cell>
          <cell r="AS238">
            <v>0</v>
          </cell>
        </row>
        <row r="239">
          <cell r="A239">
            <v>12932</v>
          </cell>
          <cell r="B239" t="str">
            <v>RENTZ</v>
          </cell>
          <cell r="C239" t="str">
            <v>M10348</v>
          </cell>
          <cell r="D239" t="str">
            <v>NET 5, BT+</v>
          </cell>
          <cell r="E239" t="str">
            <v>F6 - Wells Fargo</v>
          </cell>
          <cell r="F239" t="str">
            <v>Yes</v>
          </cell>
          <cell r="G239" t="str">
            <v>GA</v>
          </cell>
          <cell r="H239">
            <v>8</v>
          </cell>
          <cell r="I239">
            <v>0.66500000000000004</v>
          </cell>
          <cell r="J239" t="str">
            <v>Trent Evans</v>
          </cell>
          <cell r="K239" t="str">
            <v>HUDSON</v>
          </cell>
          <cell r="L239" t="str">
            <v>FL</v>
          </cell>
          <cell r="M239" t="str">
            <v>800-577-8858</v>
          </cell>
          <cell r="N239"/>
          <cell r="O239">
            <v>961</v>
          </cell>
          <cell r="P239">
            <v>4132.3</v>
          </cell>
          <cell r="Q239">
            <v>308</v>
          </cell>
          <cell r="R239">
            <v>1324.3999999999999</v>
          </cell>
          <cell r="S239"/>
          <cell r="T239">
            <v>0</v>
          </cell>
          <cell r="U239">
            <v>1124</v>
          </cell>
          <cell r="V239">
            <v>4833.2</v>
          </cell>
          <cell r="W239">
            <v>1000</v>
          </cell>
          <cell r="X239">
            <v>4300</v>
          </cell>
          <cell r="Y239">
            <v>908</v>
          </cell>
          <cell r="Z239">
            <v>3904.3999999999996</v>
          </cell>
          <cell r="AA239">
            <v>908</v>
          </cell>
          <cell r="AB239">
            <v>3904.3999999999996</v>
          </cell>
          <cell r="AC239">
            <v>908</v>
          </cell>
          <cell r="AD239">
            <v>3904.3999999999996</v>
          </cell>
          <cell r="AE239"/>
          <cell r="AF239"/>
          <cell r="AG239"/>
          <cell r="AH239"/>
          <cell r="AI239"/>
          <cell r="AJ239">
            <v>0</v>
          </cell>
          <cell r="AK239" t="str">
            <v>3P</v>
          </cell>
          <cell r="AL239">
            <v>226</v>
          </cell>
          <cell r="AM239">
            <v>440</v>
          </cell>
          <cell r="AN239" t="str">
            <v>01 Existing Dealer</v>
          </cell>
          <cell r="AO239" t="str">
            <v>Southeast</v>
          </cell>
          <cell r="AP239" t="str">
            <v>South</v>
          </cell>
          <cell r="AQ239"/>
          <cell r="AR239">
            <v>0</v>
          </cell>
          <cell r="AS239">
            <v>0</v>
          </cell>
        </row>
        <row r="240">
          <cell r="A240">
            <v>11258</v>
          </cell>
          <cell r="B240" t="str">
            <v>RENTZ</v>
          </cell>
          <cell r="C240" t="str">
            <v>M10348</v>
          </cell>
          <cell r="D240" t="str">
            <v>NET 5, BT+</v>
          </cell>
          <cell r="E240" t="str">
            <v>CO</v>
          </cell>
          <cell r="F240" t="str">
            <v>Yes</v>
          </cell>
          <cell r="G240" t="str">
            <v>GA</v>
          </cell>
          <cell r="H240">
            <v>7</v>
          </cell>
          <cell r="I240">
            <v>0.66500000000000004</v>
          </cell>
          <cell r="J240" t="str">
            <v>Orphaned Acct</v>
          </cell>
          <cell r="K240" t="str">
            <v>HUDSON</v>
          </cell>
          <cell r="L240" t="str">
            <v>FL</v>
          </cell>
          <cell r="M240" t="str">
            <v>800-577-8858</v>
          </cell>
          <cell r="N240"/>
          <cell r="O240">
            <v>961</v>
          </cell>
          <cell r="P240">
            <v>4132.3</v>
          </cell>
          <cell r="Q240">
            <v>308</v>
          </cell>
          <cell r="R240">
            <v>1324.3999999999999</v>
          </cell>
          <cell r="S240"/>
          <cell r="T240">
            <v>0</v>
          </cell>
          <cell r="U240">
            <v>1124</v>
          </cell>
          <cell r="V240">
            <v>4833.2</v>
          </cell>
          <cell r="W240">
            <v>1000</v>
          </cell>
          <cell r="X240">
            <v>4300</v>
          </cell>
          <cell r="Y240">
            <v>908</v>
          </cell>
          <cell r="Z240">
            <v>3904.3999999999996</v>
          </cell>
          <cell r="AA240">
            <v>908</v>
          </cell>
          <cell r="AB240">
            <v>3904.3999999999996</v>
          </cell>
          <cell r="AC240">
            <v>908</v>
          </cell>
          <cell r="AD240">
            <v>3904.3999999999996</v>
          </cell>
          <cell r="AE240"/>
          <cell r="AF240"/>
          <cell r="AG240"/>
          <cell r="AH240"/>
          <cell r="AI240"/>
          <cell r="AJ240">
            <v>0</v>
          </cell>
          <cell r="AK240" t="str">
            <v>3P</v>
          </cell>
          <cell r="AL240">
            <v>213</v>
          </cell>
          <cell r="AM240">
            <v>440</v>
          </cell>
          <cell r="AN240" t="str">
            <v>01 Existing Dealer</v>
          </cell>
          <cell r="AO240" t="str">
            <v>Southeast</v>
          </cell>
          <cell r="AP240" t="str">
            <v>South</v>
          </cell>
          <cell r="AQ240"/>
          <cell r="AR240">
            <v>0</v>
          </cell>
          <cell r="AS240">
            <v>0</v>
          </cell>
        </row>
        <row r="241">
          <cell r="A241">
            <v>12468</v>
          </cell>
          <cell r="B241" t="str">
            <v>RENTZ</v>
          </cell>
          <cell r="C241" t="str">
            <v>M10348</v>
          </cell>
          <cell r="D241" t="str">
            <v>NET 5, BT+</v>
          </cell>
          <cell r="E241" t="str">
            <v>S1</v>
          </cell>
          <cell r="F241" t="str">
            <v>Copies</v>
          </cell>
          <cell r="G241" t="str">
            <v>GA</v>
          </cell>
          <cell r="H241">
            <v>9</v>
          </cell>
          <cell r="I241">
            <v>0.66500000000000004</v>
          </cell>
          <cell r="J241" t="str">
            <v>Orphaned Acct</v>
          </cell>
          <cell r="K241" t="str">
            <v>HUDSON</v>
          </cell>
          <cell r="L241" t="str">
            <v>FL</v>
          </cell>
          <cell r="M241" t="str">
            <v>800-577-8858</v>
          </cell>
          <cell r="N241"/>
          <cell r="O241">
            <v>961</v>
          </cell>
          <cell r="P241">
            <v>4132.3</v>
          </cell>
          <cell r="Q241">
            <v>308</v>
          </cell>
          <cell r="R241">
            <v>1324.3999999999999</v>
          </cell>
          <cell r="S241"/>
          <cell r="T241">
            <v>0</v>
          </cell>
          <cell r="U241">
            <v>1124</v>
          </cell>
          <cell r="V241">
            <v>4833.2</v>
          </cell>
          <cell r="W241">
            <v>1000</v>
          </cell>
          <cell r="X241">
            <v>4300</v>
          </cell>
          <cell r="Y241">
            <v>908</v>
          </cell>
          <cell r="Z241">
            <v>3904.3999999999996</v>
          </cell>
          <cell r="AA241">
            <v>908</v>
          </cell>
          <cell r="AB241">
            <v>3904.3999999999996</v>
          </cell>
          <cell r="AC241">
            <v>908</v>
          </cell>
          <cell r="AD241">
            <v>3904.3999999999996</v>
          </cell>
          <cell r="AE241"/>
          <cell r="AF241"/>
          <cell r="AG241"/>
          <cell r="AH241"/>
          <cell r="AI241"/>
          <cell r="AJ241">
            <v>0</v>
          </cell>
          <cell r="AK241" t="str">
            <v>3P</v>
          </cell>
          <cell r="AL241">
            <v>213</v>
          </cell>
          <cell r="AM241">
            <v>440</v>
          </cell>
          <cell r="AN241" t="str">
            <v>01 Existing Dealer</v>
          </cell>
          <cell r="AO241" t="str">
            <v>Southeast</v>
          </cell>
          <cell r="AP241" t="str">
            <v>South</v>
          </cell>
          <cell r="AQ241"/>
          <cell r="AR241">
            <v>0</v>
          </cell>
          <cell r="AS241">
            <v>0</v>
          </cell>
        </row>
        <row r="242">
          <cell r="A242">
            <v>12453</v>
          </cell>
          <cell r="B242" t="str">
            <v>RIGHT TRAILERS</v>
          </cell>
          <cell r="C242" t="str">
            <v>M10350</v>
          </cell>
          <cell r="D242" t="str">
            <v>Net 30, no pink card</v>
          </cell>
          <cell r="E242">
            <v>30</v>
          </cell>
          <cell r="F242" t="str">
            <v>Yes</v>
          </cell>
          <cell r="G242" t="str">
            <v>GA</v>
          </cell>
          <cell r="H242">
            <v>7</v>
          </cell>
          <cell r="I242">
            <v>0.66500000000000004</v>
          </cell>
          <cell r="J242" t="str">
            <v>Dakota Nation</v>
          </cell>
          <cell r="K242" t="str">
            <v>LAKELAND</v>
          </cell>
          <cell r="L242" t="str">
            <v>FL</v>
          </cell>
          <cell r="M242" t="str">
            <v>800-577-8858</v>
          </cell>
          <cell r="N242" t="str">
            <v>Please email full VIN's on trailers as soon as tagged</v>
          </cell>
          <cell r="O242">
            <v>1015</v>
          </cell>
          <cell r="P242">
            <v>4364.5</v>
          </cell>
          <cell r="Q242">
            <v>310</v>
          </cell>
          <cell r="R242">
            <v>1333</v>
          </cell>
          <cell r="S242"/>
          <cell r="T242">
            <v>0</v>
          </cell>
          <cell r="U242">
            <v>1178</v>
          </cell>
          <cell r="V242">
            <v>5065.3999999999996</v>
          </cell>
          <cell r="W242">
            <v>1054</v>
          </cell>
          <cell r="X242">
            <v>4532.2</v>
          </cell>
          <cell r="Y242"/>
          <cell r="Z242">
            <v>0</v>
          </cell>
          <cell r="AA242"/>
          <cell r="AB242">
            <v>0</v>
          </cell>
          <cell r="AC242"/>
          <cell r="AD242">
            <v>0</v>
          </cell>
          <cell r="AE242"/>
          <cell r="AF242"/>
          <cell r="AG242"/>
          <cell r="AH242"/>
          <cell r="AI242"/>
          <cell r="AJ242">
            <v>0</v>
          </cell>
          <cell r="AK242" t="str">
            <v>3P</v>
          </cell>
          <cell r="AL242">
            <v>223</v>
          </cell>
          <cell r="AM242">
            <v>239</v>
          </cell>
          <cell r="AN242" t="str">
            <v>01 Existing Dealer</v>
          </cell>
          <cell r="AO242" t="str">
            <v>Southeast</v>
          </cell>
          <cell r="AP242" t="str">
            <v>South</v>
          </cell>
          <cell r="AQ242"/>
          <cell r="AR242">
            <v>0</v>
          </cell>
          <cell r="AS242">
            <v>0</v>
          </cell>
        </row>
        <row r="243">
          <cell r="A243">
            <v>12469</v>
          </cell>
          <cell r="B243" t="str">
            <v>RIGHT TRAILERS</v>
          </cell>
          <cell r="C243" t="str">
            <v>M10350</v>
          </cell>
          <cell r="D243" t="str">
            <v>NET 5, BT+</v>
          </cell>
          <cell r="E243" t="str">
            <v>CO</v>
          </cell>
          <cell r="F243" t="str">
            <v>Copies</v>
          </cell>
          <cell r="G243" t="str">
            <v>GA</v>
          </cell>
          <cell r="H243">
            <v>9</v>
          </cell>
          <cell r="I243">
            <v>0.66500000000000004</v>
          </cell>
          <cell r="J243" t="str">
            <v>Dakota Nation</v>
          </cell>
          <cell r="K243" t="str">
            <v>LAKELAND</v>
          </cell>
          <cell r="L243" t="str">
            <v>FL</v>
          </cell>
          <cell r="M243" t="str">
            <v>800-577-8858</v>
          </cell>
          <cell r="N243" t="str">
            <v>Please email full VIN's on trailers as soon as tagged</v>
          </cell>
          <cell r="O243">
            <v>1015</v>
          </cell>
          <cell r="P243">
            <v>4364.5</v>
          </cell>
          <cell r="Q243" t="str"/>
          <cell r="R243" t="str"/>
          <cell r="S243" t="str"/>
          <cell r="T243" t="str"/>
          <cell r="U243" t="str"/>
          <cell r="V243" t="str"/>
          <cell r="W243" t="str"/>
          <cell r="X243" t="str"/>
          <cell r="Y243"/>
          <cell r="Z243">
            <v>0</v>
          </cell>
          <cell r="AA243"/>
          <cell r="AB243">
            <v>0</v>
          </cell>
          <cell r="AC243"/>
          <cell r="AD243">
            <v>0</v>
          </cell>
          <cell r="AE243"/>
          <cell r="AF243"/>
          <cell r="AG243"/>
          <cell r="AH243"/>
          <cell r="AI243"/>
          <cell r="AJ243">
            <v>0</v>
          </cell>
          <cell r="AK243" t="str">
            <v>3P</v>
          </cell>
          <cell r="AL243">
            <v>223</v>
          </cell>
          <cell r="AM243">
            <v>239</v>
          </cell>
          <cell r="AN243" t="str">
            <v>01 Existing Dealer</v>
          </cell>
          <cell r="AO243" t="str">
            <v>Southeast</v>
          </cell>
          <cell r="AP243" t="str">
            <v>South</v>
          </cell>
          <cell r="AQ243"/>
          <cell r="AR243">
            <v>0</v>
          </cell>
          <cell r="AS243">
            <v>0</v>
          </cell>
        </row>
        <row r="244">
          <cell r="A244">
            <v>13579</v>
          </cell>
          <cell r="B244" t="str">
            <v>PARKWAY dba TRAILERMAX</v>
          </cell>
          <cell r="C244" t="str">
            <v>M11099</v>
          </cell>
          <cell r="D244" t="str">
            <v>NET 5, BT+</v>
          </cell>
          <cell r="E244" t="str">
            <v>CO</v>
          </cell>
          <cell r="F244" t="str">
            <v>Yes</v>
          </cell>
          <cell r="G244" t="str">
            <v>GA</v>
          </cell>
          <cell r="H244">
            <v>7</v>
          </cell>
          <cell r="I244">
            <v>0.66500000000000004</v>
          </cell>
          <cell r="J244" t="str">
            <v>Lane Davis</v>
          </cell>
          <cell r="K244" t="str">
            <v>HOMESTEAD</v>
          </cell>
          <cell r="L244" t="str">
            <v>FL</v>
          </cell>
          <cell r="M244" t="str">
            <v>800-577-8858</v>
          </cell>
          <cell r="N244" t="str">
            <v>BRK2 on all tandems</v>
          </cell>
          <cell r="O244">
            <v>1252</v>
          </cell>
          <cell r="P244">
            <v>5383.5999999999995</v>
          </cell>
          <cell r="Q244">
            <v>552</v>
          </cell>
          <cell r="R244">
            <v>2373.6</v>
          </cell>
          <cell r="S244"/>
          <cell r="T244">
            <v>0</v>
          </cell>
          <cell r="U244">
            <v>1416</v>
          </cell>
          <cell r="V244">
            <v>6088.8</v>
          </cell>
          <cell r="W244">
            <v>1292</v>
          </cell>
          <cell r="X244">
            <v>5555.5999999999995</v>
          </cell>
          <cell r="Y244">
            <v>1170</v>
          </cell>
          <cell r="Z244">
            <v>5031</v>
          </cell>
          <cell r="AA244">
            <v>1170</v>
          </cell>
          <cell r="AB244">
            <v>5031</v>
          </cell>
          <cell r="AC244">
            <v>1170</v>
          </cell>
          <cell r="AD244">
            <v>5031</v>
          </cell>
          <cell r="AE244"/>
          <cell r="AF244"/>
          <cell r="AG244"/>
          <cell r="AH244"/>
          <cell r="AI244"/>
          <cell r="AJ244">
            <v>0</v>
          </cell>
          <cell r="AK244" t="str">
            <v>3P</v>
          </cell>
          <cell r="AL244">
            <v>275</v>
          </cell>
          <cell r="AM244">
            <v>293</v>
          </cell>
          <cell r="AN244" t="str">
            <v>03 New Dealer</v>
          </cell>
          <cell r="AO244" t="str">
            <v>Southeast</v>
          </cell>
          <cell r="AP244" t="str">
            <v>South</v>
          </cell>
          <cell r="AQ244"/>
          <cell r="AR244">
            <v>0</v>
          </cell>
          <cell r="AS244">
            <v>0</v>
          </cell>
        </row>
        <row r="245">
          <cell r="A245">
            <v>10434</v>
          </cell>
          <cell r="B245" t="str">
            <v>SANDERS FARM</v>
          </cell>
          <cell r="C245" t="str">
            <v>M10365</v>
          </cell>
          <cell r="D245" t="str">
            <v>NET 5, BT+</v>
          </cell>
          <cell r="E245" t="str">
            <v>F3 - Northpoint</v>
          </cell>
          <cell r="F245" t="str">
            <v>Yes</v>
          </cell>
          <cell r="G245" t="str">
            <v>GA</v>
          </cell>
          <cell r="H245">
            <v>8</v>
          </cell>
          <cell r="I245">
            <v>0.66500000000000004</v>
          </cell>
          <cell r="J245" t="str">
            <v>Trent Evans</v>
          </cell>
          <cell r="K245" t="str">
            <v>OCALA</v>
          </cell>
          <cell r="L245" t="str">
            <v>FL</v>
          </cell>
          <cell r="M245" t="str">
            <v>800-577-8858</v>
          </cell>
          <cell r="N245" t="str">
            <v>FLOORPLAN w/ NORTHPOINT</v>
          </cell>
          <cell r="O245">
            <v>990</v>
          </cell>
          <cell r="P245">
            <v>4257</v>
          </cell>
          <cell r="Q245">
            <v>226</v>
          </cell>
          <cell r="R245">
            <v>971.8</v>
          </cell>
          <cell r="S245"/>
          <cell r="T245">
            <v>0</v>
          </cell>
          <cell r="U245">
            <v>1176</v>
          </cell>
          <cell r="V245">
            <v>5056.8</v>
          </cell>
          <cell r="W245">
            <v>1016</v>
          </cell>
          <cell r="X245">
            <v>4368.8</v>
          </cell>
          <cell r="Y245">
            <v>972</v>
          </cell>
          <cell r="Z245">
            <v>4179.5999999999995</v>
          </cell>
          <cell r="AA245">
            <v>972</v>
          </cell>
          <cell r="AB245">
            <v>4179.5999999999995</v>
          </cell>
          <cell r="AC245">
            <v>972</v>
          </cell>
          <cell r="AD245">
            <v>4179.5999999999995</v>
          </cell>
          <cell r="AE245"/>
          <cell r="AF245"/>
          <cell r="AG245"/>
          <cell r="AH245"/>
          <cell r="AI245"/>
          <cell r="AJ245">
            <v>0</v>
          </cell>
          <cell r="AK245" t="str">
            <v>3P</v>
          </cell>
          <cell r="AL245">
            <v>226</v>
          </cell>
          <cell r="AM245">
            <v>326</v>
          </cell>
          <cell r="AN245" t="str">
            <v>01 Existing Dealer</v>
          </cell>
          <cell r="AO245" t="str">
            <v>Southeast</v>
          </cell>
          <cell r="AP245" t="str">
            <v>South</v>
          </cell>
          <cell r="AQ245"/>
          <cell r="AR245">
            <v>0</v>
          </cell>
          <cell r="AS245">
            <v>0</v>
          </cell>
        </row>
        <row r="246">
          <cell r="A246">
            <v>13157</v>
          </cell>
          <cell r="B246" t="str">
            <v>SANDERS FARM</v>
          </cell>
          <cell r="C246" t="str">
            <v>M10365</v>
          </cell>
          <cell r="D246" t="str">
            <v>NET 5, BT+</v>
          </cell>
          <cell r="E246" t="str">
            <v>CO</v>
          </cell>
          <cell r="F246" t="str">
            <v>Yes</v>
          </cell>
          <cell r="G246" t="str">
            <v>GA</v>
          </cell>
          <cell r="H246">
            <v>7</v>
          </cell>
          <cell r="I246">
            <v>0.66500000000000004</v>
          </cell>
          <cell r="J246" t="str">
            <v>Trent Evans</v>
          </cell>
          <cell r="K246" t="str">
            <v>OCALA</v>
          </cell>
          <cell r="L246" t="str">
            <v>FL</v>
          </cell>
          <cell r="M246" t="str">
            <v>800-577-8858</v>
          </cell>
          <cell r="N246"/>
          <cell r="O246">
            <v>990</v>
          </cell>
          <cell r="P246">
            <v>4257</v>
          </cell>
          <cell r="Q246">
            <v>226</v>
          </cell>
          <cell r="R246">
            <v>971.8</v>
          </cell>
          <cell r="S246"/>
          <cell r="T246">
            <v>0</v>
          </cell>
          <cell r="U246">
            <v>1176</v>
          </cell>
          <cell r="V246">
            <v>5056.8</v>
          </cell>
          <cell r="W246">
            <v>1016</v>
          </cell>
          <cell r="X246">
            <v>4368.8</v>
          </cell>
          <cell r="Y246">
            <v>972</v>
          </cell>
          <cell r="Z246">
            <v>4179.5999999999995</v>
          </cell>
          <cell r="AA246">
            <v>972</v>
          </cell>
          <cell r="AB246">
            <v>4179.5999999999995</v>
          </cell>
          <cell r="AC246">
            <v>972</v>
          </cell>
          <cell r="AD246">
            <v>4179.5999999999995</v>
          </cell>
          <cell r="AE246"/>
          <cell r="AF246"/>
          <cell r="AG246"/>
          <cell r="AH246"/>
          <cell r="AI246"/>
          <cell r="AJ246">
            <v>0</v>
          </cell>
          <cell r="AK246" t="str">
            <v>3P</v>
          </cell>
          <cell r="AL246">
            <v>226</v>
          </cell>
          <cell r="AM246">
            <v>326</v>
          </cell>
          <cell r="AN246" t="str">
            <v>01 Existing Dealer</v>
          </cell>
          <cell r="AO246" t="str">
            <v>Southeast</v>
          </cell>
          <cell r="AP246" t="str">
            <v>South</v>
          </cell>
          <cell r="AQ246"/>
          <cell r="AR246">
            <v>102330</v>
          </cell>
          <cell r="AS246">
            <v>0</v>
          </cell>
        </row>
        <row r="247">
          <cell r="A247">
            <v>13164</v>
          </cell>
          <cell r="B247" t="str">
            <v>SKIPPER</v>
          </cell>
          <cell r="C247" t="str">
            <v>M10374</v>
          </cell>
          <cell r="D247" t="str">
            <v>NET 5, BT+</v>
          </cell>
          <cell r="E247" t="str">
            <v>FP - Wells Fargo</v>
          </cell>
          <cell r="F247" t="str">
            <v>Yes</v>
          </cell>
          <cell r="G247" t="str">
            <v>GA</v>
          </cell>
          <cell r="H247">
            <v>7</v>
          </cell>
          <cell r="I247">
            <v>0.66500000000000004</v>
          </cell>
          <cell r="J247" t="str">
            <v>JL Smith</v>
          </cell>
          <cell r="K247" t="str">
            <v>PENSACOLA</v>
          </cell>
          <cell r="L247" t="str">
            <v>FL</v>
          </cell>
          <cell r="M247" t="str">
            <v>800-577-8858</v>
          </cell>
          <cell r="N247" t="str">
            <v>Dealer is closed on Monday unless previously arranged</v>
          </cell>
          <cell r="O247">
            <v>562</v>
          </cell>
          <cell r="P247">
            <v>2416.6</v>
          </cell>
          <cell r="Q247">
            <v>278</v>
          </cell>
          <cell r="R247">
            <v>1195.3999999999999</v>
          </cell>
          <cell r="S247"/>
          <cell r="T247">
            <v>0</v>
          </cell>
          <cell r="U247">
            <v>725</v>
          </cell>
          <cell r="V247">
            <v>3117.5</v>
          </cell>
          <cell r="W247">
            <v>601</v>
          </cell>
          <cell r="X247">
            <v>2584.2999999999997</v>
          </cell>
          <cell r="Y247">
            <v>729</v>
          </cell>
          <cell r="Z247">
            <v>3134.7</v>
          </cell>
          <cell r="AA247">
            <v>729</v>
          </cell>
          <cell r="AB247">
            <v>3134.7</v>
          </cell>
          <cell r="AC247">
            <v>729</v>
          </cell>
          <cell r="AD247">
            <v>3134.7</v>
          </cell>
          <cell r="AE247"/>
          <cell r="AF247"/>
          <cell r="AG247"/>
          <cell r="AH247"/>
          <cell r="AI247"/>
          <cell r="AJ247">
            <v>0</v>
          </cell>
          <cell r="AK247" t="str">
            <v>3P</v>
          </cell>
          <cell r="AL247">
            <v>151</v>
          </cell>
          <cell r="AM247">
            <v>343</v>
          </cell>
          <cell r="AN247" t="str">
            <v>01 Existing Dealer</v>
          </cell>
          <cell r="AO247" t="str">
            <v>Southeast</v>
          </cell>
          <cell r="AP247" t="str">
            <v>South</v>
          </cell>
          <cell r="AQ247"/>
          <cell r="AR247">
            <v>0</v>
          </cell>
          <cell r="AS247">
            <v>0</v>
          </cell>
        </row>
        <row r="248">
          <cell r="A248">
            <v>11820</v>
          </cell>
          <cell r="B248" t="str">
            <v>SKIPPER</v>
          </cell>
          <cell r="C248" t="str">
            <v>M10374</v>
          </cell>
          <cell r="D248" t="str">
            <v>NET 5, BT+</v>
          </cell>
          <cell r="E248" t="str">
            <v>CO</v>
          </cell>
          <cell r="F248" t="str">
            <v>Yes</v>
          </cell>
          <cell r="G248" t="str">
            <v>GA</v>
          </cell>
          <cell r="H248">
            <v>7</v>
          </cell>
          <cell r="I248">
            <v>0.66500000000000004</v>
          </cell>
          <cell r="J248" t="str">
            <v>House</v>
          </cell>
          <cell r="K248" t="str">
            <v>PENSACOLA</v>
          </cell>
          <cell r="L248" t="str">
            <v>FL</v>
          </cell>
          <cell r="M248" t="str">
            <v>800-577-8858</v>
          </cell>
          <cell r="N248" t="str">
            <v>Dealer is closed on Monday unless previously arranged</v>
          </cell>
          <cell r="O248">
            <v>562</v>
          </cell>
          <cell r="P248">
            <v>2416.6</v>
          </cell>
          <cell r="Q248">
            <v>278</v>
          </cell>
          <cell r="R248">
            <v>1195.3999999999999</v>
          </cell>
          <cell r="S248"/>
          <cell r="T248">
            <v>0</v>
          </cell>
          <cell r="U248">
            <v>725</v>
          </cell>
          <cell r="V248">
            <v>3117.5</v>
          </cell>
          <cell r="W248">
            <v>601</v>
          </cell>
          <cell r="X248">
            <v>2584.2999999999997</v>
          </cell>
          <cell r="Y248">
            <v>729</v>
          </cell>
          <cell r="Z248">
            <v>3134.7</v>
          </cell>
          <cell r="AA248">
            <v>729</v>
          </cell>
          <cell r="AB248">
            <v>3134.7</v>
          </cell>
          <cell r="AC248">
            <v>729</v>
          </cell>
          <cell r="AD248">
            <v>3134.7</v>
          </cell>
          <cell r="AE248"/>
          <cell r="AF248"/>
          <cell r="AG248"/>
          <cell r="AH248"/>
          <cell r="AI248"/>
          <cell r="AJ248">
            <v>0</v>
          </cell>
          <cell r="AK248" t="str">
            <v>3P</v>
          </cell>
          <cell r="AL248">
            <v>400</v>
          </cell>
          <cell r="AM248">
            <v>343</v>
          </cell>
          <cell r="AN248" t="str">
            <v>01 Existing Dealer</v>
          </cell>
          <cell r="AO248" t="str">
            <v>Southeast</v>
          </cell>
          <cell r="AP248" t="str">
            <v>South</v>
          </cell>
          <cell r="AQ248"/>
          <cell r="AR248">
            <v>0</v>
          </cell>
          <cell r="AS248">
            <v>0</v>
          </cell>
        </row>
        <row r="249">
          <cell r="A249">
            <v>12065</v>
          </cell>
          <cell r="B249" t="str">
            <v>TEXAS TRAILERS</v>
          </cell>
          <cell r="C249" t="str">
            <v>M10400</v>
          </cell>
          <cell r="D249" t="str">
            <v>Return Mail, no pink card</v>
          </cell>
          <cell r="E249" t="str">
            <v>F1 - Northpoint</v>
          </cell>
          <cell r="F249" t="str">
            <v>Yes</v>
          </cell>
          <cell r="G249" t="str">
            <v>GA</v>
          </cell>
          <cell r="H249">
            <v>8</v>
          </cell>
          <cell r="I249">
            <v>0.66500000000000004</v>
          </cell>
          <cell r="J249" t="str">
            <v>Lane Davis</v>
          </cell>
          <cell r="K249" t="str">
            <v>GAINESVILLE</v>
          </cell>
          <cell r="L249" t="str">
            <v>FL</v>
          </cell>
          <cell r="M249" t="str">
            <v>800-577-8858</v>
          </cell>
          <cell r="N249"/>
          <cell r="O249">
            <v>896</v>
          </cell>
          <cell r="P249">
            <v>3852.7999999999997</v>
          </cell>
          <cell r="Q249">
            <v>191</v>
          </cell>
          <cell r="R249">
            <v>821.3</v>
          </cell>
          <cell r="S249"/>
          <cell r="T249">
            <v>0</v>
          </cell>
          <cell r="U249">
            <v>1059</v>
          </cell>
          <cell r="V249">
            <v>4553.7</v>
          </cell>
          <cell r="W249">
            <v>935</v>
          </cell>
          <cell r="X249">
            <v>4020.5</v>
          </cell>
          <cell r="Y249">
            <v>809</v>
          </cell>
          <cell r="Z249">
            <v>3478.7</v>
          </cell>
          <cell r="AA249">
            <v>809</v>
          </cell>
          <cell r="AB249">
            <v>3478.7</v>
          </cell>
          <cell r="AC249">
            <v>809</v>
          </cell>
          <cell r="AD249">
            <v>3478.7</v>
          </cell>
          <cell r="AE249"/>
          <cell r="AF249"/>
          <cell r="AG249"/>
          <cell r="AH249"/>
          <cell r="AI249"/>
          <cell r="AJ249">
            <v>4.4999999999999998E-2</v>
          </cell>
          <cell r="AK249" t="str">
            <v>3P</v>
          </cell>
          <cell r="AL249">
            <v>275</v>
          </cell>
          <cell r="AM249">
            <v>159</v>
          </cell>
          <cell r="AN249" t="str">
            <v>01 Existing Dealer</v>
          </cell>
          <cell r="AO249" t="str">
            <v>Southeast</v>
          </cell>
          <cell r="AP249" t="str">
            <v>South</v>
          </cell>
          <cell r="AQ249"/>
          <cell r="AR249">
            <v>613640</v>
          </cell>
          <cell r="AS249">
            <v>266011</v>
          </cell>
        </row>
        <row r="250">
          <cell r="A250">
            <v>12980</v>
          </cell>
          <cell r="B250" t="str">
            <v>TEXAS TRAILERS</v>
          </cell>
          <cell r="C250" t="str">
            <v>M10400</v>
          </cell>
          <cell r="D250" t="str">
            <v>Return Mail, no pink card</v>
          </cell>
          <cell r="E250" t="str">
            <v>RM</v>
          </cell>
          <cell r="F250" t="str">
            <v>Yes</v>
          </cell>
          <cell r="G250" t="str">
            <v>GA</v>
          </cell>
          <cell r="H250">
            <v>5</v>
          </cell>
          <cell r="I250">
            <v>0.66500000000000004</v>
          </cell>
          <cell r="J250" t="str">
            <v>Lane Davis</v>
          </cell>
          <cell r="K250" t="str">
            <v>GAINESVILLE</v>
          </cell>
          <cell r="L250" t="str">
            <v>FL</v>
          </cell>
          <cell r="M250" t="str">
            <v>800-577-8858</v>
          </cell>
          <cell r="N250"/>
          <cell r="O250">
            <v>896</v>
          </cell>
          <cell r="P250">
            <v>3852.7999999999997</v>
          </cell>
          <cell r="Q250">
            <v>191</v>
          </cell>
          <cell r="R250">
            <v>821.3</v>
          </cell>
          <cell r="S250"/>
          <cell r="T250">
            <v>0</v>
          </cell>
          <cell r="U250">
            <v>1059</v>
          </cell>
          <cell r="V250">
            <v>4553.7</v>
          </cell>
          <cell r="W250">
            <v>935</v>
          </cell>
          <cell r="X250">
            <v>4020.5</v>
          </cell>
          <cell r="Y250">
            <v>809</v>
          </cell>
          <cell r="Z250">
            <v>3478.7</v>
          </cell>
          <cell r="AA250">
            <v>809</v>
          </cell>
          <cell r="AB250">
            <v>3478.7</v>
          </cell>
          <cell r="AC250">
            <v>809</v>
          </cell>
          <cell r="AD250">
            <v>3478.7</v>
          </cell>
          <cell r="AE250"/>
          <cell r="AF250"/>
          <cell r="AG250"/>
          <cell r="AH250"/>
          <cell r="AI250"/>
          <cell r="AJ250">
            <v>4.4999999999999998E-2</v>
          </cell>
          <cell r="AK250" t="str">
            <v>3P</v>
          </cell>
          <cell r="AL250">
            <v>275</v>
          </cell>
          <cell r="AM250">
            <v>159</v>
          </cell>
          <cell r="AN250" t="str">
            <v>01 Existing Dealer</v>
          </cell>
          <cell r="AO250" t="str">
            <v>Southeast</v>
          </cell>
          <cell r="AP250" t="str">
            <v>South</v>
          </cell>
          <cell r="AQ250"/>
          <cell r="AR250">
            <v>0</v>
          </cell>
          <cell r="AS250">
            <v>0</v>
          </cell>
        </row>
        <row r="251">
          <cell r="A251">
            <v>11115</v>
          </cell>
          <cell r="B251" t="str">
            <v>THE CAR SHOP TRAILER SALES,LLC</v>
          </cell>
          <cell r="C251" t="str">
            <v>M10401</v>
          </cell>
          <cell r="D251" t="str">
            <v>NET 5, BT+</v>
          </cell>
          <cell r="E251" t="str">
            <v>FP - Wells Fargo</v>
          </cell>
          <cell r="F251" t="str">
            <v>Yes</v>
          </cell>
          <cell r="G251" t="str">
            <v>GA</v>
          </cell>
          <cell r="H251">
            <v>8</v>
          </cell>
          <cell r="I251">
            <v>0.66500000000000004</v>
          </cell>
          <cell r="J251" t="str">
            <v>Orphaned Acct</v>
          </cell>
          <cell r="K251" t="str">
            <v>HOLLY HILL</v>
          </cell>
          <cell r="L251" t="str">
            <v>FL</v>
          </cell>
          <cell r="M251" t="str">
            <v>800-577-8858</v>
          </cell>
          <cell r="N251" t="str">
            <v>Email Copy of MSO's to DSR - Do NOT send.</v>
          </cell>
          <cell r="O251">
            <v>997</v>
          </cell>
          <cell r="P251">
            <v>4287.0999999999995</v>
          </cell>
          <cell r="Q251">
            <v>292</v>
          </cell>
          <cell r="R251">
            <v>1255.5999999999999</v>
          </cell>
          <cell r="S251"/>
          <cell r="T251">
            <v>0</v>
          </cell>
          <cell r="U251">
            <v>1160</v>
          </cell>
          <cell r="V251">
            <v>4988</v>
          </cell>
          <cell r="W251">
            <v>1036</v>
          </cell>
          <cell r="X251">
            <v>4454.8</v>
          </cell>
          <cell r="Y251"/>
          <cell r="Z251">
            <v>0</v>
          </cell>
          <cell r="AA251"/>
          <cell r="AB251">
            <v>0</v>
          </cell>
          <cell r="AC251"/>
          <cell r="AD251">
            <v>0</v>
          </cell>
          <cell r="AE251"/>
          <cell r="AF251"/>
          <cell r="AG251"/>
          <cell r="AH251"/>
          <cell r="AI251"/>
          <cell r="AJ251">
            <v>0</v>
          </cell>
          <cell r="AK251" t="str">
            <v>3P</v>
          </cell>
          <cell r="AL251">
            <v>213</v>
          </cell>
          <cell r="AM251">
            <v>107</v>
          </cell>
          <cell r="AN251" t="str">
            <v>08 Inactive Dealer</v>
          </cell>
          <cell r="AO251" t="str">
            <v>Southeast</v>
          </cell>
          <cell r="AP251" t="str">
            <v>South</v>
          </cell>
          <cell r="AQ251"/>
          <cell r="AR251">
            <v>0</v>
          </cell>
          <cell r="AS251">
            <v>0</v>
          </cell>
        </row>
        <row r="252">
          <cell r="A252">
            <v>12636</v>
          </cell>
          <cell r="B252" t="str">
            <v>THE CAR SHOP TRAILER SALES,LLC</v>
          </cell>
          <cell r="C252" t="str">
            <v>M10401</v>
          </cell>
          <cell r="D252" t="str">
            <v>NET 5, BT+</v>
          </cell>
          <cell r="E252" t="str">
            <v>C6</v>
          </cell>
          <cell r="F252" t="str">
            <v>Copies</v>
          </cell>
          <cell r="G252" t="str">
            <v>GA</v>
          </cell>
          <cell r="H252">
            <v>8</v>
          </cell>
          <cell r="I252">
            <v>0.66500000000000004</v>
          </cell>
          <cell r="J252" t="str">
            <v>Orphaned Acct</v>
          </cell>
          <cell r="K252" t="str">
            <v>HOLLY HILL</v>
          </cell>
          <cell r="L252" t="str">
            <v>FL</v>
          </cell>
          <cell r="M252" t="str">
            <v>800-577-8858</v>
          </cell>
          <cell r="N252" t="str">
            <v>Email Copy of MSO's to DSR - Do NOT send.</v>
          </cell>
          <cell r="O252">
            <v>997</v>
          </cell>
          <cell r="P252">
            <v>4287.0999999999995</v>
          </cell>
          <cell r="Q252">
            <v>292</v>
          </cell>
          <cell r="R252">
            <v>1255.5999999999999</v>
          </cell>
          <cell r="S252"/>
          <cell r="T252">
            <v>0</v>
          </cell>
          <cell r="U252">
            <v>1160</v>
          </cell>
          <cell r="V252">
            <v>4988</v>
          </cell>
          <cell r="W252">
            <v>1036</v>
          </cell>
          <cell r="X252">
            <v>4454.8</v>
          </cell>
          <cell r="Y252"/>
          <cell r="Z252">
            <v>0</v>
          </cell>
          <cell r="AA252"/>
          <cell r="AB252">
            <v>0</v>
          </cell>
          <cell r="AC252"/>
          <cell r="AD252">
            <v>0</v>
          </cell>
          <cell r="AE252"/>
          <cell r="AF252"/>
          <cell r="AG252"/>
          <cell r="AH252"/>
          <cell r="AI252"/>
          <cell r="AJ252">
            <v>0</v>
          </cell>
          <cell r="AK252" t="str">
            <v>3P</v>
          </cell>
          <cell r="AL252">
            <v>213</v>
          </cell>
          <cell r="AM252">
            <v>107</v>
          </cell>
          <cell r="AN252" t="str">
            <v>08 Inactive Dealer</v>
          </cell>
          <cell r="AO252" t="str">
            <v>Southeast</v>
          </cell>
          <cell r="AP252" t="str">
            <v>South</v>
          </cell>
          <cell r="AQ252"/>
          <cell r="AR252">
            <v>0</v>
          </cell>
          <cell r="AS252">
            <v>0</v>
          </cell>
        </row>
        <row r="253">
          <cell r="A253">
            <v>10919</v>
          </cell>
          <cell r="B253" t="str">
            <v>TROPIC</v>
          </cell>
          <cell r="C253" t="str">
            <v>M10427</v>
          </cell>
          <cell r="D253" t="str">
            <v>NET 5, BT+</v>
          </cell>
          <cell r="E253" t="str">
            <v>CO</v>
          </cell>
          <cell r="F253" t="str">
            <v>Yes</v>
          </cell>
          <cell r="G253" t="str">
            <v>GA</v>
          </cell>
          <cell r="H253">
            <v>8</v>
          </cell>
          <cell r="I253">
            <v>0.66500000000000004</v>
          </cell>
          <cell r="J253" t="str">
            <v>Lane Davis</v>
          </cell>
          <cell r="K253" t="str">
            <v>FORT MYERS</v>
          </cell>
          <cell r="L253" t="str">
            <v>FL</v>
          </cell>
          <cell r="M253" t="str">
            <v>800-577-8858</v>
          </cell>
          <cell r="N253"/>
          <cell r="O253">
            <v>1140</v>
          </cell>
          <cell r="P253">
            <v>4902</v>
          </cell>
          <cell r="Q253">
            <v>435</v>
          </cell>
          <cell r="R253">
            <v>1870.5</v>
          </cell>
          <cell r="S253"/>
          <cell r="T253">
            <v>0</v>
          </cell>
          <cell r="U253">
            <v>1303</v>
          </cell>
          <cell r="V253">
            <v>5602.9</v>
          </cell>
          <cell r="W253">
            <v>1179</v>
          </cell>
          <cell r="X253">
            <v>5069.7</v>
          </cell>
          <cell r="Y253">
            <v>1054</v>
          </cell>
          <cell r="Z253">
            <v>4532.2</v>
          </cell>
          <cell r="AA253">
            <v>1054</v>
          </cell>
          <cell r="AB253">
            <v>4532.2</v>
          </cell>
          <cell r="AC253">
            <v>1054</v>
          </cell>
          <cell r="AD253">
            <v>4532.2</v>
          </cell>
          <cell r="AE253"/>
          <cell r="AF253"/>
          <cell r="AG253"/>
          <cell r="AH253"/>
          <cell r="AI253"/>
          <cell r="AJ253">
            <v>0.04</v>
          </cell>
          <cell r="AK253" t="str">
            <v>3P</v>
          </cell>
          <cell r="AL253">
            <v>275</v>
          </cell>
          <cell r="AM253">
            <v>151</v>
          </cell>
          <cell r="AN253" t="str">
            <v>01 Existing Dealer</v>
          </cell>
          <cell r="AO253" t="str">
            <v>Southeast</v>
          </cell>
          <cell r="AP253" t="str">
            <v>South</v>
          </cell>
          <cell r="AQ253"/>
          <cell r="AR253">
            <v>0</v>
          </cell>
          <cell r="AS253">
            <v>0</v>
          </cell>
        </row>
        <row r="254">
          <cell r="A254" t="str">
            <v>10919A</v>
          </cell>
          <cell r="B254" t="str">
            <v>TROPIC</v>
          </cell>
          <cell r="C254" t="str">
            <v>M10427</v>
          </cell>
          <cell r="D254" t="str">
            <v>NET 5, BT+</v>
          </cell>
          <cell r="E254" t="str">
            <v>CO</v>
          </cell>
          <cell r="F254" t="str">
            <v>Yes</v>
          </cell>
          <cell r="G254" t="str">
            <v>GA</v>
          </cell>
          <cell r="H254">
            <v>8</v>
          </cell>
          <cell r="I254">
            <v>0.66500000000000004</v>
          </cell>
          <cell r="J254" t="str">
            <v>Lane Davis</v>
          </cell>
          <cell r="K254" t="str">
            <v>MARIANNA</v>
          </cell>
          <cell r="L254" t="str">
            <v>FL</v>
          </cell>
          <cell r="M254" t="str">
            <v>800-577-8858</v>
          </cell>
          <cell r="N254"/>
          <cell r="O254">
            <v>689</v>
          </cell>
          <cell r="P254">
            <v>2962.7</v>
          </cell>
          <cell r="Q254">
            <v>138</v>
          </cell>
          <cell r="R254">
            <v>593.4</v>
          </cell>
          <cell r="S254"/>
          <cell r="T254">
            <v>0</v>
          </cell>
          <cell r="U254">
            <v>852</v>
          </cell>
          <cell r="V254">
            <v>3663.6</v>
          </cell>
          <cell r="W254">
            <v>728</v>
          </cell>
          <cell r="X254">
            <v>3130.4</v>
          </cell>
          <cell r="Y254">
            <v>1054</v>
          </cell>
          <cell r="Z254">
            <v>4532.2</v>
          </cell>
          <cell r="AA254">
            <v>1054</v>
          </cell>
          <cell r="AB254">
            <v>4532.2</v>
          </cell>
          <cell r="AC254">
            <v>1054</v>
          </cell>
          <cell r="AD254">
            <v>4532.2</v>
          </cell>
          <cell r="AE254"/>
          <cell r="AF254"/>
          <cell r="AG254"/>
          <cell r="AH254"/>
          <cell r="AI254"/>
          <cell r="AJ254">
            <v>0.04</v>
          </cell>
          <cell r="AK254" t="str">
            <v>3P</v>
          </cell>
          <cell r="AL254">
            <v>275</v>
          </cell>
          <cell r="AM254">
            <v>439</v>
          </cell>
          <cell r="AN254" t="str">
            <v>01 Existing Dealer</v>
          </cell>
          <cell r="AO254" t="str">
            <v>Southeast</v>
          </cell>
          <cell r="AP254" t="str">
            <v>South</v>
          </cell>
          <cell r="AQ254"/>
          <cell r="AR254">
            <v>0</v>
          </cell>
          <cell r="AS254">
            <v>0</v>
          </cell>
        </row>
        <row r="255">
          <cell r="A255">
            <v>11647</v>
          </cell>
          <cell r="B255" t="str">
            <v>TROPIC</v>
          </cell>
          <cell r="C255" t="str">
            <v>M10427</v>
          </cell>
          <cell r="D255" t="str">
            <v>NET 5, BT+</v>
          </cell>
          <cell r="E255" t="str">
            <v>C6 - Use COD</v>
          </cell>
          <cell r="F255" t="str">
            <v>Copies</v>
          </cell>
          <cell r="G255" t="str">
            <v>GA</v>
          </cell>
          <cell r="H255">
            <v>9</v>
          </cell>
          <cell r="I255">
            <v>0.66500000000000004</v>
          </cell>
          <cell r="J255" t="str">
            <v>Lane Davis</v>
          </cell>
          <cell r="K255" t="str">
            <v>FORT MYERS</v>
          </cell>
          <cell r="L255" t="str">
            <v>FL</v>
          </cell>
          <cell r="M255" t="str">
            <v>800-577-8858</v>
          </cell>
          <cell r="N255"/>
          <cell r="O255">
            <v>1140</v>
          </cell>
          <cell r="P255">
            <v>4902</v>
          </cell>
          <cell r="Q255">
            <v>435</v>
          </cell>
          <cell r="R255">
            <v>1870.5</v>
          </cell>
          <cell r="S255"/>
          <cell r="T255">
            <v>0</v>
          </cell>
          <cell r="U255">
            <v>1303</v>
          </cell>
          <cell r="V255">
            <v>5602.9</v>
          </cell>
          <cell r="W255">
            <v>1179</v>
          </cell>
          <cell r="X255">
            <v>5069.7</v>
          </cell>
          <cell r="Y255">
            <v>1054</v>
          </cell>
          <cell r="Z255">
            <v>4532.2</v>
          </cell>
          <cell r="AA255">
            <v>1054</v>
          </cell>
          <cell r="AB255">
            <v>4532.2</v>
          </cell>
          <cell r="AC255">
            <v>1054</v>
          </cell>
          <cell r="AD255">
            <v>4532.2</v>
          </cell>
          <cell r="AE255"/>
          <cell r="AF255"/>
          <cell r="AG255"/>
          <cell r="AH255"/>
          <cell r="AI255"/>
          <cell r="AJ255">
            <v>0</v>
          </cell>
          <cell r="AK255" t="str">
            <v>3P</v>
          </cell>
          <cell r="AL255">
            <v>275</v>
          </cell>
          <cell r="AM255">
            <v>151</v>
          </cell>
          <cell r="AN255" t="str">
            <v>01 Existing Dealer</v>
          </cell>
          <cell r="AO255" t="str">
            <v>Southeast</v>
          </cell>
          <cell r="AP255" t="str">
            <v>South</v>
          </cell>
          <cell r="AQ255"/>
          <cell r="AR255">
            <v>0</v>
          </cell>
          <cell r="AS255">
            <v>0</v>
          </cell>
        </row>
        <row r="256">
          <cell r="A256">
            <v>11648</v>
          </cell>
          <cell r="B256" t="str">
            <v>TROPIC</v>
          </cell>
          <cell r="C256" t="str">
            <v>M10427</v>
          </cell>
          <cell r="D256" t="str">
            <v>NET 5, BT+</v>
          </cell>
          <cell r="E256" t="str">
            <v>F1 - Northpoint</v>
          </cell>
          <cell r="F256" t="str">
            <v>Yes</v>
          </cell>
          <cell r="G256" t="str">
            <v>GA</v>
          </cell>
          <cell r="H256">
            <v>9</v>
          </cell>
          <cell r="I256">
            <v>0.66500000000000004</v>
          </cell>
          <cell r="J256" t="str">
            <v>Lane Davis</v>
          </cell>
          <cell r="K256" t="str">
            <v>FORT MYERS</v>
          </cell>
          <cell r="L256" t="str">
            <v>FL</v>
          </cell>
          <cell r="M256" t="str">
            <v>800-577-8858</v>
          </cell>
          <cell r="N256"/>
          <cell r="O256">
            <v>1140</v>
          </cell>
          <cell r="P256">
            <v>4902</v>
          </cell>
          <cell r="Q256">
            <v>435</v>
          </cell>
          <cell r="R256">
            <v>1870.5</v>
          </cell>
          <cell r="S256"/>
          <cell r="T256">
            <v>0</v>
          </cell>
          <cell r="U256">
            <v>1303</v>
          </cell>
          <cell r="V256">
            <v>5602.9</v>
          </cell>
          <cell r="W256">
            <v>1179</v>
          </cell>
          <cell r="X256">
            <v>5069.7</v>
          </cell>
          <cell r="Y256">
            <v>1054</v>
          </cell>
          <cell r="Z256">
            <v>4532.2</v>
          </cell>
          <cell r="AA256">
            <v>1054</v>
          </cell>
          <cell r="AB256">
            <v>4532.2</v>
          </cell>
          <cell r="AC256">
            <v>1054</v>
          </cell>
          <cell r="AD256">
            <v>4532.2</v>
          </cell>
          <cell r="AE256"/>
          <cell r="AF256"/>
          <cell r="AG256"/>
          <cell r="AH256"/>
          <cell r="AI256"/>
          <cell r="AJ256">
            <v>0.04</v>
          </cell>
          <cell r="AK256" t="str">
            <v>3P</v>
          </cell>
          <cell r="AL256">
            <v>275</v>
          </cell>
          <cell r="AM256">
            <v>151</v>
          </cell>
          <cell r="AN256" t="str">
            <v>01 Existing Dealer</v>
          </cell>
          <cell r="AO256" t="str">
            <v>Southeast</v>
          </cell>
          <cell r="AP256" t="str">
            <v>South</v>
          </cell>
          <cell r="AQ256"/>
          <cell r="AR256">
            <v>0</v>
          </cell>
          <cell r="AS256">
            <v>0</v>
          </cell>
        </row>
        <row r="257">
          <cell r="A257" t="str">
            <v>11647A</v>
          </cell>
          <cell r="B257" t="str">
            <v>TROPIC</v>
          </cell>
          <cell r="C257" t="str">
            <v>M10427</v>
          </cell>
          <cell r="D257" t="str">
            <v>NET 5, BT+</v>
          </cell>
          <cell r="E257" t="str">
            <v>C6 - Use COD</v>
          </cell>
          <cell r="F257" t="str">
            <v>Copies</v>
          </cell>
          <cell r="G257" t="str">
            <v>GA</v>
          </cell>
          <cell r="H257">
            <v>9</v>
          </cell>
          <cell r="I257">
            <v>0.66500000000000004</v>
          </cell>
          <cell r="J257" t="str">
            <v>Lane Davis</v>
          </cell>
          <cell r="K257" t="str">
            <v>MARIANNA</v>
          </cell>
          <cell r="L257" t="str">
            <v>FL</v>
          </cell>
          <cell r="M257" t="str">
            <v>800-577-8858</v>
          </cell>
          <cell r="N257"/>
          <cell r="O257">
            <v>689</v>
          </cell>
          <cell r="P257">
            <v>2962.7</v>
          </cell>
          <cell r="Q257">
            <v>138</v>
          </cell>
          <cell r="R257">
            <v>593.4</v>
          </cell>
          <cell r="S257"/>
          <cell r="T257">
            <v>0</v>
          </cell>
          <cell r="U257">
            <v>852</v>
          </cell>
          <cell r="V257">
            <v>3663.6</v>
          </cell>
          <cell r="W257">
            <v>728</v>
          </cell>
          <cell r="X257">
            <v>3130.4</v>
          </cell>
          <cell r="Y257">
            <v>1054</v>
          </cell>
          <cell r="Z257">
            <v>4532.2</v>
          </cell>
          <cell r="AA257">
            <v>1054</v>
          </cell>
          <cell r="AB257">
            <v>4532.2</v>
          </cell>
          <cell r="AC257">
            <v>1054</v>
          </cell>
          <cell r="AD257">
            <v>4532.2</v>
          </cell>
          <cell r="AE257"/>
          <cell r="AF257"/>
          <cell r="AG257"/>
          <cell r="AH257"/>
          <cell r="AI257"/>
          <cell r="AJ257">
            <v>0</v>
          </cell>
          <cell r="AK257" t="str">
            <v>3P</v>
          </cell>
          <cell r="AL257">
            <v>275</v>
          </cell>
          <cell r="AM257">
            <v>439</v>
          </cell>
          <cell r="AN257" t="str">
            <v>01 Existing Dealer</v>
          </cell>
          <cell r="AO257" t="str">
            <v>Southeast</v>
          </cell>
          <cell r="AP257" t="str">
            <v>South</v>
          </cell>
          <cell r="AQ257"/>
          <cell r="AR257">
            <v>0</v>
          </cell>
          <cell r="AS257">
            <v>0</v>
          </cell>
        </row>
        <row r="258">
          <cell r="A258" t="str">
            <v>11648A</v>
          </cell>
          <cell r="B258" t="str">
            <v>TROPIC</v>
          </cell>
          <cell r="C258" t="str">
            <v>M10427</v>
          </cell>
          <cell r="D258" t="str">
            <v>NET 5, BT+</v>
          </cell>
          <cell r="E258" t="str">
            <v>F1 - Northpoint</v>
          </cell>
          <cell r="F258" t="str">
            <v>Yes</v>
          </cell>
          <cell r="G258" t="str">
            <v>GA</v>
          </cell>
          <cell r="H258">
            <v>9</v>
          </cell>
          <cell r="I258">
            <v>0.66500000000000004</v>
          </cell>
          <cell r="J258" t="str">
            <v>Lane Davis</v>
          </cell>
          <cell r="K258" t="str">
            <v>MARIANNA</v>
          </cell>
          <cell r="L258" t="str">
            <v>FL</v>
          </cell>
          <cell r="M258" t="str">
            <v>800-577-8858</v>
          </cell>
          <cell r="N258"/>
          <cell r="O258">
            <v>689</v>
          </cell>
          <cell r="P258">
            <v>2962.7</v>
          </cell>
          <cell r="Q258">
            <v>138</v>
          </cell>
          <cell r="R258">
            <v>593.4</v>
          </cell>
          <cell r="S258"/>
          <cell r="T258">
            <v>0</v>
          </cell>
          <cell r="U258">
            <v>852</v>
          </cell>
          <cell r="V258">
            <v>3663.6</v>
          </cell>
          <cell r="W258">
            <v>728</v>
          </cell>
          <cell r="X258">
            <v>3130.4</v>
          </cell>
          <cell r="Y258">
            <v>1054</v>
          </cell>
          <cell r="Z258">
            <v>4532.2</v>
          </cell>
          <cell r="AA258">
            <v>1054</v>
          </cell>
          <cell r="AB258">
            <v>4532.2</v>
          </cell>
          <cell r="AC258">
            <v>1054</v>
          </cell>
          <cell r="AD258">
            <v>4532.2</v>
          </cell>
          <cell r="AE258"/>
          <cell r="AF258"/>
          <cell r="AG258"/>
          <cell r="AH258"/>
          <cell r="AI258"/>
          <cell r="AJ258">
            <v>0.04</v>
          </cell>
          <cell r="AK258" t="str">
            <v>3P</v>
          </cell>
          <cell r="AL258">
            <v>275</v>
          </cell>
          <cell r="AM258">
            <v>439</v>
          </cell>
          <cell r="AN258" t="str">
            <v>01 Existing Dealer</v>
          </cell>
          <cell r="AO258" t="str">
            <v>Southeast</v>
          </cell>
          <cell r="AP258" t="str">
            <v>South</v>
          </cell>
          <cell r="AQ258"/>
          <cell r="AR258">
            <v>0</v>
          </cell>
          <cell r="AS258">
            <v>0</v>
          </cell>
        </row>
        <row r="259">
          <cell r="A259">
            <v>12762</v>
          </cell>
          <cell r="B259" t="str">
            <v>TW JACKSONVILLE</v>
          </cell>
          <cell r="C259" t="str">
            <v>M10063</v>
          </cell>
          <cell r="D259" t="str">
            <v>Net 30, no pink card</v>
          </cell>
          <cell r="E259">
            <v>30</v>
          </cell>
          <cell r="F259" t="str">
            <v>Yes</v>
          </cell>
          <cell r="G259" t="str">
            <v>GA</v>
          </cell>
          <cell r="H259">
            <v>10</v>
          </cell>
          <cell r="I259">
            <v>0.66500000000000004</v>
          </cell>
          <cell r="J259" t="str">
            <v>Jake McEntee</v>
          </cell>
          <cell r="K259" t="str">
            <v>JACKSONVILLE</v>
          </cell>
          <cell r="L259" t="str">
            <v>FL</v>
          </cell>
          <cell r="M259" t="str">
            <v>800-577-8858</v>
          </cell>
          <cell r="N259" t="str">
            <v>All tandem axle trailers must have BRK2</v>
          </cell>
          <cell r="O259">
            <v>919</v>
          </cell>
          <cell r="P259">
            <v>3951.7</v>
          </cell>
          <cell r="Q259">
            <v>214</v>
          </cell>
          <cell r="R259">
            <v>920.19999999999993</v>
          </cell>
          <cell r="S259"/>
          <cell r="T259">
            <v>0</v>
          </cell>
          <cell r="U259">
            <v>1082</v>
          </cell>
          <cell r="V259">
            <v>4652.5999999999995</v>
          </cell>
          <cell r="W259">
            <v>958</v>
          </cell>
          <cell r="X259">
            <v>4119.3999999999996</v>
          </cell>
          <cell r="Y259">
            <v>815</v>
          </cell>
          <cell r="Z259">
            <v>3504.5</v>
          </cell>
          <cell r="AA259">
            <v>815</v>
          </cell>
          <cell r="AB259">
            <v>3504.5</v>
          </cell>
          <cell r="AC259">
            <v>815</v>
          </cell>
          <cell r="AD259">
            <v>3504.5</v>
          </cell>
          <cell r="AE259">
            <v>2.41E-2</v>
          </cell>
          <cell r="AF259"/>
          <cell r="AG259">
            <v>6.7540000000000003E-2</v>
          </cell>
          <cell r="AH259">
            <v>6.7540000000000003E-2</v>
          </cell>
          <cell r="AI259">
            <v>6.7540000000000003E-2</v>
          </cell>
          <cell r="AJ259">
            <v>0.04</v>
          </cell>
          <cell r="AK259" t="str">
            <v>TW</v>
          </cell>
          <cell r="AL259">
            <v>161</v>
          </cell>
          <cell r="AM259">
            <v>212</v>
          </cell>
          <cell r="AN259" t="str">
            <v>04 Co.Store</v>
          </cell>
          <cell r="AO259" t="str">
            <v>Southeast</v>
          </cell>
          <cell r="AP259" t="str">
            <v>South</v>
          </cell>
          <cell r="AQ259"/>
          <cell r="AR259">
            <v>153406</v>
          </cell>
          <cell r="AS259">
            <v>246700</v>
          </cell>
        </row>
        <row r="260">
          <cell r="A260">
            <v>12763</v>
          </cell>
          <cell r="B260" t="str">
            <v>TW SANFORD</v>
          </cell>
          <cell r="C260" t="str">
            <v>M10064</v>
          </cell>
          <cell r="D260" t="str">
            <v>Net 30, no pink card</v>
          </cell>
          <cell r="E260">
            <v>30</v>
          </cell>
          <cell r="F260" t="str">
            <v>Yes</v>
          </cell>
          <cell r="G260" t="str">
            <v>GA</v>
          </cell>
          <cell r="H260">
            <v>10</v>
          </cell>
          <cell r="I260">
            <v>0.66500000000000004</v>
          </cell>
          <cell r="J260" t="str">
            <v>Jake McEntee</v>
          </cell>
          <cell r="K260" t="str">
            <v>SANFORD</v>
          </cell>
          <cell r="L260" t="str">
            <v>FL</v>
          </cell>
          <cell r="M260" t="str">
            <v>800-577-8858</v>
          </cell>
          <cell r="N260" t="str">
            <v>All tandem axle trailers must have BRK2</v>
          </cell>
          <cell r="O260">
            <v>1005</v>
          </cell>
          <cell r="P260">
            <v>4321.5</v>
          </cell>
          <cell r="Q260">
            <v>300</v>
          </cell>
          <cell r="R260">
            <v>1290</v>
          </cell>
          <cell r="S260"/>
          <cell r="T260">
            <v>0</v>
          </cell>
          <cell r="U260">
            <v>1168</v>
          </cell>
          <cell r="V260">
            <v>5022.3999999999996</v>
          </cell>
          <cell r="W260">
            <v>1044</v>
          </cell>
          <cell r="X260">
            <v>4489.2</v>
          </cell>
          <cell r="Y260">
            <v>943</v>
          </cell>
          <cell r="Z260">
            <v>4054.8999999999996</v>
          </cell>
          <cell r="AA260">
            <v>943</v>
          </cell>
          <cell r="AB260">
            <v>4054.8999999999996</v>
          </cell>
          <cell r="AC260">
            <v>943</v>
          </cell>
          <cell r="AD260">
            <v>4054.8999999999996</v>
          </cell>
          <cell r="AE260">
            <v>0.03</v>
          </cell>
          <cell r="AF260"/>
          <cell r="AG260">
            <v>7.4829999999999994E-2</v>
          </cell>
          <cell r="AH260">
            <v>7.4829999999999994E-2</v>
          </cell>
          <cell r="AI260">
            <v>7.4829999999999994E-2</v>
          </cell>
          <cell r="AJ260">
            <v>0.04</v>
          </cell>
          <cell r="AK260" t="str">
            <v>TW</v>
          </cell>
          <cell r="AL260">
            <v>161</v>
          </cell>
          <cell r="AM260">
            <v>336</v>
          </cell>
          <cell r="AN260" t="str">
            <v>04 Co.Store</v>
          </cell>
          <cell r="AO260" t="str">
            <v>Southeast</v>
          </cell>
          <cell r="AP260" t="str">
            <v>South</v>
          </cell>
          <cell r="AQ260"/>
          <cell r="AR260">
            <v>188813</v>
          </cell>
          <cell r="AS260">
            <v>487479</v>
          </cell>
        </row>
        <row r="261">
          <cell r="A261">
            <v>10533</v>
          </cell>
          <cell r="B261" t="str">
            <v>TWO MORROW'S ENTERPRISES, INC</v>
          </cell>
          <cell r="C261" t="str">
            <v>M10433</v>
          </cell>
          <cell r="D261" t="str">
            <v>NET 5, BT+</v>
          </cell>
          <cell r="E261" t="str">
            <v>FP - Northpoint</v>
          </cell>
          <cell r="F261" t="str">
            <v>Yes</v>
          </cell>
          <cell r="G261" t="str">
            <v>GA</v>
          </cell>
          <cell r="H261">
            <v>8</v>
          </cell>
          <cell r="I261">
            <v>0.66500000000000004</v>
          </cell>
          <cell r="J261" t="str">
            <v>Orphaned Acct</v>
          </cell>
          <cell r="K261" t="str">
            <v>ENGLEWOOD</v>
          </cell>
          <cell r="L261" t="str">
            <v>FL</v>
          </cell>
          <cell r="M261" t="str">
            <v>800-577-8858</v>
          </cell>
          <cell r="N261"/>
          <cell r="O261">
            <v>1101</v>
          </cell>
          <cell r="P261">
            <v>4734.3</v>
          </cell>
          <cell r="Q261">
            <v>396</v>
          </cell>
          <cell r="R261">
            <v>1702.8</v>
          </cell>
          <cell r="S261"/>
          <cell r="T261">
            <v>0</v>
          </cell>
          <cell r="U261">
            <v>1264</v>
          </cell>
          <cell r="V261">
            <v>5435.2</v>
          </cell>
          <cell r="W261">
            <v>1140</v>
          </cell>
          <cell r="X261">
            <v>4902</v>
          </cell>
          <cell r="Y261"/>
          <cell r="Z261">
            <v>0</v>
          </cell>
          <cell r="AA261"/>
          <cell r="AB261">
            <v>0</v>
          </cell>
          <cell r="AC261"/>
          <cell r="AD261">
            <v>0</v>
          </cell>
          <cell r="AE261"/>
          <cell r="AF261"/>
          <cell r="AG261"/>
          <cell r="AH261"/>
          <cell r="AI261"/>
          <cell r="AJ261">
            <v>0</v>
          </cell>
          <cell r="AK261" t="str">
            <v>3P</v>
          </cell>
          <cell r="AL261">
            <v>213</v>
          </cell>
          <cell r="AM261">
            <v>408</v>
          </cell>
          <cell r="AN261" t="str">
            <v>01 Existing Dealer</v>
          </cell>
          <cell r="AO261" t="str">
            <v>Southeast</v>
          </cell>
          <cell r="AP261" t="str">
            <v>South</v>
          </cell>
          <cell r="AQ261"/>
          <cell r="AR261">
            <v>0</v>
          </cell>
          <cell r="AS261">
            <v>0</v>
          </cell>
        </row>
        <row r="262">
          <cell r="A262">
            <v>12519</v>
          </cell>
          <cell r="B262" t="str">
            <v>VERDE, INC</v>
          </cell>
          <cell r="C262" t="str">
            <v>M10441</v>
          </cell>
          <cell r="D262" t="str">
            <v>NET 5, BT+</v>
          </cell>
          <cell r="E262" t="str">
            <v>CO</v>
          </cell>
          <cell r="F262" t="str">
            <v>Yes</v>
          </cell>
          <cell r="G262" t="str">
            <v>GA</v>
          </cell>
          <cell r="H262">
            <v>7</v>
          </cell>
          <cell r="I262">
            <v>0.66500000000000004</v>
          </cell>
          <cell r="J262" t="str">
            <v>House</v>
          </cell>
          <cell r="K262" t="str">
            <v>LAKE WALES</v>
          </cell>
          <cell r="L262" t="str">
            <v>FL</v>
          </cell>
          <cell r="M262" t="str">
            <v>800-577-8858</v>
          </cell>
          <cell r="N262"/>
          <cell r="O262">
            <v>1042</v>
          </cell>
          <cell r="P262">
            <v>4480.5999999999995</v>
          </cell>
          <cell r="Q262">
            <v>337</v>
          </cell>
          <cell r="R262">
            <v>1449.1</v>
          </cell>
          <cell r="S262"/>
          <cell r="T262">
            <v>0</v>
          </cell>
          <cell r="U262">
            <v>1205</v>
          </cell>
          <cell r="V262">
            <v>5181.5</v>
          </cell>
          <cell r="W262">
            <v>1081</v>
          </cell>
          <cell r="X262">
            <v>4648.3</v>
          </cell>
          <cell r="Y262"/>
          <cell r="Z262">
            <v>0</v>
          </cell>
          <cell r="AA262"/>
          <cell r="AB262">
            <v>0</v>
          </cell>
          <cell r="AC262"/>
          <cell r="AD262">
            <v>0</v>
          </cell>
          <cell r="AE262"/>
          <cell r="AF262"/>
          <cell r="AG262"/>
          <cell r="AH262"/>
          <cell r="AI262"/>
          <cell r="AJ262">
            <v>0</v>
          </cell>
          <cell r="AK262" t="str">
            <v>3P</v>
          </cell>
          <cell r="AL262">
            <v>400</v>
          </cell>
          <cell r="AM262">
            <v>239</v>
          </cell>
          <cell r="AN262" t="str">
            <v>08 Inactive Dealer</v>
          </cell>
          <cell r="AO262" t="str">
            <v>Southeast</v>
          </cell>
          <cell r="AP262" t="str">
            <v>South</v>
          </cell>
          <cell r="AQ262"/>
          <cell r="AR262">
            <v>0</v>
          </cell>
          <cell r="AS262">
            <v>0</v>
          </cell>
        </row>
        <row r="263">
          <cell r="A263">
            <v>11124</v>
          </cell>
          <cell r="B263" t="str">
            <v>VERDE, INC</v>
          </cell>
          <cell r="C263" t="str">
            <v>M10441</v>
          </cell>
          <cell r="D263" t="str">
            <v>NET 5, BT+</v>
          </cell>
          <cell r="E263" t="str">
            <v>FP - Wells Fargo</v>
          </cell>
          <cell r="F263" t="str">
            <v>Yes</v>
          </cell>
          <cell r="G263" t="str">
            <v>GA</v>
          </cell>
          <cell r="H263">
            <v>8</v>
          </cell>
          <cell r="I263">
            <v>0.66500000000000004</v>
          </cell>
          <cell r="J263" t="str">
            <v>House</v>
          </cell>
          <cell r="K263" t="str">
            <v>LAKE WALES</v>
          </cell>
          <cell r="L263" t="str">
            <v>FL</v>
          </cell>
          <cell r="M263" t="str">
            <v>800-577-8858</v>
          </cell>
          <cell r="N263"/>
          <cell r="O263">
            <v>1042</v>
          </cell>
          <cell r="P263">
            <v>4480.5999999999995</v>
          </cell>
          <cell r="Q263">
            <v>337</v>
          </cell>
          <cell r="R263">
            <v>1449.1</v>
          </cell>
          <cell r="S263"/>
          <cell r="T263">
            <v>0</v>
          </cell>
          <cell r="U263">
            <v>1205</v>
          </cell>
          <cell r="V263">
            <v>5181.5</v>
          </cell>
          <cell r="W263">
            <v>1081</v>
          </cell>
          <cell r="X263">
            <v>4648.3</v>
          </cell>
          <cell r="Y263"/>
          <cell r="Z263">
            <v>0</v>
          </cell>
          <cell r="AA263"/>
          <cell r="AB263">
            <v>0</v>
          </cell>
          <cell r="AC263"/>
          <cell r="AD263">
            <v>0</v>
          </cell>
          <cell r="AE263"/>
          <cell r="AF263"/>
          <cell r="AG263"/>
          <cell r="AH263"/>
          <cell r="AI263"/>
          <cell r="AJ263">
            <v>0</v>
          </cell>
          <cell r="AK263" t="str">
            <v>3P</v>
          </cell>
          <cell r="AL263">
            <v>400</v>
          </cell>
          <cell r="AM263">
            <v>239</v>
          </cell>
          <cell r="AN263" t="str">
            <v>08 Inactive Dealer</v>
          </cell>
          <cell r="AO263" t="str">
            <v>Southeast</v>
          </cell>
          <cell r="AP263" t="str">
            <v>South</v>
          </cell>
          <cell r="AQ263"/>
          <cell r="AR263">
            <v>0</v>
          </cell>
          <cell r="AS263">
            <v>0</v>
          </cell>
        </row>
        <row r="264">
          <cell r="A264">
            <v>12744</v>
          </cell>
          <cell r="B264" t="str">
            <v>WEAVER WFS, dba HEFFNER ENT</v>
          </cell>
          <cell r="C264" t="str">
            <v>M10447</v>
          </cell>
          <cell r="D264" t="str">
            <v>NET 5, BT+</v>
          </cell>
          <cell r="E264" t="str">
            <v>CO</v>
          </cell>
          <cell r="F264" t="str">
            <v>Yes</v>
          </cell>
          <cell r="G264" t="str">
            <v>GA</v>
          </cell>
          <cell r="H264">
            <v>7</v>
          </cell>
          <cell r="I264">
            <v>0.66500000000000004</v>
          </cell>
          <cell r="J264" t="str">
            <v>Orphaned Acct</v>
          </cell>
          <cell r="K264" t="str">
            <v>KISSIMMEE</v>
          </cell>
          <cell r="L264" t="str">
            <v>FL</v>
          </cell>
          <cell r="M264" t="str">
            <v>800-577-8858</v>
          </cell>
          <cell r="N264"/>
          <cell r="O264">
            <v>1015</v>
          </cell>
          <cell r="P264">
            <v>4364.5</v>
          </cell>
          <cell r="Q264">
            <v>310</v>
          </cell>
          <cell r="R264">
            <v>1333</v>
          </cell>
          <cell r="S264"/>
          <cell r="T264">
            <v>0</v>
          </cell>
          <cell r="U264">
            <v>1178</v>
          </cell>
          <cell r="V264">
            <v>5065.3999999999996</v>
          </cell>
          <cell r="W264">
            <v>1054</v>
          </cell>
          <cell r="X264">
            <v>4532.2</v>
          </cell>
          <cell r="Y264"/>
          <cell r="Z264">
            <v>0</v>
          </cell>
          <cell r="AA264"/>
          <cell r="AB264">
            <v>0</v>
          </cell>
          <cell r="AC264"/>
          <cell r="AD264">
            <v>0</v>
          </cell>
          <cell r="AE264"/>
          <cell r="AF264"/>
          <cell r="AG264"/>
          <cell r="AH264"/>
          <cell r="AI264"/>
          <cell r="AJ264">
            <v>0</v>
          </cell>
          <cell r="AK264" t="str">
            <v>3P</v>
          </cell>
          <cell r="AL264">
            <v>213</v>
          </cell>
          <cell r="AM264">
            <v>336</v>
          </cell>
          <cell r="AN264" t="str">
            <v>08 Inactive Dealer</v>
          </cell>
          <cell r="AO264" t="str">
            <v>Southeast</v>
          </cell>
          <cell r="AP264" t="str">
            <v>South</v>
          </cell>
          <cell r="AQ264"/>
          <cell r="AR264">
            <v>0</v>
          </cell>
          <cell r="AS264">
            <v>0</v>
          </cell>
        </row>
        <row r="265">
          <cell r="A265" t="str">
            <v>12619H</v>
          </cell>
          <cell r="B265" t="str">
            <v>AG PRO</v>
          </cell>
          <cell r="C265" t="str">
            <v>M10016</v>
          </cell>
          <cell r="D265" t="str">
            <v>Net 60, no pink card</v>
          </cell>
          <cell r="E265">
            <v>60</v>
          </cell>
          <cell r="F265" t="str">
            <v>Yes</v>
          </cell>
          <cell r="G265" t="str">
            <v>GA</v>
          </cell>
          <cell r="H265">
            <v>5</v>
          </cell>
          <cell r="I265">
            <v>0.66500000000000004</v>
          </cell>
          <cell r="J265" t="str">
            <v>Dakota Nation</v>
          </cell>
          <cell r="K265" t="str">
            <v>VALDORST</v>
          </cell>
          <cell r="L265" t="str">
            <v>GA</v>
          </cell>
          <cell r="M265" t="str">
            <v>800-577-8858</v>
          </cell>
          <cell r="N265" t="str">
            <v>Freight Terms same as account, email invoices</v>
          </cell>
          <cell r="O265"/>
          <cell r="P265">
            <v>0</v>
          </cell>
          <cell r="Q265">
            <v>178</v>
          </cell>
          <cell r="R265">
            <v>765.4</v>
          </cell>
          <cell r="S265"/>
          <cell r="T265">
            <v>0</v>
          </cell>
          <cell r="U265"/>
          <cell r="V265">
            <v>0</v>
          </cell>
          <cell r="W265"/>
          <cell r="X265">
            <v>0</v>
          </cell>
          <cell r="Y265"/>
          <cell r="Z265">
            <v>0</v>
          </cell>
          <cell r="AA265"/>
          <cell r="AB265">
            <v>0</v>
          </cell>
          <cell r="AC265"/>
          <cell r="AD265">
            <v>0</v>
          </cell>
          <cell r="AE265"/>
          <cell r="AF265"/>
          <cell r="AG265"/>
          <cell r="AH265"/>
          <cell r="AI265"/>
          <cell r="AJ265">
            <v>0</v>
          </cell>
          <cell r="AK265" t="str">
            <v>3P</v>
          </cell>
          <cell r="AL265">
            <v>223</v>
          </cell>
          <cell r="AM265">
            <v>454</v>
          </cell>
          <cell r="AN265" t="str">
            <v>01 Existing Dealer</v>
          </cell>
          <cell r="AO265" t="str">
            <v>Southeast</v>
          </cell>
          <cell r="AP265" t="str">
            <v>South</v>
          </cell>
          <cell r="AQ265"/>
          <cell r="AR265">
            <v>0</v>
          </cell>
          <cell r="AS265">
            <v>0</v>
          </cell>
        </row>
        <row r="266">
          <cell r="A266" t="str">
            <v>12619I</v>
          </cell>
          <cell r="B266" t="str">
            <v>AG PRO</v>
          </cell>
          <cell r="C266" t="str">
            <v>M10016</v>
          </cell>
          <cell r="D266" t="str">
            <v>Net 60, no pink card</v>
          </cell>
          <cell r="E266">
            <v>60</v>
          </cell>
          <cell r="F266" t="str">
            <v>Yes</v>
          </cell>
          <cell r="G266" t="str">
            <v>GA</v>
          </cell>
          <cell r="H266">
            <v>5</v>
          </cell>
          <cell r="I266">
            <v>0.66500000000000004</v>
          </cell>
          <cell r="J266" t="str">
            <v>Dakota Nation</v>
          </cell>
          <cell r="K266" t="str">
            <v>THOMASVILLE</v>
          </cell>
          <cell r="L266" t="str">
            <v>GA</v>
          </cell>
          <cell r="M266" t="str">
            <v>800-577-8858</v>
          </cell>
          <cell r="N266" t="str">
            <v>Freight Terms same as account, email invoices</v>
          </cell>
          <cell r="O266"/>
          <cell r="P266">
            <v>0</v>
          </cell>
          <cell r="Q266">
            <v>95</v>
          </cell>
          <cell r="R266">
            <v>408.5</v>
          </cell>
          <cell r="S266"/>
          <cell r="T266">
            <v>0</v>
          </cell>
          <cell r="U266"/>
          <cell r="V266">
            <v>0</v>
          </cell>
          <cell r="W266">
            <v>815</v>
          </cell>
          <cell r="X266">
            <v>3504.5</v>
          </cell>
          <cell r="Y266"/>
          <cell r="Z266">
            <v>0</v>
          </cell>
          <cell r="AA266"/>
          <cell r="AB266">
            <v>0</v>
          </cell>
          <cell r="AC266"/>
          <cell r="AD266">
            <v>0</v>
          </cell>
          <cell r="AE266"/>
          <cell r="AF266"/>
          <cell r="AG266"/>
          <cell r="AH266"/>
          <cell r="AI266"/>
          <cell r="AJ266">
            <v>0</v>
          </cell>
          <cell r="AK266" t="str">
            <v>3P</v>
          </cell>
          <cell r="AL266">
            <v>223</v>
          </cell>
          <cell r="AM266">
            <v>439</v>
          </cell>
          <cell r="AN266" t="str">
            <v>01 Existing Dealer</v>
          </cell>
          <cell r="AO266" t="str">
            <v>Southeast</v>
          </cell>
          <cell r="AP266" t="str">
            <v>South</v>
          </cell>
          <cell r="AQ266"/>
          <cell r="AR266">
            <v>0</v>
          </cell>
          <cell r="AS266">
            <v>0</v>
          </cell>
        </row>
        <row r="267">
          <cell r="A267" t="str">
            <v>12619E</v>
          </cell>
          <cell r="B267" t="str">
            <v>AG PRO</v>
          </cell>
          <cell r="C267" t="str">
            <v>M10016</v>
          </cell>
          <cell r="D267" t="str">
            <v>Net 60, no pink card</v>
          </cell>
          <cell r="E267" t="str">
            <v>Net 60</v>
          </cell>
          <cell r="F267" t="str">
            <v>Yes</v>
          </cell>
          <cell r="G267" t="str">
            <v>GA</v>
          </cell>
          <cell r="H267">
            <v>5</v>
          </cell>
          <cell r="I267">
            <v>0.66500000000000004</v>
          </cell>
          <cell r="J267" t="str">
            <v>Dakota Nation</v>
          </cell>
          <cell r="K267" t="str">
            <v>ATHENS</v>
          </cell>
          <cell r="L267" t="str">
            <v>GA</v>
          </cell>
          <cell r="M267" t="str">
            <v>800-577-8858</v>
          </cell>
          <cell r="N267" t="str">
            <v>Freight Terms same as account, email invoices</v>
          </cell>
          <cell r="O267">
            <v>787</v>
          </cell>
          <cell r="P267">
            <v>3384.1</v>
          </cell>
          <cell r="Q267">
            <v>158</v>
          </cell>
          <cell r="R267">
            <v>679.4</v>
          </cell>
          <cell r="S267"/>
          <cell r="T267">
            <v>0</v>
          </cell>
          <cell r="U267">
            <v>883</v>
          </cell>
          <cell r="V267">
            <v>3796.8999999999996</v>
          </cell>
          <cell r="W267">
            <v>807</v>
          </cell>
          <cell r="X267">
            <v>3470.1</v>
          </cell>
          <cell r="Y267"/>
          <cell r="Z267">
            <v>0</v>
          </cell>
          <cell r="AA267"/>
          <cell r="AB267">
            <v>0</v>
          </cell>
          <cell r="AC267"/>
          <cell r="AD267">
            <v>0</v>
          </cell>
          <cell r="AE267"/>
          <cell r="AF267"/>
          <cell r="AG267"/>
          <cell r="AH267"/>
          <cell r="AI267"/>
          <cell r="AJ267">
            <v>0</v>
          </cell>
          <cell r="AK267" t="str">
            <v>3P</v>
          </cell>
          <cell r="AL267">
            <v>223</v>
          </cell>
          <cell r="AM267">
            <v>22</v>
          </cell>
          <cell r="AN267" t="str">
            <v>01 Existing Dealer</v>
          </cell>
          <cell r="AO267" t="str">
            <v>Southeast</v>
          </cell>
          <cell r="AP267" t="str">
            <v>South</v>
          </cell>
          <cell r="AQ267"/>
          <cell r="AR267">
            <v>0</v>
          </cell>
          <cell r="AS267">
            <v>0</v>
          </cell>
        </row>
        <row r="268">
          <cell r="A268">
            <v>12619</v>
          </cell>
          <cell r="B268" t="str">
            <v>AG PRO</v>
          </cell>
          <cell r="C268" t="str">
            <v>M10016</v>
          </cell>
          <cell r="D268" t="str">
            <v>Net 60, no pink card</v>
          </cell>
          <cell r="E268">
            <v>60</v>
          </cell>
          <cell r="F268" t="str">
            <v>Yes</v>
          </cell>
          <cell r="G268" t="str">
            <v>GA</v>
          </cell>
          <cell r="H268">
            <v>5</v>
          </cell>
          <cell r="I268">
            <v>0.66500000000000004</v>
          </cell>
          <cell r="J268" t="str">
            <v>Dakota Nation</v>
          </cell>
          <cell r="K268" t="str">
            <v>ATHENS</v>
          </cell>
          <cell r="L268" t="str">
            <v>GA</v>
          </cell>
          <cell r="M268" t="str">
            <v>800-577-8858</v>
          </cell>
          <cell r="N268" t="str">
            <v>Freight Terms same as account, email invoices</v>
          </cell>
          <cell r="O268">
            <v>787</v>
          </cell>
          <cell r="P268">
            <v>3384.1</v>
          </cell>
          <cell r="Q268">
            <v>158</v>
          </cell>
          <cell r="R268">
            <v>679.4</v>
          </cell>
          <cell r="S268"/>
          <cell r="T268">
            <v>0</v>
          </cell>
          <cell r="U268">
            <v>883</v>
          </cell>
          <cell r="V268">
            <v>3796.8999999999996</v>
          </cell>
          <cell r="W268">
            <v>807</v>
          </cell>
          <cell r="X268">
            <v>3470.1</v>
          </cell>
          <cell r="Y268"/>
          <cell r="Z268">
            <v>0</v>
          </cell>
          <cell r="AA268"/>
          <cell r="AB268">
            <v>0</v>
          </cell>
          <cell r="AC268"/>
          <cell r="AD268">
            <v>0</v>
          </cell>
          <cell r="AE268"/>
          <cell r="AF268"/>
          <cell r="AG268"/>
          <cell r="AH268"/>
          <cell r="AI268"/>
          <cell r="AJ268">
            <v>0</v>
          </cell>
          <cell r="AK268" t="str">
            <v>3P</v>
          </cell>
          <cell r="AL268">
            <v>223</v>
          </cell>
          <cell r="AM268">
            <v>22</v>
          </cell>
          <cell r="AN268" t="str">
            <v>01 Existing Dealer</v>
          </cell>
          <cell r="AO268" t="str">
            <v>Southeast</v>
          </cell>
          <cell r="AP268" t="str">
            <v>South</v>
          </cell>
          <cell r="AQ268"/>
          <cell r="AR268">
            <v>71203</v>
          </cell>
          <cell r="AS268">
            <v>239782</v>
          </cell>
        </row>
        <row r="269">
          <cell r="A269" t="str">
            <v>12619M</v>
          </cell>
          <cell r="B269" t="str">
            <v>AG PRO</v>
          </cell>
          <cell r="C269" t="str">
            <v>M10016</v>
          </cell>
          <cell r="D269" t="str">
            <v>Net 60, no pink card</v>
          </cell>
          <cell r="E269">
            <v>60</v>
          </cell>
          <cell r="F269" t="str">
            <v>Yes</v>
          </cell>
          <cell r="G269" t="str">
            <v>GA</v>
          </cell>
          <cell r="H269">
            <v>5</v>
          </cell>
          <cell r="I269">
            <v>0.66500000000000004</v>
          </cell>
          <cell r="J269" t="str">
            <v>Dakota Nation</v>
          </cell>
          <cell r="K269" t="str">
            <v>BAINBRIDGE</v>
          </cell>
          <cell r="L269" t="str">
            <v>GA</v>
          </cell>
          <cell r="M269" t="str">
            <v>800-577-8858</v>
          </cell>
          <cell r="N269" t="str">
            <v>Freight Terms same as account, email invoices</v>
          </cell>
          <cell r="O269"/>
          <cell r="P269">
            <v>0</v>
          </cell>
          <cell r="Q269">
            <v>95</v>
          </cell>
          <cell r="R269">
            <v>408.5</v>
          </cell>
          <cell r="S269"/>
          <cell r="T269">
            <v>0</v>
          </cell>
          <cell r="U269"/>
          <cell r="V269">
            <v>0</v>
          </cell>
          <cell r="W269">
            <v>748</v>
          </cell>
          <cell r="X269">
            <v>3216.4</v>
          </cell>
          <cell r="Y269"/>
          <cell r="Z269">
            <v>0</v>
          </cell>
          <cell r="AA269"/>
          <cell r="AB269">
            <v>0</v>
          </cell>
          <cell r="AC269"/>
          <cell r="AD269">
            <v>0</v>
          </cell>
          <cell r="AE269"/>
          <cell r="AF269"/>
          <cell r="AG269"/>
          <cell r="AH269"/>
          <cell r="AI269"/>
          <cell r="AJ269">
            <v>0</v>
          </cell>
          <cell r="AK269" t="str">
            <v>3P</v>
          </cell>
          <cell r="AL269">
            <v>223</v>
          </cell>
          <cell r="AM269">
            <v>6</v>
          </cell>
          <cell r="AN269" t="str">
            <v>01 Existing Dealer</v>
          </cell>
          <cell r="AO269" t="str">
            <v>Southeast</v>
          </cell>
          <cell r="AP269" t="str">
            <v>South</v>
          </cell>
          <cell r="AQ269"/>
          <cell r="AR269">
            <v>0</v>
          </cell>
          <cell r="AS269">
            <v>0</v>
          </cell>
        </row>
        <row r="270">
          <cell r="A270" t="str">
            <v>12619N</v>
          </cell>
          <cell r="B270" t="str">
            <v>AG PRO</v>
          </cell>
          <cell r="C270" t="str">
            <v>M10016</v>
          </cell>
          <cell r="D270" t="str">
            <v>Net 60, no pink card</v>
          </cell>
          <cell r="E270">
            <v>60</v>
          </cell>
          <cell r="F270" t="str">
            <v>Yes</v>
          </cell>
          <cell r="G270" t="str">
            <v>GA</v>
          </cell>
          <cell r="H270">
            <v>5</v>
          </cell>
          <cell r="I270">
            <v>0.66500000000000004</v>
          </cell>
          <cell r="J270" t="str">
            <v>Dakota Nation</v>
          </cell>
          <cell r="K270" t="str">
            <v>BRUNSWICK</v>
          </cell>
          <cell r="L270" t="str">
            <v>GA</v>
          </cell>
          <cell r="M270" t="str">
            <v>800-577-8858</v>
          </cell>
          <cell r="N270" t="str">
            <v>Freight Terms same as account, email invoices</v>
          </cell>
          <cell r="O270">
            <v>892</v>
          </cell>
          <cell r="P270">
            <v>3835.6</v>
          </cell>
          <cell r="Q270">
            <v>173</v>
          </cell>
          <cell r="R270">
            <v>743.9</v>
          </cell>
          <cell r="S270"/>
          <cell r="T270">
            <v>0</v>
          </cell>
          <cell r="U270">
            <v>1052</v>
          </cell>
          <cell r="V270">
            <v>4523.5999999999995</v>
          </cell>
          <cell r="W270"/>
          <cell r="X270">
            <v>0</v>
          </cell>
          <cell r="Y270"/>
          <cell r="Z270">
            <v>0</v>
          </cell>
          <cell r="AA270"/>
          <cell r="AB270">
            <v>0</v>
          </cell>
          <cell r="AC270"/>
          <cell r="AD270">
            <v>0</v>
          </cell>
          <cell r="AE270"/>
          <cell r="AF270"/>
          <cell r="AG270"/>
          <cell r="AH270"/>
          <cell r="AI270"/>
          <cell r="AJ270">
            <v>0</v>
          </cell>
          <cell r="AK270" t="str">
            <v>3P</v>
          </cell>
          <cell r="AL270">
            <v>223</v>
          </cell>
          <cell r="AM270">
            <v>58</v>
          </cell>
          <cell r="AN270" t="str">
            <v>01 Existing Dealer</v>
          </cell>
          <cell r="AO270" t="str">
            <v>Southeast</v>
          </cell>
          <cell r="AP270" t="str">
            <v>South</v>
          </cell>
          <cell r="AQ270"/>
          <cell r="AR270">
            <v>0</v>
          </cell>
          <cell r="AS270">
            <v>0</v>
          </cell>
        </row>
        <row r="271">
          <cell r="A271" t="str">
            <v>12619O</v>
          </cell>
          <cell r="B271" t="str">
            <v>AG PRO</v>
          </cell>
          <cell r="C271" t="str">
            <v>M10016</v>
          </cell>
          <cell r="D271" t="str">
            <v>Net 60, no pink card</v>
          </cell>
          <cell r="E271">
            <v>60</v>
          </cell>
          <cell r="F271" t="str">
            <v>Yes</v>
          </cell>
          <cell r="G271" t="str">
            <v>GA</v>
          </cell>
          <cell r="H271">
            <v>5</v>
          </cell>
          <cell r="I271">
            <v>0.66500000000000004</v>
          </cell>
          <cell r="J271" t="str">
            <v>Dakota Nation</v>
          </cell>
          <cell r="K271" t="str">
            <v>CAIRO</v>
          </cell>
          <cell r="L271" t="str">
            <v>GA</v>
          </cell>
          <cell r="M271" t="str">
            <v>800-577-8858</v>
          </cell>
          <cell r="N271" t="str">
            <v>Freight Terms same as account, email invoices</v>
          </cell>
          <cell r="O271">
            <v>765</v>
          </cell>
          <cell r="P271">
            <v>3289.5</v>
          </cell>
          <cell r="Q271">
            <v>90</v>
          </cell>
          <cell r="R271">
            <v>387</v>
          </cell>
          <cell r="S271"/>
          <cell r="T271">
            <v>0</v>
          </cell>
          <cell r="U271"/>
          <cell r="V271">
            <v>0</v>
          </cell>
          <cell r="W271"/>
          <cell r="X271">
            <v>0</v>
          </cell>
          <cell r="Y271"/>
          <cell r="Z271">
            <v>0</v>
          </cell>
          <cell r="AA271"/>
          <cell r="AB271">
            <v>0</v>
          </cell>
          <cell r="AC271"/>
          <cell r="AD271">
            <v>0</v>
          </cell>
          <cell r="AE271"/>
          <cell r="AF271"/>
          <cell r="AG271"/>
          <cell r="AH271"/>
          <cell r="AI271"/>
          <cell r="AJ271">
            <v>0</v>
          </cell>
          <cell r="AK271" t="str">
            <v>3P</v>
          </cell>
          <cell r="AL271">
            <v>223</v>
          </cell>
          <cell r="AM271">
            <v>439</v>
          </cell>
          <cell r="AN271" t="str">
            <v>01 Existing Dealer</v>
          </cell>
          <cell r="AO271" t="str">
            <v>Southeast</v>
          </cell>
          <cell r="AP271" t="str">
            <v>South</v>
          </cell>
          <cell r="AQ271"/>
          <cell r="AR271">
            <v>0</v>
          </cell>
          <cell r="AS271">
            <v>0</v>
          </cell>
        </row>
        <row r="272">
          <cell r="A272" t="str">
            <v>12619Z</v>
          </cell>
          <cell r="B272" t="str">
            <v>AG PRO</v>
          </cell>
          <cell r="C272" t="str">
            <v>M10016</v>
          </cell>
          <cell r="D272" t="str">
            <v>Net 60, no pink card</v>
          </cell>
          <cell r="E272">
            <v>60</v>
          </cell>
          <cell r="F272" t="str">
            <v>Yes</v>
          </cell>
          <cell r="G272" t="str">
            <v>GA</v>
          </cell>
          <cell r="H272">
            <v>5</v>
          </cell>
          <cell r="I272">
            <v>0.66500000000000004</v>
          </cell>
          <cell r="J272" t="str">
            <v>Dakota Nation</v>
          </cell>
          <cell r="K272" t="str">
            <v>DACULA</v>
          </cell>
          <cell r="L272" t="str">
            <v>GA</v>
          </cell>
          <cell r="M272" t="str">
            <v>800-577-8858</v>
          </cell>
          <cell r="N272" t="str">
            <v>Freight Terms same as account, email invoices</v>
          </cell>
          <cell r="O272"/>
          <cell r="P272">
            <v>0</v>
          </cell>
          <cell r="Q272"/>
          <cell r="R272">
            <v>0</v>
          </cell>
          <cell r="S272"/>
          <cell r="T272">
            <v>0</v>
          </cell>
          <cell r="U272"/>
          <cell r="V272">
            <v>0</v>
          </cell>
          <cell r="W272"/>
          <cell r="X272">
            <v>0</v>
          </cell>
          <cell r="Y272"/>
          <cell r="Z272">
            <v>0</v>
          </cell>
          <cell r="AA272"/>
          <cell r="AB272">
            <v>0</v>
          </cell>
          <cell r="AC272"/>
          <cell r="AD272">
            <v>0</v>
          </cell>
          <cell r="AE272"/>
          <cell r="AF272"/>
          <cell r="AG272"/>
          <cell r="AH272"/>
          <cell r="AI272"/>
          <cell r="AJ272">
            <v>0</v>
          </cell>
          <cell r="AK272" t="str">
            <v>3P</v>
          </cell>
          <cell r="AL272">
            <v>223</v>
          </cell>
          <cell r="AM272"/>
          <cell r="AN272" t="str">
            <v>01 Existing Dealer</v>
          </cell>
          <cell r="AO272" t="str">
            <v>Southeast</v>
          </cell>
          <cell r="AP272" t="str">
            <v>South</v>
          </cell>
          <cell r="AQ272"/>
          <cell r="AR272">
            <v>0</v>
          </cell>
          <cell r="AS272">
            <v>0</v>
          </cell>
        </row>
        <row r="273">
          <cell r="A273" t="str">
            <v>12256B</v>
          </cell>
          <cell r="B273" t="str">
            <v>ALL AMERICAN</v>
          </cell>
          <cell r="C273" t="str">
            <v>M10020</v>
          </cell>
          <cell r="D273">
            <v>30</v>
          </cell>
          <cell r="E273" t="str">
            <v>CO</v>
          </cell>
          <cell r="F273" t="str">
            <v>Yes</v>
          </cell>
          <cell r="G273" t="str">
            <v>GA</v>
          </cell>
          <cell r="H273">
            <v>7</v>
          </cell>
          <cell r="I273">
            <v>0.66500000000000004</v>
          </cell>
          <cell r="J273" t="str">
            <v>Lane Davis</v>
          </cell>
          <cell r="K273" t="str">
            <v>FITZGERALD</v>
          </cell>
          <cell r="L273" t="str">
            <v>GA</v>
          </cell>
          <cell r="M273" t="str">
            <v>800-577-8858</v>
          </cell>
          <cell r="N273" t="str">
            <v>Fedex to Suite E-404 1601 Belvedere Road, East Tower West Palm Beach, FL 33406</v>
          </cell>
          <cell r="O273">
            <v>789</v>
          </cell>
          <cell r="P273">
            <v>3392.7</v>
          </cell>
          <cell r="Q273">
            <v>44</v>
          </cell>
          <cell r="R273">
            <v>189.2</v>
          </cell>
          <cell r="S273"/>
          <cell r="T273">
            <v>0</v>
          </cell>
          <cell r="U273">
            <v>952</v>
          </cell>
          <cell r="V273">
            <v>4093.6</v>
          </cell>
          <cell r="W273">
            <v>828</v>
          </cell>
          <cell r="X273">
            <v>3560.3999999999996</v>
          </cell>
          <cell r="Y273">
            <v>667</v>
          </cell>
          <cell r="Z273">
            <v>2868.1</v>
          </cell>
          <cell r="AA273">
            <v>667</v>
          </cell>
          <cell r="AB273">
            <v>2868.1</v>
          </cell>
          <cell r="AC273">
            <v>667</v>
          </cell>
          <cell r="AD273">
            <v>2868.1</v>
          </cell>
          <cell r="AE273"/>
          <cell r="AF273"/>
          <cell r="AG273"/>
          <cell r="AH273"/>
          <cell r="AI273"/>
          <cell r="AJ273">
            <v>7.0000000000000007E-2</v>
          </cell>
          <cell r="AK273" t="str">
            <v>3P</v>
          </cell>
          <cell r="AL273">
            <v>275</v>
          </cell>
          <cell r="AM273">
            <v>271</v>
          </cell>
          <cell r="AN273" t="str">
            <v>01 Existing Dealer</v>
          </cell>
          <cell r="AO273" t="str">
            <v>Southeast</v>
          </cell>
          <cell r="AP273" t="str">
            <v>South</v>
          </cell>
          <cell r="AQ273"/>
          <cell r="AR273">
            <v>0</v>
          </cell>
          <cell r="AS273">
            <v>0</v>
          </cell>
        </row>
        <row r="274">
          <cell r="A274" t="str">
            <v>12534B</v>
          </cell>
          <cell r="B274" t="str">
            <v>ALL AMERICAN</v>
          </cell>
          <cell r="C274" t="str">
            <v>M10020</v>
          </cell>
          <cell r="D274">
            <v>30</v>
          </cell>
          <cell r="E274" t="str">
            <v>F5 - Wells Fargo</v>
          </cell>
          <cell r="F274" t="str">
            <v>Yes</v>
          </cell>
          <cell r="G274" t="str">
            <v>GA</v>
          </cell>
          <cell r="H274">
            <v>8</v>
          </cell>
          <cell r="I274">
            <v>0.66500000000000004</v>
          </cell>
          <cell r="J274" t="str">
            <v>Lane Davis</v>
          </cell>
          <cell r="K274" t="str">
            <v>FITZGERALD</v>
          </cell>
          <cell r="L274" t="str">
            <v>GA</v>
          </cell>
          <cell r="M274" t="str">
            <v>800-577-8858</v>
          </cell>
          <cell r="N274" t="str">
            <v>Fedex to Suite E-404 1601 Belvedere Road, East Tower West Palm Beach, FL 33406</v>
          </cell>
          <cell r="O274">
            <v>789</v>
          </cell>
          <cell r="P274">
            <v>3392.7</v>
          </cell>
          <cell r="Q274">
            <v>44</v>
          </cell>
          <cell r="R274">
            <v>189.2</v>
          </cell>
          <cell r="S274"/>
          <cell r="T274">
            <v>0</v>
          </cell>
          <cell r="U274">
            <v>952</v>
          </cell>
          <cell r="V274">
            <v>4093.6</v>
          </cell>
          <cell r="W274">
            <v>828</v>
          </cell>
          <cell r="X274">
            <v>3560.3999999999996</v>
          </cell>
          <cell r="Y274">
            <v>667</v>
          </cell>
          <cell r="Z274">
            <v>2868.1</v>
          </cell>
          <cell r="AA274">
            <v>667</v>
          </cell>
          <cell r="AB274">
            <v>2868.1</v>
          </cell>
          <cell r="AC274">
            <v>667</v>
          </cell>
          <cell r="AD274">
            <v>2868.1</v>
          </cell>
          <cell r="AE274"/>
          <cell r="AF274"/>
          <cell r="AG274"/>
          <cell r="AH274"/>
          <cell r="AI274"/>
          <cell r="AJ274">
            <v>7.0000000000000007E-2</v>
          </cell>
          <cell r="AK274" t="str">
            <v>3P</v>
          </cell>
          <cell r="AL274">
            <v>275</v>
          </cell>
          <cell r="AM274">
            <v>271</v>
          </cell>
          <cell r="AN274" t="str">
            <v>01 Existing Dealer</v>
          </cell>
          <cell r="AO274" t="str">
            <v>Southeast</v>
          </cell>
          <cell r="AP274" t="str">
            <v>South</v>
          </cell>
          <cell r="AQ274"/>
          <cell r="AR274">
            <v>0</v>
          </cell>
          <cell r="AS274">
            <v>0</v>
          </cell>
        </row>
        <row r="275">
          <cell r="A275">
            <v>13167</v>
          </cell>
          <cell r="B275" t="str">
            <v>ALL SEASON AUTOMOTIVE</v>
          </cell>
          <cell r="C275" t="str">
            <v>M10150</v>
          </cell>
          <cell r="D275" t="str">
            <v>NET 5, BT+</v>
          </cell>
          <cell r="E275" t="str">
            <v>CO</v>
          </cell>
          <cell r="F275" t="str">
            <v>Yes</v>
          </cell>
          <cell r="G275" t="str">
            <v>GA</v>
          </cell>
          <cell r="H275">
            <v>7</v>
          </cell>
          <cell r="I275">
            <v>0.66500000000000004</v>
          </cell>
          <cell r="J275" t="str">
            <v>Orphaned Acct</v>
          </cell>
          <cell r="K275" t="str">
            <v>WAYCROSS</v>
          </cell>
          <cell r="L275" t="str">
            <v>GA</v>
          </cell>
          <cell r="M275" t="str">
            <v>800-577-8858</v>
          </cell>
          <cell r="N275"/>
          <cell r="O275">
            <v>830</v>
          </cell>
          <cell r="P275">
            <v>3569</v>
          </cell>
          <cell r="Q275">
            <v>114</v>
          </cell>
          <cell r="R275">
            <v>490.2</v>
          </cell>
          <cell r="S275"/>
          <cell r="T275">
            <v>0</v>
          </cell>
          <cell r="U275">
            <v>993</v>
          </cell>
          <cell r="V275">
            <v>4269.8999999999996</v>
          </cell>
          <cell r="W275">
            <v>869</v>
          </cell>
          <cell r="X275">
            <v>3736.7</v>
          </cell>
          <cell r="Y275"/>
          <cell r="Z275">
            <v>0</v>
          </cell>
          <cell r="AA275"/>
          <cell r="AB275">
            <v>0</v>
          </cell>
          <cell r="AC275"/>
          <cell r="AD275">
            <v>0</v>
          </cell>
          <cell r="AE275"/>
          <cell r="AF275"/>
          <cell r="AG275"/>
          <cell r="AH275"/>
          <cell r="AI275"/>
          <cell r="AJ275">
            <v>0</v>
          </cell>
          <cell r="AK275" t="str">
            <v>3P</v>
          </cell>
          <cell r="AL275">
            <v>213</v>
          </cell>
          <cell r="AM275">
            <v>467</v>
          </cell>
          <cell r="AN275" t="str">
            <v>08 Inactive Dealer</v>
          </cell>
          <cell r="AO275" t="str">
            <v>Southeast</v>
          </cell>
          <cell r="AP275" t="str">
            <v>South</v>
          </cell>
          <cell r="AQ275"/>
          <cell r="AR275">
            <v>0</v>
          </cell>
          <cell r="AS275">
            <v>0</v>
          </cell>
        </row>
        <row r="276">
          <cell r="A276">
            <v>13274</v>
          </cell>
          <cell r="B276" t="str">
            <v>ALL SEASON AUTOMOTIVE</v>
          </cell>
          <cell r="C276" t="str">
            <v>M10150</v>
          </cell>
          <cell r="D276" t="str">
            <v>NET 5, BT+</v>
          </cell>
          <cell r="E276" t="str">
            <v>FP - Northpoint</v>
          </cell>
          <cell r="F276" t="str">
            <v>Yes</v>
          </cell>
          <cell r="G276" t="str">
            <v>GA</v>
          </cell>
          <cell r="H276">
            <v>8</v>
          </cell>
          <cell r="I276">
            <v>0.66500000000000004</v>
          </cell>
          <cell r="J276" t="str">
            <v>Orphaned Acct</v>
          </cell>
          <cell r="K276" t="str">
            <v>WAYCROSS</v>
          </cell>
          <cell r="L276" t="str">
            <v>GA</v>
          </cell>
          <cell r="M276" t="str">
            <v>800-577-8858</v>
          </cell>
          <cell r="N276"/>
          <cell r="O276">
            <v>830</v>
          </cell>
          <cell r="P276">
            <v>3569</v>
          </cell>
          <cell r="Q276">
            <v>114</v>
          </cell>
          <cell r="R276">
            <v>490.2</v>
          </cell>
          <cell r="S276"/>
          <cell r="T276">
            <v>0</v>
          </cell>
          <cell r="U276">
            <v>993</v>
          </cell>
          <cell r="V276">
            <v>4269.8999999999996</v>
          </cell>
          <cell r="W276">
            <v>869</v>
          </cell>
          <cell r="X276">
            <v>3736.7</v>
          </cell>
          <cell r="Y276"/>
          <cell r="Z276">
            <v>0</v>
          </cell>
          <cell r="AA276"/>
          <cell r="AB276">
            <v>0</v>
          </cell>
          <cell r="AC276"/>
          <cell r="AD276">
            <v>0</v>
          </cell>
          <cell r="AE276"/>
          <cell r="AF276"/>
          <cell r="AG276"/>
          <cell r="AH276"/>
          <cell r="AI276"/>
          <cell r="AJ276">
            <v>0</v>
          </cell>
          <cell r="AK276" t="str">
            <v>3P</v>
          </cell>
          <cell r="AL276">
            <v>213</v>
          </cell>
          <cell r="AM276">
            <v>467</v>
          </cell>
          <cell r="AN276" t="str">
            <v>08 Inactive Dealer</v>
          </cell>
          <cell r="AO276" t="str">
            <v>Southeast</v>
          </cell>
          <cell r="AP276" t="str">
            <v>South</v>
          </cell>
          <cell r="AQ276"/>
          <cell r="AR276">
            <v>0</v>
          </cell>
          <cell r="AS276">
            <v>0</v>
          </cell>
        </row>
        <row r="277">
          <cell r="A277">
            <v>12352</v>
          </cell>
          <cell r="B277" t="str">
            <v>AXONS TRAILER</v>
          </cell>
          <cell r="C277" t="str">
            <v>M10036</v>
          </cell>
          <cell r="D277" t="str">
            <v>NET 5, BT+</v>
          </cell>
          <cell r="E277" t="str">
            <v>CO</v>
          </cell>
          <cell r="F277" t="str">
            <v>Yes</v>
          </cell>
          <cell r="G277" t="str">
            <v>GA</v>
          </cell>
          <cell r="H277">
            <v>7</v>
          </cell>
          <cell r="I277">
            <v>0.66500000000000004</v>
          </cell>
          <cell r="J277" t="str">
            <v>JL Smith</v>
          </cell>
          <cell r="K277" t="str">
            <v>DEARING</v>
          </cell>
          <cell r="L277" t="str">
            <v>GA</v>
          </cell>
          <cell r="M277" t="str">
            <v>800-577-8858</v>
          </cell>
          <cell r="N277"/>
          <cell r="O277">
            <v>854</v>
          </cell>
          <cell r="P277">
            <v>3672.2</v>
          </cell>
          <cell r="Q277">
            <v>178</v>
          </cell>
          <cell r="R277">
            <v>765.4</v>
          </cell>
          <cell r="S277"/>
          <cell r="T277">
            <v>0</v>
          </cell>
          <cell r="U277">
            <v>951</v>
          </cell>
          <cell r="V277">
            <v>4089.2999999999997</v>
          </cell>
          <cell r="W277">
            <v>875</v>
          </cell>
          <cell r="X277">
            <v>3762.5</v>
          </cell>
          <cell r="Y277">
            <v>610</v>
          </cell>
          <cell r="Z277">
            <v>2623</v>
          </cell>
          <cell r="AA277">
            <v>610</v>
          </cell>
          <cell r="AB277">
            <v>2623</v>
          </cell>
          <cell r="AC277">
            <v>610</v>
          </cell>
          <cell r="AD277">
            <v>2623</v>
          </cell>
          <cell r="AE277"/>
          <cell r="AF277"/>
          <cell r="AG277"/>
          <cell r="AH277"/>
          <cell r="AI277"/>
          <cell r="AJ277">
            <v>0</v>
          </cell>
          <cell r="AK277" t="str">
            <v>3P</v>
          </cell>
          <cell r="AL277">
            <v>151</v>
          </cell>
          <cell r="AM277">
            <v>26</v>
          </cell>
          <cell r="AN277" t="str">
            <v>01 Existing Dealer</v>
          </cell>
          <cell r="AO277" t="str">
            <v>Southeast</v>
          </cell>
          <cell r="AP277" t="str">
            <v>South</v>
          </cell>
          <cell r="AQ277"/>
          <cell r="AR277">
            <v>150335</v>
          </cell>
          <cell r="AS277">
            <v>0</v>
          </cell>
        </row>
        <row r="278">
          <cell r="A278">
            <v>12998</v>
          </cell>
          <cell r="B278" t="str">
            <v>CBC CAPITAL dba FUSSELL TIRE &amp; SERVICE</v>
          </cell>
          <cell r="C278" t="str">
            <v>M10841</v>
          </cell>
          <cell r="D278" t="str">
            <v>NET 5, BT+</v>
          </cell>
          <cell r="E278" t="str">
            <v>CO</v>
          </cell>
          <cell r="F278" t="str">
            <v>Yes</v>
          </cell>
          <cell r="G278" t="str">
            <v>GA</v>
          </cell>
          <cell r="H278">
            <v>7</v>
          </cell>
          <cell r="I278">
            <v>0.66500000000000004</v>
          </cell>
          <cell r="J278" t="str">
            <v>Orphaned Acct</v>
          </cell>
          <cell r="K278" t="str">
            <v>VALDOSTA</v>
          </cell>
          <cell r="L278" t="str">
            <v>GA</v>
          </cell>
          <cell r="M278" t="str">
            <v>800-577-8858</v>
          </cell>
          <cell r="N278"/>
          <cell r="O278">
            <v>823</v>
          </cell>
          <cell r="P278">
            <v>3538.8999999999996</v>
          </cell>
          <cell r="Q278">
            <v>89</v>
          </cell>
          <cell r="R278">
            <v>382.7</v>
          </cell>
          <cell r="S278"/>
          <cell r="T278">
            <v>0</v>
          </cell>
          <cell r="U278">
            <v>986</v>
          </cell>
          <cell r="V278">
            <v>4239.8</v>
          </cell>
          <cell r="W278">
            <v>862</v>
          </cell>
          <cell r="X278">
            <v>3706.6</v>
          </cell>
          <cell r="Y278"/>
          <cell r="Z278">
            <v>0</v>
          </cell>
          <cell r="AA278"/>
          <cell r="AB278">
            <v>0</v>
          </cell>
          <cell r="AC278"/>
          <cell r="AD278">
            <v>0</v>
          </cell>
          <cell r="AE278"/>
          <cell r="AF278"/>
          <cell r="AG278"/>
          <cell r="AH278"/>
          <cell r="AI278"/>
          <cell r="AJ278">
            <v>0</v>
          </cell>
          <cell r="AK278" t="str">
            <v>3P</v>
          </cell>
          <cell r="AL278">
            <v>213</v>
          </cell>
          <cell r="AM278">
            <v>454</v>
          </cell>
          <cell r="AN278" t="str">
            <v>08 Inactive Dealer</v>
          </cell>
          <cell r="AO278" t="str">
            <v>Southeast</v>
          </cell>
          <cell r="AP278" t="str">
            <v>South</v>
          </cell>
          <cell r="AQ278"/>
          <cell r="AR278">
            <v>0</v>
          </cell>
          <cell r="AS278">
            <v>0</v>
          </cell>
        </row>
        <row r="279">
          <cell r="A279">
            <v>11985</v>
          </cell>
          <cell r="B279" t="str">
            <v>CCE INC dba SUNDOWNER OF GEORGIA</v>
          </cell>
          <cell r="C279"/>
          <cell r="D279" t="str">
            <v>NET 5, BT+</v>
          </cell>
          <cell r="E279" t="str">
            <v>C6</v>
          </cell>
          <cell r="F279" t="str">
            <v>No</v>
          </cell>
          <cell r="G279" t="str">
            <v>GA</v>
          </cell>
          <cell r="H279">
            <v>9</v>
          </cell>
          <cell r="I279">
            <v>0.66500000000000004</v>
          </cell>
          <cell r="J279" t="str">
            <v>House</v>
          </cell>
          <cell r="K279" t="str">
            <v>COVINGTON</v>
          </cell>
          <cell r="L279" t="str">
            <v>GA</v>
          </cell>
          <cell r="M279" t="str">
            <v>800-577-8858</v>
          </cell>
          <cell r="N279"/>
          <cell r="O279">
            <v>757</v>
          </cell>
          <cell r="P279">
            <v>3255.1</v>
          </cell>
          <cell r="Q279">
            <v>131</v>
          </cell>
          <cell r="R279">
            <v>563.29999999999995</v>
          </cell>
          <cell r="S279"/>
          <cell r="T279">
            <v>0</v>
          </cell>
          <cell r="U279">
            <v>907</v>
          </cell>
          <cell r="V279">
            <v>3900.1</v>
          </cell>
          <cell r="W279"/>
          <cell r="X279">
            <v>0</v>
          </cell>
          <cell r="Y279"/>
          <cell r="Z279">
            <v>0</v>
          </cell>
          <cell r="AA279"/>
          <cell r="AB279">
            <v>0</v>
          </cell>
          <cell r="AC279"/>
          <cell r="AD279">
            <v>0</v>
          </cell>
          <cell r="AE279"/>
          <cell r="AF279"/>
          <cell r="AG279"/>
          <cell r="AH279"/>
          <cell r="AI279"/>
          <cell r="AJ279">
            <v>0.01</v>
          </cell>
          <cell r="AK279" t="str">
            <v>3P</v>
          </cell>
          <cell r="AL279">
            <v>400</v>
          </cell>
          <cell r="AM279">
            <v>24</v>
          </cell>
          <cell r="AN279" t="str">
            <v>08 Inactive Dealer</v>
          </cell>
          <cell r="AO279" t="str">
            <v>Southeast</v>
          </cell>
          <cell r="AP279" t="str">
            <v>South</v>
          </cell>
          <cell r="AQ279"/>
          <cell r="AR279">
            <v>0</v>
          </cell>
          <cell r="AS279">
            <v>0</v>
          </cell>
        </row>
        <row r="280">
          <cell r="A280">
            <v>12251</v>
          </cell>
          <cell r="B280" t="str">
            <v>CL WHIGHAM</v>
          </cell>
          <cell r="C280" t="str">
            <v>M10146</v>
          </cell>
          <cell r="D280" t="str">
            <v>NET 5, BT+</v>
          </cell>
          <cell r="E280" t="str">
            <v>CO</v>
          </cell>
          <cell r="F280" t="str">
            <v>Yes</v>
          </cell>
          <cell r="G280" t="str">
            <v>GA</v>
          </cell>
          <cell r="H280">
            <v>7</v>
          </cell>
          <cell r="I280">
            <v>0.66500000000000004</v>
          </cell>
          <cell r="J280" t="str">
            <v>Orphaned Acct</v>
          </cell>
          <cell r="K280" t="str">
            <v>GROVETOWN</v>
          </cell>
          <cell r="L280" t="str">
            <v>GA</v>
          </cell>
          <cell r="M280" t="str">
            <v>800-577-8858</v>
          </cell>
          <cell r="N280"/>
          <cell r="O280">
            <v>862</v>
          </cell>
          <cell r="P280">
            <v>3706.6</v>
          </cell>
          <cell r="Q280">
            <v>186</v>
          </cell>
          <cell r="R280">
            <v>799.8</v>
          </cell>
          <cell r="S280"/>
          <cell r="T280">
            <v>0</v>
          </cell>
          <cell r="U280">
            <v>958</v>
          </cell>
          <cell r="V280">
            <v>4119.3999999999996</v>
          </cell>
          <cell r="W280">
            <v>882</v>
          </cell>
          <cell r="X280">
            <v>3792.6</v>
          </cell>
          <cell r="Y280"/>
          <cell r="Z280">
            <v>0</v>
          </cell>
          <cell r="AA280"/>
          <cell r="AB280">
            <v>0</v>
          </cell>
          <cell r="AC280"/>
          <cell r="AD280">
            <v>0</v>
          </cell>
          <cell r="AE280"/>
          <cell r="AF280"/>
          <cell r="AG280"/>
          <cell r="AH280"/>
          <cell r="AI280"/>
          <cell r="AJ280">
            <v>0</v>
          </cell>
          <cell r="AK280" t="str">
            <v>3P</v>
          </cell>
          <cell r="AL280">
            <v>213</v>
          </cell>
          <cell r="AM280">
            <v>26</v>
          </cell>
          <cell r="AN280" t="str">
            <v>08 Inactive Dealer</v>
          </cell>
          <cell r="AO280" t="str">
            <v>Southeast</v>
          </cell>
          <cell r="AP280" t="str">
            <v>South</v>
          </cell>
          <cell r="AQ280"/>
          <cell r="AR280">
            <v>0</v>
          </cell>
          <cell r="AS280">
            <v>0</v>
          </cell>
        </row>
        <row r="281">
          <cell r="A281">
            <v>13580</v>
          </cell>
          <cell r="B281" t="str">
            <v>COASTAL TRUCK &amp; TRAILER</v>
          </cell>
          <cell r="C281" t="str">
            <v>M11436</v>
          </cell>
          <cell r="D281" t="str">
            <v>NET 5, BT+</v>
          </cell>
          <cell r="E281" t="str">
            <v>FP - Northpoint</v>
          </cell>
          <cell r="F281" t="str">
            <v>Yes</v>
          </cell>
          <cell r="G281" t="str">
            <v>GA</v>
          </cell>
          <cell r="H281">
            <v>8</v>
          </cell>
          <cell r="I281">
            <v>0.66500000000000004</v>
          </cell>
          <cell r="J281" t="str">
            <v>Dakota Nation</v>
          </cell>
          <cell r="K281" t="str">
            <v>BROOKLET</v>
          </cell>
          <cell r="L281" t="str">
            <v>GA</v>
          </cell>
          <cell r="M281" t="str">
            <v>800-577-8858</v>
          </cell>
          <cell r="N281"/>
          <cell r="O281">
            <v>913</v>
          </cell>
          <cell r="P281">
            <v>3925.8999999999996</v>
          </cell>
          <cell r="Q281">
            <v>154</v>
          </cell>
          <cell r="R281">
            <v>662.19999999999993</v>
          </cell>
          <cell r="S281"/>
          <cell r="T281">
            <v>0</v>
          </cell>
          <cell r="U281">
            <v>1077</v>
          </cell>
          <cell r="V281">
            <v>4631.0999999999995</v>
          </cell>
          <cell r="W281">
            <v>953</v>
          </cell>
          <cell r="X281">
            <v>4097.8999999999996</v>
          </cell>
          <cell r="Y281">
            <v>697</v>
          </cell>
          <cell r="Z281">
            <v>2997.1</v>
          </cell>
          <cell r="AA281">
            <v>697</v>
          </cell>
          <cell r="AB281">
            <v>2997.1</v>
          </cell>
          <cell r="AC281">
            <v>697</v>
          </cell>
          <cell r="AD281">
            <v>2997.1</v>
          </cell>
          <cell r="AE281"/>
          <cell r="AF281"/>
          <cell r="AG281"/>
          <cell r="AH281"/>
          <cell r="AI281"/>
          <cell r="AJ281">
            <v>0.01</v>
          </cell>
          <cell r="AK281" t="str">
            <v>3P</v>
          </cell>
          <cell r="AL281">
            <v>223</v>
          </cell>
          <cell r="AM281"/>
          <cell r="AN281" t="str">
            <v>03 New Dealer</v>
          </cell>
          <cell r="AO281" t="str">
            <v>Southeast</v>
          </cell>
          <cell r="AP281" t="str">
            <v>South</v>
          </cell>
          <cell r="AQ281"/>
          <cell r="AR281">
            <v>0</v>
          </cell>
          <cell r="AS281">
            <v>58504</v>
          </cell>
        </row>
        <row r="282">
          <cell r="A282">
            <v>12659</v>
          </cell>
          <cell r="B282" t="str">
            <v>COASTAL AUTO</v>
          </cell>
          <cell r="C282" t="str">
            <v>M10150</v>
          </cell>
          <cell r="D282" t="str">
            <v>NET 5, BT+</v>
          </cell>
          <cell r="E282" t="str">
            <v>CO</v>
          </cell>
          <cell r="F282" t="str">
            <v>Yes</v>
          </cell>
          <cell r="G282" t="str">
            <v>GA</v>
          </cell>
          <cell r="H282">
            <v>7</v>
          </cell>
          <cell r="I282">
            <v>0.66500000000000004</v>
          </cell>
          <cell r="J282" t="str">
            <v>Orphaned Acct</v>
          </cell>
          <cell r="K282" t="str">
            <v>WAYCROSS</v>
          </cell>
          <cell r="L282" t="str">
            <v>GA</v>
          </cell>
          <cell r="M282" t="str">
            <v>800-577-8858</v>
          </cell>
          <cell r="N282"/>
          <cell r="O282">
            <v>830</v>
          </cell>
          <cell r="P282">
            <v>3569</v>
          </cell>
          <cell r="Q282">
            <v>114</v>
          </cell>
          <cell r="R282">
            <v>490.2</v>
          </cell>
          <cell r="S282"/>
          <cell r="T282">
            <v>0</v>
          </cell>
          <cell r="U282">
            <v>993</v>
          </cell>
          <cell r="V282">
            <v>4269.8999999999996</v>
          </cell>
          <cell r="W282">
            <v>869</v>
          </cell>
          <cell r="X282">
            <v>3736.7</v>
          </cell>
          <cell r="Y282"/>
          <cell r="Z282">
            <v>0</v>
          </cell>
          <cell r="AA282"/>
          <cell r="AB282">
            <v>0</v>
          </cell>
          <cell r="AC282"/>
          <cell r="AD282">
            <v>0</v>
          </cell>
          <cell r="AE282"/>
          <cell r="AF282"/>
          <cell r="AG282"/>
          <cell r="AH282"/>
          <cell r="AI282"/>
          <cell r="AJ282">
            <v>0</v>
          </cell>
          <cell r="AK282" t="str">
            <v>3P</v>
          </cell>
          <cell r="AL282">
            <v>213</v>
          </cell>
          <cell r="AM282">
            <v>467</v>
          </cell>
          <cell r="AN282" t="str">
            <v>08 Inactive Dealer</v>
          </cell>
          <cell r="AO282" t="str">
            <v>Southeast</v>
          </cell>
          <cell r="AP282" t="str">
            <v>South</v>
          </cell>
          <cell r="AQ282"/>
          <cell r="AR282">
            <v>0</v>
          </cell>
          <cell r="AS282">
            <v>0</v>
          </cell>
        </row>
        <row r="283">
          <cell r="A283">
            <v>12593</v>
          </cell>
          <cell r="B283" t="str">
            <v>DOUG BRYSON GRADING &amp; HAULING</v>
          </cell>
          <cell r="C283" t="str">
            <v>M10183</v>
          </cell>
          <cell r="D283" t="str">
            <v>NET 5, BT+</v>
          </cell>
          <cell r="E283" t="str">
            <v>CO</v>
          </cell>
          <cell r="F283" t="str">
            <v>Yes</v>
          </cell>
          <cell r="G283" t="str">
            <v>GA</v>
          </cell>
          <cell r="H283">
            <v>7</v>
          </cell>
          <cell r="I283">
            <v>0.66500000000000004</v>
          </cell>
          <cell r="J283" t="str">
            <v>Orphaned Acct</v>
          </cell>
          <cell r="K283" t="str">
            <v>LILBURN</v>
          </cell>
          <cell r="L283" t="str">
            <v>GA</v>
          </cell>
          <cell r="M283" t="str">
            <v>800-577-8858</v>
          </cell>
          <cell r="N283"/>
          <cell r="O283">
            <v>745</v>
          </cell>
          <cell r="P283">
            <v>3203.5</v>
          </cell>
          <cell r="Q283">
            <v>156</v>
          </cell>
          <cell r="R283">
            <v>670.8</v>
          </cell>
          <cell r="S283"/>
          <cell r="T283">
            <v>0</v>
          </cell>
          <cell r="U283">
            <v>842</v>
          </cell>
          <cell r="V283">
            <v>3620.6</v>
          </cell>
          <cell r="W283">
            <v>766</v>
          </cell>
          <cell r="X283">
            <v>3293.7999999999997</v>
          </cell>
          <cell r="Y283"/>
          <cell r="Z283">
            <v>0</v>
          </cell>
          <cell r="AA283"/>
          <cell r="AB283">
            <v>0</v>
          </cell>
          <cell r="AC283"/>
          <cell r="AD283">
            <v>0</v>
          </cell>
          <cell r="AE283"/>
          <cell r="AF283"/>
          <cell r="AG283"/>
          <cell r="AH283"/>
          <cell r="AI283"/>
          <cell r="AJ283">
            <v>0</v>
          </cell>
          <cell r="AK283" t="str">
            <v>3P</v>
          </cell>
          <cell r="AL283">
            <v>213</v>
          </cell>
          <cell r="AM283">
            <v>24</v>
          </cell>
          <cell r="AN283" t="str">
            <v>08 Inactive Dealer</v>
          </cell>
          <cell r="AO283" t="str">
            <v>Southeast</v>
          </cell>
          <cell r="AP283" t="str">
            <v>South</v>
          </cell>
          <cell r="AQ283"/>
          <cell r="AR283">
            <v>0</v>
          </cell>
          <cell r="AS283">
            <v>0</v>
          </cell>
        </row>
        <row r="284">
          <cell r="A284">
            <v>12820</v>
          </cell>
          <cell r="B284" t="str">
            <v>GRATRAX USA LLC</v>
          </cell>
          <cell r="C284" t="str">
            <v>M10207</v>
          </cell>
          <cell r="D284" t="str">
            <v>NET 5, BT+</v>
          </cell>
          <cell r="E284" t="str">
            <v>CF</v>
          </cell>
          <cell r="F284" t="str">
            <v>Yes</v>
          </cell>
          <cell r="G284" t="str">
            <v>GA</v>
          </cell>
          <cell r="H284">
            <v>7</v>
          </cell>
          <cell r="I284">
            <v>0.66500000000000004</v>
          </cell>
          <cell r="J284" t="str">
            <v>Orphaned Acct</v>
          </cell>
          <cell r="K284" t="str">
            <v>TENNILLE</v>
          </cell>
          <cell r="L284" t="str">
            <v>GA</v>
          </cell>
          <cell r="M284" t="str">
            <v>800-577-8858</v>
          </cell>
          <cell r="N284"/>
          <cell r="O284"/>
          <cell r="P284">
            <v>0</v>
          </cell>
          <cell r="Q284"/>
          <cell r="R284">
            <v>0</v>
          </cell>
          <cell r="S284"/>
          <cell r="T284">
            <v>0</v>
          </cell>
          <cell r="U284"/>
          <cell r="V284">
            <v>0</v>
          </cell>
          <cell r="W284"/>
          <cell r="X284">
            <v>0</v>
          </cell>
          <cell r="Y284"/>
          <cell r="Z284">
            <v>0</v>
          </cell>
          <cell r="AA284"/>
          <cell r="AB284">
            <v>0</v>
          </cell>
          <cell r="AC284"/>
          <cell r="AD284">
            <v>0</v>
          </cell>
          <cell r="AE284"/>
          <cell r="AF284"/>
          <cell r="AG284"/>
          <cell r="AH284"/>
          <cell r="AI284"/>
          <cell r="AJ284">
            <v>0</v>
          </cell>
          <cell r="AK284" t="str">
            <v>3P</v>
          </cell>
          <cell r="AL284">
            <v>213</v>
          </cell>
          <cell r="AM284">
            <v>271</v>
          </cell>
          <cell r="AN284" t="str">
            <v>01 Existing Dealer</v>
          </cell>
          <cell r="AO284" t="str">
            <v>Southeast</v>
          </cell>
          <cell r="AP284" t="str">
            <v>South</v>
          </cell>
          <cell r="AQ284"/>
          <cell r="AR284">
            <v>0</v>
          </cell>
          <cell r="AS284">
            <v>0</v>
          </cell>
        </row>
        <row r="285">
          <cell r="A285">
            <v>12840</v>
          </cell>
          <cell r="B285" t="str">
            <v>H2O LEASING LLC dba EVERYTHING OUTDOORS</v>
          </cell>
          <cell r="C285" t="str">
            <v>M10212</v>
          </cell>
          <cell r="D285" t="str">
            <v>NET 5, BT+</v>
          </cell>
          <cell r="E285" t="str">
            <v>FP</v>
          </cell>
          <cell r="F285" t="str">
            <v>Yes</v>
          </cell>
          <cell r="G285" t="str">
            <v>GA</v>
          </cell>
          <cell r="H285">
            <v>8</v>
          </cell>
          <cell r="I285">
            <v>0.66500000000000004</v>
          </cell>
          <cell r="J285" t="str">
            <v>Orphaned Acct</v>
          </cell>
          <cell r="K285" t="str">
            <v>CARROLLTON</v>
          </cell>
          <cell r="L285" t="str">
            <v>GA</v>
          </cell>
          <cell r="M285" t="str">
            <v>800-577-8858</v>
          </cell>
          <cell r="N285"/>
          <cell r="O285">
            <v>680</v>
          </cell>
          <cell r="P285">
            <v>2924</v>
          </cell>
          <cell r="Q285">
            <v>192</v>
          </cell>
          <cell r="R285">
            <v>825.59999999999991</v>
          </cell>
          <cell r="S285"/>
          <cell r="T285">
            <v>0</v>
          </cell>
          <cell r="U285">
            <v>777</v>
          </cell>
          <cell r="V285">
            <v>3341.1</v>
          </cell>
          <cell r="W285">
            <v>701</v>
          </cell>
          <cell r="X285">
            <v>3014.2999999999997</v>
          </cell>
          <cell r="Y285"/>
          <cell r="Z285">
            <v>0</v>
          </cell>
          <cell r="AA285"/>
          <cell r="AB285">
            <v>0</v>
          </cell>
          <cell r="AC285"/>
          <cell r="AD285">
            <v>0</v>
          </cell>
          <cell r="AE285"/>
          <cell r="AF285"/>
          <cell r="AG285"/>
          <cell r="AH285"/>
          <cell r="AI285"/>
          <cell r="AJ285">
            <v>0</v>
          </cell>
          <cell r="AK285" t="str">
            <v>3P</v>
          </cell>
          <cell r="AL285">
            <v>213</v>
          </cell>
          <cell r="AM285">
            <v>24</v>
          </cell>
          <cell r="AN285" t="str">
            <v>08 Inactive Dealer</v>
          </cell>
          <cell r="AO285" t="str">
            <v>Southeast</v>
          </cell>
          <cell r="AP285" t="str">
            <v>South</v>
          </cell>
          <cell r="AQ285"/>
          <cell r="AR285">
            <v>0</v>
          </cell>
          <cell r="AS285">
            <v>0</v>
          </cell>
        </row>
        <row r="286">
          <cell r="A286">
            <v>13504</v>
          </cell>
          <cell r="B286" t="str">
            <v>HARPER TRAILER SALES</v>
          </cell>
          <cell r="C286" t="str">
            <v>M11477</v>
          </cell>
          <cell r="D286" t="str">
            <v>NET 5, BT+</v>
          </cell>
          <cell r="E286" t="str">
            <v>CO</v>
          </cell>
          <cell r="F286" t="str">
            <v>Yes</v>
          </cell>
          <cell r="G286" t="str">
            <v>GA</v>
          </cell>
          <cell r="H286">
            <v>5</v>
          </cell>
          <cell r="I286">
            <v>0.66500000000000004</v>
          </cell>
          <cell r="J286" t="str">
            <v>Orphaned Acct</v>
          </cell>
          <cell r="K286" t="str">
            <v>CARROLLTON</v>
          </cell>
          <cell r="L286" t="str">
            <v>GA</v>
          </cell>
          <cell r="M286" t="str">
            <v>800-577-8858</v>
          </cell>
          <cell r="N286"/>
          <cell r="O286">
            <v>652</v>
          </cell>
          <cell r="P286">
            <v>2803.6</v>
          </cell>
          <cell r="Q286">
            <v>180</v>
          </cell>
          <cell r="R286">
            <v>774</v>
          </cell>
          <cell r="S286"/>
          <cell r="T286">
            <v>0</v>
          </cell>
          <cell r="U286">
            <v>821</v>
          </cell>
          <cell r="V286">
            <v>3530.2999999999997</v>
          </cell>
          <cell r="W286">
            <v>703</v>
          </cell>
          <cell r="X286">
            <v>3022.9</v>
          </cell>
          <cell r="Y286"/>
          <cell r="Z286">
            <v>0</v>
          </cell>
          <cell r="AA286"/>
          <cell r="AB286">
            <v>0</v>
          </cell>
          <cell r="AC286"/>
          <cell r="AD286">
            <v>0</v>
          </cell>
          <cell r="AE286"/>
          <cell r="AF286"/>
          <cell r="AG286"/>
          <cell r="AH286"/>
          <cell r="AI286"/>
          <cell r="AJ286">
            <v>0</v>
          </cell>
          <cell r="AK286"/>
          <cell r="AL286">
            <v>213</v>
          </cell>
          <cell r="AM286">
            <v>24</v>
          </cell>
          <cell r="AN286" t="str">
            <v>03 New Dealer</v>
          </cell>
          <cell r="AO286" t="str">
            <v>Southeast</v>
          </cell>
          <cell r="AP286" t="str">
            <v>South</v>
          </cell>
          <cell r="AQ286"/>
          <cell r="AR286">
            <v>0</v>
          </cell>
          <cell r="AS286">
            <v>0</v>
          </cell>
          <cell r="AT286"/>
        </row>
        <row r="287">
          <cell r="A287">
            <v>12318</v>
          </cell>
          <cell r="B287" t="str">
            <v>HR'S TRAILER</v>
          </cell>
          <cell r="C287" t="str">
            <v>M10224</v>
          </cell>
          <cell r="D287" t="str">
            <v>NET 5, BT+</v>
          </cell>
          <cell r="E287" t="str">
            <v>FP - Wells Fargo</v>
          </cell>
          <cell r="F287" t="str">
            <v>Yes</v>
          </cell>
          <cell r="G287" t="str">
            <v>GA</v>
          </cell>
          <cell r="H287">
            <v>6</v>
          </cell>
          <cell r="I287">
            <v>0.66500000000000004</v>
          </cell>
          <cell r="J287" t="str">
            <v>Orphaned Acct</v>
          </cell>
          <cell r="K287" t="str">
            <v>DUBLIN</v>
          </cell>
          <cell r="L287" t="str">
            <v>GA</v>
          </cell>
          <cell r="M287" t="str">
            <v>800-577-8858</v>
          </cell>
          <cell r="N287"/>
          <cell r="O287">
            <v>854</v>
          </cell>
          <cell r="P287">
            <v>3672.2</v>
          </cell>
          <cell r="Q287">
            <v>75</v>
          </cell>
          <cell r="R287">
            <v>322.5</v>
          </cell>
          <cell r="S287"/>
          <cell r="T287">
            <v>0</v>
          </cell>
          <cell r="U287">
            <v>951</v>
          </cell>
          <cell r="V287">
            <v>4089.2999999999997</v>
          </cell>
          <cell r="W287">
            <v>875</v>
          </cell>
          <cell r="X287">
            <v>3762.5</v>
          </cell>
          <cell r="Y287"/>
          <cell r="Z287">
            <v>0</v>
          </cell>
          <cell r="AA287"/>
          <cell r="AB287">
            <v>0</v>
          </cell>
          <cell r="AC287"/>
          <cell r="AD287">
            <v>0</v>
          </cell>
          <cell r="AE287"/>
          <cell r="AF287"/>
          <cell r="AG287"/>
          <cell r="AH287"/>
          <cell r="AI287"/>
          <cell r="AJ287">
            <v>0</v>
          </cell>
          <cell r="AK287" t="str">
            <v>3P</v>
          </cell>
          <cell r="AL287">
            <v>213</v>
          </cell>
          <cell r="AM287">
            <v>271</v>
          </cell>
          <cell r="AN287" t="str">
            <v>01 Existing Dealer</v>
          </cell>
          <cell r="AO287" t="str">
            <v>Southeast</v>
          </cell>
          <cell r="AP287" t="str">
            <v>South</v>
          </cell>
          <cell r="AQ287"/>
          <cell r="AR287">
            <v>0</v>
          </cell>
          <cell r="AS287">
            <v>0</v>
          </cell>
        </row>
        <row r="288">
          <cell r="A288">
            <v>13657</v>
          </cell>
          <cell r="B288" t="str">
            <v>I W TRAILERS</v>
          </cell>
          <cell r="C288" t="str">
            <v>M10950</v>
          </cell>
          <cell r="D288" t="str">
            <v>NET 5, BT+</v>
          </cell>
          <cell r="E288" t="str">
            <v>F1 - Northpoint</v>
          </cell>
          <cell r="F288" t="str">
            <v>Yes</v>
          </cell>
          <cell r="G288" t="str">
            <v>GA</v>
          </cell>
          <cell r="H288">
            <v>8</v>
          </cell>
          <cell r="I288">
            <v>0.66500000000000004</v>
          </cell>
          <cell r="J288" t="str">
            <v>Lane Davis</v>
          </cell>
          <cell r="K288" t="str">
            <v>RICHMOND HILL</v>
          </cell>
          <cell r="L288" t="str">
            <v>GA</v>
          </cell>
          <cell r="M288" t="str">
            <v>800-577-8858</v>
          </cell>
          <cell r="N288" t="str">
            <v>All tandem axle trailers must have BRK2</v>
          </cell>
          <cell r="O288">
            <v>967</v>
          </cell>
          <cell r="P288">
            <v>4158.0999999999995</v>
          </cell>
          <cell r="Q288">
            <v>187</v>
          </cell>
          <cell r="R288">
            <v>804.1</v>
          </cell>
          <cell r="S288"/>
          <cell r="T288">
            <v>0</v>
          </cell>
          <cell r="U288">
            <v>1063</v>
          </cell>
          <cell r="V288">
            <v>4570.8999999999996</v>
          </cell>
          <cell r="W288">
            <v>987</v>
          </cell>
          <cell r="X288">
            <v>4244.0999999999995</v>
          </cell>
          <cell r="Y288">
            <v>696</v>
          </cell>
          <cell r="Z288">
            <v>2992.7999999999997</v>
          </cell>
          <cell r="AA288">
            <v>696</v>
          </cell>
          <cell r="AB288">
            <v>2992.7999999999997</v>
          </cell>
          <cell r="AC288">
            <v>696</v>
          </cell>
          <cell r="AD288">
            <v>2992.7999999999997</v>
          </cell>
          <cell r="AE288"/>
          <cell r="AF288"/>
          <cell r="AG288"/>
          <cell r="AH288"/>
          <cell r="AI288"/>
          <cell r="AJ288">
            <v>0.04</v>
          </cell>
          <cell r="AK288" t="str">
            <v>3P</v>
          </cell>
          <cell r="AL288">
            <v>275</v>
          </cell>
          <cell r="AM288">
            <v>410</v>
          </cell>
          <cell r="AN288" t="str">
            <v>01 Existing Dealer</v>
          </cell>
          <cell r="AO288" t="str">
            <v>Southeast</v>
          </cell>
          <cell r="AP288" t="str">
            <v>South</v>
          </cell>
          <cell r="AQ288"/>
          <cell r="AR288">
            <v>0</v>
          </cell>
          <cell r="AS288">
            <v>67533</v>
          </cell>
          <cell r="AT288"/>
        </row>
        <row r="289">
          <cell r="A289">
            <v>13576</v>
          </cell>
          <cell r="B289" t="str">
            <v>MACON OUTDOOR POWER</v>
          </cell>
          <cell r="C289" t="str">
            <v>M11479</v>
          </cell>
          <cell r="D289" t="str">
            <v>NET 5, BT+</v>
          </cell>
          <cell r="E289" t="str">
            <v>F4-Wells Fargo</v>
          </cell>
          <cell r="F289" t="str">
            <v>Yes</v>
          </cell>
          <cell r="G289" t="str">
            <v>GA</v>
          </cell>
          <cell r="H289">
            <v>8</v>
          </cell>
          <cell r="I289">
            <v>0.66500000000000004</v>
          </cell>
          <cell r="J289" t="str">
            <v>JL Smith</v>
          </cell>
          <cell r="K289" t="str">
            <v>MACON</v>
          </cell>
          <cell r="L289" t="str">
            <v>GA</v>
          </cell>
          <cell r="M289" t="str">
            <v>800-577-8858</v>
          </cell>
          <cell r="N289"/>
          <cell r="O289">
            <v>772</v>
          </cell>
          <cell r="P289">
            <v>3319.6</v>
          </cell>
          <cell r="Q289">
            <v>71</v>
          </cell>
          <cell r="R289">
            <v>305.3</v>
          </cell>
          <cell r="S289"/>
          <cell r="T289">
            <v>0</v>
          </cell>
          <cell r="U289">
            <v>905</v>
          </cell>
          <cell r="V289">
            <v>3891.5</v>
          </cell>
          <cell r="W289">
            <v>812</v>
          </cell>
          <cell r="X289">
            <v>3491.6</v>
          </cell>
          <cell r="Y289">
            <v>557</v>
          </cell>
          <cell r="Z289">
            <v>2395.1</v>
          </cell>
          <cell r="AA289">
            <v>557</v>
          </cell>
          <cell r="AB289">
            <v>2395.1</v>
          </cell>
          <cell r="AC289">
            <v>557</v>
          </cell>
          <cell r="AD289">
            <v>2395.1</v>
          </cell>
          <cell r="AE289"/>
          <cell r="AF289"/>
          <cell r="AG289"/>
          <cell r="AH289"/>
          <cell r="AI289"/>
          <cell r="AJ289">
            <v>5.0000000000000001E-3</v>
          </cell>
          <cell r="AK289" t="str">
            <v>3P</v>
          </cell>
          <cell r="AL289">
            <v>151</v>
          </cell>
          <cell r="AM289">
            <v>271</v>
          </cell>
          <cell r="AN289" t="str">
            <v>01 Existing Dealer</v>
          </cell>
          <cell r="AO289" t="str">
            <v>Southeast</v>
          </cell>
          <cell r="AP289" t="str">
            <v>South</v>
          </cell>
          <cell r="AQ289"/>
          <cell r="AR289">
            <v>130708</v>
          </cell>
          <cell r="AS289">
            <v>92497</v>
          </cell>
          <cell r="AT289"/>
        </row>
        <row r="290">
          <cell r="A290" t="str">
            <v>13576A</v>
          </cell>
          <cell r="B290" t="str">
            <v>MACON OUTDOOR dba EVERSOLE</v>
          </cell>
          <cell r="C290" t="str">
            <v>M11479</v>
          </cell>
          <cell r="D290" t="str">
            <v>NET 5, BT+</v>
          </cell>
          <cell r="E290" t="str">
            <v>F4-Wells Fargo</v>
          </cell>
          <cell r="F290" t="str">
            <v>Yes</v>
          </cell>
          <cell r="G290" t="str">
            <v>GA</v>
          </cell>
          <cell r="H290">
            <v>8</v>
          </cell>
          <cell r="I290">
            <v>0.66500000000000004</v>
          </cell>
          <cell r="J290" t="str">
            <v>JL Smith</v>
          </cell>
          <cell r="K290" t="str">
            <v>DUBLIN</v>
          </cell>
          <cell r="L290" t="str">
            <v>GA</v>
          </cell>
          <cell r="M290" t="str">
            <v>800-577-8858</v>
          </cell>
          <cell r="N290"/>
          <cell r="O290">
            <v>835</v>
          </cell>
          <cell r="P290">
            <v>3590.5</v>
          </cell>
          <cell r="Q290">
            <v>68</v>
          </cell>
          <cell r="R290">
            <v>292.39999999999998</v>
          </cell>
          <cell r="S290"/>
          <cell r="T290">
            <v>0</v>
          </cell>
          <cell r="U290">
            <v>997</v>
          </cell>
          <cell r="V290">
            <v>4287.0999999999995</v>
          </cell>
          <cell r="W290">
            <v>867</v>
          </cell>
          <cell r="X290">
            <v>3728.1</v>
          </cell>
          <cell r="Y290"/>
          <cell r="Z290">
            <v>0</v>
          </cell>
          <cell r="AA290">
            <v>617</v>
          </cell>
          <cell r="AB290">
            <v>2653.1</v>
          </cell>
          <cell r="AC290">
            <v>617</v>
          </cell>
          <cell r="AD290">
            <v>2653.1</v>
          </cell>
          <cell r="AE290"/>
          <cell r="AF290"/>
          <cell r="AG290"/>
          <cell r="AH290"/>
          <cell r="AI290"/>
          <cell r="AJ290">
            <v>0</v>
          </cell>
          <cell r="AK290" t="str">
            <v>3P</v>
          </cell>
          <cell r="AL290">
            <v>151</v>
          </cell>
          <cell r="AM290">
            <v>271</v>
          </cell>
          <cell r="AN290" t="str">
            <v>01 Existing Dealer</v>
          </cell>
          <cell r="AO290" t="str">
            <v>Southeast</v>
          </cell>
          <cell r="AP290" t="str">
            <v>South</v>
          </cell>
          <cell r="AQ290"/>
          <cell r="AR290">
            <v>0</v>
          </cell>
          <cell r="AS290">
            <v>0</v>
          </cell>
        </row>
        <row r="291">
          <cell r="A291">
            <v>12920</v>
          </cell>
          <cell r="B291" t="str">
            <v>MOTORS IN MOTION</v>
          </cell>
          <cell r="C291" t="str">
            <v>M10291</v>
          </cell>
          <cell r="D291" t="str">
            <v>NET 5, BT+</v>
          </cell>
          <cell r="E291" t="str">
            <v>F1 - Wells Fargo</v>
          </cell>
          <cell r="F291" t="str">
            <v>Yes</v>
          </cell>
          <cell r="G291" t="str">
            <v>GA</v>
          </cell>
          <cell r="H291">
            <v>8</v>
          </cell>
          <cell r="I291">
            <v>0.66500000000000004</v>
          </cell>
          <cell r="J291" t="str">
            <v>Lane Davis</v>
          </cell>
          <cell r="K291" t="str">
            <v>GAINESVILLE</v>
          </cell>
          <cell r="L291" t="str">
            <v>GA</v>
          </cell>
          <cell r="M291" t="str">
            <v>800-577-8858</v>
          </cell>
          <cell r="N291" t="str">
            <v>MSO's must have 2800 Cleveland HWY Gainesville, GA 30506 address</v>
          </cell>
          <cell r="O291">
            <v>777</v>
          </cell>
          <cell r="P291">
            <v>3341.1</v>
          </cell>
          <cell r="Q291">
            <v>195</v>
          </cell>
          <cell r="R291">
            <v>838.5</v>
          </cell>
          <cell r="S291"/>
          <cell r="T291">
            <v>0</v>
          </cell>
          <cell r="U291">
            <v>874</v>
          </cell>
          <cell r="V291">
            <v>3758.2</v>
          </cell>
          <cell r="W291">
            <v>798</v>
          </cell>
          <cell r="X291">
            <v>3431.3999999999996</v>
          </cell>
          <cell r="Y291"/>
          <cell r="Z291">
            <v>0</v>
          </cell>
          <cell r="AA291"/>
          <cell r="AB291">
            <v>0</v>
          </cell>
          <cell r="AC291"/>
          <cell r="AD291">
            <v>0</v>
          </cell>
          <cell r="AE291"/>
          <cell r="AF291"/>
          <cell r="AG291"/>
          <cell r="AH291"/>
          <cell r="AI291"/>
          <cell r="AJ291">
            <v>0.03</v>
          </cell>
          <cell r="AK291" t="str">
            <v>3P</v>
          </cell>
          <cell r="AL291">
            <v>275</v>
          </cell>
          <cell r="AM291">
            <v>160</v>
          </cell>
          <cell r="AN291" t="str">
            <v>01 Existing Dealer</v>
          </cell>
          <cell r="AO291" t="str">
            <v>Southeast</v>
          </cell>
          <cell r="AP291" t="str">
            <v>South</v>
          </cell>
          <cell r="AQ291"/>
          <cell r="AR291">
            <v>129045</v>
          </cell>
          <cell r="AS291">
            <v>65922</v>
          </cell>
        </row>
        <row r="292">
          <cell r="A292">
            <v>12052</v>
          </cell>
          <cell r="B292" t="str">
            <v>MOTORS IN MOTION</v>
          </cell>
          <cell r="C292" t="str">
            <v>M10291</v>
          </cell>
          <cell r="D292" t="str">
            <v>NET 5, BT+</v>
          </cell>
          <cell r="E292" t="str">
            <v>C6</v>
          </cell>
          <cell r="F292" t="str">
            <v>Yes</v>
          </cell>
          <cell r="G292" t="str">
            <v>GA</v>
          </cell>
          <cell r="H292">
            <v>9</v>
          </cell>
          <cell r="I292">
            <v>0.66500000000000004</v>
          </cell>
          <cell r="J292" t="str">
            <v>Orphaned Acct</v>
          </cell>
          <cell r="K292" t="str">
            <v>GAINESVILLE</v>
          </cell>
          <cell r="L292" t="str">
            <v>GA</v>
          </cell>
          <cell r="M292" t="str">
            <v>800-577-8858</v>
          </cell>
          <cell r="N292" t="str">
            <v>All tandem axle trailers must have BRK2</v>
          </cell>
          <cell r="O292">
            <v>777</v>
          </cell>
          <cell r="P292">
            <v>3341.1</v>
          </cell>
          <cell r="Q292">
            <v>195</v>
          </cell>
          <cell r="R292">
            <v>838.5</v>
          </cell>
          <cell r="S292"/>
          <cell r="T292">
            <v>0</v>
          </cell>
          <cell r="U292">
            <v>874</v>
          </cell>
          <cell r="V292">
            <v>3758.2</v>
          </cell>
          <cell r="W292">
            <v>798</v>
          </cell>
          <cell r="X292">
            <v>3431.3999999999996</v>
          </cell>
          <cell r="Y292"/>
          <cell r="Z292">
            <v>0</v>
          </cell>
          <cell r="AA292"/>
          <cell r="AB292">
            <v>0</v>
          </cell>
          <cell r="AC292"/>
          <cell r="AD292">
            <v>0</v>
          </cell>
          <cell r="AE292"/>
          <cell r="AF292"/>
          <cell r="AG292"/>
          <cell r="AH292"/>
          <cell r="AI292"/>
          <cell r="AJ292">
            <v>1.4999999999999999E-2</v>
          </cell>
          <cell r="AK292" t="str">
            <v>3P</v>
          </cell>
          <cell r="AL292">
            <v>213</v>
          </cell>
          <cell r="AM292">
            <v>160</v>
          </cell>
          <cell r="AN292" t="str">
            <v>01 Existing Dealer</v>
          </cell>
          <cell r="AO292" t="str">
            <v>Southeast</v>
          </cell>
          <cell r="AP292" t="str">
            <v>South</v>
          </cell>
          <cell r="AQ292"/>
          <cell r="AR292">
            <v>0</v>
          </cell>
          <cell r="AS292">
            <v>0</v>
          </cell>
        </row>
        <row r="293">
          <cell r="A293">
            <v>12847</v>
          </cell>
          <cell r="B293" t="str">
            <v>R.C. MATHIS &amp; CO, INC dba MATHIS TRAILERS</v>
          </cell>
          <cell r="C293" t="str">
            <v>M10340</v>
          </cell>
          <cell r="D293" t="str">
            <v>NET 5, BT+</v>
          </cell>
          <cell r="E293" t="str">
            <v>F3 - Northpoint</v>
          </cell>
          <cell r="F293" t="str">
            <v>Yes</v>
          </cell>
          <cell r="G293" t="str">
            <v>GA</v>
          </cell>
          <cell r="H293">
            <v>8</v>
          </cell>
          <cell r="I293">
            <v>0.66500000000000004</v>
          </cell>
          <cell r="J293" t="str">
            <v>JL Smith</v>
          </cell>
          <cell r="K293" t="str">
            <v>ROME</v>
          </cell>
          <cell r="L293" t="str">
            <v>GA</v>
          </cell>
          <cell r="M293" t="str">
            <v>800-577-8858</v>
          </cell>
          <cell r="N293"/>
          <cell r="O293">
            <v>692</v>
          </cell>
          <cell r="P293">
            <v>2975.6</v>
          </cell>
          <cell r="Q293">
            <v>217</v>
          </cell>
          <cell r="R293">
            <v>933.09999999999991</v>
          </cell>
          <cell r="S293"/>
          <cell r="T293">
            <v>0</v>
          </cell>
          <cell r="U293">
            <v>789</v>
          </cell>
          <cell r="V293">
            <v>3392.7</v>
          </cell>
          <cell r="W293">
            <v>715</v>
          </cell>
          <cell r="X293">
            <v>3074.5</v>
          </cell>
          <cell r="Y293">
            <v>442</v>
          </cell>
          <cell r="Z293">
            <v>1900.6</v>
          </cell>
          <cell r="AA293">
            <v>442</v>
          </cell>
          <cell r="AB293">
            <v>1900.6</v>
          </cell>
          <cell r="AC293">
            <v>442</v>
          </cell>
          <cell r="AD293">
            <v>1900.6</v>
          </cell>
          <cell r="AE293"/>
          <cell r="AF293"/>
          <cell r="AG293"/>
          <cell r="AH293"/>
          <cell r="AI293"/>
          <cell r="AJ293">
            <v>5.0000000000000001E-3</v>
          </cell>
          <cell r="AK293" t="str">
            <v>3P</v>
          </cell>
          <cell r="AL293">
            <v>151</v>
          </cell>
          <cell r="AM293">
            <v>384</v>
          </cell>
          <cell r="AN293" t="str">
            <v>01 Existing Dealer</v>
          </cell>
          <cell r="AO293" t="str">
            <v>Southeast</v>
          </cell>
          <cell r="AP293" t="str">
            <v>South</v>
          </cell>
          <cell r="AQ293"/>
          <cell r="AR293">
            <v>11443</v>
          </cell>
          <cell r="AS293">
            <v>0</v>
          </cell>
        </row>
        <row r="294">
          <cell r="A294">
            <v>12903</v>
          </cell>
          <cell r="B294" t="str">
            <v>REED &amp; REED</v>
          </cell>
          <cell r="C294" t="str">
            <v>M10352</v>
          </cell>
          <cell r="D294" t="str">
            <v>NET 5, BT+</v>
          </cell>
          <cell r="E294" t="str">
            <v>FP - Wells Fargo</v>
          </cell>
          <cell r="F294" t="str">
            <v>Yes</v>
          </cell>
          <cell r="G294" t="str">
            <v>GA</v>
          </cell>
          <cell r="H294">
            <v>8</v>
          </cell>
          <cell r="I294">
            <v>0.66500000000000004</v>
          </cell>
          <cell r="J294" t="str">
            <v>JL Smith</v>
          </cell>
          <cell r="K294" t="str">
            <v>CHATSWORTH</v>
          </cell>
          <cell r="L294" t="str">
            <v>GA</v>
          </cell>
          <cell r="M294" t="str">
            <v>800-577-8858</v>
          </cell>
          <cell r="N294"/>
          <cell r="O294">
            <v>715</v>
          </cell>
          <cell r="P294">
            <v>3074.5</v>
          </cell>
          <cell r="Q294">
            <v>233</v>
          </cell>
          <cell r="R294">
            <v>1001.9</v>
          </cell>
          <cell r="S294"/>
          <cell r="T294">
            <v>0</v>
          </cell>
          <cell r="U294">
            <v>812</v>
          </cell>
          <cell r="V294">
            <v>3491.6</v>
          </cell>
          <cell r="W294">
            <v>781</v>
          </cell>
          <cell r="X294">
            <v>3358.2999999999997</v>
          </cell>
          <cell r="Y294">
            <v>381</v>
          </cell>
          <cell r="Z294">
            <v>1638.3</v>
          </cell>
          <cell r="AA294">
            <v>381</v>
          </cell>
          <cell r="AB294">
            <v>1638.3</v>
          </cell>
          <cell r="AC294">
            <v>381</v>
          </cell>
          <cell r="AD294">
            <v>1638.3</v>
          </cell>
          <cell r="AE294"/>
          <cell r="AF294"/>
          <cell r="AG294"/>
          <cell r="AH294"/>
          <cell r="AI294"/>
          <cell r="AJ294">
            <v>0</v>
          </cell>
          <cell r="AK294" t="str">
            <v>3P</v>
          </cell>
          <cell r="AL294">
            <v>151</v>
          </cell>
          <cell r="AM294">
            <v>102</v>
          </cell>
          <cell r="AN294" t="str">
            <v>01 Existing Dealer</v>
          </cell>
          <cell r="AO294" t="str">
            <v>Southeast</v>
          </cell>
          <cell r="AP294" t="str">
            <v>South</v>
          </cell>
          <cell r="AQ294"/>
          <cell r="AR294">
            <v>0</v>
          </cell>
          <cell r="AS294">
            <v>0</v>
          </cell>
        </row>
        <row r="295">
          <cell r="A295">
            <v>12898</v>
          </cell>
          <cell r="B295" t="str">
            <v>REED &amp; REED</v>
          </cell>
          <cell r="C295" t="str">
            <v>M10352</v>
          </cell>
          <cell r="D295" t="str">
            <v>NET 5, BT+</v>
          </cell>
          <cell r="E295" t="str">
            <v>CO</v>
          </cell>
          <cell r="F295" t="str">
            <v>Yes</v>
          </cell>
          <cell r="G295" t="str">
            <v>GA</v>
          </cell>
          <cell r="H295">
            <v>7</v>
          </cell>
          <cell r="I295">
            <v>0.66500000000000004</v>
          </cell>
          <cell r="J295" t="str">
            <v>JL Smith</v>
          </cell>
          <cell r="K295" t="str">
            <v>CHATSWORTH</v>
          </cell>
          <cell r="L295" t="str">
            <v>GA</v>
          </cell>
          <cell r="M295" t="str">
            <v>800-577-8858</v>
          </cell>
          <cell r="N295"/>
          <cell r="O295">
            <v>715</v>
          </cell>
          <cell r="P295">
            <v>3074.5</v>
          </cell>
          <cell r="Q295">
            <v>233</v>
          </cell>
          <cell r="R295">
            <v>1001.9</v>
          </cell>
          <cell r="S295"/>
          <cell r="T295">
            <v>0</v>
          </cell>
          <cell r="U295">
            <v>812</v>
          </cell>
          <cell r="V295">
            <v>3491.6</v>
          </cell>
          <cell r="W295">
            <v>781</v>
          </cell>
          <cell r="X295">
            <v>3358.2999999999997</v>
          </cell>
          <cell r="Y295">
            <v>381</v>
          </cell>
          <cell r="Z295">
            <v>1638.3</v>
          </cell>
          <cell r="AA295">
            <v>381</v>
          </cell>
          <cell r="AB295">
            <v>1638.3</v>
          </cell>
          <cell r="AC295">
            <v>381</v>
          </cell>
          <cell r="AD295">
            <v>1638.3</v>
          </cell>
          <cell r="AE295"/>
          <cell r="AF295"/>
          <cell r="AG295"/>
          <cell r="AH295"/>
          <cell r="AI295"/>
          <cell r="AJ295">
            <v>0</v>
          </cell>
          <cell r="AK295" t="str">
            <v>3P</v>
          </cell>
          <cell r="AL295">
            <v>151</v>
          </cell>
          <cell r="AM295">
            <v>102</v>
          </cell>
          <cell r="AN295" t="str">
            <v>01 Existing Dealer</v>
          </cell>
          <cell r="AO295" t="str">
            <v>Southeast</v>
          </cell>
          <cell r="AP295" t="str">
            <v>South</v>
          </cell>
          <cell r="AQ295"/>
          <cell r="AR295">
            <v>0</v>
          </cell>
          <cell r="AS295">
            <v>0</v>
          </cell>
        </row>
        <row r="296">
          <cell r="A296">
            <v>13042</v>
          </cell>
          <cell r="B296" t="str">
            <v>SINCLAIR HEAVY DUTY</v>
          </cell>
          <cell r="C296" t="str">
            <v>M10909</v>
          </cell>
          <cell r="D296" t="str">
            <v>NET 5, BT+</v>
          </cell>
          <cell r="E296" t="str">
            <v>FP - Wells Fargo</v>
          </cell>
          <cell r="F296" t="str">
            <v>Yes</v>
          </cell>
          <cell r="G296" t="str">
            <v>GA</v>
          </cell>
          <cell r="H296">
            <v>7</v>
          </cell>
          <cell r="I296">
            <v>0.66500000000000004</v>
          </cell>
          <cell r="J296" t="str">
            <v>JL Smith</v>
          </cell>
          <cell r="K296" t="str">
            <v>MILLEDGEVILLE</v>
          </cell>
          <cell r="L296" t="str">
            <v>GA</v>
          </cell>
          <cell r="M296" t="str">
            <v>800-577-8858</v>
          </cell>
          <cell r="N296"/>
          <cell r="O296">
            <v>826</v>
          </cell>
          <cell r="P296">
            <v>3551.7999999999997</v>
          </cell>
          <cell r="Q296">
            <v>96</v>
          </cell>
          <cell r="R296">
            <v>412.79999999999995</v>
          </cell>
          <cell r="S296"/>
          <cell r="T296">
            <v>0</v>
          </cell>
          <cell r="U296">
            <v>922</v>
          </cell>
          <cell r="V296">
            <v>3964.6</v>
          </cell>
          <cell r="W296">
            <v>846</v>
          </cell>
          <cell r="X296">
            <v>3637.7999999999997</v>
          </cell>
          <cell r="Y296"/>
          <cell r="Z296">
            <v>0</v>
          </cell>
          <cell r="AA296"/>
          <cell r="AB296">
            <v>0</v>
          </cell>
          <cell r="AC296"/>
          <cell r="AD296">
            <v>0</v>
          </cell>
          <cell r="AE296"/>
          <cell r="AF296"/>
          <cell r="AG296"/>
          <cell r="AH296"/>
          <cell r="AI296"/>
          <cell r="AJ296">
            <v>0</v>
          </cell>
          <cell r="AK296" t="str">
            <v>3P</v>
          </cell>
          <cell r="AL296">
            <v>151</v>
          </cell>
          <cell r="AM296">
            <v>271</v>
          </cell>
          <cell r="AN296" t="str">
            <v>01 Existing Dealer</v>
          </cell>
          <cell r="AO296" t="str">
            <v>Southeast</v>
          </cell>
          <cell r="AP296" t="str">
            <v>South</v>
          </cell>
          <cell r="AQ296"/>
          <cell r="AR296">
            <v>0</v>
          </cell>
          <cell r="AS296">
            <v>0</v>
          </cell>
        </row>
        <row r="297">
          <cell r="A297">
            <v>13014</v>
          </cell>
          <cell r="B297" t="str">
            <v>SOUTHERN HARDWARE</v>
          </cell>
          <cell r="C297" t="str">
            <v>M10867</v>
          </cell>
          <cell r="D297" t="str">
            <v>NET 5, BT+</v>
          </cell>
          <cell r="E297" t="str">
            <v>CO</v>
          </cell>
          <cell r="F297" t="str">
            <v>Yes</v>
          </cell>
          <cell r="G297" t="str">
            <v>GA</v>
          </cell>
          <cell r="H297">
            <v>7</v>
          </cell>
          <cell r="I297">
            <v>0.66500000000000004</v>
          </cell>
          <cell r="J297" t="str">
            <v>Orphaned Acct</v>
          </cell>
          <cell r="K297" t="str">
            <v>BRUNSWICK</v>
          </cell>
          <cell r="L297" t="str">
            <v>GA</v>
          </cell>
          <cell r="M297" t="str">
            <v>800-577-8858</v>
          </cell>
          <cell r="N297"/>
          <cell r="O297">
            <v>1024</v>
          </cell>
          <cell r="P297">
            <v>4403.2</v>
          </cell>
          <cell r="Q297">
            <v>173</v>
          </cell>
          <cell r="R297">
            <v>743.9</v>
          </cell>
          <cell r="S297"/>
          <cell r="T297">
            <v>0</v>
          </cell>
          <cell r="U297">
            <v>1121</v>
          </cell>
          <cell r="V297">
            <v>4820.3</v>
          </cell>
          <cell r="W297">
            <v>1045</v>
          </cell>
          <cell r="X297">
            <v>4493.5</v>
          </cell>
          <cell r="Y297"/>
          <cell r="Z297">
            <v>0</v>
          </cell>
          <cell r="AA297"/>
          <cell r="AB297">
            <v>0</v>
          </cell>
          <cell r="AC297"/>
          <cell r="AD297">
            <v>0</v>
          </cell>
          <cell r="AE297"/>
          <cell r="AF297"/>
          <cell r="AG297"/>
          <cell r="AH297"/>
          <cell r="AI297"/>
          <cell r="AJ297">
            <v>0</v>
          </cell>
          <cell r="AK297" t="str">
            <v>3P</v>
          </cell>
          <cell r="AL297">
            <v>213</v>
          </cell>
          <cell r="AM297">
            <v>58</v>
          </cell>
          <cell r="AN297" t="str">
            <v>08 Inactive Dealer</v>
          </cell>
          <cell r="AO297" t="str">
            <v>Southeast</v>
          </cell>
          <cell r="AP297" t="str">
            <v>South</v>
          </cell>
          <cell r="AQ297"/>
          <cell r="AR297">
            <v>0</v>
          </cell>
          <cell r="AS297">
            <v>0</v>
          </cell>
        </row>
        <row r="298">
          <cell r="A298">
            <v>12371</v>
          </cell>
          <cell r="B298" t="str">
            <v>SOUTHERN TRACTOR</v>
          </cell>
          <cell r="C298" t="str">
            <v>M10377</v>
          </cell>
          <cell r="D298" t="str">
            <v>NET 5, BT+</v>
          </cell>
          <cell r="E298" t="str">
            <v>FP - Northpoint</v>
          </cell>
          <cell r="F298" t="str">
            <v>Yes</v>
          </cell>
          <cell r="G298" t="str">
            <v>GA</v>
          </cell>
          <cell r="H298">
            <v>8</v>
          </cell>
          <cell r="I298">
            <v>0.66500000000000004</v>
          </cell>
          <cell r="J298" t="str">
            <v>Orphaned Acct</v>
          </cell>
          <cell r="K298" t="str">
            <v>MOULTRIE</v>
          </cell>
          <cell r="L298" t="str">
            <v>GA</v>
          </cell>
          <cell r="M298" t="str">
            <v>800-577-8858</v>
          </cell>
          <cell r="N298"/>
          <cell r="O298">
            <v>758</v>
          </cell>
          <cell r="P298">
            <v>3259.4</v>
          </cell>
          <cell r="Q298">
            <v>69</v>
          </cell>
          <cell r="R298">
            <v>296.7</v>
          </cell>
          <cell r="S298"/>
          <cell r="T298">
            <v>0</v>
          </cell>
          <cell r="U298">
            <v>921</v>
          </cell>
          <cell r="V298">
            <v>3960.2999999999997</v>
          </cell>
          <cell r="W298">
            <v>797</v>
          </cell>
          <cell r="X298">
            <v>3427.1</v>
          </cell>
          <cell r="Y298"/>
          <cell r="Z298">
            <v>0</v>
          </cell>
          <cell r="AA298"/>
          <cell r="AB298">
            <v>0</v>
          </cell>
          <cell r="AC298"/>
          <cell r="AD298">
            <v>0</v>
          </cell>
          <cell r="AE298"/>
          <cell r="AF298"/>
          <cell r="AG298"/>
          <cell r="AH298"/>
          <cell r="AI298"/>
          <cell r="AJ298">
            <v>0</v>
          </cell>
          <cell r="AK298" t="str">
            <v>3P</v>
          </cell>
          <cell r="AL298">
            <v>213</v>
          </cell>
          <cell r="AM298">
            <v>6</v>
          </cell>
          <cell r="AN298" t="str">
            <v>01 Existing Dealer</v>
          </cell>
          <cell r="AO298" t="str">
            <v>Southeast</v>
          </cell>
          <cell r="AP298" t="str">
            <v>South</v>
          </cell>
          <cell r="AQ298"/>
          <cell r="AR298">
            <v>0</v>
          </cell>
          <cell r="AS298">
            <v>0</v>
          </cell>
        </row>
        <row r="299">
          <cell r="A299">
            <v>12372</v>
          </cell>
          <cell r="B299" t="str">
            <v>SOUTHERN TRACTOR</v>
          </cell>
          <cell r="C299" t="str">
            <v>M10377</v>
          </cell>
          <cell r="D299" t="str">
            <v>Net 30, no pink card</v>
          </cell>
          <cell r="E299">
            <v>30</v>
          </cell>
          <cell r="F299" t="str">
            <v>Yes</v>
          </cell>
          <cell r="G299" t="str">
            <v>GA</v>
          </cell>
          <cell r="H299">
            <v>5</v>
          </cell>
          <cell r="I299">
            <v>0.66500000000000004</v>
          </cell>
          <cell r="J299" t="str">
            <v>Orphaned Acct</v>
          </cell>
          <cell r="K299" t="str">
            <v>MOULTRIE</v>
          </cell>
          <cell r="L299" t="str">
            <v>GA</v>
          </cell>
          <cell r="M299" t="str">
            <v>800-577-8858</v>
          </cell>
          <cell r="N299"/>
          <cell r="O299">
            <v>758</v>
          </cell>
          <cell r="P299">
            <v>3259.4</v>
          </cell>
          <cell r="Q299">
            <v>69</v>
          </cell>
          <cell r="R299">
            <v>296.7</v>
          </cell>
          <cell r="S299"/>
          <cell r="T299">
            <v>0</v>
          </cell>
          <cell r="U299">
            <v>921</v>
          </cell>
          <cell r="V299">
            <v>3960.2999999999997</v>
          </cell>
          <cell r="W299">
            <v>797</v>
          </cell>
          <cell r="X299">
            <v>3427.1</v>
          </cell>
          <cell r="Y299"/>
          <cell r="Z299">
            <v>0</v>
          </cell>
          <cell r="AA299"/>
          <cell r="AB299">
            <v>0</v>
          </cell>
          <cell r="AC299"/>
          <cell r="AD299">
            <v>0</v>
          </cell>
          <cell r="AE299"/>
          <cell r="AF299"/>
          <cell r="AG299"/>
          <cell r="AH299"/>
          <cell r="AI299"/>
          <cell r="AJ299">
            <v>0</v>
          </cell>
          <cell r="AK299" t="str">
            <v>3P</v>
          </cell>
          <cell r="AL299">
            <v>213</v>
          </cell>
          <cell r="AM299">
            <v>6</v>
          </cell>
          <cell r="AN299" t="str">
            <v>01 Existing Dealer</v>
          </cell>
          <cell r="AO299" t="str">
            <v>Southeast</v>
          </cell>
          <cell r="AP299" t="str">
            <v>South</v>
          </cell>
          <cell r="AQ299"/>
          <cell r="AR299">
            <v>0</v>
          </cell>
          <cell r="AS299">
            <v>0</v>
          </cell>
        </row>
        <row r="300">
          <cell r="A300" t="str">
            <v>12371A</v>
          </cell>
          <cell r="B300" t="str">
            <v>SOUTHERN TRACTOR</v>
          </cell>
          <cell r="C300" t="str">
            <v>M10377</v>
          </cell>
          <cell r="D300" t="str">
            <v>NET 5, BT+</v>
          </cell>
          <cell r="E300" t="str">
            <v>FP - Wells Fargo</v>
          </cell>
          <cell r="F300" t="str">
            <v>Yes</v>
          </cell>
          <cell r="G300" t="str">
            <v>GA</v>
          </cell>
          <cell r="H300">
            <v>8</v>
          </cell>
          <cell r="I300">
            <v>0.66500000000000004</v>
          </cell>
          <cell r="J300" t="str">
            <v>Orphaned Acct</v>
          </cell>
          <cell r="K300" t="str">
            <v>ALBANY</v>
          </cell>
          <cell r="L300" t="str">
            <v>GA</v>
          </cell>
          <cell r="M300" t="str">
            <v>800-577-8858</v>
          </cell>
          <cell r="N300"/>
          <cell r="O300">
            <v>719</v>
          </cell>
          <cell r="P300">
            <v>3091.7</v>
          </cell>
          <cell r="Q300">
            <v>54</v>
          </cell>
          <cell r="R300">
            <v>232.2</v>
          </cell>
          <cell r="S300"/>
          <cell r="T300">
            <v>0</v>
          </cell>
          <cell r="U300">
            <v>882</v>
          </cell>
          <cell r="V300">
            <v>3792.6</v>
          </cell>
          <cell r="W300">
            <v>758</v>
          </cell>
          <cell r="X300">
            <v>3259.4</v>
          </cell>
          <cell r="Y300"/>
          <cell r="Z300">
            <v>0</v>
          </cell>
          <cell r="AA300"/>
          <cell r="AB300">
            <v>0</v>
          </cell>
          <cell r="AC300"/>
          <cell r="AD300">
            <v>0</v>
          </cell>
          <cell r="AE300"/>
          <cell r="AF300"/>
          <cell r="AG300"/>
          <cell r="AH300"/>
          <cell r="AI300"/>
          <cell r="AJ300">
            <v>0</v>
          </cell>
          <cell r="AK300" t="str">
            <v>3P</v>
          </cell>
          <cell r="AL300">
            <v>213</v>
          </cell>
          <cell r="AM300">
            <v>6</v>
          </cell>
          <cell r="AN300" t="str">
            <v>01 Existing Dealer</v>
          </cell>
          <cell r="AO300" t="str">
            <v>Southeast</v>
          </cell>
          <cell r="AP300" t="str">
            <v>South</v>
          </cell>
          <cell r="AQ300"/>
          <cell r="AR300">
            <v>0</v>
          </cell>
          <cell r="AS300">
            <v>0</v>
          </cell>
        </row>
        <row r="301">
          <cell r="A301">
            <v>12712</v>
          </cell>
          <cell r="B301" t="str">
            <v>SOUTHERN WIND</v>
          </cell>
          <cell r="C301" t="str">
            <v>M10379</v>
          </cell>
          <cell r="D301" t="str">
            <v>NET 5, BT+</v>
          </cell>
          <cell r="E301" t="str">
            <v>C9</v>
          </cell>
          <cell r="F301" t="str">
            <v>NO</v>
          </cell>
          <cell r="G301" t="str">
            <v>GA</v>
          </cell>
          <cell r="H301">
            <v>9</v>
          </cell>
          <cell r="I301">
            <v>0.66500000000000004</v>
          </cell>
          <cell r="J301" t="str">
            <v>Orphaned Acct</v>
          </cell>
          <cell r="K301" t="str">
            <v>JAKIN</v>
          </cell>
          <cell r="L301" t="str">
            <v>GA</v>
          </cell>
          <cell r="M301" t="str">
            <v>800-577-8858</v>
          </cell>
          <cell r="N301"/>
          <cell r="O301">
            <v>696</v>
          </cell>
          <cell r="P301">
            <v>2992.7999999999997</v>
          </cell>
          <cell r="Q301">
            <v>107</v>
          </cell>
          <cell r="R301">
            <v>460.09999999999997</v>
          </cell>
          <cell r="S301"/>
          <cell r="T301">
            <v>0</v>
          </cell>
          <cell r="U301">
            <v>859</v>
          </cell>
          <cell r="V301">
            <v>3693.7</v>
          </cell>
          <cell r="W301">
            <v>735</v>
          </cell>
          <cell r="X301">
            <v>3160.5</v>
          </cell>
          <cell r="Y301"/>
          <cell r="Z301">
            <v>0</v>
          </cell>
          <cell r="AA301"/>
          <cell r="AB301">
            <v>0</v>
          </cell>
          <cell r="AC301"/>
          <cell r="AD301">
            <v>0</v>
          </cell>
          <cell r="AE301"/>
          <cell r="AF301"/>
          <cell r="AG301"/>
          <cell r="AH301"/>
          <cell r="AI301"/>
          <cell r="AJ301">
            <v>0</v>
          </cell>
          <cell r="AK301" t="str">
            <v>3P</v>
          </cell>
          <cell r="AL301">
            <v>213</v>
          </cell>
          <cell r="AM301">
            <v>6</v>
          </cell>
          <cell r="AN301" t="str">
            <v>08 Inactive Dealer</v>
          </cell>
          <cell r="AO301" t="str">
            <v>Southeast</v>
          </cell>
          <cell r="AP301" t="str">
            <v>South</v>
          </cell>
          <cell r="AQ301"/>
          <cell r="AR301">
            <v>0</v>
          </cell>
          <cell r="AS301">
            <v>0</v>
          </cell>
        </row>
        <row r="302">
          <cell r="A302">
            <v>12479</v>
          </cell>
          <cell r="B302" t="str">
            <v>STEPHENS MOTORCARS, INC.</v>
          </cell>
          <cell r="C302" t="str">
            <v>M10387</v>
          </cell>
          <cell r="D302" t="str">
            <v>NET 5, BT+</v>
          </cell>
          <cell r="E302" t="str">
            <v>CO</v>
          </cell>
          <cell r="F302" t="str">
            <v>Yes</v>
          </cell>
          <cell r="G302" t="str">
            <v>GA</v>
          </cell>
          <cell r="H302">
            <v>7</v>
          </cell>
          <cell r="I302">
            <v>0.66500000000000004</v>
          </cell>
          <cell r="J302" t="str">
            <v>Orphaned Acct</v>
          </cell>
          <cell r="K302" t="str">
            <v>THOMASVILLE</v>
          </cell>
          <cell r="L302" t="str">
            <v>GA</v>
          </cell>
          <cell r="M302" t="str">
            <v>800-577-8858</v>
          </cell>
          <cell r="N302"/>
          <cell r="O302">
            <v>780</v>
          </cell>
          <cell r="P302">
            <v>3354</v>
          </cell>
          <cell r="Q302">
            <v>95</v>
          </cell>
          <cell r="R302">
            <v>408.5</v>
          </cell>
          <cell r="S302"/>
          <cell r="T302">
            <v>0</v>
          </cell>
          <cell r="U302">
            <v>943</v>
          </cell>
          <cell r="V302">
            <v>4054.8999999999996</v>
          </cell>
          <cell r="W302">
            <v>819</v>
          </cell>
          <cell r="X302">
            <v>3521.7</v>
          </cell>
          <cell r="Y302"/>
          <cell r="Z302">
            <v>0</v>
          </cell>
          <cell r="AA302"/>
          <cell r="AB302">
            <v>0</v>
          </cell>
          <cell r="AC302"/>
          <cell r="AD302">
            <v>0</v>
          </cell>
          <cell r="AE302"/>
          <cell r="AF302"/>
          <cell r="AG302"/>
          <cell r="AH302"/>
          <cell r="AI302"/>
          <cell r="AJ302">
            <v>0</v>
          </cell>
          <cell r="AK302" t="str">
            <v>3P</v>
          </cell>
          <cell r="AL302">
            <v>213</v>
          </cell>
          <cell r="AM302">
            <v>439</v>
          </cell>
          <cell r="AN302" t="str">
            <v>08 Inactive Dealer</v>
          </cell>
          <cell r="AO302" t="str">
            <v>Southeast</v>
          </cell>
          <cell r="AP302" t="str">
            <v>South</v>
          </cell>
          <cell r="AQ302"/>
          <cell r="AR302">
            <v>0</v>
          </cell>
          <cell r="AS302">
            <v>0</v>
          </cell>
        </row>
        <row r="303">
          <cell r="A303">
            <v>12095</v>
          </cell>
          <cell r="B303" t="str">
            <v>STEPHENS MOTORCARS, INC.</v>
          </cell>
          <cell r="C303" t="str">
            <v>M10387</v>
          </cell>
          <cell r="D303" t="str">
            <v>NET 5, BT+</v>
          </cell>
          <cell r="E303" t="str">
            <v>C6</v>
          </cell>
          <cell r="F303" t="str">
            <v>No</v>
          </cell>
          <cell r="G303" t="str">
            <v>GA</v>
          </cell>
          <cell r="H303">
            <v>9</v>
          </cell>
          <cell r="I303">
            <v>0.66500000000000004</v>
          </cell>
          <cell r="J303" t="str">
            <v>Orphaned Acct</v>
          </cell>
          <cell r="K303" t="str">
            <v>THOMASVILLE</v>
          </cell>
          <cell r="L303" t="str">
            <v>GA</v>
          </cell>
          <cell r="M303" t="str">
            <v>800-577-8858</v>
          </cell>
          <cell r="N303"/>
          <cell r="O303">
            <v>780</v>
          </cell>
          <cell r="P303">
            <v>3354</v>
          </cell>
          <cell r="Q303">
            <v>95</v>
          </cell>
          <cell r="R303">
            <v>408.5</v>
          </cell>
          <cell r="S303"/>
          <cell r="T303">
            <v>0</v>
          </cell>
          <cell r="U303">
            <v>943</v>
          </cell>
          <cell r="V303">
            <v>4054.8999999999996</v>
          </cell>
          <cell r="W303">
            <v>819</v>
          </cell>
          <cell r="X303">
            <v>3521.7</v>
          </cell>
          <cell r="Y303"/>
          <cell r="Z303">
            <v>0</v>
          </cell>
          <cell r="AA303"/>
          <cell r="AB303">
            <v>0</v>
          </cell>
          <cell r="AC303"/>
          <cell r="AD303">
            <v>0</v>
          </cell>
          <cell r="AE303"/>
          <cell r="AF303"/>
          <cell r="AG303"/>
          <cell r="AH303"/>
          <cell r="AI303"/>
          <cell r="AJ303">
            <v>0</v>
          </cell>
          <cell r="AK303" t="str">
            <v>3P</v>
          </cell>
          <cell r="AL303">
            <v>213</v>
          </cell>
          <cell r="AM303">
            <v>439</v>
          </cell>
          <cell r="AN303" t="str">
            <v>08 Inactive Dealer</v>
          </cell>
          <cell r="AO303" t="str">
            <v>Southeast</v>
          </cell>
          <cell r="AP303" t="str">
            <v>South</v>
          </cell>
          <cell r="AQ303"/>
          <cell r="AR303">
            <v>0</v>
          </cell>
          <cell r="AS303">
            <v>0</v>
          </cell>
          <cell r="AT303"/>
        </row>
        <row r="304">
          <cell r="A304">
            <v>12597</v>
          </cell>
          <cell r="B304" t="str">
            <v>TOWN &amp; COUNTRY</v>
          </cell>
          <cell r="C304" t="str">
            <v>M10377</v>
          </cell>
          <cell r="D304" t="str">
            <v>NET 5, BT+</v>
          </cell>
          <cell r="E304" t="str">
            <v>F1 - Wells Fargo</v>
          </cell>
          <cell r="F304" t="str">
            <v>Yes</v>
          </cell>
          <cell r="G304" t="str">
            <v>GA</v>
          </cell>
          <cell r="H304">
            <v>6</v>
          </cell>
          <cell r="I304">
            <v>0.66500000000000004</v>
          </cell>
          <cell r="J304" t="str">
            <v>House</v>
          </cell>
          <cell r="K304" t="str">
            <v>ALBANY</v>
          </cell>
          <cell r="L304" t="str">
            <v>GA</v>
          </cell>
          <cell r="M304" t="str">
            <v>800-577-8858</v>
          </cell>
          <cell r="N304"/>
          <cell r="O304">
            <v>719</v>
          </cell>
          <cell r="P304">
            <v>3091.7</v>
          </cell>
          <cell r="Q304">
            <v>54</v>
          </cell>
          <cell r="R304">
            <v>232.2</v>
          </cell>
          <cell r="S304"/>
          <cell r="T304">
            <v>0</v>
          </cell>
          <cell r="U304">
            <v>882</v>
          </cell>
          <cell r="V304">
            <v>3792.6</v>
          </cell>
          <cell r="W304">
            <v>758</v>
          </cell>
          <cell r="X304">
            <v>3259.4</v>
          </cell>
          <cell r="Y304"/>
          <cell r="Z304">
            <v>0</v>
          </cell>
          <cell r="AA304"/>
          <cell r="AB304">
            <v>0</v>
          </cell>
          <cell r="AC304"/>
          <cell r="AD304">
            <v>0</v>
          </cell>
          <cell r="AE304"/>
          <cell r="AF304"/>
          <cell r="AG304"/>
          <cell r="AH304"/>
          <cell r="AI304"/>
          <cell r="AJ304">
            <v>0</v>
          </cell>
          <cell r="AK304" t="str">
            <v>3P</v>
          </cell>
          <cell r="AL304">
            <v>400</v>
          </cell>
          <cell r="AM304">
            <v>6</v>
          </cell>
          <cell r="AN304" t="str">
            <v>08 Inactive Dealer</v>
          </cell>
          <cell r="AO304" t="str">
            <v>Southeast</v>
          </cell>
          <cell r="AP304" t="str">
            <v>South</v>
          </cell>
          <cell r="AQ304"/>
          <cell r="AR304">
            <v>0</v>
          </cell>
          <cell r="AS304">
            <v>0</v>
          </cell>
          <cell r="AT304"/>
        </row>
        <row r="305">
          <cell r="A305" t="str">
            <v>12597A</v>
          </cell>
          <cell r="B305" t="str">
            <v>TOWN &amp; COUNTRY</v>
          </cell>
          <cell r="C305" t="str">
            <v>M10377</v>
          </cell>
          <cell r="D305" t="str">
            <v>NET 5, BT+</v>
          </cell>
          <cell r="E305" t="str">
            <v>F1 - Wells Fargo</v>
          </cell>
          <cell r="F305" t="str">
            <v>Yes</v>
          </cell>
          <cell r="G305" t="str">
            <v>GA</v>
          </cell>
          <cell r="H305">
            <v>6</v>
          </cell>
          <cell r="I305">
            <v>0.66500000000000004</v>
          </cell>
          <cell r="J305" t="str">
            <v>House</v>
          </cell>
          <cell r="K305" t="str">
            <v>AMERICUS</v>
          </cell>
          <cell r="L305" t="str">
            <v>GA</v>
          </cell>
          <cell r="M305" t="str">
            <v>800-577-8858</v>
          </cell>
          <cell r="N305"/>
          <cell r="O305">
            <v>715</v>
          </cell>
          <cell r="P305">
            <v>3074.5</v>
          </cell>
          <cell r="Q305">
            <v>31</v>
          </cell>
          <cell r="R305">
            <v>133.29999999999998</v>
          </cell>
          <cell r="S305"/>
          <cell r="T305">
            <v>0</v>
          </cell>
          <cell r="U305">
            <v>878</v>
          </cell>
          <cell r="V305">
            <v>3775.3999999999996</v>
          </cell>
          <cell r="W305">
            <v>754</v>
          </cell>
          <cell r="X305">
            <v>3242.2</v>
          </cell>
          <cell r="Y305"/>
          <cell r="Z305">
            <v>0</v>
          </cell>
          <cell r="AA305"/>
          <cell r="AB305">
            <v>0</v>
          </cell>
          <cell r="AC305"/>
          <cell r="AD305">
            <v>0</v>
          </cell>
          <cell r="AE305"/>
          <cell r="AF305"/>
          <cell r="AG305"/>
          <cell r="AH305"/>
          <cell r="AI305"/>
          <cell r="AJ305">
            <v>0</v>
          </cell>
          <cell r="AK305" t="str">
            <v>3P</v>
          </cell>
          <cell r="AL305">
            <v>400</v>
          </cell>
          <cell r="AM305">
            <v>92</v>
          </cell>
          <cell r="AN305" t="str">
            <v>08 Inactive Dealer</v>
          </cell>
          <cell r="AO305" t="str">
            <v>Southeast</v>
          </cell>
          <cell r="AP305" t="str">
            <v>South</v>
          </cell>
          <cell r="AQ305"/>
          <cell r="AR305">
            <v>0</v>
          </cell>
          <cell r="AS305">
            <v>0</v>
          </cell>
          <cell r="AT305"/>
        </row>
        <row r="306">
          <cell r="A306">
            <v>12565</v>
          </cell>
          <cell r="B306" t="str">
            <v>TRAILER SHOP</v>
          </cell>
          <cell r="C306" t="str">
            <v>M10404</v>
          </cell>
          <cell r="D306" t="str">
            <v>NET 5, BT+</v>
          </cell>
          <cell r="E306" t="str">
            <v>CO</v>
          </cell>
          <cell r="F306" t="str">
            <v>Yes</v>
          </cell>
          <cell r="G306" t="str">
            <v>GA</v>
          </cell>
          <cell r="H306">
            <v>7</v>
          </cell>
          <cell r="I306">
            <v>0.66500000000000004</v>
          </cell>
          <cell r="J306" t="str">
            <v>JL Smith</v>
          </cell>
          <cell r="K306" t="str">
            <v>PERRY</v>
          </cell>
          <cell r="L306" t="str">
            <v>GA</v>
          </cell>
          <cell r="M306" t="str">
            <v>800-577-8858</v>
          </cell>
          <cell r="N306" t="str">
            <v>All tandem axle trailers must have BRK2</v>
          </cell>
          <cell r="O306">
            <v>735</v>
          </cell>
          <cell r="P306">
            <v>3160.5</v>
          </cell>
          <cell r="Q306">
            <v>37</v>
          </cell>
          <cell r="R306">
            <v>159.1</v>
          </cell>
          <cell r="S306"/>
          <cell r="T306">
            <v>0</v>
          </cell>
          <cell r="U306">
            <v>920</v>
          </cell>
          <cell r="V306">
            <v>3956</v>
          </cell>
          <cell r="W306">
            <v>774</v>
          </cell>
          <cell r="X306">
            <v>3328.2</v>
          </cell>
          <cell r="Y306"/>
          <cell r="Z306">
            <v>0</v>
          </cell>
          <cell r="AA306"/>
          <cell r="AB306">
            <v>0</v>
          </cell>
          <cell r="AC306"/>
          <cell r="AD306">
            <v>0</v>
          </cell>
          <cell r="AE306"/>
          <cell r="AF306"/>
          <cell r="AG306"/>
          <cell r="AH306"/>
          <cell r="AI306"/>
          <cell r="AJ306">
            <v>0</v>
          </cell>
          <cell r="AK306" t="str">
            <v>3P</v>
          </cell>
          <cell r="AL306">
            <v>151</v>
          </cell>
          <cell r="AM306">
            <v>271</v>
          </cell>
          <cell r="AN306" t="str">
            <v>01 Existing Dealer</v>
          </cell>
          <cell r="AO306" t="str">
            <v>Southeast</v>
          </cell>
          <cell r="AP306" t="str">
            <v>South</v>
          </cell>
          <cell r="AQ306"/>
          <cell r="AR306">
            <v>0</v>
          </cell>
          <cell r="AS306">
            <v>0</v>
          </cell>
          <cell r="AT306"/>
        </row>
        <row r="307">
          <cell r="A307">
            <v>13125</v>
          </cell>
          <cell r="B307" t="str">
            <v>TRAILER SHOP</v>
          </cell>
          <cell r="C307" t="str">
            <v>M10404</v>
          </cell>
          <cell r="D307" t="str">
            <v>NET 5, BT+</v>
          </cell>
          <cell r="E307" t="str">
            <v>FP - Wells Fargo</v>
          </cell>
          <cell r="F307" t="str">
            <v>Yes</v>
          </cell>
          <cell r="G307" t="str">
            <v>GA</v>
          </cell>
          <cell r="H307">
            <v>8</v>
          </cell>
          <cell r="I307">
            <v>0.66500000000000004</v>
          </cell>
          <cell r="J307" t="str">
            <v>JL Smith</v>
          </cell>
          <cell r="K307" t="str">
            <v>PERRY</v>
          </cell>
          <cell r="L307" t="str">
            <v>GA</v>
          </cell>
          <cell r="M307" t="str">
            <v>800-577-8858</v>
          </cell>
          <cell r="N307" t="str">
            <v>All tandem axle trailers must have BRK2</v>
          </cell>
          <cell r="O307">
            <v>735</v>
          </cell>
          <cell r="P307">
            <v>3160.5</v>
          </cell>
          <cell r="Q307">
            <v>37</v>
          </cell>
          <cell r="R307">
            <v>159.1</v>
          </cell>
          <cell r="S307"/>
          <cell r="T307">
            <v>0</v>
          </cell>
          <cell r="U307">
            <v>920</v>
          </cell>
          <cell r="V307">
            <v>3956</v>
          </cell>
          <cell r="W307">
            <v>774</v>
          </cell>
          <cell r="X307">
            <v>3328.2</v>
          </cell>
          <cell r="Y307">
            <v>587</v>
          </cell>
          <cell r="Z307">
            <v>2524.1</v>
          </cell>
          <cell r="AA307">
            <v>587</v>
          </cell>
          <cell r="AB307">
            <v>2524.1</v>
          </cell>
          <cell r="AC307">
            <v>587</v>
          </cell>
          <cell r="AD307">
            <v>2524.1</v>
          </cell>
          <cell r="AE307"/>
          <cell r="AF307"/>
          <cell r="AG307"/>
          <cell r="AH307"/>
          <cell r="AI307"/>
          <cell r="AJ307">
            <v>0</v>
          </cell>
          <cell r="AK307" t="str">
            <v>3P</v>
          </cell>
          <cell r="AL307">
            <v>151</v>
          </cell>
          <cell r="AM307">
            <v>271</v>
          </cell>
          <cell r="AN307" t="str">
            <v>01 Existing Dealer</v>
          </cell>
          <cell r="AO307" t="str">
            <v>Southeast</v>
          </cell>
          <cell r="AP307" t="str">
            <v>South</v>
          </cell>
          <cell r="AQ307"/>
          <cell r="AR307">
            <v>6360</v>
          </cell>
          <cell r="AS307">
            <v>64714</v>
          </cell>
          <cell r="AT307"/>
        </row>
        <row r="308">
          <cell r="A308">
            <v>12021</v>
          </cell>
          <cell r="B308" t="str">
            <v>TRAILERLAND</v>
          </cell>
          <cell r="C308" t="str">
            <v>M10420</v>
          </cell>
          <cell r="D308" t="str">
            <v>NET 5, BT+</v>
          </cell>
          <cell r="E308" t="str">
            <v>CF</v>
          </cell>
          <cell r="F308" t="str">
            <v>Yes</v>
          </cell>
          <cell r="G308" t="str">
            <v>GA</v>
          </cell>
          <cell r="H308">
            <v>7</v>
          </cell>
          <cell r="I308">
            <v>0.66500000000000004</v>
          </cell>
          <cell r="J308" t="str">
            <v>Orphaned Acct</v>
          </cell>
          <cell r="K308" t="str">
            <v>LEESBURG</v>
          </cell>
          <cell r="L308" t="str">
            <v>GA</v>
          </cell>
          <cell r="M308" t="str">
            <v>800-577-8858</v>
          </cell>
          <cell r="N308"/>
          <cell r="O308">
            <v>715</v>
          </cell>
          <cell r="P308">
            <v>3074.5</v>
          </cell>
          <cell r="Q308">
            <v>44</v>
          </cell>
          <cell r="R308">
            <v>189.2</v>
          </cell>
          <cell r="S308"/>
          <cell r="T308">
            <v>0</v>
          </cell>
          <cell r="U308">
            <v>877</v>
          </cell>
          <cell r="V308">
            <v>3771.1</v>
          </cell>
          <cell r="W308">
            <v>754</v>
          </cell>
          <cell r="X308">
            <v>3242.2</v>
          </cell>
          <cell r="Y308">
            <v>587</v>
          </cell>
          <cell r="Z308">
            <v>2524.1</v>
          </cell>
          <cell r="AA308">
            <v>587</v>
          </cell>
          <cell r="AB308">
            <v>2524.1</v>
          </cell>
          <cell r="AC308">
            <v>587</v>
          </cell>
          <cell r="AD308">
            <v>2524.1</v>
          </cell>
          <cell r="AE308"/>
          <cell r="AF308"/>
          <cell r="AG308"/>
          <cell r="AH308"/>
          <cell r="AI308"/>
          <cell r="AJ308">
            <v>0</v>
          </cell>
          <cell r="AK308" t="str">
            <v>3P</v>
          </cell>
          <cell r="AL308">
            <v>213</v>
          </cell>
          <cell r="AM308">
            <v>6</v>
          </cell>
          <cell r="AN308" t="str">
            <v>08 Inactive Dealer</v>
          </cell>
          <cell r="AO308" t="str">
            <v>Southeast</v>
          </cell>
          <cell r="AP308" t="str">
            <v>South</v>
          </cell>
          <cell r="AQ308"/>
          <cell r="AR308">
            <v>0</v>
          </cell>
          <cell r="AS308">
            <v>0</v>
          </cell>
          <cell r="AT308"/>
        </row>
        <row r="309">
          <cell r="A309">
            <v>12470</v>
          </cell>
          <cell r="B309" t="str">
            <v>TRAILERLAND</v>
          </cell>
          <cell r="C309" t="str">
            <v>M10420</v>
          </cell>
          <cell r="D309" t="str">
            <v>NET 5, BT+</v>
          </cell>
          <cell r="E309" t="str">
            <v>FP - Wells Fargo</v>
          </cell>
          <cell r="F309" t="str">
            <v>Yes</v>
          </cell>
          <cell r="G309" t="str">
            <v>GA</v>
          </cell>
          <cell r="H309">
            <v>6</v>
          </cell>
          <cell r="I309">
            <v>0.66500000000000004</v>
          </cell>
          <cell r="J309" t="str">
            <v>Orphaned Acct</v>
          </cell>
          <cell r="K309" t="str">
            <v>LEESBURG</v>
          </cell>
          <cell r="L309" t="str">
            <v>GA</v>
          </cell>
          <cell r="M309" t="str">
            <v>800-577-8858</v>
          </cell>
          <cell r="N309"/>
          <cell r="O309">
            <v>715</v>
          </cell>
          <cell r="P309">
            <v>3074.5</v>
          </cell>
          <cell r="Q309">
            <v>44</v>
          </cell>
          <cell r="R309">
            <v>189.2</v>
          </cell>
          <cell r="S309"/>
          <cell r="T309">
            <v>0</v>
          </cell>
          <cell r="U309">
            <v>877</v>
          </cell>
          <cell r="V309">
            <v>3771.1</v>
          </cell>
          <cell r="W309">
            <v>754</v>
          </cell>
          <cell r="X309">
            <v>3242.2</v>
          </cell>
          <cell r="Y309"/>
          <cell r="Z309">
            <v>0</v>
          </cell>
          <cell r="AA309"/>
          <cell r="AB309">
            <v>0</v>
          </cell>
          <cell r="AC309"/>
          <cell r="AD309">
            <v>0</v>
          </cell>
          <cell r="AE309"/>
          <cell r="AF309"/>
          <cell r="AG309"/>
          <cell r="AH309"/>
          <cell r="AI309"/>
          <cell r="AJ309">
            <v>0</v>
          </cell>
          <cell r="AK309" t="str">
            <v>3P</v>
          </cell>
          <cell r="AL309">
            <v>213</v>
          </cell>
          <cell r="AM309">
            <v>6</v>
          </cell>
          <cell r="AN309" t="str">
            <v>08 Inactive Dealer</v>
          </cell>
          <cell r="AO309" t="str">
            <v>Southeast</v>
          </cell>
          <cell r="AP309" t="str">
            <v>South</v>
          </cell>
          <cell r="AQ309"/>
          <cell r="AR309">
            <v>0</v>
          </cell>
          <cell r="AS309">
            <v>0</v>
          </cell>
          <cell r="AT309"/>
        </row>
        <row r="310">
          <cell r="A310">
            <v>12092</v>
          </cell>
          <cell r="B310" t="str">
            <v>TRAILERLAND</v>
          </cell>
          <cell r="C310" t="str">
            <v>M10420</v>
          </cell>
          <cell r="D310" t="str">
            <v>NET 5, BT+</v>
          </cell>
          <cell r="E310" t="str">
            <v>C6</v>
          </cell>
          <cell r="F310" t="str">
            <v>No</v>
          </cell>
          <cell r="G310" t="str">
            <v>GA</v>
          </cell>
          <cell r="H310">
            <v>9</v>
          </cell>
          <cell r="I310">
            <v>0.66500000000000004</v>
          </cell>
          <cell r="J310" t="str">
            <v>Orphaned Acct</v>
          </cell>
          <cell r="K310" t="str">
            <v>LEESBURG</v>
          </cell>
          <cell r="L310" t="str">
            <v>GA</v>
          </cell>
          <cell r="M310" t="str">
            <v>800-577-8858</v>
          </cell>
          <cell r="N310"/>
          <cell r="O310">
            <v>564</v>
          </cell>
          <cell r="P310">
            <v>2425.1999999999998</v>
          </cell>
          <cell r="Q310">
            <v>182</v>
          </cell>
          <cell r="R310">
            <v>782.6</v>
          </cell>
          <cell r="S310"/>
          <cell r="T310">
            <v>0</v>
          </cell>
          <cell r="U310">
            <v>727</v>
          </cell>
          <cell r="V310">
            <v>3126.1</v>
          </cell>
          <cell r="W310">
            <v>603</v>
          </cell>
          <cell r="X310">
            <v>2592.9</v>
          </cell>
          <cell r="Y310"/>
          <cell r="Z310">
            <v>0</v>
          </cell>
          <cell r="AA310"/>
          <cell r="AB310">
            <v>0</v>
          </cell>
          <cell r="AC310"/>
          <cell r="AD310">
            <v>0</v>
          </cell>
          <cell r="AE310"/>
          <cell r="AF310"/>
          <cell r="AG310"/>
          <cell r="AH310"/>
          <cell r="AI310"/>
          <cell r="AJ310">
            <v>0</v>
          </cell>
          <cell r="AK310" t="str">
            <v>3P</v>
          </cell>
          <cell r="AL310">
            <v>213</v>
          </cell>
          <cell r="AM310">
            <v>6</v>
          </cell>
          <cell r="AN310" t="str">
            <v>08 Inactive Dealer</v>
          </cell>
          <cell r="AO310" t="str">
            <v>Southeast</v>
          </cell>
          <cell r="AP310" t="str">
            <v>South</v>
          </cell>
          <cell r="AQ310"/>
          <cell r="AR310">
            <v>0</v>
          </cell>
          <cell r="AS310">
            <v>0</v>
          </cell>
        </row>
        <row r="311">
          <cell r="A311">
            <v>12807</v>
          </cell>
          <cell r="B311" t="str">
            <v>TRAILERS &amp; HITCHES, INC</v>
          </cell>
          <cell r="C311" t="str">
            <v>M10422</v>
          </cell>
          <cell r="D311" t="str">
            <v>NET 5, BT+</v>
          </cell>
          <cell r="E311" t="str">
            <v>CO</v>
          </cell>
          <cell r="F311" t="str">
            <v>Yes</v>
          </cell>
          <cell r="G311" t="str">
            <v>GA</v>
          </cell>
          <cell r="H311">
            <v>7</v>
          </cell>
          <cell r="I311">
            <v>0.66500000000000004</v>
          </cell>
          <cell r="J311" t="str">
            <v>Orphaned Acct</v>
          </cell>
          <cell r="K311" t="str">
            <v>LOGANVILLE</v>
          </cell>
          <cell r="L311" t="str">
            <v>GA</v>
          </cell>
          <cell r="M311" t="str">
            <v>800-577-8858</v>
          </cell>
          <cell r="N311"/>
          <cell r="O311">
            <v>750</v>
          </cell>
          <cell r="P311">
            <v>3225</v>
          </cell>
          <cell r="Q311">
            <v>150</v>
          </cell>
          <cell r="R311">
            <v>645</v>
          </cell>
          <cell r="S311"/>
          <cell r="T311">
            <v>0</v>
          </cell>
          <cell r="U311">
            <v>847</v>
          </cell>
          <cell r="V311">
            <v>3642.1</v>
          </cell>
          <cell r="W311">
            <v>771</v>
          </cell>
          <cell r="X311">
            <v>3315.2999999999997</v>
          </cell>
          <cell r="Y311"/>
          <cell r="Z311">
            <v>0</v>
          </cell>
          <cell r="AA311"/>
          <cell r="AB311">
            <v>0</v>
          </cell>
          <cell r="AC311"/>
          <cell r="AD311">
            <v>0</v>
          </cell>
          <cell r="AE311"/>
          <cell r="AF311"/>
          <cell r="AG311"/>
          <cell r="AH311"/>
          <cell r="AI311"/>
          <cell r="AJ311">
            <v>0</v>
          </cell>
          <cell r="AK311" t="str">
            <v>3P</v>
          </cell>
          <cell r="AL311">
            <v>213</v>
          </cell>
          <cell r="AM311">
            <v>24</v>
          </cell>
          <cell r="AN311" t="str">
            <v>08 Inactive Dealer</v>
          </cell>
          <cell r="AO311" t="str">
            <v>Southeast</v>
          </cell>
          <cell r="AP311" t="str">
            <v>South</v>
          </cell>
          <cell r="AQ311"/>
          <cell r="AR311">
            <v>0</v>
          </cell>
          <cell r="AS311">
            <v>0</v>
          </cell>
          <cell r="AT311"/>
        </row>
        <row r="312">
          <cell r="A312">
            <v>12029</v>
          </cell>
          <cell r="B312" t="str">
            <v>TW COMMERCE GA</v>
          </cell>
          <cell r="C312" t="str">
            <v>M10088</v>
          </cell>
          <cell r="D312" t="str">
            <v>Net 30, no pink card</v>
          </cell>
          <cell r="E312">
            <v>30</v>
          </cell>
          <cell r="F312" t="str">
            <v>Yes</v>
          </cell>
          <cell r="G312" t="str">
            <v>GA</v>
          </cell>
          <cell r="H312">
            <v>10</v>
          </cell>
          <cell r="I312">
            <v>0.66500000000000004</v>
          </cell>
          <cell r="J312" t="str">
            <v>Jake McEntee</v>
          </cell>
          <cell r="K312" t="str">
            <v>COMMERCE</v>
          </cell>
          <cell r="L312" t="str">
            <v>GA</v>
          </cell>
          <cell r="M312" t="str">
            <v>800-577-8858</v>
          </cell>
          <cell r="N312" t="str">
            <v>All tandem axle trailers must have BRK2</v>
          </cell>
          <cell r="O312">
            <v>788</v>
          </cell>
          <cell r="P312">
            <v>3388.3999999999996</v>
          </cell>
          <cell r="Q312">
            <v>206</v>
          </cell>
          <cell r="R312">
            <v>885.8</v>
          </cell>
          <cell r="S312"/>
          <cell r="T312">
            <v>0</v>
          </cell>
          <cell r="U312">
            <v>885</v>
          </cell>
          <cell r="V312">
            <v>3805.5</v>
          </cell>
          <cell r="W312">
            <v>809</v>
          </cell>
          <cell r="X312">
            <v>3478.7</v>
          </cell>
          <cell r="Y312">
            <v>485</v>
          </cell>
          <cell r="Z312">
            <v>2085.5</v>
          </cell>
          <cell r="AA312">
            <v>485</v>
          </cell>
          <cell r="AB312">
            <v>2085.5</v>
          </cell>
          <cell r="AC312">
            <v>485</v>
          </cell>
          <cell r="AD312">
            <v>2085.5</v>
          </cell>
          <cell r="AE312">
            <v>2.41E-2</v>
          </cell>
          <cell r="AF312"/>
          <cell r="AG312">
            <v>5.7480000000000003E-2</v>
          </cell>
          <cell r="AH312">
            <v>5.7480000000000003E-2</v>
          </cell>
          <cell r="AI312">
            <v>5.7480000000000003E-2</v>
          </cell>
          <cell r="AJ312">
            <v>0.04</v>
          </cell>
          <cell r="AK312" t="str">
            <v>TW</v>
          </cell>
          <cell r="AL312">
            <v>161</v>
          </cell>
          <cell r="AM312">
            <v>22</v>
          </cell>
          <cell r="AN312" t="str">
            <v>04 Co.Store</v>
          </cell>
          <cell r="AO312" t="str">
            <v>Southeast</v>
          </cell>
          <cell r="AP312" t="str">
            <v>South</v>
          </cell>
          <cell r="AQ312"/>
          <cell r="AR312">
            <v>359858</v>
          </cell>
          <cell r="AS312">
            <v>237058</v>
          </cell>
          <cell r="AT312"/>
        </row>
        <row r="313">
          <cell r="A313">
            <v>13549</v>
          </cell>
          <cell r="B313" t="str">
            <v>TW CORDELE - FLEET</v>
          </cell>
          <cell r="C313" t="str">
            <v>M10509</v>
          </cell>
          <cell r="D313" t="str">
            <v>Net 30, no pink card</v>
          </cell>
          <cell r="E313">
            <v>30</v>
          </cell>
          <cell r="F313" t="str">
            <v>Yes</v>
          </cell>
          <cell r="G313" t="str">
            <v>GA</v>
          </cell>
          <cell r="H313">
            <v>10</v>
          </cell>
          <cell r="I313">
            <v>0.66500000000000004</v>
          </cell>
          <cell r="J313" t="str">
            <v>Jake McEntee</v>
          </cell>
          <cell r="K313" t="str">
            <v>CORDELLE</v>
          </cell>
          <cell r="L313" t="str">
            <v>GA</v>
          </cell>
          <cell r="M313" t="str">
            <v>800-577-8858</v>
          </cell>
          <cell r="N313" t="str">
            <v>All tandem axle trailers must have BRK2</v>
          </cell>
          <cell r="O313">
            <v>746</v>
          </cell>
          <cell r="P313">
            <v>3207.7999999999997</v>
          </cell>
          <cell r="Q313"/>
          <cell r="R313">
            <v>0</v>
          </cell>
          <cell r="S313"/>
          <cell r="T313">
            <v>0</v>
          </cell>
          <cell r="U313">
            <v>909</v>
          </cell>
          <cell r="V313">
            <v>3908.7</v>
          </cell>
          <cell r="W313">
            <v>785</v>
          </cell>
          <cell r="X313">
            <v>3375.5</v>
          </cell>
          <cell r="Y313">
            <v>628</v>
          </cell>
          <cell r="Z313">
            <v>2700.4</v>
          </cell>
          <cell r="AA313">
            <v>628</v>
          </cell>
          <cell r="AB313">
            <v>2700.4</v>
          </cell>
          <cell r="AC313">
            <v>628</v>
          </cell>
          <cell r="AD313">
            <v>2700.4</v>
          </cell>
          <cell r="AE313"/>
          <cell r="AF313"/>
          <cell r="AG313"/>
          <cell r="AH313"/>
          <cell r="AI313"/>
          <cell r="AJ313">
            <v>0.04</v>
          </cell>
          <cell r="AK313" t="str">
            <v>TW</v>
          </cell>
          <cell r="AL313">
            <v>161</v>
          </cell>
          <cell r="AM313">
            <v>271</v>
          </cell>
          <cell r="AN313" t="str">
            <v>04 Co.Store</v>
          </cell>
          <cell r="AO313" t="str">
            <v>Southeast</v>
          </cell>
          <cell r="AP313" t="str">
            <v>South</v>
          </cell>
          <cell r="AQ313"/>
          <cell r="AR313">
            <v>381433</v>
          </cell>
          <cell r="AS313">
            <v>344753</v>
          </cell>
          <cell r="AT313"/>
        </row>
        <row r="314">
          <cell r="A314">
            <v>12915</v>
          </cell>
          <cell r="B314" t="str">
            <v>TW COVINGTON, GA</v>
          </cell>
          <cell r="C314" t="str">
            <v>M10076</v>
          </cell>
          <cell r="D314" t="str">
            <v>Net 30, no pink card</v>
          </cell>
          <cell r="E314">
            <v>30</v>
          </cell>
          <cell r="F314" t="str">
            <v>Yes</v>
          </cell>
          <cell r="G314" t="str">
            <v>GA</v>
          </cell>
          <cell r="H314">
            <v>10</v>
          </cell>
          <cell r="I314">
            <v>0.66500000000000004</v>
          </cell>
          <cell r="J314" t="str">
            <v>Jake McEntee</v>
          </cell>
          <cell r="K314" t="str">
            <v>COVINGTON</v>
          </cell>
          <cell r="L314" t="str">
            <v>GA</v>
          </cell>
          <cell r="M314" t="str">
            <v>800-577-8858</v>
          </cell>
          <cell r="N314" t="str">
            <v>All tandem axle trailers must have BRK2</v>
          </cell>
          <cell r="O314">
            <v>762</v>
          </cell>
          <cell r="P314">
            <v>3276.6</v>
          </cell>
          <cell r="Q314">
            <v>131</v>
          </cell>
          <cell r="R314">
            <v>563.29999999999995</v>
          </cell>
          <cell r="S314"/>
          <cell r="T314">
            <v>0</v>
          </cell>
          <cell r="U314">
            <v>859</v>
          </cell>
          <cell r="V314">
            <v>3693.7</v>
          </cell>
          <cell r="W314">
            <v>783</v>
          </cell>
          <cell r="X314">
            <v>3366.8999999999996</v>
          </cell>
          <cell r="Y314">
            <v>517</v>
          </cell>
          <cell r="Z314">
            <v>2223.1</v>
          </cell>
          <cell r="AA314">
            <v>517</v>
          </cell>
          <cell r="AB314">
            <v>2223.1</v>
          </cell>
          <cell r="AC314">
            <v>517</v>
          </cell>
          <cell r="AD314">
            <v>2223.1</v>
          </cell>
          <cell r="AE314"/>
          <cell r="AF314"/>
          <cell r="AG314"/>
          <cell r="AH314"/>
          <cell r="AI314"/>
          <cell r="AJ314">
            <v>0.04</v>
          </cell>
          <cell r="AK314" t="str">
            <v>TW</v>
          </cell>
          <cell r="AL314">
            <v>161</v>
          </cell>
          <cell r="AM314">
            <v>24</v>
          </cell>
          <cell r="AN314" t="str">
            <v>04 Co.Store</v>
          </cell>
          <cell r="AO314" t="str">
            <v>Southeast</v>
          </cell>
          <cell r="AP314" t="str">
            <v>South</v>
          </cell>
          <cell r="AQ314"/>
          <cell r="AR314">
            <v>0</v>
          </cell>
          <cell r="AS314">
            <v>0</v>
          </cell>
          <cell r="AT314"/>
        </row>
        <row r="315">
          <cell r="A315">
            <v>13607</v>
          </cell>
          <cell r="B315" t="str">
            <v>TW LOGANVILLE, GA</v>
          </cell>
          <cell r="C315" t="str">
            <v>M11588</v>
          </cell>
          <cell r="D315" t="str">
            <v>Net 30, no pink card</v>
          </cell>
          <cell r="E315">
            <v>30</v>
          </cell>
          <cell r="F315" t="str">
            <v>Yes</v>
          </cell>
          <cell r="G315" t="str">
            <v>GA</v>
          </cell>
          <cell r="H315">
            <v>10</v>
          </cell>
          <cell r="I315">
            <v>0.66500000000000004</v>
          </cell>
          <cell r="J315" t="str">
            <v>Jake McEntee</v>
          </cell>
          <cell r="K315" t="str">
            <v>LOGANVILLE</v>
          </cell>
          <cell r="L315" t="str">
            <v>GA</v>
          </cell>
          <cell r="M315" t="str">
            <v>800-577-8858</v>
          </cell>
          <cell r="N315" t="str">
            <v>All tandem axle trailers must have BRK2</v>
          </cell>
          <cell r="O315">
            <v>731</v>
          </cell>
          <cell r="P315">
            <v>3143.2999999999997</v>
          </cell>
          <cell r="Q315">
            <v>143</v>
          </cell>
          <cell r="R315">
            <v>614.9</v>
          </cell>
          <cell r="S315"/>
          <cell r="T315">
            <v>0</v>
          </cell>
          <cell r="U315">
            <v>905</v>
          </cell>
          <cell r="V315">
            <v>3891.5</v>
          </cell>
          <cell r="W315">
            <v>771</v>
          </cell>
          <cell r="X315">
            <v>3315.2999999999997</v>
          </cell>
          <cell r="Y315"/>
          <cell r="Z315">
            <v>0</v>
          </cell>
          <cell r="AA315">
            <v>510</v>
          </cell>
          <cell r="AB315">
            <v>2193</v>
          </cell>
          <cell r="AC315">
            <v>510</v>
          </cell>
          <cell r="AD315">
            <v>2193</v>
          </cell>
          <cell r="AE315"/>
          <cell r="AF315"/>
          <cell r="AG315"/>
          <cell r="AH315"/>
          <cell r="AI315"/>
          <cell r="AJ315">
            <v>0.04</v>
          </cell>
          <cell r="AK315" t="str">
            <v>TW</v>
          </cell>
          <cell r="AL315">
            <v>161</v>
          </cell>
          <cell r="AM315">
            <v>24</v>
          </cell>
          <cell r="AN315" t="str">
            <v>04 Co.Store</v>
          </cell>
          <cell r="AO315" t="str">
            <v>Southeast</v>
          </cell>
          <cell r="AP315" t="str">
            <v>South</v>
          </cell>
          <cell r="AQ315">
            <v>30052</v>
          </cell>
          <cell r="AR315">
            <v>46234</v>
          </cell>
          <cell r="AS315">
            <v>155161</v>
          </cell>
          <cell r="AT315"/>
        </row>
        <row r="316">
          <cell r="A316">
            <v>12532</v>
          </cell>
          <cell r="B316" t="str">
            <v>TW MARIETTA - GA</v>
          </cell>
          <cell r="C316" t="str">
            <v>M10060</v>
          </cell>
          <cell r="D316" t="str">
            <v>Net 30, no pink card</v>
          </cell>
          <cell r="E316">
            <v>30</v>
          </cell>
          <cell r="F316" t="str">
            <v>Yes</v>
          </cell>
          <cell r="G316" t="str">
            <v>GA</v>
          </cell>
          <cell r="H316">
            <v>10</v>
          </cell>
          <cell r="I316">
            <v>0.66500000000000004</v>
          </cell>
          <cell r="J316" t="str">
            <v>Jake McEntee</v>
          </cell>
          <cell r="K316" t="str">
            <v>MARIETTA</v>
          </cell>
          <cell r="L316" t="str">
            <v>GA</v>
          </cell>
          <cell r="M316" t="str">
            <v>800-577-8858</v>
          </cell>
          <cell r="N316" t="str">
            <v>All tandem axle trailers must have BRK2</v>
          </cell>
          <cell r="O316">
            <v>723</v>
          </cell>
          <cell r="P316">
            <v>3108.9</v>
          </cell>
          <cell r="Q316">
            <v>167</v>
          </cell>
          <cell r="R316">
            <v>718.1</v>
          </cell>
          <cell r="S316"/>
          <cell r="T316">
            <v>0</v>
          </cell>
          <cell r="U316">
            <v>819</v>
          </cell>
          <cell r="V316">
            <v>3521.7</v>
          </cell>
          <cell r="W316">
            <v>743</v>
          </cell>
          <cell r="X316">
            <v>3194.9</v>
          </cell>
          <cell r="Y316">
            <v>465</v>
          </cell>
          <cell r="Z316">
            <v>1999.5</v>
          </cell>
          <cell r="AA316">
            <v>465</v>
          </cell>
          <cell r="AB316">
            <v>1999.5</v>
          </cell>
          <cell r="AC316">
            <v>465</v>
          </cell>
          <cell r="AD316">
            <v>1999.5</v>
          </cell>
          <cell r="AE316"/>
          <cell r="AF316"/>
          <cell r="AG316"/>
          <cell r="AH316"/>
          <cell r="AI316"/>
          <cell r="AJ316">
            <v>0.04</v>
          </cell>
          <cell r="AK316" t="str">
            <v>TW</v>
          </cell>
          <cell r="AL316">
            <v>161</v>
          </cell>
          <cell r="AM316">
            <v>24</v>
          </cell>
          <cell r="AN316" t="str">
            <v>04 Co.Store</v>
          </cell>
          <cell r="AO316" t="str">
            <v>Southeast</v>
          </cell>
          <cell r="AP316" t="str">
            <v>South</v>
          </cell>
          <cell r="AQ316"/>
          <cell r="AR316">
            <v>319022</v>
          </cell>
          <cell r="AS316">
            <v>833733</v>
          </cell>
          <cell r="AT316"/>
        </row>
        <row r="317">
          <cell r="A317">
            <v>12213</v>
          </cell>
          <cell r="B317" t="str">
            <v>TW MCDONOUGH</v>
          </cell>
          <cell r="C317" t="str">
            <v>M10093</v>
          </cell>
          <cell r="D317" t="str">
            <v>Net 30, no pink card</v>
          </cell>
          <cell r="E317">
            <v>30</v>
          </cell>
          <cell r="F317" t="str">
            <v>Yes</v>
          </cell>
          <cell r="G317" t="str">
            <v>GA</v>
          </cell>
          <cell r="H317">
            <v>10</v>
          </cell>
          <cell r="I317">
            <v>0.66500000000000004</v>
          </cell>
          <cell r="J317" t="str">
            <v>Jake McEntee</v>
          </cell>
          <cell r="K317" t="str">
            <v>MCDONOUGH</v>
          </cell>
          <cell r="L317" t="str">
            <v>GA</v>
          </cell>
          <cell r="M317" t="str">
            <v>800-577-8858</v>
          </cell>
          <cell r="N317" t="str">
            <v>All tandem axle trailers must have BRK2</v>
          </cell>
          <cell r="O317">
            <v>748</v>
          </cell>
          <cell r="P317">
            <v>3216.4</v>
          </cell>
          <cell r="Q317">
            <v>116</v>
          </cell>
          <cell r="R317">
            <v>498.79999999999995</v>
          </cell>
          <cell r="S317"/>
          <cell r="T317">
            <v>0</v>
          </cell>
          <cell r="U317">
            <v>844</v>
          </cell>
          <cell r="V317">
            <v>3629.2</v>
          </cell>
          <cell r="W317">
            <v>768</v>
          </cell>
          <cell r="X317">
            <v>3302.3999999999996</v>
          </cell>
          <cell r="Y317">
            <v>512</v>
          </cell>
          <cell r="Z317">
            <v>2201.6</v>
          </cell>
          <cell r="AA317">
            <v>512</v>
          </cell>
          <cell r="AB317">
            <v>2201.6</v>
          </cell>
          <cell r="AC317">
            <v>512</v>
          </cell>
          <cell r="AD317">
            <v>2201.6</v>
          </cell>
          <cell r="AE317"/>
          <cell r="AF317"/>
          <cell r="AG317"/>
          <cell r="AH317"/>
          <cell r="AI317"/>
          <cell r="AJ317">
            <v>0.04</v>
          </cell>
          <cell r="AK317" t="str">
            <v>TW</v>
          </cell>
          <cell r="AL317">
            <v>161</v>
          </cell>
          <cell r="AM317">
            <v>24</v>
          </cell>
          <cell r="AN317" t="str">
            <v>04 Co.Store</v>
          </cell>
          <cell r="AO317" t="str">
            <v>Southeast</v>
          </cell>
          <cell r="AP317" t="str">
            <v>South</v>
          </cell>
          <cell r="AQ317"/>
          <cell r="AR317">
            <v>78226</v>
          </cell>
          <cell r="AS317">
            <v>665148</v>
          </cell>
          <cell r="AT317"/>
        </row>
        <row r="318">
          <cell r="A318">
            <v>12982</v>
          </cell>
          <cell r="B318" t="str">
            <v>TW RICHMOND HILL</v>
          </cell>
          <cell r="C318" t="str">
            <v>M10736</v>
          </cell>
          <cell r="D318" t="str">
            <v>Net 30, no pink card</v>
          </cell>
          <cell r="E318">
            <v>30</v>
          </cell>
          <cell r="F318" t="str">
            <v>Yes</v>
          </cell>
          <cell r="G318" t="str">
            <v>GA</v>
          </cell>
          <cell r="H318">
            <v>10</v>
          </cell>
          <cell r="I318">
            <v>0.66500000000000004</v>
          </cell>
          <cell r="J318" t="str">
            <v>Jake McEntee</v>
          </cell>
          <cell r="K318" t="str">
            <v>RICHMOND HILL</v>
          </cell>
          <cell r="L318" t="str">
            <v>GA</v>
          </cell>
          <cell r="M318" t="str">
            <v>800-577-8858</v>
          </cell>
          <cell r="N318" t="str">
            <v>All tandem axle trailers must have BRK2</v>
          </cell>
          <cell r="O318">
            <v>967</v>
          </cell>
          <cell r="P318">
            <v>4158.0999999999995</v>
          </cell>
          <cell r="Q318">
            <v>187</v>
          </cell>
          <cell r="R318">
            <v>804.1</v>
          </cell>
          <cell r="S318"/>
          <cell r="T318">
            <v>0</v>
          </cell>
          <cell r="U318">
            <v>1063</v>
          </cell>
          <cell r="V318">
            <v>4570.8999999999996</v>
          </cell>
          <cell r="W318">
            <v>987</v>
          </cell>
          <cell r="X318">
            <v>4244.0999999999995</v>
          </cell>
          <cell r="Y318">
            <v>696</v>
          </cell>
          <cell r="Z318">
            <v>2992.7999999999997</v>
          </cell>
          <cell r="AA318">
            <v>696</v>
          </cell>
          <cell r="AB318">
            <v>2992.7999999999997</v>
          </cell>
          <cell r="AC318">
            <v>696</v>
          </cell>
          <cell r="AD318">
            <v>2992.7999999999997</v>
          </cell>
          <cell r="AE318"/>
          <cell r="AF318"/>
          <cell r="AG318"/>
          <cell r="AH318"/>
          <cell r="AI318"/>
          <cell r="AJ318">
            <v>0.04</v>
          </cell>
          <cell r="AK318" t="str">
            <v>TW</v>
          </cell>
          <cell r="AL318">
            <v>161</v>
          </cell>
          <cell r="AM318">
            <v>410</v>
          </cell>
          <cell r="AN318" t="str">
            <v>04 Co.Store</v>
          </cell>
          <cell r="AO318" t="str">
            <v>Southeast</v>
          </cell>
          <cell r="AP318" t="str">
            <v>South</v>
          </cell>
          <cell r="AQ318"/>
          <cell r="AR318">
            <v>85229</v>
          </cell>
          <cell r="AS318">
            <v>0</v>
          </cell>
          <cell r="AT318"/>
        </row>
        <row r="319">
          <cell r="A319">
            <v>13555</v>
          </cell>
          <cell r="B319" t="str">
            <v>VIDALIA MOTOR SPORTS</v>
          </cell>
          <cell r="C319" t="str">
            <v>M11529</v>
          </cell>
          <cell r="D319" t="str">
            <v>NET 5, BT+</v>
          </cell>
          <cell r="E319" t="str">
            <v>FP - Wells Fargo</v>
          </cell>
          <cell r="F319" t="str">
            <v>Yes</v>
          </cell>
          <cell r="G319" t="str">
            <v>GA</v>
          </cell>
          <cell r="H319">
            <v>8</v>
          </cell>
          <cell r="I319">
            <v>0.66500000000000004</v>
          </cell>
          <cell r="J319" t="str">
            <v>Orphaned Acct</v>
          </cell>
          <cell r="K319" t="str">
            <v>VIDALIA</v>
          </cell>
          <cell r="L319" t="str">
            <v>GA</v>
          </cell>
          <cell r="M319" t="str">
            <v>800-577-8858</v>
          </cell>
          <cell r="N319" t="str">
            <v>BRAKES ON BOTH AXLES ON ALL 7K TRAILERS</v>
          </cell>
          <cell r="O319">
            <v>862</v>
          </cell>
          <cell r="P319">
            <v>3706.6</v>
          </cell>
          <cell r="Q319">
            <v>78</v>
          </cell>
          <cell r="R319">
            <v>335.4</v>
          </cell>
          <cell r="S319"/>
          <cell r="T319">
            <v>0</v>
          </cell>
          <cell r="U319">
            <v>1026</v>
          </cell>
          <cell r="V319">
            <v>4411.8</v>
          </cell>
          <cell r="W319">
            <v>902</v>
          </cell>
          <cell r="X319">
            <v>3878.6</v>
          </cell>
          <cell r="Y319">
            <v>646</v>
          </cell>
          <cell r="Z319">
            <v>2777.7999999999997</v>
          </cell>
          <cell r="AA319">
            <v>646</v>
          </cell>
          <cell r="AB319">
            <v>2777.7999999999997</v>
          </cell>
          <cell r="AC319">
            <v>646</v>
          </cell>
          <cell r="AD319">
            <v>2777.7999999999997</v>
          </cell>
          <cell r="AE319"/>
          <cell r="AF319"/>
          <cell r="AG319"/>
          <cell r="AH319"/>
          <cell r="AI319"/>
          <cell r="AJ319">
            <v>0</v>
          </cell>
          <cell r="AK319" t="str">
            <v>3P</v>
          </cell>
          <cell r="AL319">
            <v>213</v>
          </cell>
          <cell r="AM319">
            <v>410</v>
          </cell>
          <cell r="AN319" t="str">
            <v>03 New Dealer</v>
          </cell>
          <cell r="AO319" t="str">
            <v>Southeast</v>
          </cell>
          <cell r="AP319" t="str">
            <v>South</v>
          </cell>
          <cell r="AQ319"/>
          <cell r="AR319">
            <v>0</v>
          </cell>
          <cell r="AS319">
            <v>0</v>
          </cell>
          <cell r="AT319"/>
        </row>
        <row r="320">
          <cell r="A320">
            <v>13080</v>
          </cell>
          <cell r="B320" t="str">
            <v>WIRELESS IRR</v>
          </cell>
          <cell r="C320" t="str">
            <v>M10959</v>
          </cell>
          <cell r="D320" t="str">
            <v>Return Mail, no pink card</v>
          </cell>
          <cell r="E320" t="str">
            <v>RM</v>
          </cell>
          <cell r="F320" t="str">
            <v>Yes</v>
          </cell>
          <cell r="G320" t="str">
            <v>GA</v>
          </cell>
          <cell r="H320">
            <v>5</v>
          </cell>
          <cell r="I320">
            <v>0.66500000000000004</v>
          </cell>
          <cell r="J320" t="str">
            <v>Trent Evans</v>
          </cell>
          <cell r="K320" t="str">
            <v>ATHENS</v>
          </cell>
          <cell r="L320" t="str">
            <v>GA</v>
          </cell>
          <cell r="M320" t="str">
            <v>800-577-8858</v>
          </cell>
          <cell r="N320" t="str">
            <v>BRAKES ON BOTH AXLES ON ALL 7K TRAILERS</v>
          </cell>
          <cell r="O320">
            <v>715</v>
          </cell>
          <cell r="P320">
            <v>3074.5</v>
          </cell>
          <cell r="Q320">
            <v>44</v>
          </cell>
          <cell r="R320">
            <v>189.2</v>
          </cell>
          <cell r="S320"/>
          <cell r="T320">
            <v>0</v>
          </cell>
          <cell r="U320">
            <v>878</v>
          </cell>
          <cell r="V320">
            <v>3775.3999999999996</v>
          </cell>
          <cell r="W320">
            <v>754</v>
          </cell>
          <cell r="X320">
            <v>3242.2</v>
          </cell>
          <cell r="Y320"/>
          <cell r="Z320">
            <v>0</v>
          </cell>
          <cell r="AA320"/>
          <cell r="AB320">
            <v>0</v>
          </cell>
          <cell r="AC320"/>
          <cell r="AD320">
            <v>0</v>
          </cell>
          <cell r="AE320"/>
          <cell r="AF320"/>
          <cell r="AG320"/>
          <cell r="AH320"/>
          <cell r="AI320"/>
          <cell r="AJ320">
            <v>0</v>
          </cell>
          <cell r="AK320" t="str">
            <v>3P</v>
          </cell>
          <cell r="AL320">
            <v>226</v>
          </cell>
          <cell r="AM320">
            <v>22</v>
          </cell>
          <cell r="AN320" t="str">
            <v>01 Existing Dealer</v>
          </cell>
          <cell r="AO320" t="str">
            <v>Southeast</v>
          </cell>
          <cell r="AP320" t="str">
            <v>South</v>
          </cell>
          <cell r="AQ320"/>
          <cell r="AR320">
            <v>0</v>
          </cell>
          <cell r="AS320">
            <v>0</v>
          </cell>
          <cell r="AT320"/>
        </row>
        <row r="321">
          <cell r="A321" t="str">
            <v>13080A</v>
          </cell>
          <cell r="B321" t="str">
            <v>WIRELESS IRR</v>
          </cell>
          <cell r="C321" t="str">
            <v>M10959</v>
          </cell>
          <cell r="D321" t="str">
            <v>Return Mail, no pink card</v>
          </cell>
          <cell r="E321" t="str">
            <v>RM</v>
          </cell>
          <cell r="F321" t="str">
            <v>Yes</v>
          </cell>
          <cell r="G321" t="str">
            <v>GA</v>
          </cell>
          <cell r="H321">
            <v>5</v>
          </cell>
          <cell r="I321">
            <v>0.66500000000000004</v>
          </cell>
          <cell r="J321" t="str">
            <v>Trent Evans</v>
          </cell>
          <cell r="K321" t="str">
            <v>ALBANY</v>
          </cell>
          <cell r="L321" t="str">
            <v>GA</v>
          </cell>
          <cell r="M321" t="str">
            <v>800-577-8858</v>
          </cell>
          <cell r="N321" t="str">
            <v>BRAKES ON BOTH AXLES ON ALL 7K TRAILERS</v>
          </cell>
          <cell r="O321">
            <v>715</v>
          </cell>
          <cell r="P321">
            <v>3074.5</v>
          </cell>
          <cell r="Q321">
            <v>44</v>
          </cell>
          <cell r="R321">
            <v>189.2</v>
          </cell>
          <cell r="S321"/>
          <cell r="T321">
            <v>0</v>
          </cell>
          <cell r="U321">
            <v>878</v>
          </cell>
          <cell r="V321">
            <v>3775.3999999999996</v>
          </cell>
          <cell r="W321">
            <v>754</v>
          </cell>
          <cell r="X321">
            <v>3242.2</v>
          </cell>
          <cell r="Y321"/>
          <cell r="Z321">
            <v>0</v>
          </cell>
          <cell r="AA321"/>
          <cell r="AB321">
            <v>0</v>
          </cell>
          <cell r="AC321"/>
          <cell r="AD321">
            <v>0</v>
          </cell>
          <cell r="AE321"/>
          <cell r="AF321"/>
          <cell r="AG321"/>
          <cell r="AH321"/>
          <cell r="AI321"/>
          <cell r="AJ321">
            <v>0</v>
          </cell>
          <cell r="AK321" t="str">
            <v>3P</v>
          </cell>
          <cell r="AL321">
            <v>226</v>
          </cell>
          <cell r="AM321">
            <v>6</v>
          </cell>
          <cell r="AN321" t="str">
            <v>01 Existing Dealer</v>
          </cell>
          <cell r="AO321" t="str">
            <v>Southeast</v>
          </cell>
          <cell r="AP321" t="str">
            <v>South</v>
          </cell>
          <cell r="AQ321"/>
          <cell r="AR321">
            <v>0</v>
          </cell>
          <cell r="AS321">
            <v>0</v>
          </cell>
          <cell r="AT321"/>
        </row>
        <row r="322">
          <cell r="A322" t="str">
            <v>13080C</v>
          </cell>
          <cell r="B322" t="str">
            <v>WIRELESS IRR</v>
          </cell>
          <cell r="C322" t="str">
            <v>M10959</v>
          </cell>
          <cell r="D322" t="str">
            <v>Return Mail, no pink card</v>
          </cell>
          <cell r="E322" t="str">
            <v>RM</v>
          </cell>
          <cell r="F322" t="str">
            <v>Yes</v>
          </cell>
          <cell r="G322" t="str">
            <v>GA</v>
          </cell>
          <cell r="H322">
            <v>5</v>
          </cell>
          <cell r="I322">
            <v>0.66500000000000004</v>
          </cell>
          <cell r="J322" t="str">
            <v>Trent Evans</v>
          </cell>
          <cell r="K322" t="str">
            <v>STATESBORO</v>
          </cell>
          <cell r="L322" t="str">
            <v>GA</v>
          </cell>
          <cell r="M322" t="str">
            <v>800-577-8858</v>
          </cell>
          <cell r="N322" t="str">
            <v>BRAKES ON BOTH AXLES ON ALL 7K TRAILERS</v>
          </cell>
          <cell r="O322">
            <v>904</v>
          </cell>
          <cell r="P322">
            <v>3887.2</v>
          </cell>
          <cell r="Q322">
            <v>140</v>
          </cell>
          <cell r="R322">
            <v>602</v>
          </cell>
          <cell r="S322"/>
          <cell r="T322">
            <v>0</v>
          </cell>
          <cell r="U322">
            <v>1095</v>
          </cell>
          <cell r="V322">
            <v>4708.5</v>
          </cell>
          <cell r="W322">
            <v>941</v>
          </cell>
          <cell r="X322">
            <v>4046.2999999999997</v>
          </cell>
          <cell r="Y322"/>
          <cell r="Z322">
            <v>0</v>
          </cell>
          <cell r="AA322"/>
          <cell r="AB322">
            <v>0</v>
          </cell>
          <cell r="AC322"/>
          <cell r="AD322">
            <v>0</v>
          </cell>
          <cell r="AE322"/>
          <cell r="AF322"/>
          <cell r="AG322"/>
          <cell r="AH322"/>
          <cell r="AI322"/>
          <cell r="AJ322">
            <v>0</v>
          </cell>
          <cell r="AK322" t="str">
            <v>3P</v>
          </cell>
          <cell r="AL322">
            <v>226</v>
          </cell>
          <cell r="AM322">
            <v>410</v>
          </cell>
          <cell r="AN322" t="str">
            <v>01 Existing Dealer</v>
          </cell>
          <cell r="AO322" t="str">
            <v>Southeast</v>
          </cell>
          <cell r="AP322" t="str">
            <v>South</v>
          </cell>
          <cell r="AQ322"/>
          <cell r="AR322">
            <v>0</v>
          </cell>
          <cell r="AS322">
            <v>0</v>
          </cell>
          <cell r="AT322"/>
        </row>
        <row r="323">
          <cell r="A323">
            <v>13505</v>
          </cell>
          <cell r="B323" t="str">
            <v>MACON OUTDOOR POWER</v>
          </cell>
          <cell r="C323" t="str">
            <v>M11479</v>
          </cell>
          <cell r="D323" t="str">
            <v>NET 5, BT+</v>
          </cell>
          <cell r="E323" t="str">
            <v>CO</v>
          </cell>
          <cell r="F323" t="str">
            <v>Yes</v>
          </cell>
          <cell r="G323" t="str">
            <v>GA</v>
          </cell>
          <cell r="H323">
            <v>5</v>
          </cell>
          <cell r="I323">
            <v>0.66500000000000004</v>
          </cell>
          <cell r="J323" t="str">
            <v>JL Smith</v>
          </cell>
          <cell r="K323" t="str">
            <v>MACON</v>
          </cell>
          <cell r="L323" t="str">
            <v>GA</v>
          </cell>
          <cell r="M323" t="str">
            <v>800-577-8858</v>
          </cell>
          <cell r="N323"/>
          <cell r="O323">
            <v>772</v>
          </cell>
          <cell r="P323">
            <v>3319.6</v>
          </cell>
          <cell r="Q323">
            <v>71</v>
          </cell>
          <cell r="R323">
            <v>305.3</v>
          </cell>
          <cell r="S323"/>
          <cell r="T323">
            <v>0</v>
          </cell>
          <cell r="U323">
            <v>905</v>
          </cell>
          <cell r="V323">
            <v>3891.5</v>
          </cell>
          <cell r="W323">
            <v>812</v>
          </cell>
          <cell r="X323">
            <v>3491.6</v>
          </cell>
          <cell r="Y323">
            <v>557</v>
          </cell>
          <cell r="Z323">
            <v>2395.1</v>
          </cell>
          <cell r="AA323">
            <v>557</v>
          </cell>
          <cell r="AB323">
            <v>2395.1</v>
          </cell>
          <cell r="AC323">
            <v>557</v>
          </cell>
          <cell r="AD323">
            <v>2395.1</v>
          </cell>
          <cell r="AE323"/>
          <cell r="AF323"/>
          <cell r="AG323"/>
          <cell r="AH323"/>
          <cell r="AI323"/>
          <cell r="AJ323">
            <v>5.0000000000000001E-3</v>
          </cell>
          <cell r="AK323" t="str">
            <v>3P</v>
          </cell>
          <cell r="AL323">
            <v>151</v>
          </cell>
          <cell r="AM323">
            <v>271</v>
          </cell>
          <cell r="AN323" t="str">
            <v>03 New Dealer</v>
          </cell>
          <cell r="AO323" t="str">
            <v>Southeast</v>
          </cell>
          <cell r="AP323" t="str">
            <v>South</v>
          </cell>
          <cell r="AQ323"/>
          <cell r="AR323">
            <v>0</v>
          </cell>
          <cell r="AS323">
            <v>0</v>
          </cell>
          <cell r="AT323"/>
        </row>
        <row r="324">
          <cell r="A324">
            <v>12140</v>
          </cell>
          <cell r="B324" t="str">
            <v>STEVE'S HONDA / PHASE 4</v>
          </cell>
          <cell r="C324" t="str">
            <v>M10497</v>
          </cell>
          <cell r="D324" t="str">
            <v>NET 5, BT+</v>
          </cell>
          <cell r="E324" t="str">
            <v>CF</v>
          </cell>
          <cell r="F324" t="str">
            <v>Yes</v>
          </cell>
          <cell r="G324" t="str">
            <v>TX</v>
          </cell>
          <cell r="H324">
            <v>7</v>
          </cell>
          <cell r="I324">
            <v>0.66500000000000004</v>
          </cell>
          <cell r="J324" t="str">
            <v>Nate Erickson</v>
          </cell>
          <cell r="K324" t="str">
            <v>HILO</v>
          </cell>
          <cell r="L324" t="str">
            <v>HI</v>
          </cell>
          <cell r="M324" t="str">
            <v>800-577-8858</v>
          </cell>
          <cell r="N324"/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/>
          <cell r="Z324">
            <v>0</v>
          </cell>
          <cell r="AA324"/>
          <cell r="AB324">
            <v>0</v>
          </cell>
          <cell r="AC324"/>
          <cell r="AD324">
            <v>0</v>
          </cell>
          <cell r="AE324"/>
          <cell r="AF324"/>
          <cell r="AG324"/>
          <cell r="AH324"/>
          <cell r="AI324"/>
          <cell r="AJ324">
            <v>0</v>
          </cell>
          <cell r="AK324" t="str">
            <v>3P</v>
          </cell>
          <cell r="AL324">
            <v>187</v>
          </cell>
          <cell r="AM324">
            <v>190</v>
          </cell>
          <cell r="AN324" t="str">
            <v>03 New Dealer</v>
          </cell>
          <cell r="AO324" t="str">
            <v>Southwest</v>
          </cell>
          <cell r="AP324" t="str">
            <v>West</v>
          </cell>
          <cell r="AQ324"/>
          <cell r="AR324">
            <v>0</v>
          </cell>
          <cell r="AS324">
            <v>62006</v>
          </cell>
        </row>
        <row r="325">
          <cell r="A325">
            <v>12275</v>
          </cell>
          <cell r="B325" t="str">
            <v>AVALON SERVICE CENTER, INC.</v>
          </cell>
          <cell r="C325" t="str">
            <v>M10035</v>
          </cell>
          <cell r="D325" t="str">
            <v>NET 5, BT+</v>
          </cell>
          <cell r="E325" t="str">
            <v>CO</v>
          </cell>
          <cell r="F325" t="str">
            <v>Yes</v>
          </cell>
          <cell r="G325" t="str">
            <v>TX</v>
          </cell>
          <cell r="H325">
            <v>7</v>
          </cell>
          <cell r="I325">
            <v>0.66500000000000004</v>
          </cell>
          <cell r="J325" t="str">
            <v>Orphaned Acct</v>
          </cell>
          <cell r="K325" t="str">
            <v>RICKARDSVILLE</v>
          </cell>
          <cell r="L325" t="str">
            <v>IA</v>
          </cell>
          <cell r="M325" t="str">
            <v>800-577-8858</v>
          </cell>
          <cell r="N325"/>
          <cell r="O325">
            <v>870</v>
          </cell>
          <cell r="P325">
            <v>3741</v>
          </cell>
          <cell r="Q325">
            <v>1015</v>
          </cell>
          <cell r="R325">
            <v>4364.5</v>
          </cell>
          <cell r="S325"/>
          <cell r="T325">
            <v>0</v>
          </cell>
          <cell r="U325">
            <v>824</v>
          </cell>
          <cell r="V325">
            <v>3543.2</v>
          </cell>
          <cell r="W325">
            <v>932</v>
          </cell>
          <cell r="X325">
            <v>4007.6</v>
          </cell>
          <cell r="Y325">
            <v>545</v>
          </cell>
          <cell r="Z325">
            <v>2343.5</v>
          </cell>
          <cell r="AA325">
            <v>545</v>
          </cell>
          <cell r="AB325">
            <v>2343.5</v>
          </cell>
          <cell r="AC325">
            <v>545</v>
          </cell>
          <cell r="AD325">
            <v>2343.5</v>
          </cell>
          <cell r="AE325"/>
          <cell r="AF325"/>
          <cell r="AG325"/>
          <cell r="AH325"/>
          <cell r="AI325"/>
          <cell r="AJ325">
            <v>0</v>
          </cell>
          <cell r="AK325" t="str">
            <v>3P</v>
          </cell>
          <cell r="AL325">
            <v>213</v>
          </cell>
          <cell r="AM325">
            <v>118</v>
          </cell>
          <cell r="AN325" t="str">
            <v>08 Inactive Dealer</v>
          </cell>
          <cell r="AO325" t="str">
            <v>Midwest</v>
          </cell>
          <cell r="AP325" t="str">
            <v>Central</v>
          </cell>
          <cell r="AQ325"/>
          <cell r="AR325">
            <v>0</v>
          </cell>
          <cell r="AS325">
            <v>0</v>
          </cell>
        </row>
        <row r="326">
          <cell r="A326">
            <v>13016</v>
          </cell>
          <cell r="B326" t="str">
            <v>D &amp; K MACHINERY</v>
          </cell>
          <cell r="C326" t="str">
            <v>M10868</v>
          </cell>
          <cell r="D326" t="str">
            <v>NET 5, BT+</v>
          </cell>
          <cell r="E326" t="str">
            <v>CO</v>
          </cell>
          <cell r="F326" t="str">
            <v>Yes</v>
          </cell>
          <cell r="G326" t="str">
            <v>TX</v>
          </cell>
          <cell r="H326">
            <v>7</v>
          </cell>
          <cell r="I326">
            <v>0.66500000000000004</v>
          </cell>
          <cell r="J326" t="str">
            <v>Orphaned Acct</v>
          </cell>
          <cell r="K326" t="str">
            <v>RICHLAND</v>
          </cell>
          <cell r="L326" t="str">
            <v>IA</v>
          </cell>
          <cell r="M326" t="str">
            <v>800-577-8858</v>
          </cell>
          <cell r="N326"/>
          <cell r="O326">
            <v>718</v>
          </cell>
          <cell r="P326">
            <v>3087.4</v>
          </cell>
          <cell r="Q326"/>
          <cell r="R326">
            <v>0</v>
          </cell>
          <cell r="S326"/>
          <cell r="T326">
            <v>0</v>
          </cell>
          <cell r="U326">
            <v>672</v>
          </cell>
          <cell r="V326">
            <v>2889.6</v>
          </cell>
          <cell r="W326">
            <v>779</v>
          </cell>
          <cell r="X326">
            <v>3349.7</v>
          </cell>
          <cell r="Y326">
            <v>526</v>
          </cell>
          <cell r="Z326">
            <v>2261.7999999999997</v>
          </cell>
          <cell r="AA326">
            <v>526</v>
          </cell>
          <cell r="AB326">
            <v>2261.7999999999997</v>
          </cell>
          <cell r="AC326">
            <v>526</v>
          </cell>
          <cell r="AD326">
            <v>2261.7999999999997</v>
          </cell>
          <cell r="AE326"/>
          <cell r="AF326"/>
          <cell r="AG326"/>
          <cell r="AH326"/>
          <cell r="AI326"/>
          <cell r="AJ326">
            <v>0</v>
          </cell>
          <cell r="AK326" t="str">
            <v>3P</v>
          </cell>
          <cell r="AL326">
            <v>213</v>
          </cell>
          <cell r="AM326">
            <v>337</v>
          </cell>
          <cell r="AN326" t="str">
            <v>01 Existing Dealer</v>
          </cell>
          <cell r="AO326" t="str">
            <v>Midwest</v>
          </cell>
          <cell r="AP326" t="str">
            <v>Central</v>
          </cell>
          <cell r="AQ326"/>
          <cell r="AR326">
            <v>0</v>
          </cell>
          <cell r="AS326">
            <v>0</v>
          </cell>
        </row>
        <row r="327">
          <cell r="A327">
            <v>12826</v>
          </cell>
          <cell r="B327" t="str">
            <v>HALEY EQUIPMENT INC</v>
          </cell>
          <cell r="C327" t="str">
            <v>M10213</v>
          </cell>
          <cell r="D327" t="str">
            <v>NET 5, BT+</v>
          </cell>
          <cell r="E327" t="str">
            <v>FP - Wells Fargo</v>
          </cell>
          <cell r="F327" t="str">
            <v>Yes</v>
          </cell>
          <cell r="G327" t="str">
            <v>TX</v>
          </cell>
          <cell r="H327">
            <v>8</v>
          </cell>
          <cell r="I327">
            <v>0.66500000000000004</v>
          </cell>
          <cell r="J327" t="str">
            <v>Orphaned Acct</v>
          </cell>
          <cell r="K327" t="str">
            <v>CARROLL</v>
          </cell>
          <cell r="L327" t="str">
            <v>IA</v>
          </cell>
          <cell r="M327" t="str">
            <v>800-577-8858</v>
          </cell>
          <cell r="N327"/>
          <cell r="O327">
            <v>694</v>
          </cell>
          <cell r="P327">
            <v>2984.2</v>
          </cell>
          <cell r="Q327"/>
          <cell r="R327">
            <v>0</v>
          </cell>
          <cell r="S327"/>
          <cell r="T327">
            <v>0</v>
          </cell>
          <cell r="U327">
            <v>674</v>
          </cell>
          <cell r="V327">
            <v>2898.2</v>
          </cell>
          <cell r="W327">
            <v>756</v>
          </cell>
          <cell r="X327">
            <v>3250.7999999999997</v>
          </cell>
          <cell r="Y327">
            <v>704</v>
          </cell>
          <cell r="Z327">
            <v>3027.2</v>
          </cell>
          <cell r="AA327">
            <v>704</v>
          </cell>
          <cell r="AB327">
            <v>3027.2</v>
          </cell>
          <cell r="AC327">
            <v>704</v>
          </cell>
          <cell r="AD327">
            <v>3027.2</v>
          </cell>
          <cell r="AE327"/>
          <cell r="AF327"/>
          <cell r="AG327"/>
          <cell r="AH327"/>
          <cell r="AI327"/>
          <cell r="AJ327">
            <v>0</v>
          </cell>
          <cell r="AK327" t="str">
            <v>3P</v>
          </cell>
          <cell r="AL327">
            <v>213</v>
          </cell>
          <cell r="AM327">
            <v>111</v>
          </cell>
          <cell r="AN327" t="str">
            <v>08 Inactive Dealer</v>
          </cell>
          <cell r="AO327" t="str">
            <v>Midwest</v>
          </cell>
          <cell r="AP327" t="str">
            <v>Central</v>
          </cell>
          <cell r="AQ327"/>
          <cell r="AR327">
            <v>0</v>
          </cell>
          <cell r="AS327">
            <v>0</v>
          </cell>
        </row>
        <row r="328">
          <cell r="A328" t="str">
            <v>12826A</v>
          </cell>
          <cell r="B328" t="str">
            <v>HALEY EQUIPMENT INC</v>
          </cell>
          <cell r="C328" t="str">
            <v>M10213</v>
          </cell>
          <cell r="D328" t="str">
            <v>NET 5, BT+</v>
          </cell>
          <cell r="E328" t="str">
            <v>FP - Wells Fargo</v>
          </cell>
          <cell r="F328" t="str">
            <v>Yes</v>
          </cell>
          <cell r="G328" t="str">
            <v>TX</v>
          </cell>
          <cell r="H328">
            <v>8</v>
          </cell>
          <cell r="I328">
            <v>0.66500000000000004</v>
          </cell>
          <cell r="J328" t="str">
            <v>Orphaned Acct</v>
          </cell>
          <cell r="K328" t="str">
            <v>WALL LAKE</v>
          </cell>
          <cell r="L328" t="str">
            <v>IA</v>
          </cell>
          <cell r="M328" t="str">
            <v>800-577-8858</v>
          </cell>
          <cell r="N328"/>
          <cell r="O328">
            <v>750</v>
          </cell>
          <cell r="P328">
            <v>3225</v>
          </cell>
          <cell r="Q328"/>
          <cell r="R328">
            <v>0</v>
          </cell>
          <cell r="S328"/>
          <cell r="T328">
            <v>0</v>
          </cell>
          <cell r="U328">
            <v>681</v>
          </cell>
          <cell r="V328">
            <v>2928.2999999999997</v>
          </cell>
          <cell r="W328">
            <v>811</v>
          </cell>
          <cell r="X328">
            <v>3487.2999999999997</v>
          </cell>
          <cell r="Y328">
            <v>748</v>
          </cell>
          <cell r="Z328">
            <v>3216.4</v>
          </cell>
          <cell r="AA328">
            <v>748</v>
          </cell>
          <cell r="AB328">
            <v>3216.4</v>
          </cell>
          <cell r="AC328">
            <v>748</v>
          </cell>
          <cell r="AD328">
            <v>3216.4</v>
          </cell>
          <cell r="AE328"/>
          <cell r="AF328"/>
          <cell r="AG328"/>
          <cell r="AH328"/>
          <cell r="AI328"/>
          <cell r="AJ328">
            <v>0</v>
          </cell>
          <cell r="AK328" t="str">
            <v>3P</v>
          </cell>
          <cell r="AL328">
            <v>213</v>
          </cell>
          <cell r="AM328">
            <v>421</v>
          </cell>
          <cell r="AN328" t="str">
            <v>08 Inactive Dealer</v>
          </cell>
          <cell r="AO328" t="str">
            <v>Midwest</v>
          </cell>
          <cell r="AP328" t="str">
            <v>Central</v>
          </cell>
          <cell r="AQ328"/>
          <cell r="AR328">
            <v>0</v>
          </cell>
          <cell r="AS328">
            <v>0</v>
          </cell>
        </row>
        <row r="329">
          <cell r="A329">
            <v>12208</v>
          </cell>
          <cell r="B329" t="str">
            <v>HOWIE EQUIPMENT &amp; TRAILER INC</v>
          </cell>
          <cell r="C329" t="str">
            <v>M10223</v>
          </cell>
          <cell r="D329" t="str">
            <v>Return Mail, no pink card</v>
          </cell>
          <cell r="E329" t="str">
            <v>RM</v>
          </cell>
          <cell r="F329" t="str">
            <v>Yes</v>
          </cell>
          <cell r="G329" t="str">
            <v>TX</v>
          </cell>
          <cell r="H329">
            <v>5</v>
          </cell>
          <cell r="I329">
            <v>0.66500000000000004</v>
          </cell>
          <cell r="J329" t="str">
            <v>JL Smith</v>
          </cell>
          <cell r="K329" t="str">
            <v>HAMPTON</v>
          </cell>
          <cell r="L329" t="str">
            <v>IA</v>
          </cell>
          <cell r="M329" t="str">
            <v>800-577-8858</v>
          </cell>
          <cell r="N329"/>
          <cell r="O329">
            <v>755</v>
          </cell>
          <cell r="P329">
            <v>3246.5</v>
          </cell>
          <cell r="Q329"/>
          <cell r="R329">
            <v>0</v>
          </cell>
          <cell r="S329"/>
          <cell r="T329">
            <v>0</v>
          </cell>
          <cell r="U329">
            <v>709</v>
          </cell>
          <cell r="V329">
            <v>3048.7</v>
          </cell>
          <cell r="W329">
            <v>816</v>
          </cell>
          <cell r="X329">
            <v>3508.7999999999997</v>
          </cell>
          <cell r="Y329">
            <v>652</v>
          </cell>
          <cell r="Z329">
            <v>2803.6</v>
          </cell>
          <cell r="AA329">
            <v>652</v>
          </cell>
          <cell r="AB329">
            <v>2803.6</v>
          </cell>
          <cell r="AC329">
            <v>652</v>
          </cell>
          <cell r="AD329">
            <v>2803.6</v>
          </cell>
          <cell r="AE329"/>
          <cell r="AF329"/>
          <cell r="AG329"/>
          <cell r="AH329"/>
          <cell r="AI329"/>
          <cell r="AJ329">
            <v>0</v>
          </cell>
          <cell r="AK329" t="str">
            <v>3P</v>
          </cell>
          <cell r="AL329">
            <v>151</v>
          </cell>
          <cell r="AM329">
            <v>285</v>
          </cell>
          <cell r="AN329" t="str">
            <v>01 Existing Dealer</v>
          </cell>
          <cell r="AO329" t="str">
            <v>Midwest</v>
          </cell>
          <cell r="AP329" t="str">
            <v>Central</v>
          </cell>
          <cell r="AQ329"/>
          <cell r="AR329">
            <v>0</v>
          </cell>
          <cell r="AS329">
            <v>0</v>
          </cell>
        </row>
        <row r="330">
          <cell r="A330">
            <v>12209</v>
          </cell>
          <cell r="B330" t="str">
            <v>HOWIE EQUIPMENT &amp; TRAILER INC</v>
          </cell>
          <cell r="C330" t="str">
            <v>M10223</v>
          </cell>
          <cell r="D330" t="str">
            <v>NET 5, BT+</v>
          </cell>
          <cell r="E330" t="str">
            <v>CO</v>
          </cell>
          <cell r="F330" t="str">
            <v>Yes</v>
          </cell>
          <cell r="G330" t="str">
            <v>TX</v>
          </cell>
          <cell r="H330">
            <v>6</v>
          </cell>
          <cell r="I330">
            <v>0.66500000000000004</v>
          </cell>
          <cell r="J330" t="str">
            <v>House</v>
          </cell>
          <cell r="K330" t="str">
            <v>HAMPTON</v>
          </cell>
          <cell r="L330" t="str">
            <v>IA</v>
          </cell>
          <cell r="M330" t="str">
            <v>800-577-8858</v>
          </cell>
          <cell r="N330"/>
          <cell r="O330">
            <v>755</v>
          </cell>
          <cell r="P330">
            <v>3246.5</v>
          </cell>
          <cell r="Q330"/>
          <cell r="R330">
            <v>0</v>
          </cell>
          <cell r="S330"/>
          <cell r="T330">
            <v>0</v>
          </cell>
          <cell r="U330">
            <v>709</v>
          </cell>
          <cell r="V330">
            <v>3048.7</v>
          </cell>
          <cell r="W330">
            <v>816</v>
          </cell>
          <cell r="X330">
            <v>3508.7999999999997</v>
          </cell>
          <cell r="Y330">
            <v>652</v>
          </cell>
          <cell r="Z330">
            <v>2803.6</v>
          </cell>
          <cell r="AA330">
            <v>652</v>
          </cell>
          <cell r="AB330">
            <v>2803.6</v>
          </cell>
          <cell r="AC330">
            <v>652</v>
          </cell>
          <cell r="AD330">
            <v>2803.6</v>
          </cell>
          <cell r="AE330"/>
          <cell r="AF330"/>
          <cell r="AG330"/>
          <cell r="AH330"/>
          <cell r="AI330"/>
          <cell r="AJ330">
            <v>0</v>
          </cell>
          <cell r="AK330" t="str">
            <v>3P</v>
          </cell>
          <cell r="AL330">
            <v>400</v>
          </cell>
          <cell r="AM330">
            <v>285</v>
          </cell>
          <cell r="AN330" t="str">
            <v>01 Existing Dealer</v>
          </cell>
          <cell r="AO330" t="str">
            <v>Midwest</v>
          </cell>
          <cell r="AP330" t="str">
            <v>Central</v>
          </cell>
          <cell r="AQ330"/>
          <cell r="AR330">
            <v>0</v>
          </cell>
          <cell r="AS330">
            <v>0</v>
          </cell>
        </row>
        <row r="331">
          <cell r="A331">
            <v>12207</v>
          </cell>
          <cell r="B331" t="str">
            <v>HOWIE EQUIPMENT &amp; TRAILER INC</v>
          </cell>
          <cell r="C331" t="str">
            <v>M10223</v>
          </cell>
          <cell r="D331" t="str">
            <v>Return Mail, no pink card</v>
          </cell>
          <cell r="E331" t="str">
            <v>C6</v>
          </cell>
          <cell r="F331" t="str">
            <v>No</v>
          </cell>
          <cell r="G331" t="str">
            <v>TX</v>
          </cell>
          <cell r="H331">
            <v>6</v>
          </cell>
          <cell r="I331">
            <v>0.66500000000000004</v>
          </cell>
          <cell r="J331" t="str">
            <v>House</v>
          </cell>
          <cell r="K331" t="str">
            <v>HAMPTON</v>
          </cell>
          <cell r="L331" t="str">
            <v>IA</v>
          </cell>
          <cell r="M331" t="str">
            <v>800-577-8858</v>
          </cell>
          <cell r="N331"/>
          <cell r="O331">
            <v>755</v>
          </cell>
          <cell r="P331">
            <v>3246.5</v>
          </cell>
          <cell r="Q331"/>
          <cell r="R331">
            <v>0</v>
          </cell>
          <cell r="S331"/>
          <cell r="T331">
            <v>0</v>
          </cell>
          <cell r="U331">
            <v>709</v>
          </cell>
          <cell r="V331">
            <v>3048.7</v>
          </cell>
          <cell r="W331">
            <v>816</v>
          </cell>
          <cell r="X331">
            <v>3508.7999999999997</v>
          </cell>
          <cell r="Y331">
            <v>652</v>
          </cell>
          <cell r="Z331">
            <v>2803.6</v>
          </cell>
          <cell r="AA331">
            <v>652</v>
          </cell>
          <cell r="AB331">
            <v>2803.6</v>
          </cell>
          <cell r="AC331">
            <v>652</v>
          </cell>
          <cell r="AD331">
            <v>2803.6</v>
          </cell>
          <cell r="AE331"/>
          <cell r="AF331"/>
          <cell r="AG331"/>
          <cell r="AH331"/>
          <cell r="AI331"/>
          <cell r="AJ331">
            <v>0</v>
          </cell>
          <cell r="AK331" t="str">
            <v>3P</v>
          </cell>
          <cell r="AL331">
            <v>400</v>
          </cell>
          <cell r="AM331">
            <v>285</v>
          </cell>
          <cell r="AN331" t="str">
            <v>01 Existing Dealer</v>
          </cell>
          <cell r="AO331" t="str">
            <v>Midwest</v>
          </cell>
          <cell r="AP331" t="str">
            <v>Central</v>
          </cell>
          <cell r="AQ331"/>
          <cell r="AR331">
            <v>0</v>
          </cell>
          <cell r="AS331">
            <v>0</v>
          </cell>
        </row>
        <row r="332">
          <cell r="A332">
            <v>12848</v>
          </cell>
          <cell r="B332" t="str">
            <v>KARDELL LEASING dba PERFORMANCE CAR &amp; TRUCK</v>
          </cell>
          <cell r="C332" t="str">
            <v>M10249</v>
          </cell>
          <cell r="D332" t="str">
            <v>NET 5, BT+</v>
          </cell>
          <cell r="E332" t="str">
            <v>FP - Wells Fargo</v>
          </cell>
          <cell r="F332" t="str">
            <v>Yes</v>
          </cell>
          <cell r="G332" t="str">
            <v>TX</v>
          </cell>
          <cell r="H332">
            <v>8</v>
          </cell>
          <cell r="I332">
            <v>0.66500000000000004</v>
          </cell>
          <cell r="J332" t="str">
            <v>Orphaned Acct</v>
          </cell>
          <cell r="K332" t="str">
            <v>SPENCER</v>
          </cell>
          <cell r="L332" t="str">
            <v>IA</v>
          </cell>
          <cell r="M332" t="str">
            <v>800-577-8858</v>
          </cell>
          <cell r="N332"/>
          <cell r="O332">
            <v>802</v>
          </cell>
          <cell r="P332">
            <v>3448.6</v>
          </cell>
          <cell r="Q332">
            <v>1227</v>
          </cell>
          <cell r="R332">
            <v>5276.0999999999995</v>
          </cell>
          <cell r="S332">
            <v>1408</v>
          </cell>
          <cell r="T332">
            <v>6054.4</v>
          </cell>
          <cell r="U332">
            <v>733</v>
          </cell>
          <cell r="V332">
            <v>3151.9</v>
          </cell>
          <cell r="W332">
            <v>863</v>
          </cell>
          <cell r="X332">
            <v>3710.8999999999996</v>
          </cell>
          <cell r="Y332">
            <v>787</v>
          </cell>
          <cell r="Z332">
            <v>3384.1</v>
          </cell>
          <cell r="AA332">
            <v>787</v>
          </cell>
          <cell r="AB332">
            <v>3384.1</v>
          </cell>
          <cell r="AC332">
            <v>787</v>
          </cell>
          <cell r="AD332">
            <v>3384.1</v>
          </cell>
          <cell r="AE332"/>
          <cell r="AF332"/>
          <cell r="AG332"/>
          <cell r="AH332"/>
          <cell r="AI332"/>
          <cell r="AJ332">
            <v>0</v>
          </cell>
          <cell r="AK332" t="str">
            <v>3P</v>
          </cell>
          <cell r="AL332">
            <v>213</v>
          </cell>
          <cell r="AM332">
            <v>421</v>
          </cell>
          <cell r="AN332" t="str">
            <v>01 Existing Dealer</v>
          </cell>
          <cell r="AO332" t="str">
            <v>Midwest</v>
          </cell>
          <cell r="AP332" t="str">
            <v>Central</v>
          </cell>
          <cell r="AQ332"/>
          <cell r="AR332">
            <v>0</v>
          </cell>
          <cell r="AS332">
            <v>0</v>
          </cell>
        </row>
        <row r="333">
          <cell r="A333">
            <v>12978</v>
          </cell>
          <cell r="B333" t="str">
            <v>KEOKUK AUTO dba MIDWEST PRO TRUCK &amp; TRAILERS</v>
          </cell>
          <cell r="C333" t="str">
            <v>M10814</v>
          </cell>
          <cell r="D333" t="str">
            <v>NET 5, BT+</v>
          </cell>
          <cell r="E333" t="str">
            <v>CO</v>
          </cell>
          <cell r="F333" t="str">
            <v>Yes</v>
          </cell>
          <cell r="G333" t="str">
            <v>TX</v>
          </cell>
          <cell r="H333">
            <v>7</v>
          </cell>
          <cell r="I333">
            <v>0.66500000000000004</v>
          </cell>
          <cell r="J333" t="str">
            <v>Orphaned Acct</v>
          </cell>
          <cell r="K333" t="str">
            <v>KEOKUK</v>
          </cell>
          <cell r="L333" t="str">
            <v>IA</v>
          </cell>
          <cell r="M333" t="str">
            <v>800-577-8858</v>
          </cell>
          <cell r="N333"/>
          <cell r="O333">
            <v>709</v>
          </cell>
          <cell r="P333">
            <v>3048.7</v>
          </cell>
          <cell r="Q333">
            <v>876</v>
          </cell>
          <cell r="R333">
            <v>3766.7999999999997</v>
          </cell>
          <cell r="S333"/>
          <cell r="T333">
            <v>0</v>
          </cell>
          <cell r="U333">
            <v>647</v>
          </cell>
          <cell r="V333">
            <v>2782.1</v>
          </cell>
          <cell r="W333">
            <v>755</v>
          </cell>
          <cell r="X333">
            <v>3246.5</v>
          </cell>
          <cell r="Y333">
            <v>455</v>
          </cell>
          <cell r="Z333">
            <v>1956.5</v>
          </cell>
          <cell r="AA333">
            <v>455</v>
          </cell>
          <cell r="AB333">
            <v>1956.5</v>
          </cell>
          <cell r="AC333">
            <v>455</v>
          </cell>
          <cell r="AD333">
            <v>1956.5</v>
          </cell>
          <cell r="AE333"/>
          <cell r="AF333"/>
          <cell r="AG333"/>
          <cell r="AH333"/>
          <cell r="AI333"/>
          <cell r="AJ333">
            <v>0</v>
          </cell>
          <cell r="AK333" t="str">
            <v>3P</v>
          </cell>
          <cell r="AL333">
            <v>213</v>
          </cell>
          <cell r="AM333">
            <v>61</v>
          </cell>
          <cell r="AN333" t="str">
            <v>08 Inactive Dealer</v>
          </cell>
          <cell r="AO333" t="str">
            <v>Midwest</v>
          </cell>
          <cell r="AP333" t="str">
            <v>Central</v>
          </cell>
          <cell r="AQ333"/>
          <cell r="AR333">
            <v>0</v>
          </cell>
          <cell r="AS333">
            <v>0</v>
          </cell>
        </row>
        <row r="334">
          <cell r="A334">
            <v>13050</v>
          </cell>
          <cell r="B334" t="str">
            <v>KLC, LLC, dba PERFORMANCE CAR &amp; TRUCK</v>
          </cell>
          <cell r="C334" t="str">
            <v>M10249</v>
          </cell>
          <cell r="D334" t="str">
            <v>NET 5, BT+</v>
          </cell>
          <cell r="E334" t="str">
            <v>F4 - Wells Fargo</v>
          </cell>
          <cell r="F334" t="str">
            <v>Yes</v>
          </cell>
          <cell r="G334" t="str">
            <v>TX</v>
          </cell>
          <cell r="H334">
            <v>8</v>
          </cell>
          <cell r="I334">
            <v>0.66500000000000004</v>
          </cell>
          <cell r="J334" t="str">
            <v>House</v>
          </cell>
          <cell r="K334" t="str">
            <v>SPENCER</v>
          </cell>
          <cell r="L334" t="str">
            <v>IA</v>
          </cell>
          <cell r="M334" t="str">
            <v>800-577-8858</v>
          </cell>
          <cell r="N334"/>
          <cell r="O334">
            <v>802</v>
          </cell>
          <cell r="P334">
            <v>3448.6</v>
          </cell>
          <cell r="Q334">
            <v>1227</v>
          </cell>
          <cell r="R334">
            <v>5276.0999999999995</v>
          </cell>
          <cell r="S334">
            <v>1408</v>
          </cell>
          <cell r="T334">
            <v>6054.4</v>
          </cell>
          <cell r="U334">
            <v>733</v>
          </cell>
          <cell r="V334">
            <v>3151.9</v>
          </cell>
          <cell r="W334">
            <v>863</v>
          </cell>
          <cell r="X334">
            <v>3710.8999999999996</v>
          </cell>
          <cell r="Y334">
            <v>787</v>
          </cell>
          <cell r="Z334">
            <v>3384.1</v>
          </cell>
          <cell r="AA334">
            <v>787</v>
          </cell>
          <cell r="AB334">
            <v>3384.1</v>
          </cell>
          <cell r="AC334">
            <v>787</v>
          </cell>
          <cell r="AD334">
            <v>3384.1</v>
          </cell>
          <cell r="AE334"/>
          <cell r="AF334"/>
          <cell r="AG334"/>
          <cell r="AH334"/>
          <cell r="AI334"/>
          <cell r="AJ334">
            <v>0</v>
          </cell>
          <cell r="AK334" t="str">
            <v>3P</v>
          </cell>
          <cell r="AL334">
            <v>400</v>
          </cell>
          <cell r="AM334">
            <v>421</v>
          </cell>
          <cell r="AN334" t="str">
            <v>08 Inactive Dealer</v>
          </cell>
          <cell r="AO334" t="str">
            <v>Midwest</v>
          </cell>
          <cell r="AP334" t="str">
            <v>Central</v>
          </cell>
          <cell r="AQ334"/>
          <cell r="AR334">
            <v>0</v>
          </cell>
          <cell r="AS334">
            <v>0</v>
          </cell>
        </row>
        <row r="335">
          <cell r="A335">
            <v>12844</v>
          </cell>
          <cell r="B335" t="str">
            <v>MARX TRUCK TRAILER SALES, INC.</v>
          </cell>
          <cell r="C335" t="str">
            <v>M10276</v>
          </cell>
          <cell r="D335" t="str">
            <v>NET 5, BT+</v>
          </cell>
          <cell r="E335" t="str">
            <v>FP - Wells Fargo</v>
          </cell>
          <cell r="F335" t="str">
            <v>Yes</v>
          </cell>
          <cell r="G335" t="str">
            <v>TX</v>
          </cell>
          <cell r="H335">
            <v>8</v>
          </cell>
          <cell r="I335">
            <v>0.66500000000000004</v>
          </cell>
          <cell r="J335" t="str">
            <v>Orphaned Acct</v>
          </cell>
          <cell r="K335" t="str">
            <v>SIOUS CITY</v>
          </cell>
          <cell r="L335" t="str">
            <v>IA</v>
          </cell>
          <cell r="M335" t="str">
            <v>800-577-8858</v>
          </cell>
          <cell r="N335"/>
          <cell r="O335">
            <v>742</v>
          </cell>
          <cell r="P335">
            <v>3190.6</v>
          </cell>
          <cell r="Q335">
            <v>1229</v>
          </cell>
          <cell r="R335">
            <v>5284.7</v>
          </cell>
          <cell r="S335">
            <v>1348</v>
          </cell>
          <cell r="T335">
            <v>5796.4</v>
          </cell>
          <cell r="U335">
            <v>673</v>
          </cell>
          <cell r="V335">
            <v>2893.9</v>
          </cell>
          <cell r="W335">
            <v>803</v>
          </cell>
          <cell r="X335">
            <v>3452.8999999999996</v>
          </cell>
          <cell r="Y335">
            <v>804</v>
          </cell>
          <cell r="Z335">
            <v>3457.2</v>
          </cell>
          <cell r="AA335">
            <v>804</v>
          </cell>
          <cell r="AB335">
            <v>3457.2</v>
          </cell>
          <cell r="AC335">
            <v>804</v>
          </cell>
          <cell r="AD335">
            <v>3457.2</v>
          </cell>
          <cell r="AE335"/>
          <cell r="AF335"/>
          <cell r="AG335"/>
          <cell r="AH335"/>
          <cell r="AI335"/>
          <cell r="AJ335">
            <v>0</v>
          </cell>
          <cell r="AK335" t="str">
            <v>3P</v>
          </cell>
          <cell r="AL335">
            <v>213</v>
          </cell>
          <cell r="AM335">
            <v>421</v>
          </cell>
          <cell r="AN335" t="str">
            <v>08 Inactive Dealer</v>
          </cell>
          <cell r="AO335" t="str">
            <v>Midwest</v>
          </cell>
          <cell r="AP335" t="str">
            <v>Central</v>
          </cell>
          <cell r="AQ335"/>
          <cell r="AR335">
            <v>0</v>
          </cell>
          <cell r="AS335">
            <v>0</v>
          </cell>
        </row>
        <row r="336">
          <cell r="A336">
            <v>12205</v>
          </cell>
          <cell r="B336" t="str">
            <v>PATTEN</v>
          </cell>
          <cell r="C336" t="str">
            <v>M11043</v>
          </cell>
          <cell r="D336" t="str">
            <v>Return Mail, no pink card</v>
          </cell>
          <cell r="E336" t="str">
            <v>RM</v>
          </cell>
          <cell r="F336" t="str">
            <v>Yes</v>
          </cell>
          <cell r="G336" t="str">
            <v>TX</v>
          </cell>
          <cell r="H336">
            <v>5</v>
          </cell>
          <cell r="I336">
            <v>0.66500000000000004</v>
          </cell>
          <cell r="J336" t="str">
            <v>Orphaned Acct</v>
          </cell>
          <cell r="K336" t="str">
            <v>URBANA</v>
          </cell>
          <cell r="L336" t="str">
            <v>IA</v>
          </cell>
          <cell r="M336" t="str">
            <v>800-577-8858</v>
          </cell>
          <cell r="N336"/>
          <cell r="O336">
            <v>810</v>
          </cell>
          <cell r="P336">
            <v>3483</v>
          </cell>
          <cell r="Q336"/>
          <cell r="R336">
            <v>0</v>
          </cell>
          <cell r="S336"/>
          <cell r="T336">
            <v>0</v>
          </cell>
          <cell r="U336">
            <v>764</v>
          </cell>
          <cell r="V336">
            <v>3285.2</v>
          </cell>
          <cell r="W336">
            <v>872</v>
          </cell>
          <cell r="X336">
            <v>3749.6</v>
          </cell>
          <cell r="Y336">
            <v>563</v>
          </cell>
          <cell r="Z336">
            <v>2420.9</v>
          </cell>
          <cell r="AA336">
            <v>563</v>
          </cell>
          <cell r="AB336">
            <v>2420.9</v>
          </cell>
          <cell r="AC336">
            <v>563</v>
          </cell>
          <cell r="AD336">
            <v>2420.9</v>
          </cell>
          <cell r="AE336"/>
          <cell r="AF336"/>
          <cell r="AG336"/>
          <cell r="AH336"/>
          <cell r="AI336"/>
          <cell r="AJ336">
            <v>0.04</v>
          </cell>
          <cell r="AK336" t="str">
            <v>3P</v>
          </cell>
          <cell r="AL336">
            <v>213</v>
          </cell>
          <cell r="AM336">
            <v>70</v>
          </cell>
          <cell r="AN336" t="str">
            <v>01 Existing Dealer</v>
          </cell>
          <cell r="AO336" t="str">
            <v>Midwest</v>
          </cell>
          <cell r="AP336" t="str">
            <v>Central</v>
          </cell>
          <cell r="AQ336"/>
          <cell r="AR336">
            <v>0</v>
          </cell>
          <cell r="AS336">
            <v>0</v>
          </cell>
        </row>
        <row r="337">
          <cell r="A337" t="str">
            <v>12278B</v>
          </cell>
          <cell r="B337" t="str">
            <v>PRAIRIE WIND</v>
          </cell>
          <cell r="C337" t="str">
            <v>M10335</v>
          </cell>
          <cell r="D337" t="str">
            <v>NET 5, BT+</v>
          </cell>
          <cell r="E337" t="str">
            <v>F6 - Wells Fargo</v>
          </cell>
          <cell r="F337" t="str">
            <v>Yes</v>
          </cell>
          <cell r="G337" t="str">
            <v>TX</v>
          </cell>
          <cell r="H337">
            <v>8</v>
          </cell>
          <cell r="I337">
            <v>0.66500000000000004</v>
          </cell>
          <cell r="J337" t="str">
            <v>Trent Evans</v>
          </cell>
          <cell r="K337" t="str">
            <v>ALTON</v>
          </cell>
          <cell r="L337" t="str">
            <v>IA</v>
          </cell>
          <cell r="M337" t="str">
            <v>208-459-0106</v>
          </cell>
          <cell r="N337" t="str">
            <v>All tandem axle trailers must have BRK2</v>
          </cell>
          <cell r="O337">
            <v>785</v>
          </cell>
          <cell r="P337">
            <v>3375.5</v>
          </cell>
          <cell r="Q337"/>
          <cell r="R337">
            <v>0</v>
          </cell>
          <cell r="S337"/>
          <cell r="T337">
            <v>0</v>
          </cell>
          <cell r="U337">
            <v>716</v>
          </cell>
          <cell r="V337">
            <v>3078.7999999999997</v>
          </cell>
          <cell r="W337">
            <v>845</v>
          </cell>
          <cell r="X337">
            <v>3633.5</v>
          </cell>
          <cell r="Y337">
            <v>818</v>
          </cell>
          <cell r="Z337">
            <v>3517.3999999999996</v>
          </cell>
          <cell r="AA337">
            <v>818</v>
          </cell>
          <cell r="AB337">
            <v>3517.3999999999996</v>
          </cell>
          <cell r="AC337">
            <v>818</v>
          </cell>
          <cell r="AD337">
            <v>3517.3999999999996</v>
          </cell>
          <cell r="AE337"/>
          <cell r="AF337"/>
          <cell r="AG337"/>
          <cell r="AH337"/>
          <cell r="AI337"/>
          <cell r="AJ337">
            <v>0</v>
          </cell>
          <cell r="AK337" t="str">
            <v>3P</v>
          </cell>
          <cell r="AL337">
            <v>226</v>
          </cell>
          <cell r="AM337">
            <v>421</v>
          </cell>
          <cell r="AN337" t="str">
            <v>01 Existing Dealer</v>
          </cell>
          <cell r="AO337" t="str">
            <v>Midwest</v>
          </cell>
          <cell r="AP337" t="str">
            <v>Central</v>
          </cell>
          <cell r="AQ337"/>
          <cell r="AR337">
            <v>0</v>
          </cell>
          <cell r="AS337">
            <v>0</v>
          </cell>
        </row>
        <row r="338">
          <cell r="A338">
            <v>12493</v>
          </cell>
          <cell r="B338" t="str">
            <v>R/J PERFORMANCE, INC.</v>
          </cell>
          <cell r="C338" t="str">
            <v>M10479</v>
          </cell>
          <cell r="D338" t="str">
            <v>NET 5, BT+</v>
          </cell>
          <cell r="E338" t="str">
            <v>CO</v>
          </cell>
          <cell r="F338" t="str">
            <v>Yes</v>
          </cell>
          <cell r="G338" t="str">
            <v>TX</v>
          </cell>
          <cell r="H338">
            <v>7</v>
          </cell>
          <cell r="I338">
            <v>0.66500000000000004</v>
          </cell>
          <cell r="J338" t="str">
            <v>Orphaned Acct</v>
          </cell>
          <cell r="K338" t="str">
            <v>OTTUMA</v>
          </cell>
          <cell r="L338" t="str">
            <v>IA</v>
          </cell>
          <cell r="M338" t="str">
            <v>800-577-8858</v>
          </cell>
          <cell r="N338"/>
          <cell r="O338">
            <v>686</v>
          </cell>
          <cell r="P338">
            <v>2949.7999999999997</v>
          </cell>
          <cell r="Q338"/>
          <cell r="R338">
            <v>0</v>
          </cell>
          <cell r="S338"/>
          <cell r="T338">
            <v>0</v>
          </cell>
          <cell r="U338">
            <v>640</v>
          </cell>
          <cell r="V338">
            <v>2752</v>
          </cell>
          <cell r="W338">
            <v>748</v>
          </cell>
          <cell r="X338">
            <v>3216.4</v>
          </cell>
          <cell r="Y338">
            <v>539</v>
          </cell>
          <cell r="Z338">
            <v>2317.6999999999998</v>
          </cell>
          <cell r="AA338">
            <v>539</v>
          </cell>
          <cell r="AB338">
            <v>2317.6999999999998</v>
          </cell>
          <cell r="AC338">
            <v>539</v>
          </cell>
          <cell r="AD338">
            <v>2317.6999999999998</v>
          </cell>
          <cell r="AE338"/>
          <cell r="AF338"/>
          <cell r="AG338"/>
          <cell r="AH338"/>
          <cell r="AI338"/>
          <cell r="AJ338">
            <v>0</v>
          </cell>
          <cell r="AK338" t="str">
            <v>3P</v>
          </cell>
          <cell r="AL338">
            <v>213</v>
          </cell>
          <cell r="AM338">
            <v>337</v>
          </cell>
          <cell r="AN338" t="str">
            <v>08 Inactive Dealer</v>
          </cell>
          <cell r="AO338" t="str">
            <v>Midwest</v>
          </cell>
          <cell r="AP338" t="str">
            <v>Central</v>
          </cell>
          <cell r="AQ338"/>
          <cell r="AR338">
            <v>0</v>
          </cell>
          <cell r="AS338">
            <v>0</v>
          </cell>
        </row>
        <row r="339">
          <cell r="A339">
            <v>13046</v>
          </cell>
          <cell r="B339" t="str">
            <v>SCHLUTER ENTERPRISES LLC dba OLSGARD AUTO</v>
          </cell>
          <cell r="C339" t="str">
            <v>M10916</v>
          </cell>
          <cell r="D339" t="str">
            <v>NET 5, BT+</v>
          </cell>
          <cell r="E339" t="str">
            <v>F3 - Wells Fargo</v>
          </cell>
          <cell r="F339" t="str">
            <v>Yes</v>
          </cell>
          <cell r="G339" t="str">
            <v>TX</v>
          </cell>
          <cell r="H339">
            <v>5</v>
          </cell>
          <cell r="I339">
            <v>0.66500000000000004</v>
          </cell>
          <cell r="J339" t="str">
            <v>Orphaned Acct</v>
          </cell>
          <cell r="K339" t="str">
            <v>DECORAH</v>
          </cell>
          <cell r="L339" t="str">
            <v>IA</v>
          </cell>
          <cell r="M339" t="str">
            <v>800-577-8858</v>
          </cell>
          <cell r="N339"/>
          <cell r="O339">
            <v>862</v>
          </cell>
          <cell r="P339">
            <v>3706.6</v>
          </cell>
          <cell r="Q339"/>
          <cell r="R339">
            <v>0</v>
          </cell>
          <cell r="S339"/>
          <cell r="T339">
            <v>0</v>
          </cell>
          <cell r="U339">
            <v>816</v>
          </cell>
          <cell r="V339">
            <v>3508.7999999999997</v>
          </cell>
          <cell r="W339">
            <v>924</v>
          </cell>
          <cell r="X339">
            <v>3973.2</v>
          </cell>
          <cell r="Y339">
            <v>626</v>
          </cell>
          <cell r="Z339">
            <v>2691.7999999999997</v>
          </cell>
          <cell r="AA339">
            <v>626</v>
          </cell>
          <cell r="AB339">
            <v>2691.7999999999997</v>
          </cell>
          <cell r="AC339">
            <v>626</v>
          </cell>
          <cell r="AD339">
            <v>2691.7999999999997</v>
          </cell>
          <cell r="AE339"/>
          <cell r="AF339"/>
          <cell r="AG339"/>
          <cell r="AH339"/>
          <cell r="AI339"/>
          <cell r="AJ339">
            <v>0</v>
          </cell>
          <cell r="AK339" t="str">
            <v>3P</v>
          </cell>
          <cell r="AL339">
            <v>213</v>
          </cell>
          <cell r="AM339">
            <v>462</v>
          </cell>
          <cell r="AN339" t="str">
            <v>08 Inactive Dealer</v>
          </cell>
          <cell r="AO339" t="str">
            <v>Midwest</v>
          </cell>
          <cell r="AP339" t="str">
            <v>Central</v>
          </cell>
          <cell r="AQ339"/>
          <cell r="AR339">
            <v>0</v>
          </cell>
          <cell r="AS339">
            <v>0</v>
          </cell>
        </row>
        <row r="340">
          <cell r="A340">
            <v>12768</v>
          </cell>
          <cell r="B340" t="str">
            <v>THOMAS BUS</v>
          </cell>
          <cell r="C340" t="str">
            <v>M10407</v>
          </cell>
          <cell r="D340" t="str">
            <v>Net 15, no pink card</v>
          </cell>
          <cell r="E340" t="str">
            <v>NET 15</v>
          </cell>
          <cell r="F340" t="str">
            <v>Yes</v>
          </cell>
          <cell r="G340" t="str">
            <v>TX</v>
          </cell>
          <cell r="H340">
            <v>5</v>
          </cell>
          <cell r="I340">
            <v>0.66500000000000004</v>
          </cell>
          <cell r="J340" t="str">
            <v>Dakota Nation</v>
          </cell>
          <cell r="K340" t="str">
            <v>DESMOINES</v>
          </cell>
          <cell r="L340" t="str">
            <v>IA</v>
          </cell>
          <cell r="M340" t="str">
            <v>800-577-8858</v>
          </cell>
          <cell r="N340" t="str">
            <v>COD ON FREIGHT</v>
          </cell>
          <cell r="O340">
            <v>664</v>
          </cell>
          <cell r="P340">
            <v>2855.2</v>
          </cell>
          <cell r="Q340"/>
          <cell r="R340">
            <v>0</v>
          </cell>
          <cell r="S340"/>
          <cell r="T340">
            <v>0</v>
          </cell>
          <cell r="U340">
            <v>618</v>
          </cell>
          <cell r="V340">
            <v>2657.4</v>
          </cell>
          <cell r="W340">
            <v>725</v>
          </cell>
          <cell r="X340">
            <v>3117.5</v>
          </cell>
          <cell r="Y340">
            <v>628</v>
          </cell>
          <cell r="Z340">
            <v>2700.4</v>
          </cell>
          <cell r="AA340">
            <v>628</v>
          </cell>
          <cell r="AB340">
            <v>2700.4</v>
          </cell>
          <cell r="AC340">
            <v>628</v>
          </cell>
          <cell r="AD340">
            <v>2700.4</v>
          </cell>
          <cell r="AE340"/>
          <cell r="AF340"/>
          <cell r="AG340"/>
          <cell r="AH340"/>
          <cell r="AI340"/>
          <cell r="AJ340">
            <v>0.04</v>
          </cell>
          <cell r="AK340" t="str">
            <v>3P</v>
          </cell>
          <cell r="AL340">
            <v>223</v>
          </cell>
          <cell r="AM340">
            <v>111</v>
          </cell>
          <cell r="AN340" t="str">
            <v>01 Existing Dealer</v>
          </cell>
          <cell r="AO340" t="str">
            <v>Midwest</v>
          </cell>
          <cell r="AP340" t="str">
            <v>Central</v>
          </cell>
          <cell r="AQ340"/>
          <cell r="AR340">
            <v>175354</v>
          </cell>
          <cell r="AS340">
            <v>163381</v>
          </cell>
        </row>
        <row r="341">
          <cell r="A341">
            <v>10504</v>
          </cell>
          <cell r="B341" t="str">
            <v>THOMAS BUS</v>
          </cell>
          <cell r="C341" t="str">
            <v>M10407</v>
          </cell>
          <cell r="D341" t="str">
            <v>NET 5, BT+</v>
          </cell>
          <cell r="E341" t="str">
            <v>CO</v>
          </cell>
          <cell r="F341" t="str">
            <v>Yes</v>
          </cell>
          <cell r="G341" t="str">
            <v>TX</v>
          </cell>
          <cell r="H341">
            <v>7</v>
          </cell>
          <cell r="I341">
            <v>0.66500000000000004</v>
          </cell>
          <cell r="J341" t="str">
            <v>Dakota Nation</v>
          </cell>
          <cell r="K341" t="str">
            <v>DESMOINES</v>
          </cell>
          <cell r="L341" t="str">
            <v>IA</v>
          </cell>
          <cell r="M341" t="str">
            <v>800-577-8858</v>
          </cell>
          <cell r="N341"/>
          <cell r="O341">
            <v>664</v>
          </cell>
          <cell r="P341">
            <v>2855.2</v>
          </cell>
          <cell r="Q341"/>
          <cell r="R341">
            <v>0</v>
          </cell>
          <cell r="S341"/>
          <cell r="T341">
            <v>0</v>
          </cell>
          <cell r="U341">
            <v>618</v>
          </cell>
          <cell r="V341">
            <v>2657.4</v>
          </cell>
          <cell r="W341">
            <v>725</v>
          </cell>
          <cell r="X341">
            <v>3117.5</v>
          </cell>
          <cell r="Y341">
            <v>628</v>
          </cell>
          <cell r="Z341">
            <v>2700.4</v>
          </cell>
          <cell r="AA341">
            <v>628</v>
          </cell>
          <cell r="AB341">
            <v>2700.4</v>
          </cell>
          <cell r="AC341">
            <v>628</v>
          </cell>
          <cell r="AD341">
            <v>2700.4</v>
          </cell>
          <cell r="AE341"/>
          <cell r="AF341"/>
          <cell r="AG341"/>
          <cell r="AH341"/>
          <cell r="AI341"/>
          <cell r="AJ341">
            <v>0.04</v>
          </cell>
          <cell r="AK341" t="str">
            <v>3P</v>
          </cell>
          <cell r="AL341">
            <v>223</v>
          </cell>
          <cell r="AM341">
            <v>111</v>
          </cell>
          <cell r="AN341" t="str">
            <v>01 Existing Dealer</v>
          </cell>
          <cell r="AO341" t="str">
            <v>Midwest</v>
          </cell>
          <cell r="AP341" t="str">
            <v>Central</v>
          </cell>
          <cell r="AQ341"/>
          <cell r="AR341">
            <v>0</v>
          </cell>
          <cell r="AS341">
            <v>0</v>
          </cell>
        </row>
        <row r="342">
          <cell r="A342">
            <v>11809</v>
          </cell>
          <cell r="B342" t="str">
            <v>THOMPSON FAMILY RV</v>
          </cell>
          <cell r="C342" t="str">
            <v>M10408</v>
          </cell>
          <cell r="D342" t="str">
            <v>NET 5, BT+</v>
          </cell>
          <cell r="E342" t="str">
            <v>CO</v>
          </cell>
          <cell r="F342" t="str">
            <v>Yes</v>
          </cell>
          <cell r="G342" t="str">
            <v>TX</v>
          </cell>
          <cell r="H342">
            <v>7</v>
          </cell>
          <cell r="I342">
            <v>0.66500000000000004</v>
          </cell>
          <cell r="J342" t="str">
            <v>Orphaned Acct</v>
          </cell>
          <cell r="K342" t="str">
            <v>DAVENPORT</v>
          </cell>
          <cell r="L342" t="str">
            <v>IA</v>
          </cell>
          <cell r="M342" t="str">
            <v>800-577-8858</v>
          </cell>
          <cell r="N342"/>
          <cell r="O342">
            <v>818</v>
          </cell>
          <cell r="P342">
            <v>3517.3999999999996</v>
          </cell>
          <cell r="Q342"/>
          <cell r="R342">
            <v>0</v>
          </cell>
          <cell r="S342"/>
          <cell r="T342">
            <v>0</v>
          </cell>
          <cell r="U342">
            <v>783</v>
          </cell>
          <cell r="V342">
            <v>3366.8999999999996</v>
          </cell>
          <cell r="W342">
            <v>891</v>
          </cell>
          <cell r="X342">
            <v>3831.2999999999997</v>
          </cell>
          <cell r="Y342">
            <v>465</v>
          </cell>
          <cell r="Z342">
            <v>1999.5</v>
          </cell>
          <cell r="AA342">
            <v>465</v>
          </cell>
          <cell r="AB342">
            <v>1999.5</v>
          </cell>
          <cell r="AC342">
            <v>465</v>
          </cell>
          <cell r="AD342">
            <v>1999.5</v>
          </cell>
          <cell r="AE342"/>
          <cell r="AF342"/>
          <cell r="AG342"/>
          <cell r="AH342"/>
          <cell r="AI342"/>
          <cell r="AJ342">
            <v>0</v>
          </cell>
          <cell r="AK342" t="str">
            <v>3P</v>
          </cell>
          <cell r="AL342">
            <v>213</v>
          </cell>
          <cell r="AM342">
            <v>105</v>
          </cell>
          <cell r="AN342" t="str">
            <v>08 Inactive Dealer</v>
          </cell>
          <cell r="AO342" t="str">
            <v>Midwest</v>
          </cell>
          <cell r="AP342" t="str">
            <v>Central</v>
          </cell>
          <cell r="AQ342"/>
          <cell r="AR342">
            <v>0</v>
          </cell>
          <cell r="AS342">
            <v>0</v>
          </cell>
        </row>
        <row r="343">
          <cell r="A343">
            <v>13131</v>
          </cell>
          <cell r="B343" t="str">
            <v>VMTW LLC dba VIKING MOUNTAIN TOOL WORKS</v>
          </cell>
          <cell r="C343" t="str">
            <v>M11054</v>
          </cell>
          <cell r="D343" t="str">
            <v>NET 5, BT+</v>
          </cell>
          <cell r="E343" t="str">
            <v>FP</v>
          </cell>
          <cell r="F343" t="str">
            <v>Yes</v>
          </cell>
          <cell r="G343" t="str">
            <v>TX</v>
          </cell>
          <cell r="H343">
            <v>7</v>
          </cell>
          <cell r="I343">
            <v>0.66500000000000004</v>
          </cell>
          <cell r="J343" t="str">
            <v>Orphaned Acct</v>
          </cell>
          <cell r="K343" t="str">
            <v>DECORAH</v>
          </cell>
          <cell r="L343" t="str">
            <v>IA</v>
          </cell>
          <cell r="M343" t="str">
            <v>800-577-8858</v>
          </cell>
          <cell r="N343"/>
          <cell r="O343">
            <v>862</v>
          </cell>
          <cell r="P343">
            <v>3706.6</v>
          </cell>
          <cell r="Q343"/>
          <cell r="R343">
            <v>0</v>
          </cell>
          <cell r="S343"/>
          <cell r="T343">
            <v>0</v>
          </cell>
          <cell r="U343">
            <v>816</v>
          </cell>
          <cell r="V343">
            <v>3508.7999999999997</v>
          </cell>
          <cell r="W343">
            <v>924</v>
          </cell>
          <cell r="X343">
            <v>3973.2</v>
          </cell>
          <cell r="Y343">
            <v>626</v>
          </cell>
          <cell r="Z343">
            <v>2691.7999999999997</v>
          </cell>
          <cell r="AA343">
            <v>626</v>
          </cell>
          <cell r="AB343">
            <v>2691.7999999999997</v>
          </cell>
          <cell r="AC343">
            <v>626</v>
          </cell>
          <cell r="AD343">
            <v>2691.7999999999997</v>
          </cell>
          <cell r="AE343"/>
          <cell r="AF343"/>
          <cell r="AG343"/>
          <cell r="AH343"/>
          <cell r="AI343"/>
          <cell r="AJ343">
            <v>0</v>
          </cell>
          <cell r="AK343" t="str">
            <v>3P</v>
          </cell>
          <cell r="AL343">
            <v>213</v>
          </cell>
          <cell r="AM343">
            <v>462</v>
          </cell>
          <cell r="AN343" t="str">
            <v>08 Inactive Dealer</v>
          </cell>
          <cell r="AO343" t="str">
            <v>Midwest</v>
          </cell>
          <cell r="AP343" t="str">
            <v>Central</v>
          </cell>
          <cell r="AQ343"/>
          <cell r="AR343">
            <v>0</v>
          </cell>
          <cell r="AS343">
            <v>0</v>
          </cell>
        </row>
        <row r="344">
          <cell r="A344" t="str">
            <v>13397H</v>
          </cell>
          <cell r="B344" t="str">
            <v>BCMS / SILVERLINE</v>
          </cell>
          <cell r="C344" t="str">
            <v>M11363</v>
          </cell>
          <cell r="D344" t="str">
            <v>Return Mail, no pink card</v>
          </cell>
          <cell r="E344" t="str">
            <v>F3 - Wells Fargo</v>
          </cell>
          <cell r="F344" t="str">
            <v>Yes</v>
          </cell>
          <cell r="G344" t="str">
            <v>TX</v>
          </cell>
          <cell r="H344">
            <v>8</v>
          </cell>
          <cell r="I344">
            <v>0.66500000000000004</v>
          </cell>
          <cell r="J344" t="str">
            <v>Trent Evans</v>
          </cell>
          <cell r="K344" t="str">
            <v>RED OAK</v>
          </cell>
          <cell r="L344" t="str">
            <v>IA</v>
          </cell>
          <cell r="M344" t="str">
            <v>800-577-8858</v>
          </cell>
          <cell r="N344"/>
          <cell r="O344">
            <v>627</v>
          </cell>
          <cell r="P344">
            <v>2696.1</v>
          </cell>
          <cell r="Q344">
            <v>1099</v>
          </cell>
          <cell r="R344">
            <v>4725.7</v>
          </cell>
          <cell r="S344"/>
          <cell r="T344">
            <v>0</v>
          </cell>
          <cell r="U344">
            <v>587</v>
          </cell>
          <cell r="V344">
            <v>2524.1</v>
          </cell>
          <cell r="W344">
            <v>656</v>
          </cell>
          <cell r="X344">
            <v>2820.7999999999997</v>
          </cell>
          <cell r="Y344">
            <v>171</v>
          </cell>
          <cell r="Z344">
            <v>735.3</v>
          </cell>
          <cell r="AA344">
            <v>171</v>
          </cell>
          <cell r="AB344">
            <v>735.3</v>
          </cell>
          <cell r="AC344">
            <v>171</v>
          </cell>
          <cell r="AD344">
            <v>735.3</v>
          </cell>
          <cell r="AE344"/>
          <cell r="AF344"/>
          <cell r="AG344"/>
          <cell r="AH344"/>
          <cell r="AI344"/>
          <cell r="AJ344">
            <v>0.03</v>
          </cell>
          <cell r="AK344" t="str">
            <v>3P</v>
          </cell>
          <cell r="AL344">
            <v>226</v>
          </cell>
          <cell r="AM344">
            <v>332</v>
          </cell>
          <cell r="AN344" t="str">
            <v>01 Existing Dealer</v>
          </cell>
          <cell r="AO344" t="str">
            <v>Midwest</v>
          </cell>
          <cell r="AP344" t="str">
            <v>Central</v>
          </cell>
          <cell r="AQ344"/>
          <cell r="AR344">
            <v>0</v>
          </cell>
          <cell r="AS344">
            <v>0</v>
          </cell>
        </row>
        <row r="345">
          <cell r="A345">
            <v>12051</v>
          </cell>
          <cell r="B345" t="str">
            <v>AMERICAN TRAILER</v>
          </cell>
          <cell r="C345" t="str">
            <v>M10029</v>
          </cell>
          <cell r="D345" t="str">
            <v>NET 5, BT+</v>
          </cell>
          <cell r="E345" t="str">
            <v>CO</v>
          </cell>
          <cell r="F345" t="str">
            <v>Yes</v>
          </cell>
          <cell r="G345" t="str">
            <v>ID</v>
          </cell>
          <cell r="H345">
            <v>7</v>
          </cell>
          <cell r="I345">
            <v>0.7</v>
          </cell>
          <cell r="J345" t="str">
            <v>Nate Erickson</v>
          </cell>
          <cell r="K345" t="str">
            <v>BOISE</v>
          </cell>
          <cell r="L345" t="str">
            <v>ID</v>
          </cell>
          <cell r="M345" t="str">
            <v>208-459-0106</v>
          </cell>
          <cell r="N345"/>
          <cell r="O345">
            <v>1696</v>
          </cell>
          <cell r="P345">
            <v>7292.7999999999993</v>
          </cell>
          <cell r="Q345"/>
          <cell r="R345">
            <v>0</v>
          </cell>
          <cell r="S345">
            <v>28</v>
          </cell>
          <cell r="T345">
            <v>120.39999999999999</v>
          </cell>
          <cell r="U345">
            <v>1612</v>
          </cell>
          <cell r="V345">
            <v>6931.5999999999995</v>
          </cell>
          <cell r="W345">
            <v>1647</v>
          </cell>
          <cell r="X345">
            <v>7082.0999999999995</v>
          </cell>
          <cell r="Y345"/>
          <cell r="Z345">
            <v>0</v>
          </cell>
          <cell r="AA345"/>
          <cell r="AB345">
            <v>0</v>
          </cell>
          <cell r="AC345"/>
          <cell r="AD345">
            <v>0</v>
          </cell>
          <cell r="AE345"/>
          <cell r="AF345"/>
          <cell r="AG345"/>
          <cell r="AH345"/>
          <cell r="AI345"/>
          <cell r="AJ345">
            <v>0.06</v>
          </cell>
          <cell r="AK345" t="str">
            <v>3P</v>
          </cell>
          <cell r="AL345">
            <v>187</v>
          </cell>
          <cell r="AM345">
            <v>50</v>
          </cell>
          <cell r="AN345" t="str">
            <v>01 Existing Dealer</v>
          </cell>
          <cell r="AO345" t="str">
            <v>Northwest</v>
          </cell>
          <cell r="AP345" t="str">
            <v>West</v>
          </cell>
          <cell r="AQ345"/>
          <cell r="AR345">
            <v>0</v>
          </cell>
          <cell r="AS345">
            <v>0</v>
          </cell>
        </row>
        <row r="346">
          <cell r="A346">
            <v>11412</v>
          </cell>
          <cell r="B346" t="str">
            <v>AMERICAN TRAILER</v>
          </cell>
          <cell r="C346" t="str">
            <v>M10029</v>
          </cell>
          <cell r="D346" t="str">
            <v>Return Mail, no pink card</v>
          </cell>
          <cell r="E346" t="str">
            <v>F1 - Wells Fargo</v>
          </cell>
          <cell r="F346" t="str">
            <v>Yes</v>
          </cell>
          <cell r="G346" t="str">
            <v>ID</v>
          </cell>
          <cell r="H346">
            <v>8</v>
          </cell>
          <cell r="I346">
            <v>0.7</v>
          </cell>
          <cell r="J346" t="str">
            <v>Nate Erickson</v>
          </cell>
          <cell r="K346" t="str">
            <v>BOISE</v>
          </cell>
          <cell r="L346" t="str">
            <v>ID</v>
          </cell>
          <cell r="M346" t="str">
            <v>208-459-0106</v>
          </cell>
          <cell r="N346"/>
          <cell r="O346">
            <v>1696</v>
          </cell>
          <cell r="P346">
            <v>7292.7999999999993</v>
          </cell>
          <cell r="Q346"/>
          <cell r="R346">
            <v>0</v>
          </cell>
          <cell r="S346">
            <v>28</v>
          </cell>
          <cell r="T346">
            <v>120.39999999999999</v>
          </cell>
          <cell r="U346">
            <v>1612</v>
          </cell>
          <cell r="V346">
            <v>6931.5999999999995</v>
          </cell>
          <cell r="W346">
            <v>1647</v>
          </cell>
          <cell r="X346">
            <v>7082.0999999999995</v>
          </cell>
          <cell r="Y346"/>
          <cell r="Z346">
            <v>0</v>
          </cell>
          <cell r="AA346"/>
          <cell r="AB346">
            <v>0</v>
          </cell>
          <cell r="AC346"/>
          <cell r="AD346">
            <v>0</v>
          </cell>
          <cell r="AE346"/>
          <cell r="AF346"/>
          <cell r="AG346"/>
          <cell r="AH346"/>
          <cell r="AI346"/>
          <cell r="AJ346">
            <v>0.06</v>
          </cell>
          <cell r="AK346" t="str">
            <v>3P</v>
          </cell>
          <cell r="AL346">
            <v>187</v>
          </cell>
          <cell r="AM346">
            <v>50</v>
          </cell>
          <cell r="AN346" t="str">
            <v>01 Existing Dealer</v>
          </cell>
          <cell r="AO346" t="str">
            <v>Northwest</v>
          </cell>
          <cell r="AP346" t="str">
            <v>West</v>
          </cell>
          <cell r="AQ346"/>
          <cell r="AR346">
            <v>516561</v>
          </cell>
          <cell r="AS346">
            <v>321073</v>
          </cell>
        </row>
        <row r="347">
          <cell r="A347" t="str">
            <v>12051B</v>
          </cell>
          <cell r="B347" t="str">
            <v>AMERICAN TRAILER</v>
          </cell>
          <cell r="C347" t="str">
            <v>M10029</v>
          </cell>
          <cell r="D347" t="str">
            <v>NET 5, BT+</v>
          </cell>
          <cell r="E347" t="str">
            <v>CO</v>
          </cell>
          <cell r="F347" t="str">
            <v>Yes</v>
          </cell>
          <cell r="G347" t="str">
            <v>ID</v>
          </cell>
          <cell r="H347">
            <v>7</v>
          </cell>
          <cell r="I347">
            <v>0.7</v>
          </cell>
          <cell r="J347" t="str">
            <v>Nate Erickson</v>
          </cell>
          <cell r="K347" t="str">
            <v>CALDWELL</v>
          </cell>
          <cell r="L347" t="str">
            <v>ID</v>
          </cell>
          <cell r="M347" t="str">
            <v>208-459-0106</v>
          </cell>
          <cell r="N347"/>
          <cell r="O347"/>
          <cell r="P347">
            <v>0</v>
          </cell>
          <cell r="Q347"/>
          <cell r="R347">
            <v>0</v>
          </cell>
          <cell r="S347">
            <v>5</v>
          </cell>
          <cell r="T347">
            <v>21.5</v>
          </cell>
          <cell r="U347"/>
          <cell r="V347">
            <v>0</v>
          </cell>
          <cell r="W347"/>
          <cell r="X347">
            <v>0</v>
          </cell>
          <cell r="Y347"/>
          <cell r="Z347">
            <v>0</v>
          </cell>
          <cell r="AA347"/>
          <cell r="AB347">
            <v>0</v>
          </cell>
          <cell r="AC347"/>
          <cell r="AD347">
            <v>0</v>
          </cell>
          <cell r="AE347"/>
          <cell r="AF347"/>
          <cell r="AG347"/>
          <cell r="AH347"/>
          <cell r="AI347"/>
          <cell r="AJ347">
            <v>0.06</v>
          </cell>
          <cell r="AK347" t="str">
            <v>3P</v>
          </cell>
          <cell r="AL347">
            <v>187</v>
          </cell>
          <cell r="AM347">
            <v>50</v>
          </cell>
          <cell r="AN347" t="str">
            <v>01 Existing Dealer</v>
          </cell>
          <cell r="AO347" t="str">
            <v>Northwest</v>
          </cell>
          <cell r="AP347" t="str">
            <v>West</v>
          </cell>
          <cell r="AQ347"/>
          <cell r="AR347">
            <v>0</v>
          </cell>
          <cell r="AS347">
            <v>0</v>
          </cell>
        </row>
        <row r="348">
          <cell r="A348" t="str">
            <v>11412B</v>
          </cell>
          <cell r="B348" t="str">
            <v>AMERICAN TRAILER</v>
          </cell>
          <cell r="C348" t="str">
            <v>M10029</v>
          </cell>
          <cell r="D348" t="str">
            <v>Return Mail, no pink card</v>
          </cell>
          <cell r="E348" t="str">
            <v>F1 - Wells Fargo</v>
          </cell>
          <cell r="F348" t="str">
            <v>Yes</v>
          </cell>
          <cell r="G348" t="str">
            <v>ID</v>
          </cell>
          <cell r="H348">
            <v>8</v>
          </cell>
          <cell r="I348">
            <v>0.7</v>
          </cell>
          <cell r="J348" t="str">
            <v>Nate Erickson</v>
          </cell>
          <cell r="K348" t="str">
            <v>CALDWELL</v>
          </cell>
          <cell r="L348" t="str">
            <v>ID</v>
          </cell>
          <cell r="M348" t="str">
            <v>208-459-0106</v>
          </cell>
          <cell r="N348"/>
          <cell r="O348"/>
          <cell r="P348">
            <v>0</v>
          </cell>
          <cell r="Q348"/>
          <cell r="R348">
            <v>0</v>
          </cell>
          <cell r="S348">
            <v>5</v>
          </cell>
          <cell r="T348">
            <v>21.5</v>
          </cell>
          <cell r="U348"/>
          <cell r="V348">
            <v>0</v>
          </cell>
          <cell r="W348"/>
          <cell r="X348">
            <v>0</v>
          </cell>
          <cell r="Y348"/>
          <cell r="Z348">
            <v>0</v>
          </cell>
          <cell r="AA348"/>
          <cell r="AB348">
            <v>0</v>
          </cell>
          <cell r="AC348"/>
          <cell r="AD348">
            <v>0</v>
          </cell>
          <cell r="AE348"/>
          <cell r="AF348"/>
          <cell r="AG348"/>
          <cell r="AH348"/>
          <cell r="AI348"/>
          <cell r="AJ348">
            <v>0.06</v>
          </cell>
          <cell r="AK348" t="str">
            <v>3P</v>
          </cell>
          <cell r="AL348">
            <v>187</v>
          </cell>
          <cell r="AM348">
            <v>50</v>
          </cell>
          <cell r="AN348" t="str">
            <v>01 Existing Dealer</v>
          </cell>
          <cell r="AO348" t="str">
            <v>Northwest</v>
          </cell>
          <cell r="AP348" t="str">
            <v>West</v>
          </cell>
          <cell r="AQ348"/>
          <cell r="AR348">
            <v>0</v>
          </cell>
          <cell r="AS348">
            <v>0</v>
          </cell>
        </row>
        <row r="349">
          <cell r="A349" t="str">
            <v>11412D</v>
          </cell>
          <cell r="B349" t="str">
            <v>AMERICAN TRAILER</v>
          </cell>
          <cell r="C349" t="str">
            <v>M10029</v>
          </cell>
          <cell r="D349" t="str">
            <v>Return Mail, no pink card</v>
          </cell>
          <cell r="E349" t="str">
            <v>F1 - Wells Fargo</v>
          </cell>
          <cell r="F349" t="str">
            <v>Yes</v>
          </cell>
          <cell r="G349" t="str">
            <v>ID</v>
          </cell>
          <cell r="H349">
            <v>8</v>
          </cell>
          <cell r="I349">
            <v>0.7</v>
          </cell>
          <cell r="J349" t="str">
            <v>Nate Erickson</v>
          </cell>
          <cell r="K349" t="str">
            <v>JEROME</v>
          </cell>
          <cell r="L349" t="str">
            <v>ID</v>
          </cell>
          <cell r="M349" t="str">
            <v>208-459-0106</v>
          </cell>
          <cell r="N349"/>
          <cell r="O349">
            <v>1585</v>
          </cell>
          <cell r="P349">
            <v>6815.5</v>
          </cell>
          <cell r="Q349"/>
          <cell r="R349">
            <v>0</v>
          </cell>
          <cell r="S349">
            <v>139</v>
          </cell>
          <cell r="T349">
            <v>597.69999999999993</v>
          </cell>
          <cell r="U349">
            <v>1506</v>
          </cell>
          <cell r="V349">
            <v>6475.8</v>
          </cell>
          <cell r="W349">
            <v>1537</v>
          </cell>
          <cell r="X349">
            <v>6609.0999999999995</v>
          </cell>
          <cell r="Y349"/>
          <cell r="Z349">
            <v>0</v>
          </cell>
          <cell r="AA349"/>
          <cell r="AB349">
            <v>0</v>
          </cell>
          <cell r="AC349"/>
          <cell r="AD349">
            <v>0</v>
          </cell>
          <cell r="AE349"/>
          <cell r="AF349"/>
          <cell r="AG349"/>
          <cell r="AH349"/>
          <cell r="AI349"/>
          <cell r="AJ349">
            <v>0.06</v>
          </cell>
          <cell r="AK349" t="str">
            <v>3P</v>
          </cell>
          <cell r="AL349">
            <v>187</v>
          </cell>
          <cell r="AM349">
            <v>451</v>
          </cell>
          <cell r="AN349" t="str">
            <v>01 Existing Dealer</v>
          </cell>
          <cell r="AO349" t="str">
            <v>Northwest</v>
          </cell>
          <cell r="AP349" t="str">
            <v>West</v>
          </cell>
          <cell r="AQ349"/>
          <cell r="AR349">
            <v>0</v>
          </cell>
          <cell r="AS349">
            <v>0</v>
          </cell>
        </row>
        <row r="350">
          <cell r="A350">
            <v>12083</v>
          </cell>
          <cell r="B350" t="str">
            <v>AMERICAN TRAILER</v>
          </cell>
          <cell r="C350" t="str">
            <v>M10029</v>
          </cell>
          <cell r="D350" t="str">
            <v>Return Mail, no pink card</v>
          </cell>
          <cell r="E350" t="str">
            <v>C6</v>
          </cell>
          <cell r="F350" t="str">
            <v>Yes</v>
          </cell>
          <cell r="G350" t="str">
            <v>ID</v>
          </cell>
          <cell r="H350">
            <v>9</v>
          </cell>
          <cell r="I350">
            <v>0.7</v>
          </cell>
          <cell r="J350" t="str">
            <v>Nate Erickson</v>
          </cell>
          <cell r="K350" t="str">
            <v>BOISE</v>
          </cell>
          <cell r="L350" t="str">
            <v>ID</v>
          </cell>
          <cell r="M350" t="str">
            <v>208-459-0106</v>
          </cell>
          <cell r="N350"/>
          <cell r="O350">
            <v>1696</v>
          </cell>
          <cell r="P350">
            <v>7292.7999999999993</v>
          </cell>
          <cell r="Q350"/>
          <cell r="R350">
            <v>0</v>
          </cell>
          <cell r="S350">
            <v>28</v>
          </cell>
          <cell r="T350">
            <v>120.39999999999999</v>
          </cell>
          <cell r="U350">
            <v>1612</v>
          </cell>
          <cell r="V350">
            <v>6931.5999999999995</v>
          </cell>
          <cell r="W350">
            <v>1647</v>
          </cell>
          <cell r="X350">
            <v>7082.0999999999995</v>
          </cell>
          <cell r="Y350"/>
          <cell r="Z350">
            <v>0</v>
          </cell>
          <cell r="AA350"/>
          <cell r="AB350">
            <v>0</v>
          </cell>
          <cell r="AC350"/>
          <cell r="AD350">
            <v>0</v>
          </cell>
          <cell r="AE350"/>
          <cell r="AF350"/>
          <cell r="AG350"/>
          <cell r="AH350"/>
          <cell r="AI350"/>
          <cell r="AJ350">
            <v>0.06</v>
          </cell>
          <cell r="AK350" t="str">
            <v>3P</v>
          </cell>
          <cell r="AL350">
            <v>187</v>
          </cell>
          <cell r="AM350">
            <v>50</v>
          </cell>
          <cell r="AN350" t="str">
            <v>01 Existing Dealer</v>
          </cell>
          <cell r="AO350" t="str">
            <v>Northwest</v>
          </cell>
          <cell r="AP350" t="str">
            <v>West</v>
          </cell>
          <cell r="AQ350"/>
          <cell r="AR350">
            <v>0</v>
          </cell>
          <cell r="AS350">
            <v>0</v>
          </cell>
        </row>
        <row r="351">
          <cell r="A351" t="str">
            <v>12083B</v>
          </cell>
          <cell r="B351" t="str">
            <v>AMERICAN TRAILER</v>
          </cell>
          <cell r="C351" t="str">
            <v>M10029</v>
          </cell>
          <cell r="D351" t="str">
            <v>Return Mail, no pink card</v>
          </cell>
          <cell r="E351" t="str">
            <v>C6</v>
          </cell>
          <cell r="F351" t="str">
            <v>Yes</v>
          </cell>
          <cell r="G351" t="str">
            <v>ID</v>
          </cell>
          <cell r="H351">
            <v>9</v>
          </cell>
          <cell r="I351">
            <v>0.7</v>
          </cell>
          <cell r="J351" t="str">
            <v>Nate Erickson</v>
          </cell>
          <cell r="K351" t="str">
            <v>CALDWELL</v>
          </cell>
          <cell r="L351" t="str">
            <v>ID</v>
          </cell>
          <cell r="M351" t="str">
            <v>208-459-0106</v>
          </cell>
          <cell r="N351"/>
          <cell r="O351">
            <v>1725</v>
          </cell>
          <cell r="P351">
            <v>7417.5</v>
          </cell>
          <cell r="Q351"/>
          <cell r="R351">
            <v>0</v>
          </cell>
          <cell r="S351">
            <v>5</v>
          </cell>
          <cell r="T351">
            <v>21.5</v>
          </cell>
          <cell r="U351"/>
          <cell r="V351">
            <v>0</v>
          </cell>
          <cell r="W351"/>
          <cell r="X351">
            <v>0</v>
          </cell>
          <cell r="Y351"/>
          <cell r="Z351">
            <v>0</v>
          </cell>
          <cell r="AA351"/>
          <cell r="AB351">
            <v>0</v>
          </cell>
          <cell r="AC351"/>
          <cell r="AD351">
            <v>0</v>
          </cell>
          <cell r="AE351"/>
          <cell r="AF351"/>
          <cell r="AG351"/>
          <cell r="AH351"/>
          <cell r="AI351"/>
          <cell r="AJ351">
            <v>0.06</v>
          </cell>
          <cell r="AK351" t="str">
            <v>3P</v>
          </cell>
          <cell r="AL351">
            <v>187</v>
          </cell>
          <cell r="AM351">
            <v>50</v>
          </cell>
          <cell r="AN351" t="str">
            <v>01 Existing Dealer</v>
          </cell>
          <cell r="AO351" t="str">
            <v>Northwest</v>
          </cell>
          <cell r="AP351" t="str">
            <v>West</v>
          </cell>
          <cell r="AQ351"/>
          <cell r="AR351">
            <v>0</v>
          </cell>
          <cell r="AS351">
            <v>0</v>
          </cell>
        </row>
        <row r="352">
          <cell r="A352">
            <v>13017</v>
          </cell>
          <cell r="B352" t="str">
            <v>AVENUE RENTAL</v>
          </cell>
          <cell r="C352" t="str">
            <v>M10872</v>
          </cell>
          <cell r="D352" t="str">
            <v>NET 5, BT+</v>
          </cell>
          <cell r="E352" t="str">
            <v>FP - Northpoint</v>
          </cell>
          <cell r="F352" t="str">
            <v>Yes</v>
          </cell>
          <cell r="G352" t="str">
            <v>ID</v>
          </cell>
          <cell r="H352">
            <v>8</v>
          </cell>
          <cell r="I352">
            <v>0.7</v>
          </cell>
          <cell r="J352" t="str">
            <v>Orphaned Acct</v>
          </cell>
          <cell r="K352" t="str">
            <v>CHALLIS</v>
          </cell>
          <cell r="L352" t="str">
            <v>ID</v>
          </cell>
          <cell r="M352" t="str">
            <v>208-459-0106</v>
          </cell>
          <cell r="N352"/>
          <cell r="O352">
            <v>1721</v>
          </cell>
          <cell r="P352">
            <v>7400.2999999999993</v>
          </cell>
          <cell r="Q352"/>
          <cell r="R352">
            <v>0</v>
          </cell>
          <cell r="S352">
            <v>303</v>
          </cell>
          <cell r="T352">
            <v>1302.8999999999999</v>
          </cell>
          <cell r="U352">
            <v>1541</v>
          </cell>
          <cell r="V352">
            <v>6626.2999999999993</v>
          </cell>
          <cell r="W352">
            <v>1673</v>
          </cell>
          <cell r="X352">
            <v>7193.9</v>
          </cell>
          <cell r="Y352"/>
          <cell r="Z352">
            <v>0</v>
          </cell>
          <cell r="AA352"/>
          <cell r="AB352">
            <v>0</v>
          </cell>
          <cell r="AC352"/>
          <cell r="AD352">
            <v>0</v>
          </cell>
          <cell r="AE352"/>
          <cell r="AF352"/>
          <cell r="AG352"/>
          <cell r="AH352"/>
          <cell r="AI352"/>
          <cell r="AJ352">
            <v>0</v>
          </cell>
          <cell r="AK352" t="str">
            <v>3P</v>
          </cell>
          <cell r="AL352">
            <v>213</v>
          </cell>
          <cell r="AM352">
            <v>202</v>
          </cell>
          <cell r="AN352" t="str">
            <v>01 Existing Dealer</v>
          </cell>
          <cell r="AO352" t="str">
            <v>Northwest</v>
          </cell>
          <cell r="AP352" t="str">
            <v>West</v>
          </cell>
          <cell r="AQ352"/>
          <cell r="AR352">
            <v>0</v>
          </cell>
          <cell r="AS352">
            <v>0</v>
          </cell>
        </row>
        <row r="353">
          <cell r="A353">
            <v>13563</v>
          </cell>
          <cell r="B353" t="str">
            <v>SIX ROBBLEES dba BEAR LAKE</v>
          </cell>
          <cell r="C353" t="str">
            <v>M10423</v>
          </cell>
          <cell r="D353" t="str">
            <v>Net 15, no pink card</v>
          </cell>
          <cell r="E353">
            <v>15</v>
          </cell>
          <cell r="F353" t="str">
            <v>Yes</v>
          </cell>
          <cell r="G353" t="str">
            <v>ID</v>
          </cell>
          <cell r="H353">
            <v>5</v>
          </cell>
          <cell r="I353">
            <v>0.7</v>
          </cell>
          <cell r="J353" t="str">
            <v>Nate Erickson</v>
          </cell>
          <cell r="K353" t="str">
            <v>POCATELLO</v>
          </cell>
          <cell r="L353" t="str">
            <v>ID</v>
          </cell>
          <cell r="M353" t="str">
            <v>208-459-0106</v>
          </cell>
          <cell r="N353"/>
          <cell r="O353">
            <v>1523</v>
          </cell>
          <cell r="P353">
            <v>6548.9</v>
          </cell>
          <cell r="Q353"/>
          <cell r="R353">
            <v>0</v>
          </cell>
          <cell r="S353">
            <v>262</v>
          </cell>
          <cell r="T353">
            <v>1126.5999999999999</v>
          </cell>
          <cell r="U353">
            <v>1444</v>
          </cell>
          <cell r="V353">
            <v>6209.2</v>
          </cell>
          <cell r="W353">
            <v>1475</v>
          </cell>
          <cell r="X353">
            <v>6342.5</v>
          </cell>
          <cell r="Y353"/>
          <cell r="Z353">
            <v>0</v>
          </cell>
          <cell r="AA353"/>
          <cell r="AB353">
            <v>0</v>
          </cell>
          <cell r="AC353"/>
          <cell r="AD353">
            <v>0</v>
          </cell>
          <cell r="AE353"/>
          <cell r="AF353"/>
          <cell r="AG353"/>
          <cell r="AH353"/>
          <cell r="AI353"/>
          <cell r="AJ353">
            <v>0.02</v>
          </cell>
          <cell r="AK353" t="str">
            <v>3P</v>
          </cell>
          <cell r="AL353">
            <v>187</v>
          </cell>
          <cell r="AM353" t="str"/>
          <cell r="AN353" t="str">
            <v>01 Existing Dealer</v>
          </cell>
          <cell r="AO353" t="str">
            <v>Northwest</v>
          </cell>
          <cell r="AP353" t="str">
            <v>West</v>
          </cell>
          <cell r="AQ353"/>
          <cell r="AR353">
            <v>0</v>
          </cell>
          <cell r="AS353">
            <v>0</v>
          </cell>
        </row>
        <row r="354">
          <cell r="A354">
            <v>11846</v>
          </cell>
          <cell r="B354" t="str">
            <v>BEAR LAKE</v>
          </cell>
          <cell r="C354" t="str">
            <v>M10046</v>
          </cell>
          <cell r="D354" t="str">
            <v>NET 5, BT+</v>
          </cell>
          <cell r="E354" t="str">
            <v>CO</v>
          </cell>
          <cell r="F354" t="str">
            <v>Yes</v>
          </cell>
          <cell r="G354" t="str">
            <v>ID</v>
          </cell>
          <cell r="H354">
            <v>7</v>
          </cell>
          <cell r="I354">
            <v>0.7</v>
          </cell>
          <cell r="J354" t="str">
            <v>Nate Erickson</v>
          </cell>
          <cell r="K354" t="str">
            <v>MONTIPELIAR</v>
          </cell>
          <cell r="L354" t="str">
            <v>ID</v>
          </cell>
          <cell r="M354" t="str">
            <v>800-577-8858</v>
          </cell>
          <cell r="N354"/>
          <cell r="O354">
            <v>1515</v>
          </cell>
          <cell r="P354">
            <v>6514.5</v>
          </cell>
          <cell r="Q354"/>
          <cell r="R354">
            <v>0</v>
          </cell>
          <cell r="S354">
            <v>346</v>
          </cell>
          <cell r="T354">
            <v>1487.8</v>
          </cell>
          <cell r="U354">
            <v>1296</v>
          </cell>
          <cell r="V354">
            <v>5572.8</v>
          </cell>
          <cell r="W354">
            <v>1467</v>
          </cell>
          <cell r="X354">
            <v>6308.0999999999995</v>
          </cell>
          <cell r="Y354"/>
          <cell r="Z354">
            <v>0</v>
          </cell>
          <cell r="AA354"/>
          <cell r="AB354">
            <v>0</v>
          </cell>
          <cell r="AC354"/>
          <cell r="AD354">
            <v>0</v>
          </cell>
          <cell r="AE354"/>
          <cell r="AF354"/>
          <cell r="AG354"/>
          <cell r="AH354"/>
          <cell r="AI354"/>
          <cell r="AJ354">
            <v>0.02</v>
          </cell>
          <cell r="AK354" t="str">
            <v>3P</v>
          </cell>
          <cell r="AL354">
            <v>187</v>
          </cell>
          <cell r="AM354">
            <v>353</v>
          </cell>
          <cell r="AN354" t="str">
            <v>01 Existing Dealer</v>
          </cell>
          <cell r="AO354" t="str">
            <v>Northwest</v>
          </cell>
          <cell r="AP354" t="str">
            <v>West</v>
          </cell>
          <cell r="AQ354"/>
          <cell r="AR354">
            <v>0</v>
          </cell>
          <cell r="AS354">
            <v>0</v>
          </cell>
        </row>
        <row r="355">
          <cell r="A355" t="str">
            <v>11846A</v>
          </cell>
          <cell r="B355" t="str">
            <v>BEAR LAKE</v>
          </cell>
          <cell r="C355" t="str">
            <v>M10046</v>
          </cell>
          <cell r="D355" t="str">
            <v>NET 5, BT+</v>
          </cell>
          <cell r="E355" t="str">
            <v>CO</v>
          </cell>
          <cell r="F355" t="str">
            <v>Yes</v>
          </cell>
          <cell r="G355" t="str">
            <v>ID</v>
          </cell>
          <cell r="H355">
            <v>7</v>
          </cell>
          <cell r="I355">
            <v>0.7</v>
          </cell>
          <cell r="J355" t="str">
            <v>Nate Erickson</v>
          </cell>
          <cell r="K355" t="str">
            <v>POCATELLO</v>
          </cell>
          <cell r="L355" t="str">
            <v>ID</v>
          </cell>
          <cell r="M355" t="str">
            <v>800-577-8858</v>
          </cell>
          <cell r="N355"/>
          <cell r="O355">
            <v>1523</v>
          </cell>
          <cell r="P355">
            <v>6548.9</v>
          </cell>
          <cell r="Q355"/>
          <cell r="R355">
            <v>0</v>
          </cell>
          <cell r="S355">
            <v>262</v>
          </cell>
          <cell r="T355">
            <v>1126.5999999999999</v>
          </cell>
          <cell r="U355">
            <v>1444</v>
          </cell>
          <cell r="V355">
            <v>6209.2</v>
          </cell>
          <cell r="W355">
            <v>1475</v>
          </cell>
          <cell r="X355">
            <v>6342.5</v>
          </cell>
          <cell r="Y355"/>
          <cell r="Z355">
            <v>0</v>
          </cell>
          <cell r="AA355"/>
          <cell r="AB355">
            <v>0</v>
          </cell>
          <cell r="AC355"/>
          <cell r="AD355">
            <v>0</v>
          </cell>
          <cell r="AE355"/>
          <cell r="AF355"/>
          <cell r="AG355"/>
          <cell r="AH355"/>
          <cell r="AI355"/>
          <cell r="AJ355">
            <v>0.02</v>
          </cell>
          <cell r="AK355" t="str">
            <v>3P</v>
          </cell>
          <cell r="AL355">
            <v>187</v>
          </cell>
          <cell r="AM355" t="str"/>
          <cell r="AN355" t="str">
            <v>01 Existing Dealer</v>
          </cell>
          <cell r="AO355" t="str">
            <v>Northwest</v>
          </cell>
          <cell r="AP355" t="str">
            <v>West</v>
          </cell>
          <cell r="AQ355"/>
          <cell r="AR355">
            <v>0</v>
          </cell>
          <cell r="AS355">
            <v>0</v>
          </cell>
        </row>
        <row r="356">
          <cell r="A356">
            <v>11980</v>
          </cell>
          <cell r="B356" t="str">
            <v>CIRCLE J TRAILERS</v>
          </cell>
          <cell r="C356"/>
          <cell r="D356" t="str">
            <v>Net 30, no pink card</v>
          </cell>
          <cell r="E356">
            <v>30</v>
          </cell>
          <cell r="F356" t="str">
            <v>Yes</v>
          </cell>
          <cell r="G356" t="str">
            <v>ID</v>
          </cell>
          <cell r="H356">
            <v>11</v>
          </cell>
          <cell r="I356">
            <v>0.7</v>
          </cell>
          <cell r="J356" t="str">
            <v>Orphaned Acct</v>
          </cell>
          <cell r="K356" t="str">
            <v>CALDWELL</v>
          </cell>
          <cell r="L356" t="str">
            <v>ID</v>
          </cell>
          <cell r="M356" t="str">
            <v>208-459-0106</v>
          </cell>
          <cell r="N356"/>
          <cell r="O356">
            <v>1723</v>
          </cell>
          <cell r="P356">
            <v>7408.9</v>
          </cell>
          <cell r="Q356"/>
          <cell r="R356">
            <v>0</v>
          </cell>
          <cell r="S356"/>
          <cell r="T356">
            <v>0</v>
          </cell>
          <cell r="U356">
            <v>1640</v>
          </cell>
          <cell r="V356">
            <v>7052</v>
          </cell>
          <cell r="W356">
            <v>1675</v>
          </cell>
          <cell r="X356">
            <v>7202.5</v>
          </cell>
          <cell r="Y356"/>
          <cell r="Z356">
            <v>0</v>
          </cell>
          <cell r="AA356"/>
          <cell r="AB356">
            <v>0</v>
          </cell>
          <cell r="AC356"/>
          <cell r="AD356">
            <v>0</v>
          </cell>
          <cell r="AE356"/>
          <cell r="AF356"/>
          <cell r="AG356"/>
          <cell r="AH356"/>
          <cell r="AI356"/>
          <cell r="AJ356">
            <v>0</v>
          </cell>
          <cell r="AK356" t="str">
            <v>TF</v>
          </cell>
          <cell r="AL356">
            <v>213</v>
          </cell>
          <cell r="AM356">
            <v>50</v>
          </cell>
          <cell r="AN356" t="str">
            <v>07 I/C</v>
          </cell>
          <cell r="AO356" t="str">
            <v>Northwest</v>
          </cell>
          <cell r="AP356" t="str">
            <v>West</v>
          </cell>
          <cell r="AQ356"/>
          <cell r="AR356">
            <v>0</v>
          </cell>
          <cell r="AS356">
            <v>0</v>
          </cell>
        </row>
        <row r="357">
          <cell r="A357">
            <v>12533</v>
          </cell>
          <cell r="B357" t="str">
            <v>CLASSIC CAR</v>
          </cell>
          <cell r="C357" t="str">
            <v>M10147</v>
          </cell>
          <cell r="D357" t="str">
            <v>NET 5, BT+</v>
          </cell>
          <cell r="E357" t="str">
            <v>CO</v>
          </cell>
          <cell r="F357" t="str">
            <v>Yes</v>
          </cell>
          <cell r="G357" t="str">
            <v>ID</v>
          </cell>
          <cell r="H357">
            <v>7</v>
          </cell>
          <cell r="I357">
            <v>0.7</v>
          </cell>
          <cell r="J357" t="str">
            <v>Nate Erickson</v>
          </cell>
          <cell r="K357" t="str">
            <v>BURLEY</v>
          </cell>
          <cell r="L357" t="str">
            <v>ID</v>
          </cell>
          <cell r="M357" t="str">
            <v>800-577-8858</v>
          </cell>
          <cell r="N357"/>
          <cell r="O357">
            <v>1544</v>
          </cell>
          <cell r="P357">
            <v>6639.2</v>
          </cell>
          <cell r="Q357"/>
          <cell r="R357">
            <v>0</v>
          </cell>
          <cell r="S357">
            <v>183</v>
          </cell>
          <cell r="T357">
            <v>786.9</v>
          </cell>
          <cell r="U357">
            <v>1461</v>
          </cell>
          <cell r="V357">
            <v>6282.3</v>
          </cell>
          <cell r="W357">
            <v>1590</v>
          </cell>
          <cell r="X357">
            <v>6837</v>
          </cell>
          <cell r="Y357"/>
          <cell r="Z357">
            <v>0</v>
          </cell>
          <cell r="AA357"/>
          <cell r="AB357">
            <v>0</v>
          </cell>
          <cell r="AC357"/>
          <cell r="AD357">
            <v>0</v>
          </cell>
          <cell r="AE357"/>
          <cell r="AF357"/>
          <cell r="AG357"/>
          <cell r="AH357"/>
          <cell r="AI357"/>
          <cell r="AJ357">
            <v>0</v>
          </cell>
          <cell r="AK357" t="str">
            <v>3P</v>
          </cell>
          <cell r="AL357">
            <v>187</v>
          </cell>
          <cell r="AM357">
            <v>451</v>
          </cell>
          <cell r="AN357" t="str">
            <v>01 Existing Dealer</v>
          </cell>
          <cell r="AO357" t="str">
            <v>Northwest</v>
          </cell>
          <cell r="AP357" t="str">
            <v>West</v>
          </cell>
          <cell r="AQ357"/>
          <cell r="AR357">
            <v>38316</v>
          </cell>
          <cell r="AS357">
            <v>0</v>
          </cell>
        </row>
        <row r="358">
          <cell r="A358">
            <v>11584</v>
          </cell>
          <cell r="B358" t="str">
            <v>FOX</v>
          </cell>
          <cell r="C358" t="str">
            <v>M10487</v>
          </cell>
          <cell r="D358" t="str">
            <v>NET 5, BT+</v>
          </cell>
          <cell r="E358" t="str">
            <v>C1</v>
          </cell>
          <cell r="F358" t="str">
            <v>Yes</v>
          </cell>
          <cell r="G358" t="str">
            <v>ID</v>
          </cell>
          <cell r="H358">
            <v>9</v>
          </cell>
          <cell r="I358">
            <v>0.7</v>
          </cell>
          <cell r="J358" t="str">
            <v>Nate Erickson</v>
          </cell>
          <cell r="K358" t="str">
            <v>POST FALLS</v>
          </cell>
          <cell r="L358" t="str">
            <v>ID</v>
          </cell>
          <cell r="M358" t="str">
            <v>208-459-0106</v>
          </cell>
          <cell r="N358"/>
          <cell r="O358">
            <v>2058</v>
          </cell>
          <cell r="P358">
            <v>8849.4</v>
          </cell>
          <cell r="Q358"/>
          <cell r="R358">
            <v>0</v>
          </cell>
          <cell r="S358">
            <v>424</v>
          </cell>
          <cell r="T358">
            <v>1823.1999999999998</v>
          </cell>
          <cell r="U358">
            <v>1855</v>
          </cell>
          <cell r="V358">
            <v>7976.5</v>
          </cell>
          <cell r="W358">
            <v>1984</v>
          </cell>
          <cell r="X358">
            <v>8531.1999999999989</v>
          </cell>
          <cell r="Y358"/>
          <cell r="Z358">
            <v>0</v>
          </cell>
          <cell r="AA358">
            <v>2068</v>
          </cell>
          <cell r="AB358">
            <v>8892.4</v>
          </cell>
          <cell r="AC358">
            <v>2068</v>
          </cell>
          <cell r="AD358">
            <v>8892.4</v>
          </cell>
          <cell r="AE358"/>
          <cell r="AF358"/>
          <cell r="AG358"/>
          <cell r="AH358"/>
          <cell r="AI358"/>
          <cell r="AJ358">
            <v>5.5E-2</v>
          </cell>
          <cell r="AK358" t="str">
            <v>3P</v>
          </cell>
          <cell r="AL358">
            <v>187</v>
          </cell>
          <cell r="AM358">
            <v>425</v>
          </cell>
          <cell r="AN358" t="str">
            <v>01 Existing Dealer</v>
          </cell>
          <cell r="AO358" t="str">
            <v>Northwest</v>
          </cell>
          <cell r="AP358" t="str">
            <v>West</v>
          </cell>
          <cell r="AQ358"/>
          <cell r="AR358">
            <v>644122</v>
          </cell>
          <cell r="AS358">
            <v>553992</v>
          </cell>
        </row>
        <row r="359">
          <cell r="A359">
            <v>10902</v>
          </cell>
          <cell r="B359" t="str">
            <v>FOX</v>
          </cell>
          <cell r="C359" t="str">
            <v>M10487</v>
          </cell>
          <cell r="D359" t="str">
            <v>NET 5, BT+</v>
          </cell>
          <cell r="E359" t="str">
            <v>CO</v>
          </cell>
          <cell r="F359" t="str">
            <v>Yes</v>
          </cell>
          <cell r="G359" t="str">
            <v>ID</v>
          </cell>
          <cell r="H359">
            <v>7</v>
          </cell>
          <cell r="I359">
            <v>0.7</v>
          </cell>
          <cell r="J359" t="str">
            <v>Nate Erickson</v>
          </cell>
          <cell r="K359" t="str">
            <v>POST FALLS</v>
          </cell>
          <cell r="L359" t="str">
            <v>ID</v>
          </cell>
          <cell r="M359" t="str">
            <v>208-459-0106</v>
          </cell>
          <cell r="N359"/>
          <cell r="O359">
            <v>2058</v>
          </cell>
          <cell r="P359">
            <v>8849.4</v>
          </cell>
          <cell r="Q359"/>
          <cell r="R359">
            <v>0</v>
          </cell>
          <cell r="S359">
            <v>424</v>
          </cell>
          <cell r="T359">
            <v>1823.1999999999998</v>
          </cell>
          <cell r="U359">
            <v>1855</v>
          </cell>
          <cell r="V359">
            <v>7976.5</v>
          </cell>
          <cell r="W359">
            <v>1984</v>
          </cell>
          <cell r="X359">
            <v>8531.1999999999989</v>
          </cell>
          <cell r="Y359"/>
          <cell r="Z359">
            <v>0</v>
          </cell>
          <cell r="AA359">
            <v>2068</v>
          </cell>
          <cell r="AB359">
            <v>8892.4</v>
          </cell>
          <cell r="AC359">
            <v>2068</v>
          </cell>
          <cell r="AD359">
            <v>8892.4</v>
          </cell>
          <cell r="AE359"/>
          <cell r="AF359"/>
          <cell r="AG359"/>
          <cell r="AH359"/>
          <cell r="AI359"/>
          <cell r="AJ359">
            <v>0.05</v>
          </cell>
          <cell r="AK359" t="str">
            <v>3P</v>
          </cell>
          <cell r="AL359">
            <v>187</v>
          </cell>
          <cell r="AM359">
            <v>425</v>
          </cell>
          <cell r="AN359" t="str">
            <v>01 Existing Dealer</v>
          </cell>
          <cell r="AO359" t="str">
            <v>Northwest</v>
          </cell>
          <cell r="AP359" t="str">
            <v>West</v>
          </cell>
          <cell r="AQ359"/>
          <cell r="AR359">
            <v>0</v>
          </cell>
          <cell r="AS359">
            <v>0</v>
          </cell>
        </row>
        <row r="360">
          <cell r="A360">
            <v>13037</v>
          </cell>
          <cell r="B360" t="str">
            <v>GATEWAY</v>
          </cell>
          <cell r="C360" t="str">
            <v>M10773</v>
          </cell>
          <cell r="D360" t="str">
            <v>NET 5, BT+</v>
          </cell>
          <cell r="E360" t="str">
            <v>F1 - Wells Fargo</v>
          </cell>
          <cell r="F360" t="str">
            <v>Yes</v>
          </cell>
          <cell r="G360" t="str">
            <v>ID</v>
          </cell>
          <cell r="H360">
            <v>9</v>
          </cell>
          <cell r="I360">
            <v>0.7</v>
          </cell>
          <cell r="J360" t="str">
            <v>Nate Erickson</v>
          </cell>
          <cell r="K360" t="str">
            <v>LEWISTON</v>
          </cell>
          <cell r="L360" t="str">
            <v>ID</v>
          </cell>
          <cell r="M360" t="str">
            <v>800-459-0106</v>
          </cell>
          <cell r="N360"/>
          <cell r="O360">
            <v>1994</v>
          </cell>
          <cell r="P360">
            <v>8574.1999999999989</v>
          </cell>
          <cell r="Q360"/>
          <cell r="R360">
            <v>0</v>
          </cell>
          <cell r="S360">
            <v>272</v>
          </cell>
          <cell r="T360">
            <v>1169.5999999999999</v>
          </cell>
          <cell r="U360">
            <v>1915</v>
          </cell>
          <cell r="V360">
            <v>8234.5</v>
          </cell>
          <cell r="W360">
            <v>1945</v>
          </cell>
          <cell r="X360">
            <v>8363.5</v>
          </cell>
          <cell r="Y360"/>
          <cell r="Z360">
            <v>0</v>
          </cell>
          <cell r="AA360"/>
          <cell r="AB360">
            <v>0</v>
          </cell>
          <cell r="AC360"/>
          <cell r="AD360">
            <v>0</v>
          </cell>
          <cell r="AE360"/>
          <cell r="AF360"/>
          <cell r="AG360"/>
          <cell r="AH360"/>
          <cell r="AI360"/>
          <cell r="AJ360">
            <v>0.03</v>
          </cell>
          <cell r="AK360" t="str">
            <v>3P</v>
          </cell>
          <cell r="AL360">
            <v>187</v>
          </cell>
          <cell r="AM360">
            <v>250</v>
          </cell>
          <cell r="AN360" t="str">
            <v>01 Existing Dealer</v>
          </cell>
          <cell r="AO360" t="str">
            <v>Northwest</v>
          </cell>
          <cell r="AP360" t="str">
            <v>West</v>
          </cell>
          <cell r="AQ360"/>
          <cell r="AR360">
            <v>32443</v>
          </cell>
          <cell r="AS360">
            <v>81821</v>
          </cell>
        </row>
        <row r="361">
          <cell r="A361">
            <v>12987</v>
          </cell>
          <cell r="B361" t="str">
            <v>HOLST TRAILER</v>
          </cell>
          <cell r="C361" t="str">
            <v>M10821</v>
          </cell>
          <cell r="D361" t="str">
            <v>NET 5, BT+</v>
          </cell>
          <cell r="E361" t="str">
            <v>CO</v>
          </cell>
          <cell r="F361" t="str">
            <v>Yes</v>
          </cell>
          <cell r="G361" t="str">
            <v>ID</v>
          </cell>
          <cell r="H361">
            <v>7</v>
          </cell>
          <cell r="I361">
            <v>0.7</v>
          </cell>
          <cell r="J361" t="str">
            <v>Nate Erickson</v>
          </cell>
          <cell r="K361" t="str">
            <v>IDAHO FALLS</v>
          </cell>
          <cell r="L361" t="str">
            <v>ID</v>
          </cell>
          <cell r="M361" t="str">
            <v>800-577-8858</v>
          </cell>
          <cell r="N361"/>
          <cell r="O361">
            <v>1578</v>
          </cell>
          <cell r="P361">
            <v>6785.4</v>
          </cell>
          <cell r="Q361"/>
          <cell r="R361">
            <v>0</v>
          </cell>
          <cell r="S361">
            <v>308</v>
          </cell>
          <cell r="T361">
            <v>1324.3999999999999</v>
          </cell>
          <cell r="U361">
            <v>1499</v>
          </cell>
          <cell r="V361">
            <v>6445.7</v>
          </cell>
          <cell r="W361">
            <v>1529</v>
          </cell>
          <cell r="X361">
            <v>6574.7</v>
          </cell>
          <cell r="Y361"/>
          <cell r="Z361">
            <v>0</v>
          </cell>
          <cell r="AA361"/>
          <cell r="AB361">
            <v>0</v>
          </cell>
          <cell r="AC361"/>
          <cell r="AD361">
            <v>0</v>
          </cell>
          <cell r="AE361"/>
          <cell r="AF361"/>
          <cell r="AG361"/>
          <cell r="AH361"/>
          <cell r="AI361"/>
          <cell r="AJ361">
            <v>0.02</v>
          </cell>
          <cell r="AK361" t="str">
            <v>3P</v>
          </cell>
          <cell r="AL361">
            <v>187</v>
          </cell>
          <cell r="AM361">
            <v>202</v>
          </cell>
          <cell r="AN361" t="str">
            <v>01 Existing Dealer</v>
          </cell>
          <cell r="AO361" t="str">
            <v>Northwest</v>
          </cell>
          <cell r="AP361" t="str">
            <v>West</v>
          </cell>
          <cell r="AQ361"/>
          <cell r="AR361">
            <v>0</v>
          </cell>
          <cell r="AS361">
            <v>0</v>
          </cell>
        </row>
        <row r="362">
          <cell r="A362">
            <v>13134</v>
          </cell>
          <cell r="B362" t="str">
            <v>HOLST TRAILER</v>
          </cell>
          <cell r="C362" t="str">
            <v>M10821</v>
          </cell>
          <cell r="D362" t="str">
            <v>NET 5, BT+</v>
          </cell>
          <cell r="E362" t="str">
            <v>FP - Northpoint</v>
          </cell>
          <cell r="F362" t="str">
            <v>Yes</v>
          </cell>
          <cell r="G362" t="str">
            <v>ID</v>
          </cell>
          <cell r="H362">
            <v>7</v>
          </cell>
          <cell r="I362">
            <v>0.7</v>
          </cell>
          <cell r="J362" t="str">
            <v>Nate Erickson</v>
          </cell>
          <cell r="K362" t="str">
            <v>IDAHO FALLS</v>
          </cell>
          <cell r="L362" t="str">
            <v>ID</v>
          </cell>
          <cell r="M362" t="str">
            <v>800-577-8858</v>
          </cell>
          <cell r="N362"/>
          <cell r="O362">
            <v>1578</v>
          </cell>
          <cell r="P362">
            <v>6785.4</v>
          </cell>
          <cell r="Q362"/>
          <cell r="R362">
            <v>0</v>
          </cell>
          <cell r="S362">
            <v>308</v>
          </cell>
          <cell r="T362">
            <v>1324.3999999999999</v>
          </cell>
          <cell r="U362">
            <v>1499</v>
          </cell>
          <cell r="V362">
            <v>6445.7</v>
          </cell>
          <cell r="W362">
            <v>1529</v>
          </cell>
          <cell r="X362">
            <v>6574.7</v>
          </cell>
          <cell r="Y362"/>
          <cell r="Z362">
            <v>0</v>
          </cell>
          <cell r="AA362"/>
          <cell r="AB362">
            <v>0</v>
          </cell>
          <cell r="AC362"/>
          <cell r="AD362">
            <v>0</v>
          </cell>
          <cell r="AE362"/>
          <cell r="AF362"/>
          <cell r="AG362"/>
          <cell r="AH362"/>
          <cell r="AI362"/>
          <cell r="AJ362">
            <v>0.02</v>
          </cell>
          <cell r="AK362" t="str">
            <v>3P</v>
          </cell>
          <cell r="AL362">
            <v>187</v>
          </cell>
          <cell r="AM362">
            <v>202</v>
          </cell>
          <cell r="AN362" t="str">
            <v>01 Existing Dealer</v>
          </cell>
          <cell r="AO362" t="str">
            <v>Northwest</v>
          </cell>
          <cell r="AP362" t="str">
            <v>West</v>
          </cell>
          <cell r="AQ362"/>
          <cell r="AR362">
            <v>42707</v>
          </cell>
          <cell r="AS362">
            <v>0</v>
          </cell>
        </row>
        <row r="363">
          <cell r="A363">
            <v>10261</v>
          </cell>
          <cell r="B363" t="str">
            <v>PAY LESS</v>
          </cell>
          <cell r="C363" t="str">
            <v>M10319</v>
          </cell>
          <cell r="D363" t="str">
            <v>NET 5, BT+</v>
          </cell>
          <cell r="E363" t="str">
            <v>CO</v>
          </cell>
          <cell r="F363" t="str">
            <v>Yes</v>
          </cell>
          <cell r="G363" t="str">
            <v>ID</v>
          </cell>
          <cell r="H363">
            <v>7</v>
          </cell>
          <cell r="I363">
            <v>0.7</v>
          </cell>
          <cell r="J363" t="str">
            <v>Orphaned Acct</v>
          </cell>
          <cell r="K363" t="str">
            <v>BURLEY</v>
          </cell>
          <cell r="L363" t="str">
            <v>ID</v>
          </cell>
          <cell r="M363" t="str">
            <v>800-577-8858</v>
          </cell>
          <cell r="N363"/>
          <cell r="O363">
            <v>1544</v>
          </cell>
          <cell r="P363">
            <v>6639.2</v>
          </cell>
          <cell r="Q363"/>
          <cell r="R363">
            <v>0</v>
          </cell>
          <cell r="S363">
            <v>183</v>
          </cell>
          <cell r="T363">
            <v>786.9</v>
          </cell>
          <cell r="U363">
            <v>1461</v>
          </cell>
          <cell r="V363">
            <v>6282.3</v>
          </cell>
          <cell r="W363">
            <v>1496</v>
          </cell>
          <cell r="X363">
            <v>6432.8</v>
          </cell>
          <cell r="Y363"/>
          <cell r="Z363">
            <v>0</v>
          </cell>
          <cell r="AA363"/>
          <cell r="AB363">
            <v>0</v>
          </cell>
          <cell r="AC363"/>
          <cell r="AD363">
            <v>0</v>
          </cell>
          <cell r="AE363"/>
          <cell r="AF363"/>
          <cell r="AG363"/>
          <cell r="AH363"/>
          <cell r="AI363"/>
          <cell r="AJ363">
            <v>0</v>
          </cell>
          <cell r="AK363" t="str">
            <v>3P</v>
          </cell>
          <cell r="AL363">
            <v>213</v>
          </cell>
          <cell r="AM363">
            <v>451</v>
          </cell>
          <cell r="AN363" t="str">
            <v>08 Inactive Dealer</v>
          </cell>
          <cell r="AO363" t="str">
            <v>Northwest</v>
          </cell>
          <cell r="AP363" t="str">
            <v>West</v>
          </cell>
          <cell r="AQ363"/>
          <cell r="AR363">
            <v>0</v>
          </cell>
          <cell r="AS363">
            <v>0</v>
          </cell>
        </row>
        <row r="364">
          <cell r="A364">
            <v>13011</v>
          </cell>
          <cell r="B364" t="str">
            <v>RIVERSIDE BOOT</v>
          </cell>
          <cell r="C364" t="str">
            <v>M10564</v>
          </cell>
          <cell r="D364" t="str">
            <v>NET 5, BT+</v>
          </cell>
          <cell r="E364" t="str">
            <v>CO</v>
          </cell>
          <cell r="F364" t="str">
            <v>Yes</v>
          </cell>
          <cell r="G364" t="str">
            <v>ID</v>
          </cell>
          <cell r="H364">
            <v>7</v>
          </cell>
          <cell r="I364">
            <v>0.7</v>
          </cell>
          <cell r="J364" t="str">
            <v>Orphaned Acct</v>
          </cell>
          <cell r="K364" t="str">
            <v>BLACKFOOT</v>
          </cell>
          <cell r="L364" t="str">
            <v>ID</v>
          </cell>
          <cell r="M364" t="str">
            <v>800-577-8858</v>
          </cell>
          <cell r="N364"/>
          <cell r="O364">
            <v>1547</v>
          </cell>
          <cell r="P364">
            <v>6652.0999999999995</v>
          </cell>
          <cell r="Q364"/>
          <cell r="R364">
            <v>0</v>
          </cell>
          <cell r="S364">
            <v>277</v>
          </cell>
          <cell r="T364">
            <v>1191.0999999999999</v>
          </cell>
          <cell r="U364">
            <v>1468</v>
          </cell>
          <cell r="V364">
            <v>6312.4</v>
          </cell>
          <cell r="W364">
            <v>1498</v>
          </cell>
          <cell r="X364">
            <v>6441.4</v>
          </cell>
          <cell r="Y364"/>
          <cell r="Z364">
            <v>0</v>
          </cell>
          <cell r="AA364"/>
          <cell r="AB364">
            <v>0</v>
          </cell>
          <cell r="AC364"/>
          <cell r="AD364">
            <v>0</v>
          </cell>
          <cell r="AE364"/>
          <cell r="AF364"/>
          <cell r="AG364"/>
          <cell r="AH364"/>
          <cell r="AI364"/>
          <cell r="AJ364">
            <v>0</v>
          </cell>
          <cell r="AK364" t="str">
            <v>3P</v>
          </cell>
          <cell r="AL364">
            <v>213</v>
          </cell>
          <cell r="AM364">
            <v>202</v>
          </cell>
          <cell r="AN364" t="str">
            <v>08 Inactive Dealer</v>
          </cell>
          <cell r="AO364" t="str">
            <v>Northwest</v>
          </cell>
          <cell r="AP364" t="str">
            <v>West</v>
          </cell>
          <cell r="AQ364"/>
          <cell r="AR364">
            <v>0</v>
          </cell>
          <cell r="AS364">
            <v>0</v>
          </cell>
        </row>
        <row r="365">
          <cell r="A365" t="str">
            <v>11645G</v>
          </cell>
          <cell r="B365" t="str">
            <v>UNITED RENTALS</v>
          </cell>
          <cell r="C365" t="str">
            <v>M08848</v>
          </cell>
          <cell r="D365" t="str">
            <v>Net 60, no pink card</v>
          </cell>
          <cell r="E365">
            <v>60</v>
          </cell>
          <cell r="F365" t="str">
            <v>No</v>
          </cell>
          <cell r="G365" t="str">
            <v>ID</v>
          </cell>
          <cell r="H365">
            <v>5</v>
          </cell>
          <cell r="I365">
            <v>0.66500000000000004</v>
          </cell>
          <cell r="J365" t="str">
            <v>JL Smith</v>
          </cell>
          <cell r="K365" t="str">
            <v>LEWISTON</v>
          </cell>
          <cell r="L365" t="str">
            <v>ID</v>
          </cell>
          <cell r="M365" t="str">
            <v>800-577-8858</v>
          </cell>
          <cell r="N365" t="str">
            <v>MSO's to 4001 Leadenhall Rd, NJ.  Invoice go to PO Box in College Station</v>
          </cell>
          <cell r="O365" t="str"/>
          <cell r="P365" t="str"/>
          <cell r="Q365" t="str"/>
          <cell r="R365" t="str"/>
          <cell r="S365" t="str"/>
          <cell r="T365" t="str"/>
          <cell r="U365" t="str"/>
          <cell r="V365" t="str"/>
          <cell r="W365" t="str"/>
          <cell r="X365" t="str"/>
          <cell r="Y365"/>
          <cell r="Z365">
            <v>0</v>
          </cell>
          <cell r="AA365"/>
          <cell r="AB365">
            <v>0</v>
          </cell>
          <cell r="AC365"/>
          <cell r="AD365">
            <v>0</v>
          </cell>
          <cell r="AE365" t="str"/>
          <cell r="AF365"/>
          <cell r="AG365" t="str"/>
          <cell r="AH365" t="str"/>
          <cell r="AI365" t="str"/>
          <cell r="AJ365">
            <v>0</v>
          </cell>
          <cell r="AK365" t="str">
            <v>3P</v>
          </cell>
          <cell r="AL365">
            <v>151</v>
          </cell>
          <cell r="AM365">
            <v>250</v>
          </cell>
          <cell r="AN365" t="str">
            <v>11 National</v>
          </cell>
          <cell r="AO365" t="str">
            <v>Northwest</v>
          </cell>
          <cell r="AP365" t="str">
            <v>West</v>
          </cell>
          <cell r="AQ365"/>
          <cell r="AR365">
            <v>0</v>
          </cell>
          <cell r="AS365">
            <v>0</v>
          </cell>
        </row>
        <row r="366">
          <cell r="A366">
            <v>12679</v>
          </cell>
          <cell r="B366" t="str">
            <v xml:space="preserve">WILD THINGS </v>
          </cell>
          <cell r="C366" t="str">
            <v>M10455</v>
          </cell>
          <cell r="D366" t="str">
            <v>NET 5, BT+</v>
          </cell>
          <cell r="E366" t="str">
            <v>CO</v>
          </cell>
          <cell r="F366" t="str">
            <v>Yes</v>
          </cell>
          <cell r="G366" t="str">
            <v>ID</v>
          </cell>
          <cell r="H366">
            <v>7</v>
          </cell>
          <cell r="I366">
            <v>0.7</v>
          </cell>
          <cell r="J366" t="str">
            <v>Orphaned Acct</v>
          </cell>
          <cell r="K366" t="str">
            <v>IDAHO FALLS</v>
          </cell>
          <cell r="L366" t="str">
            <v>ID</v>
          </cell>
          <cell r="M366" t="str">
            <v>208-459-0106</v>
          </cell>
          <cell r="N366"/>
          <cell r="O366">
            <v>1578</v>
          </cell>
          <cell r="P366">
            <v>6785.4</v>
          </cell>
          <cell r="Q366"/>
          <cell r="R366">
            <v>0</v>
          </cell>
          <cell r="S366">
            <v>308</v>
          </cell>
          <cell r="T366">
            <v>1324.3999999999999</v>
          </cell>
          <cell r="U366">
            <v>1499</v>
          </cell>
          <cell r="V366">
            <v>6445.7</v>
          </cell>
          <cell r="W366">
            <v>1529</v>
          </cell>
          <cell r="X366">
            <v>6574.7</v>
          </cell>
          <cell r="Y366"/>
          <cell r="Z366">
            <v>0</v>
          </cell>
          <cell r="AA366"/>
          <cell r="AB366">
            <v>0</v>
          </cell>
          <cell r="AC366"/>
          <cell r="AD366">
            <v>0</v>
          </cell>
          <cell r="AE366"/>
          <cell r="AF366"/>
          <cell r="AG366"/>
          <cell r="AH366"/>
          <cell r="AI366"/>
          <cell r="AJ366">
            <v>0</v>
          </cell>
          <cell r="AK366" t="str">
            <v>3P</v>
          </cell>
          <cell r="AL366">
            <v>213</v>
          </cell>
          <cell r="AM366">
            <v>202</v>
          </cell>
          <cell r="AN366" t="str">
            <v>08 Inactive Dealer</v>
          </cell>
          <cell r="AO366" t="str">
            <v>Northwest</v>
          </cell>
          <cell r="AP366" t="str">
            <v>West</v>
          </cell>
          <cell r="AQ366"/>
          <cell r="AR366">
            <v>0</v>
          </cell>
          <cell r="AS366">
            <v>0</v>
          </cell>
          <cell r="AT366"/>
        </row>
        <row r="367">
          <cell r="A367">
            <v>13556</v>
          </cell>
          <cell r="B367" t="str">
            <v>3D TRAILER</v>
          </cell>
          <cell r="C367" t="str">
            <v>M11532</v>
          </cell>
          <cell r="D367" t="str">
            <v>NET 5, BT+</v>
          </cell>
          <cell r="E367" t="str">
            <v>CO</v>
          </cell>
          <cell r="F367" t="str">
            <v>Yes</v>
          </cell>
          <cell r="G367" t="str">
            <v>OH</v>
          </cell>
          <cell r="H367">
            <v>7</v>
          </cell>
          <cell r="I367">
            <v>0.66500000000000004</v>
          </cell>
          <cell r="J367" t="str">
            <v>JL Smith</v>
          </cell>
          <cell r="K367" t="str">
            <v>FULTON</v>
          </cell>
          <cell r="L367" t="str">
            <v>IL</v>
          </cell>
          <cell r="M367" t="str">
            <v>800-577-8858</v>
          </cell>
          <cell r="N367" t="str">
            <v>All tandem axle trailers must have BRK2</v>
          </cell>
          <cell r="O367">
            <v>831</v>
          </cell>
          <cell r="P367">
            <v>3573.2999999999997</v>
          </cell>
          <cell r="Q367">
            <v>947</v>
          </cell>
          <cell r="R367">
            <v>4072.1</v>
          </cell>
          <cell r="S367"/>
          <cell r="T367">
            <v>0</v>
          </cell>
          <cell r="U367">
            <v>794</v>
          </cell>
          <cell r="V367">
            <v>3414.2</v>
          </cell>
          <cell r="W367">
            <v>909</v>
          </cell>
          <cell r="X367">
            <v>3908.7</v>
          </cell>
          <cell r="Y367">
            <v>456</v>
          </cell>
          <cell r="Z367">
            <v>1960.8</v>
          </cell>
          <cell r="AA367">
            <v>456</v>
          </cell>
          <cell r="AB367">
            <v>1960.8</v>
          </cell>
          <cell r="AC367">
            <v>456</v>
          </cell>
          <cell r="AD367">
            <v>1960.8</v>
          </cell>
          <cell r="AE367"/>
          <cell r="AF367"/>
          <cell r="AG367"/>
          <cell r="AH367"/>
          <cell r="AI367"/>
          <cell r="AJ367">
            <v>0.05</v>
          </cell>
          <cell r="AK367" t="str">
            <v>3P</v>
          </cell>
          <cell r="AL367">
            <v>151</v>
          </cell>
          <cell r="AM367">
            <v>86</v>
          </cell>
          <cell r="AN367" t="str">
            <v>03 New Dealer</v>
          </cell>
          <cell r="AO367" t="str">
            <v>Midwest</v>
          </cell>
          <cell r="AP367" t="str">
            <v>Central</v>
          </cell>
          <cell r="AQ367"/>
          <cell r="AR367">
            <v>39539</v>
          </cell>
          <cell r="AS367">
            <v>0</v>
          </cell>
          <cell r="AT367"/>
        </row>
        <row r="368">
          <cell r="A368">
            <v>13136</v>
          </cell>
          <cell r="B368" t="str">
            <v>ANDERSON ENT</v>
          </cell>
          <cell r="C368" t="str">
            <v>M11062</v>
          </cell>
          <cell r="D368" t="str">
            <v>NET 5, BT+</v>
          </cell>
          <cell r="E368" t="str">
            <v>FP - Wells Fargo</v>
          </cell>
          <cell r="F368" t="str">
            <v>Yes</v>
          </cell>
          <cell r="G368" t="str">
            <v>OH</v>
          </cell>
          <cell r="H368">
            <v>8</v>
          </cell>
          <cell r="I368">
            <v>0.66500000000000004</v>
          </cell>
          <cell r="J368" t="str">
            <v>Orphaned Acct</v>
          </cell>
          <cell r="K368" t="str">
            <v>ANNAWAN</v>
          </cell>
          <cell r="L368" t="str">
            <v>IL</v>
          </cell>
          <cell r="M368" t="str">
            <v>800-577-8858</v>
          </cell>
          <cell r="N368"/>
          <cell r="O368">
            <v>788</v>
          </cell>
          <cell r="P368">
            <v>3388.3999999999996</v>
          </cell>
          <cell r="Q368"/>
          <cell r="R368">
            <v>0</v>
          </cell>
          <cell r="S368"/>
          <cell r="T368">
            <v>0</v>
          </cell>
          <cell r="U368">
            <v>804</v>
          </cell>
          <cell r="V368">
            <v>3457.2</v>
          </cell>
          <cell r="W368">
            <v>869</v>
          </cell>
          <cell r="X368">
            <v>3736.7</v>
          </cell>
          <cell r="Y368">
            <v>432</v>
          </cell>
          <cell r="Z368">
            <v>1857.6</v>
          </cell>
          <cell r="AA368">
            <v>432</v>
          </cell>
          <cell r="AB368">
            <v>1857.6</v>
          </cell>
          <cell r="AC368">
            <v>432</v>
          </cell>
          <cell r="AD368">
            <v>1857.6</v>
          </cell>
          <cell r="AE368"/>
          <cell r="AF368"/>
          <cell r="AG368"/>
          <cell r="AH368"/>
          <cell r="AI368"/>
          <cell r="AJ368">
            <v>0</v>
          </cell>
          <cell r="AK368" t="str">
            <v>3P</v>
          </cell>
          <cell r="AL368">
            <v>213</v>
          </cell>
          <cell r="AM368">
            <v>105</v>
          </cell>
          <cell r="AN368" t="str">
            <v>01 Existing Dealer</v>
          </cell>
          <cell r="AO368" t="str">
            <v>Midwest</v>
          </cell>
          <cell r="AP368" t="str">
            <v>Central</v>
          </cell>
          <cell r="AQ368"/>
          <cell r="AR368">
            <v>0</v>
          </cell>
          <cell r="AS368">
            <v>0</v>
          </cell>
          <cell r="AT368"/>
        </row>
        <row r="369">
          <cell r="A369">
            <v>13270</v>
          </cell>
          <cell r="B369" t="str">
            <v>ARROW TRAILER</v>
          </cell>
          <cell r="C369" t="str">
            <v>M11220</v>
          </cell>
          <cell r="D369" t="str">
            <v>NET 5, BT+</v>
          </cell>
          <cell r="E369" t="str">
            <v>CF</v>
          </cell>
          <cell r="F369" t="str">
            <v>Yes</v>
          </cell>
          <cell r="G369" t="str">
            <v>OH</v>
          </cell>
          <cell r="H369">
            <v>7</v>
          </cell>
          <cell r="I369">
            <v>0.66500000000000004</v>
          </cell>
          <cell r="J369" t="str">
            <v>Orphaned Acct</v>
          </cell>
          <cell r="K369" t="str">
            <v>SPRINGFIELD</v>
          </cell>
          <cell r="L369" t="str">
            <v>IL</v>
          </cell>
          <cell r="M369" t="str">
            <v>800-577-8858</v>
          </cell>
          <cell r="N369"/>
          <cell r="O369">
            <v>645</v>
          </cell>
          <cell r="P369">
            <v>2773.5</v>
          </cell>
          <cell r="Q369">
            <v>775</v>
          </cell>
          <cell r="R369">
            <v>3332.5</v>
          </cell>
          <cell r="S369"/>
          <cell r="T369">
            <v>0</v>
          </cell>
          <cell r="U369">
            <v>678</v>
          </cell>
          <cell r="V369">
            <v>2915.4</v>
          </cell>
          <cell r="W369">
            <v>734</v>
          </cell>
          <cell r="X369">
            <v>3156.2</v>
          </cell>
          <cell r="Y369">
            <v>364</v>
          </cell>
          <cell r="Z369">
            <v>1565.2</v>
          </cell>
          <cell r="AA369">
            <v>364</v>
          </cell>
          <cell r="AB369">
            <v>1565.2</v>
          </cell>
          <cell r="AC369">
            <v>364</v>
          </cell>
          <cell r="AD369">
            <v>1565.2</v>
          </cell>
          <cell r="AE369"/>
          <cell r="AF369"/>
          <cell r="AG369"/>
          <cell r="AH369"/>
          <cell r="AI369"/>
          <cell r="AJ369">
            <v>0</v>
          </cell>
          <cell r="AK369" t="str">
            <v>3P</v>
          </cell>
          <cell r="AL369">
            <v>213</v>
          </cell>
          <cell r="AM369">
            <v>426</v>
          </cell>
          <cell r="AN369" t="str">
            <v>02 Ramping</v>
          </cell>
          <cell r="AO369" t="str">
            <v>Midwest</v>
          </cell>
          <cell r="AP369" t="str">
            <v>Central</v>
          </cell>
          <cell r="AQ369"/>
          <cell r="AR369">
            <v>0</v>
          </cell>
          <cell r="AS369">
            <v>0</v>
          </cell>
          <cell r="AT369"/>
        </row>
        <row r="370">
          <cell r="A370">
            <v>12539</v>
          </cell>
          <cell r="B370" t="str">
            <v>BRAMM TRAILER SALES</v>
          </cell>
          <cell r="C370" t="str">
            <v>M10110</v>
          </cell>
          <cell r="D370" t="str">
            <v>NET 5, BT+</v>
          </cell>
          <cell r="E370" t="str">
            <v>CO</v>
          </cell>
          <cell r="F370" t="str">
            <v>Yes</v>
          </cell>
          <cell r="G370" t="str">
            <v>OH</v>
          </cell>
          <cell r="H370">
            <v>7</v>
          </cell>
          <cell r="I370">
            <v>0.66500000000000004</v>
          </cell>
          <cell r="J370" t="str">
            <v>Orphaned Acct</v>
          </cell>
          <cell r="K370" t="str">
            <v>FULTON</v>
          </cell>
          <cell r="L370" t="str">
            <v>IL</v>
          </cell>
          <cell r="M370" t="str">
            <v>800-577-8858</v>
          </cell>
          <cell r="N370"/>
          <cell r="O370">
            <v>837</v>
          </cell>
          <cell r="P370">
            <v>3599.1</v>
          </cell>
          <cell r="Q370">
            <v>957</v>
          </cell>
          <cell r="R370">
            <v>4115.0999999999995</v>
          </cell>
          <cell r="S370"/>
          <cell r="T370">
            <v>0</v>
          </cell>
          <cell r="U370">
            <v>816</v>
          </cell>
          <cell r="V370">
            <v>3508.7999999999997</v>
          </cell>
          <cell r="W370">
            <v>924</v>
          </cell>
          <cell r="X370">
            <v>3973.2</v>
          </cell>
          <cell r="Y370">
            <v>471</v>
          </cell>
          <cell r="Z370">
            <v>2025.3</v>
          </cell>
          <cell r="AA370">
            <v>471</v>
          </cell>
          <cell r="AB370">
            <v>2025.3</v>
          </cell>
          <cell r="AC370">
            <v>471</v>
          </cell>
          <cell r="AD370">
            <v>2025.3</v>
          </cell>
          <cell r="AE370"/>
          <cell r="AF370"/>
          <cell r="AG370"/>
          <cell r="AH370"/>
          <cell r="AI370"/>
          <cell r="AJ370">
            <v>0</v>
          </cell>
          <cell r="AK370" t="str">
            <v>3P</v>
          </cell>
          <cell r="AL370">
            <v>213</v>
          </cell>
          <cell r="AM370">
            <v>86</v>
          </cell>
          <cell r="AN370" t="str">
            <v>08 Inactive Dealer</v>
          </cell>
          <cell r="AO370" t="str">
            <v>Midwest</v>
          </cell>
          <cell r="AP370" t="str">
            <v>Central</v>
          </cell>
          <cell r="AQ370"/>
          <cell r="AR370">
            <v>0</v>
          </cell>
          <cell r="AS370">
            <v>0</v>
          </cell>
          <cell r="AT370"/>
        </row>
        <row r="371">
          <cell r="A371">
            <v>13032</v>
          </cell>
          <cell r="B371" t="str">
            <v>CADY'S CARS</v>
          </cell>
          <cell r="C371" t="str">
            <v>M10889</v>
          </cell>
          <cell r="D371" t="str">
            <v>NET 5, BT+</v>
          </cell>
          <cell r="E371" t="str">
            <v>CO</v>
          </cell>
          <cell r="F371" t="str">
            <v>Yes</v>
          </cell>
          <cell r="G371" t="str">
            <v>OH</v>
          </cell>
          <cell r="H371">
            <v>7</v>
          </cell>
          <cell r="I371">
            <v>0.66500000000000004</v>
          </cell>
          <cell r="J371" t="str">
            <v>Orphaned Acct</v>
          </cell>
          <cell r="K371" t="str">
            <v>PEORIA HEIGHTS</v>
          </cell>
          <cell r="L371" t="str">
            <v>IL</v>
          </cell>
          <cell r="M371" t="str">
            <v>800-577-8858</v>
          </cell>
          <cell r="N371" t="str">
            <v>All tandem axle trailers must have BRK2</v>
          </cell>
          <cell r="O371">
            <v>724</v>
          </cell>
          <cell r="P371">
            <v>3113.2</v>
          </cell>
          <cell r="Q371">
            <v>843</v>
          </cell>
          <cell r="R371">
            <v>3624.8999999999996</v>
          </cell>
          <cell r="S371"/>
          <cell r="T371">
            <v>0</v>
          </cell>
          <cell r="U371">
            <v>739</v>
          </cell>
          <cell r="V371">
            <v>3177.7</v>
          </cell>
          <cell r="W371">
            <v>804</v>
          </cell>
          <cell r="X371">
            <v>3457.2</v>
          </cell>
          <cell r="Y371">
            <v>368</v>
          </cell>
          <cell r="Z371">
            <v>1582.3999999999999</v>
          </cell>
          <cell r="AA371">
            <v>368</v>
          </cell>
          <cell r="AB371">
            <v>1582.3999999999999</v>
          </cell>
          <cell r="AC371">
            <v>368</v>
          </cell>
          <cell r="AD371">
            <v>1582.3999999999999</v>
          </cell>
          <cell r="AE371"/>
          <cell r="AF371"/>
          <cell r="AG371"/>
          <cell r="AH371"/>
          <cell r="AI371"/>
          <cell r="AJ371">
            <v>0</v>
          </cell>
          <cell r="AK371" t="str">
            <v>3P</v>
          </cell>
          <cell r="AL371">
            <v>213</v>
          </cell>
          <cell r="AM371">
            <v>344</v>
          </cell>
          <cell r="AN371" t="str">
            <v>08 Inactive Dealer</v>
          </cell>
          <cell r="AO371" t="str">
            <v>Midwest</v>
          </cell>
          <cell r="AP371" t="str">
            <v>Central</v>
          </cell>
          <cell r="AQ371"/>
          <cell r="AR371">
            <v>0</v>
          </cell>
          <cell r="AS371">
            <v>0</v>
          </cell>
        </row>
        <row r="372">
          <cell r="A372">
            <v>10131</v>
          </cell>
          <cell r="B372" t="str">
            <v>CHARLESTON SALES</v>
          </cell>
          <cell r="C372" t="str">
            <v>M10141</v>
          </cell>
          <cell r="D372" t="str">
            <v>Net 30, no pink card</v>
          </cell>
          <cell r="E372">
            <v>30</v>
          </cell>
          <cell r="F372" t="str">
            <v>Yes</v>
          </cell>
          <cell r="G372" t="str">
            <v>OH</v>
          </cell>
          <cell r="H372">
            <v>7</v>
          </cell>
          <cell r="I372">
            <v>0.66500000000000004</v>
          </cell>
          <cell r="J372" t="str">
            <v>Orphaned Acct</v>
          </cell>
          <cell r="K372" t="str">
            <v>ROCK FALLS</v>
          </cell>
          <cell r="L372" t="str">
            <v>IL</v>
          </cell>
          <cell r="M372" t="str">
            <v>800-577-8858</v>
          </cell>
          <cell r="N372" t="str">
            <v>All tandem axle trailers must have BRK2</v>
          </cell>
          <cell r="O372">
            <v>803</v>
          </cell>
          <cell r="P372">
            <v>3452.8999999999996</v>
          </cell>
          <cell r="Q372">
            <v>936</v>
          </cell>
          <cell r="R372">
            <v>4024.7999999999997</v>
          </cell>
          <cell r="S372"/>
          <cell r="T372">
            <v>0</v>
          </cell>
          <cell r="U372">
            <v>835</v>
          </cell>
          <cell r="V372">
            <v>3590.5</v>
          </cell>
          <cell r="W372">
            <v>883</v>
          </cell>
          <cell r="X372">
            <v>3796.8999999999996</v>
          </cell>
          <cell r="Y372">
            <v>444</v>
          </cell>
          <cell r="Z372">
            <v>1909.1999999999998</v>
          </cell>
          <cell r="AA372">
            <v>444</v>
          </cell>
          <cell r="AB372">
            <v>1909.1999999999998</v>
          </cell>
          <cell r="AC372">
            <v>444</v>
          </cell>
          <cell r="AD372">
            <v>1909.1999999999998</v>
          </cell>
          <cell r="AE372"/>
          <cell r="AF372"/>
          <cell r="AG372"/>
          <cell r="AH372"/>
          <cell r="AI372"/>
          <cell r="AJ372">
            <v>0</v>
          </cell>
          <cell r="AK372" t="str">
            <v>3P</v>
          </cell>
          <cell r="AL372">
            <v>213</v>
          </cell>
          <cell r="AM372">
            <v>86</v>
          </cell>
          <cell r="AN372" t="str">
            <v>08 Inactive Dealer</v>
          </cell>
          <cell r="AO372" t="str">
            <v>Midwest</v>
          </cell>
          <cell r="AP372" t="str">
            <v>Central</v>
          </cell>
          <cell r="AQ372"/>
          <cell r="AR372">
            <v>0</v>
          </cell>
          <cell r="AS372">
            <v>0</v>
          </cell>
        </row>
        <row r="373">
          <cell r="A373">
            <v>12970</v>
          </cell>
          <cell r="B373" t="str">
            <v>CLAUSS</v>
          </cell>
          <cell r="C373" t="str">
            <v>M10793</v>
          </cell>
          <cell r="D373" t="str">
            <v>NET 5, BT+</v>
          </cell>
          <cell r="E373" t="str">
            <v>FP - Wells Fargo</v>
          </cell>
          <cell r="F373" t="str">
            <v>Yes</v>
          </cell>
          <cell r="G373" t="str">
            <v>OH</v>
          </cell>
          <cell r="H373">
            <v>8</v>
          </cell>
          <cell r="I373">
            <v>0.66500000000000004</v>
          </cell>
          <cell r="J373" t="str">
            <v>Orphaned Acct</v>
          </cell>
          <cell r="K373" t="str">
            <v>CISSNA PARK</v>
          </cell>
          <cell r="L373" t="str">
            <v>IL</v>
          </cell>
          <cell r="M373" t="str">
            <v>800-577-8858</v>
          </cell>
          <cell r="N373"/>
          <cell r="O373">
            <v>762</v>
          </cell>
          <cell r="P373">
            <v>3276.6</v>
          </cell>
          <cell r="Q373">
            <v>756</v>
          </cell>
          <cell r="R373">
            <v>3250.7999999999997</v>
          </cell>
          <cell r="S373"/>
          <cell r="T373">
            <v>0</v>
          </cell>
          <cell r="U373">
            <v>786</v>
          </cell>
          <cell r="V373">
            <v>3379.7999999999997</v>
          </cell>
          <cell r="W373">
            <v>842</v>
          </cell>
          <cell r="X373">
            <v>3620.6</v>
          </cell>
          <cell r="Y373">
            <v>288</v>
          </cell>
          <cell r="Z373">
            <v>1238.3999999999999</v>
          </cell>
          <cell r="AA373">
            <v>288</v>
          </cell>
          <cell r="AB373">
            <v>1238.3999999999999</v>
          </cell>
          <cell r="AC373">
            <v>288</v>
          </cell>
          <cell r="AD373">
            <v>1238.3999999999999</v>
          </cell>
          <cell r="AE373"/>
          <cell r="AF373"/>
          <cell r="AG373"/>
          <cell r="AH373"/>
          <cell r="AI373"/>
          <cell r="AJ373">
            <v>0</v>
          </cell>
          <cell r="AK373" t="str">
            <v>3P</v>
          </cell>
          <cell r="AL373">
            <v>213</v>
          </cell>
          <cell r="AM373">
            <v>225</v>
          </cell>
          <cell r="AN373" t="str">
            <v>08 Inactive Dealer</v>
          </cell>
          <cell r="AO373" t="str">
            <v>Midwest</v>
          </cell>
          <cell r="AP373" t="str">
            <v>Central</v>
          </cell>
          <cell r="AQ373"/>
          <cell r="AR373">
            <v>0</v>
          </cell>
          <cell r="AS373">
            <v>0</v>
          </cell>
        </row>
        <row r="374">
          <cell r="A374">
            <v>12759</v>
          </cell>
          <cell r="B374" t="str">
            <v>COUNTRY BLACKSMITH, LLC</v>
          </cell>
          <cell r="C374" t="str">
            <v>M10161</v>
          </cell>
          <cell r="D374" t="str">
            <v>NET 5, BT+</v>
          </cell>
          <cell r="E374" t="str">
            <v>FP</v>
          </cell>
          <cell r="F374" t="str">
            <v>Yes</v>
          </cell>
          <cell r="G374" t="str">
            <v>OH</v>
          </cell>
          <cell r="H374">
            <v>8</v>
          </cell>
          <cell r="I374">
            <v>0.66500000000000004</v>
          </cell>
          <cell r="J374" t="str">
            <v>Orphaned Acct</v>
          </cell>
          <cell r="K374" t="str">
            <v>MT. VERNON</v>
          </cell>
          <cell r="L374" t="str">
            <v>IL</v>
          </cell>
          <cell r="M374" t="str">
            <v>800-577-8858</v>
          </cell>
          <cell r="N374"/>
          <cell r="O374">
            <v>578</v>
          </cell>
          <cell r="P374">
            <v>2485.4</v>
          </cell>
          <cell r="Q374">
            <v>627</v>
          </cell>
          <cell r="R374">
            <v>2696.1</v>
          </cell>
          <cell r="S374"/>
          <cell r="T374">
            <v>0</v>
          </cell>
          <cell r="U374">
            <v>643</v>
          </cell>
          <cell r="V374">
            <v>2764.9</v>
          </cell>
          <cell r="W374">
            <v>658</v>
          </cell>
          <cell r="X374">
            <v>2829.4</v>
          </cell>
          <cell r="Y374">
            <v>314</v>
          </cell>
          <cell r="Z374">
            <v>1350.2</v>
          </cell>
          <cell r="AA374">
            <v>314</v>
          </cell>
          <cell r="AB374">
            <v>1350.2</v>
          </cell>
          <cell r="AC374">
            <v>314</v>
          </cell>
          <cell r="AD374">
            <v>1350.2</v>
          </cell>
          <cell r="AE374"/>
          <cell r="AF374"/>
          <cell r="AG374"/>
          <cell r="AH374"/>
          <cell r="AI374"/>
          <cell r="AJ374">
            <v>0</v>
          </cell>
          <cell r="AK374" t="str">
            <v>3P</v>
          </cell>
          <cell r="AL374">
            <v>213</v>
          </cell>
          <cell r="AM374">
            <v>308</v>
          </cell>
          <cell r="AN374" t="str">
            <v>08 Inactive Dealer</v>
          </cell>
          <cell r="AO374" t="str">
            <v>Midwest</v>
          </cell>
          <cell r="AP374" t="str">
            <v>Central</v>
          </cell>
          <cell r="AQ374"/>
          <cell r="AR374">
            <v>0</v>
          </cell>
          <cell r="AS374">
            <v>0</v>
          </cell>
        </row>
        <row r="375">
          <cell r="A375">
            <v>12525</v>
          </cell>
          <cell r="B375" t="str">
            <v>DEXTER FARM EQUIPMENT</v>
          </cell>
          <cell r="C375" t="str">
            <v>M10181</v>
          </cell>
          <cell r="D375" t="str">
            <v>NET 5, BT+</v>
          </cell>
          <cell r="E375" t="str">
            <v>COD</v>
          </cell>
          <cell r="F375" t="str">
            <v>Yes</v>
          </cell>
          <cell r="G375" t="str">
            <v>OH</v>
          </cell>
          <cell r="H375">
            <v>7</v>
          </cell>
          <cell r="I375">
            <v>0.66500000000000004</v>
          </cell>
          <cell r="J375" t="str">
            <v>Orphaned Acct</v>
          </cell>
          <cell r="K375" t="str">
            <v>MONMOUTH</v>
          </cell>
          <cell r="L375" t="str">
            <v>IL</v>
          </cell>
          <cell r="M375" t="str">
            <v>800-577-8858</v>
          </cell>
          <cell r="N375"/>
          <cell r="O375">
            <v>744</v>
          </cell>
          <cell r="P375">
            <v>3199.2</v>
          </cell>
          <cell r="Q375">
            <v>909</v>
          </cell>
          <cell r="R375">
            <v>3908.7</v>
          </cell>
          <cell r="S375"/>
          <cell r="T375">
            <v>0</v>
          </cell>
          <cell r="U375">
            <v>704</v>
          </cell>
          <cell r="V375">
            <v>3027.2</v>
          </cell>
          <cell r="W375">
            <v>811</v>
          </cell>
          <cell r="X375">
            <v>3487.2999999999997</v>
          </cell>
          <cell r="Y375">
            <v>431</v>
          </cell>
          <cell r="Z375">
            <v>1853.3</v>
          </cell>
          <cell r="AA375">
            <v>431</v>
          </cell>
          <cell r="AB375">
            <v>1853.3</v>
          </cell>
          <cell r="AC375">
            <v>431</v>
          </cell>
          <cell r="AD375">
            <v>1853.3</v>
          </cell>
          <cell r="AE375"/>
          <cell r="AF375"/>
          <cell r="AG375"/>
          <cell r="AH375"/>
          <cell r="AI375"/>
          <cell r="AJ375">
            <v>0</v>
          </cell>
          <cell r="AK375" t="str">
            <v>3P</v>
          </cell>
          <cell r="AL375">
            <v>213</v>
          </cell>
          <cell r="AM375">
            <v>161</v>
          </cell>
          <cell r="AN375" t="str">
            <v>08 Inactive Dealer</v>
          </cell>
          <cell r="AO375" t="str">
            <v>Midwest</v>
          </cell>
          <cell r="AP375" t="str">
            <v>Central</v>
          </cell>
          <cell r="AQ375"/>
          <cell r="AR375">
            <v>0</v>
          </cell>
          <cell r="AS375">
            <v>0</v>
          </cell>
          <cell r="AT375"/>
        </row>
        <row r="376">
          <cell r="A376">
            <v>12868</v>
          </cell>
          <cell r="B376" t="str">
            <v>DEXTER FARM EQUIPMENT</v>
          </cell>
          <cell r="C376" t="str">
            <v>M10181</v>
          </cell>
          <cell r="D376" t="str">
            <v>NET 5, BT+</v>
          </cell>
          <cell r="E376" t="str">
            <v>F5 - Wells Fargo</v>
          </cell>
          <cell r="F376" t="str">
            <v>Yes</v>
          </cell>
          <cell r="G376" t="str">
            <v>OH</v>
          </cell>
          <cell r="H376">
            <v>8</v>
          </cell>
          <cell r="I376">
            <v>0.66500000000000004</v>
          </cell>
          <cell r="J376" t="str">
            <v>Orphaned Acct</v>
          </cell>
          <cell r="K376" t="str">
            <v>MONMOUTH</v>
          </cell>
          <cell r="L376" t="str">
            <v>IL</v>
          </cell>
          <cell r="M376" t="str">
            <v>800-577-8858</v>
          </cell>
          <cell r="N376"/>
          <cell r="O376">
            <v>744</v>
          </cell>
          <cell r="P376">
            <v>3199.2</v>
          </cell>
          <cell r="Q376">
            <v>909</v>
          </cell>
          <cell r="R376">
            <v>3908.7</v>
          </cell>
          <cell r="S376"/>
          <cell r="T376">
            <v>0</v>
          </cell>
          <cell r="U376">
            <v>704</v>
          </cell>
          <cell r="V376">
            <v>3027.2</v>
          </cell>
          <cell r="W376">
            <v>811</v>
          </cell>
          <cell r="X376">
            <v>3487.2999999999997</v>
          </cell>
          <cell r="Y376">
            <v>431</v>
          </cell>
          <cell r="Z376">
            <v>1853.3</v>
          </cell>
          <cell r="AA376">
            <v>431</v>
          </cell>
          <cell r="AB376">
            <v>1853.3</v>
          </cell>
          <cell r="AC376">
            <v>431</v>
          </cell>
          <cell r="AD376">
            <v>1853.3</v>
          </cell>
          <cell r="AE376"/>
          <cell r="AF376"/>
          <cell r="AG376"/>
          <cell r="AH376"/>
          <cell r="AI376"/>
          <cell r="AJ376">
            <v>0</v>
          </cell>
          <cell r="AK376" t="str">
            <v>3P</v>
          </cell>
          <cell r="AL376">
            <v>213</v>
          </cell>
          <cell r="AM376">
            <v>161</v>
          </cell>
          <cell r="AN376" t="str">
            <v>08 Inactive Dealer</v>
          </cell>
          <cell r="AO376" t="str">
            <v>Midwest</v>
          </cell>
          <cell r="AP376" t="str">
            <v>Central</v>
          </cell>
          <cell r="AQ376"/>
          <cell r="AR376">
            <v>0</v>
          </cell>
          <cell r="AS376">
            <v>0</v>
          </cell>
          <cell r="AT376"/>
        </row>
        <row r="377">
          <cell r="A377">
            <v>10229</v>
          </cell>
          <cell r="B377" t="str">
            <v>GENE FUNK'S MORRIS TRAILER</v>
          </cell>
          <cell r="C377" t="str">
            <v>M10202</v>
          </cell>
          <cell r="D377" t="str">
            <v>NET 5, BT+</v>
          </cell>
          <cell r="E377" t="str">
            <v>CO</v>
          </cell>
          <cell r="F377" t="str">
            <v>Yes</v>
          </cell>
          <cell r="G377" t="str">
            <v>OH</v>
          </cell>
          <cell r="H377">
            <v>7</v>
          </cell>
          <cell r="I377">
            <v>0.66500000000000004</v>
          </cell>
          <cell r="J377" t="str">
            <v>Orphaned Acct</v>
          </cell>
          <cell r="K377" t="str">
            <v>MORRIS</v>
          </cell>
          <cell r="L377" t="str">
            <v>IL</v>
          </cell>
          <cell r="M377" t="str">
            <v>800-577-8858</v>
          </cell>
          <cell r="N377" t="str">
            <v>All tandem axle trailers must have BRK2</v>
          </cell>
          <cell r="O377">
            <v>788</v>
          </cell>
          <cell r="P377">
            <v>3388.3999999999996</v>
          </cell>
          <cell r="Q377">
            <v>857</v>
          </cell>
          <cell r="R377">
            <v>3685.1</v>
          </cell>
          <cell r="S377"/>
          <cell r="T377">
            <v>0</v>
          </cell>
          <cell r="U377">
            <v>804</v>
          </cell>
          <cell r="V377">
            <v>3457.2</v>
          </cell>
          <cell r="W377">
            <v>868</v>
          </cell>
          <cell r="X377">
            <v>3732.3999999999996</v>
          </cell>
          <cell r="Y377">
            <v>347</v>
          </cell>
          <cell r="Z377">
            <v>1492.1</v>
          </cell>
          <cell r="AA377">
            <v>347</v>
          </cell>
          <cell r="AB377">
            <v>1492.1</v>
          </cell>
          <cell r="AC377">
            <v>347</v>
          </cell>
          <cell r="AD377">
            <v>1492.1</v>
          </cell>
          <cell r="AE377"/>
          <cell r="AF377"/>
          <cell r="AG377"/>
          <cell r="AH377"/>
          <cell r="AI377"/>
          <cell r="AJ377">
            <v>0</v>
          </cell>
          <cell r="AK377" t="str">
            <v>3P</v>
          </cell>
          <cell r="AL377">
            <v>213</v>
          </cell>
          <cell r="AM377">
            <v>78</v>
          </cell>
          <cell r="AN377" t="str">
            <v>08 Inactive Dealer</v>
          </cell>
          <cell r="AO377" t="str">
            <v>Midwest</v>
          </cell>
          <cell r="AP377" t="str">
            <v>Central</v>
          </cell>
          <cell r="AQ377"/>
          <cell r="AR377">
            <v>0</v>
          </cell>
          <cell r="AS377">
            <v>0</v>
          </cell>
          <cell r="AT377"/>
        </row>
        <row r="378">
          <cell r="A378">
            <v>12954</v>
          </cell>
          <cell r="B378" t="str">
            <v>GRITHER PAINT AND BODY</v>
          </cell>
          <cell r="C378" t="str">
            <v>M10488</v>
          </cell>
          <cell r="D378" t="str">
            <v>NET 5, BT+</v>
          </cell>
          <cell r="E378" t="str">
            <v>CO</v>
          </cell>
          <cell r="F378" t="str">
            <v>Yes</v>
          </cell>
          <cell r="G378" t="str">
            <v>OH</v>
          </cell>
          <cell r="H378">
            <v>7</v>
          </cell>
          <cell r="I378">
            <v>0.66500000000000004</v>
          </cell>
          <cell r="J378" t="str">
            <v>Orphaned Acct</v>
          </cell>
          <cell r="K378" t="str">
            <v>MURPHYSBORO</v>
          </cell>
          <cell r="L378" t="str">
            <v>IL</v>
          </cell>
          <cell r="M378" t="str">
            <v>800-577-8858</v>
          </cell>
          <cell r="N378" t="str">
            <v>All tandem axle trailers must have BRK2</v>
          </cell>
          <cell r="O378">
            <v>541</v>
          </cell>
          <cell r="P378">
            <v>2326.2999999999997</v>
          </cell>
          <cell r="Q378">
            <v>637</v>
          </cell>
          <cell r="R378">
            <v>2739.1</v>
          </cell>
          <cell r="S378"/>
          <cell r="T378">
            <v>0</v>
          </cell>
          <cell r="U378">
            <v>637</v>
          </cell>
          <cell r="V378">
            <v>2739.1</v>
          </cell>
          <cell r="W378">
            <v>621</v>
          </cell>
          <cell r="X378">
            <v>2670.2999999999997</v>
          </cell>
          <cell r="Y378">
            <v>372</v>
          </cell>
          <cell r="Z378">
            <v>1599.6</v>
          </cell>
          <cell r="AA378">
            <v>372</v>
          </cell>
          <cell r="AB378">
            <v>1599.6</v>
          </cell>
          <cell r="AC378">
            <v>372</v>
          </cell>
          <cell r="AD378">
            <v>1599.6</v>
          </cell>
          <cell r="AE378"/>
          <cell r="AF378"/>
          <cell r="AG378"/>
          <cell r="AH378"/>
          <cell r="AI378"/>
          <cell r="AJ378">
            <v>0</v>
          </cell>
          <cell r="AK378" t="str">
            <v>3P</v>
          </cell>
          <cell r="AL378">
            <v>213</v>
          </cell>
          <cell r="AM378">
            <v>67</v>
          </cell>
          <cell r="AN378" t="str">
            <v>08 Inactive Dealer</v>
          </cell>
          <cell r="AO378" t="str">
            <v>Midwest</v>
          </cell>
          <cell r="AP378" t="str">
            <v>Central</v>
          </cell>
          <cell r="AQ378"/>
          <cell r="AR378">
            <v>0</v>
          </cell>
          <cell r="AS378">
            <v>0</v>
          </cell>
          <cell r="AT378"/>
        </row>
        <row r="379">
          <cell r="A379">
            <v>12961</v>
          </cell>
          <cell r="B379" t="str">
            <v>ILLINOIS TRAILER SALES</v>
          </cell>
          <cell r="C379" t="str">
            <v>M10691</v>
          </cell>
          <cell r="D379" t="str">
            <v>NET 5, BT+</v>
          </cell>
          <cell r="E379" t="str">
            <v>CO</v>
          </cell>
          <cell r="F379" t="str">
            <v>Yes</v>
          </cell>
          <cell r="G379" t="str">
            <v>OH</v>
          </cell>
          <cell r="H379">
            <v>7</v>
          </cell>
          <cell r="I379">
            <v>0.66500000000000004</v>
          </cell>
          <cell r="J379" t="str">
            <v>Orphaned Acct</v>
          </cell>
          <cell r="K379" t="str">
            <v>MONTICELLO</v>
          </cell>
          <cell r="L379" t="str">
            <v>IL</v>
          </cell>
          <cell r="M379" t="str">
            <v>800-577-8858</v>
          </cell>
          <cell r="N379" t="str">
            <v>All tandem axle trailers must have BRK2</v>
          </cell>
          <cell r="O379">
            <v>735</v>
          </cell>
          <cell r="P379">
            <v>3160.5</v>
          </cell>
          <cell r="Q379">
            <v>784</v>
          </cell>
          <cell r="R379">
            <v>3371.2</v>
          </cell>
          <cell r="S379"/>
          <cell r="T379">
            <v>0</v>
          </cell>
          <cell r="U379">
            <v>729</v>
          </cell>
          <cell r="V379">
            <v>3134.7</v>
          </cell>
          <cell r="W379">
            <v>815</v>
          </cell>
          <cell r="X379">
            <v>3504.5</v>
          </cell>
          <cell r="Y379">
            <v>299</v>
          </cell>
          <cell r="Z379">
            <v>1285.7</v>
          </cell>
          <cell r="AA379">
            <v>299</v>
          </cell>
          <cell r="AB379">
            <v>1285.7</v>
          </cell>
          <cell r="AC379">
            <v>299</v>
          </cell>
          <cell r="AD379">
            <v>1285.7</v>
          </cell>
          <cell r="AE379"/>
          <cell r="AF379"/>
          <cell r="AG379"/>
          <cell r="AH379"/>
          <cell r="AI379"/>
          <cell r="AJ379">
            <v>0</v>
          </cell>
          <cell r="AK379" t="str">
            <v>3P</v>
          </cell>
          <cell r="AL379">
            <v>213</v>
          </cell>
          <cell r="AM379">
            <v>101</v>
          </cell>
          <cell r="AN379" t="str">
            <v>08 Inactive Dealer</v>
          </cell>
          <cell r="AO379" t="str">
            <v>Midwest</v>
          </cell>
          <cell r="AP379" t="str">
            <v>Central</v>
          </cell>
          <cell r="AQ379"/>
          <cell r="AR379">
            <v>0</v>
          </cell>
          <cell r="AS379">
            <v>0</v>
          </cell>
          <cell r="AT379"/>
        </row>
        <row r="380">
          <cell r="A380">
            <v>12434</v>
          </cell>
          <cell r="B380" t="str">
            <v>KATE'S KARS AND TRAILER SALES, INC.</v>
          </cell>
          <cell r="C380" t="str">
            <v>M10250</v>
          </cell>
          <cell r="D380" t="str">
            <v>NET 5, BT+</v>
          </cell>
          <cell r="E380" t="str">
            <v>CO</v>
          </cell>
          <cell r="F380" t="str">
            <v>Yes</v>
          </cell>
          <cell r="G380" t="str">
            <v>OH</v>
          </cell>
          <cell r="H380">
            <v>7</v>
          </cell>
          <cell r="I380">
            <v>0.66500000000000004</v>
          </cell>
          <cell r="J380" t="str">
            <v>Orphaned Acct</v>
          </cell>
          <cell r="K380" t="str">
            <v>ARTHUR</v>
          </cell>
          <cell r="L380" t="str">
            <v>IL</v>
          </cell>
          <cell r="M380" t="str">
            <v>800-577-8858</v>
          </cell>
          <cell r="N380"/>
          <cell r="O380">
            <v>696</v>
          </cell>
          <cell r="P380">
            <v>2992.7999999999997</v>
          </cell>
          <cell r="Q380">
            <v>745</v>
          </cell>
          <cell r="R380">
            <v>3203.5</v>
          </cell>
          <cell r="S380"/>
          <cell r="T380">
            <v>0</v>
          </cell>
          <cell r="U380">
            <v>720</v>
          </cell>
          <cell r="V380">
            <v>3096</v>
          </cell>
          <cell r="W380">
            <v>776</v>
          </cell>
          <cell r="X380">
            <v>3336.7999999999997</v>
          </cell>
          <cell r="Y380">
            <v>295</v>
          </cell>
          <cell r="Z380">
            <v>1268.5</v>
          </cell>
          <cell r="AA380">
            <v>295</v>
          </cell>
          <cell r="AB380">
            <v>1268.5</v>
          </cell>
          <cell r="AC380">
            <v>295</v>
          </cell>
          <cell r="AD380">
            <v>1268.5</v>
          </cell>
          <cell r="AE380"/>
          <cell r="AF380"/>
          <cell r="AG380"/>
          <cell r="AH380"/>
          <cell r="AI380"/>
          <cell r="AJ380">
            <v>0</v>
          </cell>
          <cell r="AK380" t="str">
            <v>3P</v>
          </cell>
          <cell r="AL380">
            <v>213</v>
          </cell>
          <cell r="AM380">
            <v>260</v>
          </cell>
          <cell r="AN380" t="str">
            <v>08 Inactive Dealer</v>
          </cell>
          <cell r="AO380" t="str">
            <v>Midwest</v>
          </cell>
          <cell r="AP380" t="str">
            <v>Central</v>
          </cell>
          <cell r="AQ380"/>
          <cell r="AR380">
            <v>0</v>
          </cell>
          <cell r="AS380">
            <v>0</v>
          </cell>
          <cell r="AT380"/>
        </row>
        <row r="381">
          <cell r="A381">
            <v>13475</v>
          </cell>
          <cell r="B381" t="str">
            <v>KNAPHEIDE TRUCK EQUIP</v>
          </cell>
          <cell r="C381" t="str">
            <v>M10339</v>
          </cell>
          <cell r="D381" t="str">
            <v>Return Mail, no pink card</v>
          </cell>
          <cell r="E381" t="str">
            <v>RM</v>
          </cell>
          <cell r="F381" t="str">
            <v>Yes</v>
          </cell>
          <cell r="G381" t="str">
            <v>OH</v>
          </cell>
          <cell r="H381">
            <v>5</v>
          </cell>
          <cell r="I381">
            <v>0.66500000000000004</v>
          </cell>
          <cell r="J381" t="str">
            <v>Dakota Nation</v>
          </cell>
          <cell r="K381" t="str">
            <v>McHENRY</v>
          </cell>
          <cell r="L381" t="str">
            <v>IL</v>
          </cell>
          <cell r="M381" t="str">
            <v>800-577-8858</v>
          </cell>
          <cell r="N381"/>
          <cell r="O381">
            <v>902</v>
          </cell>
          <cell r="P381">
            <v>3878.6</v>
          </cell>
          <cell r="Q381">
            <v>922</v>
          </cell>
          <cell r="R381">
            <v>3964.6</v>
          </cell>
          <cell r="S381"/>
          <cell r="T381">
            <v>0</v>
          </cell>
          <cell r="U381">
            <v>892</v>
          </cell>
          <cell r="V381">
            <v>3835.6</v>
          </cell>
          <cell r="W381">
            <v>982</v>
          </cell>
          <cell r="X381">
            <v>4222.5999999999995</v>
          </cell>
          <cell r="Y381">
            <v>391</v>
          </cell>
          <cell r="Z381">
            <v>1681.3</v>
          </cell>
          <cell r="AA381">
            <v>376</v>
          </cell>
          <cell r="AB381">
            <v>1616.8</v>
          </cell>
          <cell r="AC381">
            <v>376</v>
          </cell>
          <cell r="AD381">
            <v>1616.8</v>
          </cell>
          <cell r="AE381"/>
          <cell r="AF381"/>
          <cell r="AG381"/>
          <cell r="AH381"/>
          <cell r="AI381"/>
          <cell r="AJ381">
            <v>0</v>
          </cell>
          <cell r="AK381" t="str">
            <v>3P</v>
          </cell>
          <cell r="AL381">
            <v>223</v>
          </cell>
          <cell r="AM381">
            <v>78</v>
          </cell>
          <cell r="AN381" t="str">
            <v>01 Existing Dealer</v>
          </cell>
          <cell r="AO381" t="str">
            <v>Midwest</v>
          </cell>
          <cell r="AP381" t="str">
            <v>Central</v>
          </cell>
          <cell r="AQ381"/>
          <cell r="AR381">
            <v>0</v>
          </cell>
          <cell r="AS381">
            <v>114383</v>
          </cell>
        </row>
        <row r="382">
          <cell r="A382">
            <v>12730</v>
          </cell>
          <cell r="B382" t="str">
            <v>LOMBARDO SALES, INC</v>
          </cell>
          <cell r="C382"/>
          <cell r="D382" t="str">
            <v>NET 5, BT+</v>
          </cell>
          <cell r="E382" t="str">
            <v>FP - Northpoint</v>
          </cell>
          <cell r="F382" t="str">
            <v>Yes</v>
          </cell>
          <cell r="G382" t="str">
            <v>OH</v>
          </cell>
          <cell r="H382">
            <v>8</v>
          </cell>
          <cell r="I382">
            <v>0.66500000000000004</v>
          </cell>
          <cell r="J382" t="str">
            <v>Orphaned Acct</v>
          </cell>
          <cell r="K382" t="str">
            <v>LEBANON</v>
          </cell>
          <cell r="L382" t="str">
            <v>IL</v>
          </cell>
          <cell r="M382" t="str">
            <v>800-577-8858</v>
          </cell>
          <cell r="N382"/>
          <cell r="O382">
            <v>573</v>
          </cell>
          <cell r="P382">
            <v>2463.9</v>
          </cell>
          <cell r="Q382">
            <v>681</v>
          </cell>
          <cell r="R382">
            <v>2928.2999999999997</v>
          </cell>
          <cell r="S382"/>
          <cell r="T382">
            <v>0</v>
          </cell>
          <cell r="U382">
            <v>589</v>
          </cell>
          <cell r="V382">
            <v>2532.6999999999998</v>
          </cell>
          <cell r="W382">
            <v>654</v>
          </cell>
          <cell r="X382">
            <v>2812.2</v>
          </cell>
          <cell r="Y382">
            <v>372</v>
          </cell>
          <cell r="Z382">
            <v>1599.6</v>
          </cell>
          <cell r="AA382">
            <v>372</v>
          </cell>
          <cell r="AB382">
            <v>1599.6</v>
          </cell>
          <cell r="AC382">
            <v>372</v>
          </cell>
          <cell r="AD382">
            <v>1599.6</v>
          </cell>
          <cell r="AE382"/>
          <cell r="AF382"/>
          <cell r="AG382"/>
          <cell r="AH382"/>
          <cell r="AI382"/>
          <cell r="AJ382">
            <v>0.01</v>
          </cell>
          <cell r="AK382" t="str">
            <v>3P</v>
          </cell>
          <cell r="AL382">
            <v>213</v>
          </cell>
          <cell r="AM382">
            <v>394</v>
          </cell>
          <cell r="AN382" t="str">
            <v>08 Inactive Dealer</v>
          </cell>
          <cell r="AO382" t="str">
            <v>Midwest</v>
          </cell>
          <cell r="AP382" t="str">
            <v>Central</v>
          </cell>
          <cell r="AQ382"/>
          <cell r="AR382">
            <v>0</v>
          </cell>
          <cell r="AS382">
            <v>0</v>
          </cell>
        </row>
        <row r="383">
          <cell r="A383">
            <v>13461</v>
          </cell>
          <cell r="B383" t="str">
            <v>MIDWAY TRAILER (IL)</v>
          </cell>
          <cell r="C383" t="str">
            <v>M10286</v>
          </cell>
          <cell r="D383" t="str">
            <v>NET 5, BT+</v>
          </cell>
          <cell r="E383" t="str">
            <v>CO</v>
          </cell>
          <cell r="F383" t="str">
            <v>Yes</v>
          </cell>
          <cell r="G383" t="str">
            <v>OH</v>
          </cell>
          <cell r="H383">
            <v>7</v>
          </cell>
          <cell r="I383">
            <v>0.66500000000000004</v>
          </cell>
          <cell r="J383" t="str">
            <v>Trent Evans</v>
          </cell>
          <cell r="K383" t="str">
            <v>OTTAWA</v>
          </cell>
          <cell r="L383" t="str">
            <v>IL</v>
          </cell>
          <cell r="M383" t="str">
            <v>800-577-8858</v>
          </cell>
          <cell r="N383"/>
          <cell r="O383">
            <v>788</v>
          </cell>
          <cell r="P383">
            <v>3388.3999999999996</v>
          </cell>
          <cell r="Q383">
            <v>894</v>
          </cell>
          <cell r="R383">
            <v>3844.2</v>
          </cell>
          <cell r="S383"/>
          <cell r="T383">
            <v>0</v>
          </cell>
          <cell r="U383">
            <v>804</v>
          </cell>
          <cell r="V383">
            <v>3457.2</v>
          </cell>
          <cell r="W383">
            <v>868</v>
          </cell>
          <cell r="X383">
            <v>3732.3999999999996</v>
          </cell>
          <cell r="Y383">
            <v>387</v>
          </cell>
          <cell r="Z383">
            <v>1664.1</v>
          </cell>
          <cell r="AA383">
            <v>387</v>
          </cell>
          <cell r="AB383">
            <v>1664.1</v>
          </cell>
          <cell r="AC383">
            <v>387</v>
          </cell>
          <cell r="AD383">
            <v>1664.1</v>
          </cell>
          <cell r="AE383"/>
          <cell r="AF383"/>
          <cell r="AG383"/>
          <cell r="AH383"/>
          <cell r="AI383"/>
          <cell r="AJ383">
            <v>0</v>
          </cell>
          <cell r="AK383" t="str">
            <v>3P</v>
          </cell>
          <cell r="AL383">
            <v>226</v>
          </cell>
          <cell r="AM383">
            <v>243</v>
          </cell>
          <cell r="AN383" t="str">
            <v>01 Existing Dealer</v>
          </cell>
          <cell r="AO383" t="str">
            <v>Midwest</v>
          </cell>
          <cell r="AP383" t="str">
            <v>Central</v>
          </cell>
          <cell r="AQ383"/>
          <cell r="AR383">
            <v>0</v>
          </cell>
          <cell r="AS383">
            <v>34269</v>
          </cell>
        </row>
        <row r="384">
          <cell r="A384">
            <v>12909</v>
          </cell>
          <cell r="B384" t="str">
            <v>MIDWAY TRAILER (IL)</v>
          </cell>
          <cell r="C384" t="str">
            <v>M10286</v>
          </cell>
          <cell r="D384" t="str">
            <v>NET 5, BT+</v>
          </cell>
          <cell r="E384" t="str">
            <v>FP - Wells Fargo</v>
          </cell>
          <cell r="F384" t="str">
            <v>Yes</v>
          </cell>
          <cell r="G384" t="str">
            <v>OH</v>
          </cell>
          <cell r="H384">
            <v>8</v>
          </cell>
          <cell r="I384">
            <v>0.66500000000000004</v>
          </cell>
          <cell r="J384" t="str">
            <v>Trent Evans</v>
          </cell>
          <cell r="K384" t="str">
            <v>OTTAWA</v>
          </cell>
          <cell r="L384" t="str">
            <v>IL</v>
          </cell>
          <cell r="M384" t="str">
            <v>800-577-8858</v>
          </cell>
          <cell r="N384"/>
          <cell r="O384">
            <v>788</v>
          </cell>
          <cell r="P384">
            <v>3388.3999999999996</v>
          </cell>
          <cell r="Q384">
            <v>894</v>
          </cell>
          <cell r="R384">
            <v>3844.2</v>
          </cell>
          <cell r="S384"/>
          <cell r="T384">
            <v>0</v>
          </cell>
          <cell r="U384">
            <v>804</v>
          </cell>
          <cell r="V384">
            <v>3457.2</v>
          </cell>
          <cell r="W384">
            <v>868</v>
          </cell>
          <cell r="X384">
            <v>3732.3999999999996</v>
          </cell>
          <cell r="Y384">
            <v>387</v>
          </cell>
          <cell r="Z384">
            <v>1664.1</v>
          </cell>
          <cell r="AA384">
            <v>387</v>
          </cell>
          <cell r="AB384">
            <v>1664.1</v>
          </cell>
          <cell r="AC384">
            <v>387</v>
          </cell>
          <cell r="AD384">
            <v>1664.1</v>
          </cell>
          <cell r="AE384"/>
          <cell r="AF384"/>
          <cell r="AG384"/>
          <cell r="AH384"/>
          <cell r="AI384"/>
          <cell r="AJ384">
            <v>0</v>
          </cell>
          <cell r="AK384" t="str">
            <v>3P</v>
          </cell>
          <cell r="AL384">
            <v>226</v>
          </cell>
          <cell r="AM384">
            <v>243</v>
          </cell>
          <cell r="AN384" t="str">
            <v>01 Existing Dealer</v>
          </cell>
          <cell r="AO384" t="str">
            <v>Midwest</v>
          </cell>
          <cell r="AP384" t="str">
            <v>Central</v>
          </cell>
          <cell r="AQ384"/>
          <cell r="AR384">
            <v>0</v>
          </cell>
          <cell r="AS384">
            <v>0</v>
          </cell>
          <cell r="AT384"/>
        </row>
        <row r="385">
          <cell r="A385">
            <v>13133</v>
          </cell>
          <cell r="B385" t="str">
            <v>OUTDOOR POWER</v>
          </cell>
          <cell r="C385" t="str">
            <v>M11055</v>
          </cell>
          <cell r="D385" t="str">
            <v>NET 5, BT+</v>
          </cell>
          <cell r="E385" t="str">
            <v>FP - Wells Fargo</v>
          </cell>
          <cell r="F385" t="str">
            <v>Yes</v>
          </cell>
          <cell r="G385" t="str">
            <v>OH</v>
          </cell>
          <cell r="H385">
            <v>7</v>
          </cell>
          <cell r="I385">
            <v>0.66500000000000004</v>
          </cell>
          <cell r="J385" t="str">
            <v>Orphaned Acct</v>
          </cell>
          <cell r="K385" t="str">
            <v>VANDALIA</v>
          </cell>
          <cell r="L385" t="str">
            <v>IL</v>
          </cell>
          <cell r="M385" t="str">
            <v>800-577-8858</v>
          </cell>
          <cell r="N385"/>
          <cell r="O385">
            <v>631</v>
          </cell>
          <cell r="P385">
            <v>2713.2999999999997</v>
          </cell>
          <cell r="Q385">
            <v>680</v>
          </cell>
          <cell r="R385">
            <v>2924</v>
          </cell>
          <cell r="S385"/>
          <cell r="T385">
            <v>0</v>
          </cell>
          <cell r="U385">
            <v>635</v>
          </cell>
          <cell r="V385">
            <v>2730.5</v>
          </cell>
          <cell r="W385">
            <v>711</v>
          </cell>
          <cell r="X385">
            <v>3057.2999999999997</v>
          </cell>
          <cell r="Y385">
            <v>323</v>
          </cell>
          <cell r="Z385">
            <v>1388.8999999999999</v>
          </cell>
          <cell r="AA385">
            <v>323</v>
          </cell>
          <cell r="AB385">
            <v>1388.8999999999999</v>
          </cell>
          <cell r="AC385">
            <v>323</v>
          </cell>
          <cell r="AD385">
            <v>1388.8999999999999</v>
          </cell>
          <cell r="AE385"/>
          <cell r="AF385"/>
          <cell r="AG385"/>
          <cell r="AH385"/>
          <cell r="AI385"/>
          <cell r="AJ385">
            <v>0</v>
          </cell>
          <cell r="AK385"/>
          <cell r="AL385">
            <v>213</v>
          </cell>
          <cell r="AM385">
            <v>109</v>
          </cell>
          <cell r="AN385" t="str">
            <v>01 Existing Dealer</v>
          </cell>
          <cell r="AO385" t="str">
            <v>Midwest</v>
          </cell>
          <cell r="AP385" t="str">
            <v>Central</v>
          </cell>
          <cell r="AQ385"/>
          <cell r="AR385">
            <v>0</v>
          </cell>
          <cell r="AS385">
            <v>0</v>
          </cell>
          <cell r="AT385"/>
        </row>
        <row r="386">
          <cell r="A386">
            <v>10398</v>
          </cell>
          <cell r="B386" t="str">
            <v>R.A. ADAMS</v>
          </cell>
          <cell r="C386" t="str">
            <v>M10339</v>
          </cell>
          <cell r="D386" t="str">
            <v>Return Mail, no pink card</v>
          </cell>
          <cell r="E386" t="str">
            <v>RM</v>
          </cell>
          <cell r="F386" t="str">
            <v>Yes</v>
          </cell>
          <cell r="G386" t="str">
            <v>OH</v>
          </cell>
          <cell r="H386">
            <v>5</v>
          </cell>
          <cell r="I386">
            <v>0.66500000000000004</v>
          </cell>
          <cell r="J386" t="str">
            <v>Dakota Nation</v>
          </cell>
          <cell r="K386" t="str">
            <v>McHENRY</v>
          </cell>
          <cell r="L386" t="str">
            <v>IL</v>
          </cell>
          <cell r="M386" t="str">
            <v>800-577-8858</v>
          </cell>
          <cell r="N386"/>
          <cell r="O386">
            <v>902</v>
          </cell>
          <cell r="P386">
            <v>3878.6</v>
          </cell>
          <cell r="Q386">
            <v>922</v>
          </cell>
          <cell r="R386">
            <v>3964.6</v>
          </cell>
          <cell r="S386"/>
          <cell r="T386">
            <v>0</v>
          </cell>
          <cell r="U386">
            <v>892</v>
          </cell>
          <cell r="V386">
            <v>3835.6</v>
          </cell>
          <cell r="W386">
            <v>982</v>
          </cell>
          <cell r="X386">
            <v>4222.5999999999995</v>
          </cell>
          <cell r="Y386">
            <v>391</v>
          </cell>
          <cell r="Z386">
            <v>1681.3</v>
          </cell>
          <cell r="AA386">
            <v>391</v>
          </cell>
          <cell r="AB386">
            <v>1681.3</v>
          </cell>
          <cell r="AC386">
            <v>391</v>
          </cell>
          <cell r="AD386">
            <v>1681.3</v>
          </cell>
          <cell r="AE386">
            <v>0.05</v>
          </cell>
          <cell r="AF386"/>
          <cell r="AG386">
            <v>0.05</v>
          </cell>
          <cell r="AH386">
            <v>0.05</v>
          </cell>
          <cell r="AI386">
            <v>0.05</v>
          </cell>
          <cell r="AJ386">
            <v>0.01</v>
          </cell>
          <cell r="AK386" t="str">
            <v>3P</v>
          </cell>
          <cell r="AL386">
            <v>223</v>
          </cell>
          <cell r="AM386">
            <v>78</v>
          </cell>
          <cell r="AN386" t="str">
            <v>01 Existing Dealer</v>
          </cell>
          <cell r="AO386" t="str">
            <v>Midwest</v>
          </cell>
          <cell r="AP386" t="str">
            <v>Central</v>
          </cell>
          <cell r="AQ386"/>
          <cell r="AR386">
            <v>0</v>
          </cell>
          <cell r="AS386">
            <v>0</v>
          </cell>
          <cell r="AT386"/>
        </row>
        <row r="387">
          <cell r="A387">
            <v>10420</v>
          </cell>
          <cell r="B387" t="str">
            <v>RONDO</v>
          </cell>
          <cell r="C387" t="str">
            <v>M10357</v>
          </cell>
          <cell r="D387" t="str">
            <v>NET 5, BT+</v>
          </cell>
          <cell r="E387" t="str">
            <v>CO</v>
          </cell>
          <cell r="F387" t="str">
            <v>Yes</v>
          </cell>
          <cell r="G387" t="str">
            <v>OH</v>
          </cell>
          <cell r="H387">
            <v>7</v>
          </cell>
          <cell r="I387">
            <v>0.66500000000000004</v>
          </cell>
          <cell r="J387" t="str">
            <v>Lane Davis</v>
          </cell>
          <cell r="K387" t="str">
            <v>SYCAMORE</v>
          </cell>
          <cell r="L387" t="str">
            <v>IL</v>
          </cell>
          <cell r="M387" t="str">
            <v>800-577-8858</v>
          </cell>
          <cell r="N387" t="str">
            <v>All tandem axle trailers must have BRK2</v>
          </cell>
          <cell r="O387">
            <v>834</v>
          </cell>
          <cell r="P387">
            <v>3586.2</v>
          </cell>
          <cell r="Q387">
            <v>921</v>
          </cell>
          <cell r="R387">
            <v>3960.2999999999997</v>
          </cell>
          <cell r="S387"/>
          <cell r="T387">
            <v>0</v>
          </cell>
          <cell r="U387">
            <v>850</v>
          </cell>
          <cell r="V387">
            <v>3655</v>
          </cell>
          <cell r="W387">
            <v>915</v>
          </cell>
          <cell r="X387">
            <v>3934.5</v>
          </cell>
          <cell r="Y387">
            <v>390</v>
          </cell>
          <cell r="Z387">
            <v>1677</v>
          </cell>
          <cell r="AA387">
            <v>390</v>
          </cell>
          <cell r="AB387">
            <v>1677</v>
          </cell>
          <cell r="AC387">
            <v>390</v>
          </cell>
          <cell r="AD387">
            <v>1677</v>
          </cell>
          <cell r="AE387"/>
          <cell r="AF387"/>
          <cell r="AG387"/>
          <cell r="AH387"/>
          <cell r="AI387"/>
          <cell r="AJ387">
            <v>1.4999999999999999E-2</v>
          </cell>
          <cell r="AK387" t="str">
            <v>3P</v>
          </cell>
          <cell r="AL387">
            <v>275</v>
          </cell>
          <cell r="AM387">
            <v>78</v>
          </cell>
          <cell r="AN387" t="str">
            <v>01 Existing Dealer</v>
          </cell>
          <cell r="AO387" t="str">
            <v>Midwest</v>
          </cell>
          <cell r="AP387" t="str">
            <v>Central</v>
          </cell>
          <cell r="AQ387"/>
          <cell r="AR387">
            <v>0</v>
          </cell>
          <cell r="AS387">
            <v>0</v>
          </cell>
          <cell r="AT387"/>
        </row>
        <row r="388">
          <cell r="A388" t="str">
            <v>10420A</v>
          </cell>
          <cell r="B388" t="str">
            <v>RONDO</v>
          </cell>
          <cell r="C388" t="str">
            <v>M10357</v>
          </cell>
          <cell r="D388" t="str">
            <v>NET 5, BT+</v>
          </cell>
          <cell r="E388" t="str">
            <v>CO</v>
          </cell>
          <cell r="F388" t="str">
            <v>Yes</v>
          </cell>
          <cell r="G388" t="str">
            <v>OH</v>
          </cell>
          <cell r="H388">
            <v>7</v>
          </cell>
          <cell r="I388">
            <v>0.66500000000000004</v>
          </cell>
          <cell r="J388" t="str">
            <v>Lane Davis</v>
          </cell>
          <cell r="K388" t="str">
            <v>ROCKFORD</v>
          </cell>
          <cell r="L388" t="str">
            <v>IL</v>
          </cell>
          <cell r="M388" t="str">
            <v>800-577-8858</v>
          </cell>
          <cell r="N388" t="str">
            <v>All tandem axle trailers must have BRK2</v>
          </cell>
          <cell r="O388">
            <v>833</v>
          </cell>
          <cell r="P388">
            <v>3581.8999999999996</v>
          </cell>
          <cell r="Q388">
            <v>940</v>
          </cell>
          <cell r="R388">
            <v>4042</v>
          </cell>
          <cell r="S388"/>
          <cell r="T388">
            <v>0</v>
          </cell>
          <cell r="U388">
            <v>849</v>
          </cell>
          <cell r="V388">
            <v>3650.7</v>
          </cell>
          <cell r="W388">
            <v>914</v>
          </cell>
          <cell r="X388">
            <v>3930.2</v>
          </cell>
          <cell r="Y388">
            <v>419</v>
          </cell>
          <cell r="Z388">
            <v>1801.6999999999998</v>
          </cell>
          <cell r="AA388">
            <v>419</v>
          </cell>
          <cell r="AB388">
            <v>1801.6999999999998</v>
          </cell>
          <cell r="AC388">
            <v>419</v>
          </cell>
          <cell r="AD388">
            <v>1801.6999999999998</v>
          </cell>
          <cell r="AE388"/>
          <cell r="AF388"/>
          <cell r="AG388"/>
          <cell r="AH388"/>
          <cell r="AI388"/>
          <cell r="AJ388">
            <v>1.4999999999999999E-2</v>
          </cell>
          <cell r="AK388" t="str">
            <v>3P</v>
          </cell>
          <cell r="AL388">
            <v>275</v>
          </cell>
          <cell r="AM388">
            <v>78</v>
          </cell>
          <cell r="AN388" t="str">
            <v>01 Existing Dealer</v>
          </cell>
          <cell r="AO388" t="str">
            <v>Midwest</v>
          </cell>
          <cell r="AP388" t="str">
            <v>Central</v>
          </cell>
          <cell r="AQ388"/>
          <cell r="AR388">
            <v>0</v>
          </cell>
          <cell r="AS388">
            <v>0</v>
          </cell>
          <cell r="AT388"/>
        </row>
        <row r="389">
          <cell r="A389">
            <v>12865</v>
          </cell>
          <cell r="B389" t="str">
            <v>RONDO</v>
          </cell>
          <cell r="C389" t="str">
            <v>M10357</v>
          </cell>
          <cell r="D389" t="str">
            <v>NET 5, BT+</v>
          </cell>
          <cell r="E389" t="str">
            <v>FP - Northpoint</v>
          </cell>
          <cell r="F389" t="str">
            <v>Yes</v>
          </cell>
          <cell r="G389" t="str">
            <v>OH</v>
          </cell>
          <cell r="H389">
            <v>8</v>
          </cell>
          <cell r="I389">
            <v>0.66500000000000004</v>
          </cell>
          <cell r="J389" t="str">
            <v>Lane Davis</v>
          </cell>
          <cell r="K389" t="str">
            <v>SYCAMORE</v>
          </cell>
          <cell r="L389" t="str">
            <v>IL</v>
          </cell>
          <cell r="M389" t="str">
            <v>800-577-8858</v>
          </cell>
          <cell r="N389" t="str">
            <v>All tandem axle trailers must have BRK2</v>
          </cell>
          <cell r="O389">
            <v>834</v>
          </cell>
          <cell r="P389">
            <v>3586.2</v>
          </cell>
          <cell r="Q389">
            <v>921</v>
          </cell>
          <cell r="R389">
            <v>3960.2999999999997</v>
          </cell>
          <cell r="S389"/>
          <cell r="T389">
            <v>0</v>
          </cell>
          <cell r="U389">
            <v>850</v>
          </cell>
          <cell r="V389">
            <v>3655</v>
          </cell>
          <cell r="W389">
            <v>915</v>
          </cell>
          <cell r="X389">
            <v>3934.5</v>
          </cell>
          <cell r="Y389">
            <v>390</v>
          </cell>
          <cell r="Z389">
            <v>1677</v>
          </cell>
          <cell r="AA389">
            <v>390</v>
          </cell>
          <cell r="AB389">
            <v>1677</v>
          </cell>
          <cell r="AC389">
            <v>390</v>
          </cell>
          <cell r="AD389">
            <v>1677</v>
          </cell>
          <cell r="AE389"/>
          <cell r="AF389"/>
          <cell r="AG389"/>
          <cell r="AH389"/>
          <cell r="AI389"/>
          <cell r="AJ389">
            <v>1.4999999999999999E-2</v>
          </cell>
          <cell r="AK389" t="str">
            <v>3P</v>
          </cell>
          <cell r="AL389">
            <v>275</v>
          </cell>
          <cell r="AM389">
            <v>78</v>
          </cell>
          <cell r="AN389" t="str">
            <v>01 Existing Dealer</v>
          </cell>
          <cell r="AO389" t="str">
            <v>Midwest</v>
          </cell>
          <cell r="AP389" t="str">
            <v>Central</v>
          </cell>
          <cell r="AQ389"/>
          <cell r="AR389">
            <v>45699</v>
          </cell>
          <cell r="AS389">
            <v>0</v>
          </cell>
          <cell r="AT389"/>
        </row>
        <row r="390">
          <cell r="A390" t="str">
            <v>12865A</v>
          </cell>
          <cell r="B390" t="str">
            <v>RONDO</v>
          </cell>
          <cell r="C390" t="str">
            <v>M10357</v>
          </cell>
          <cell r="D390" t="str">
            <v>NET 5, BT+</v>
          </cell>
          <cell r="E390" t="str">
            <v>FP - Northpoint</v>
          </cell>
          <cell r="F390" t="str">
            <v>Yes</v>
          </cell>
          <cell r="G390" t="str">
            <v>OH</v>
          </cell>
          <cell r="H390">
            <v>8</v>
          </cell>
          <cell r="I390">
            <v>0.66500000000000004</v>
          </cell>
          <cell r="J390" t="str">
            <v>Lane Davis</v>
          </cell>
          <cell r="K390" t="str">
            <v>ROCKFORD</v>
          </cell>
          <cell r="L390" t="str">
            <v>IL</v>
          </cell>
          <cell r="M390" t="str">
            <v>800-577-8858</v>
          </cell>
          <cell r="N390" t="str">
            <v>All tandem axle trailers must have BRK2</v>
          </cell>
          <cell r="O390">
            <v>833</v>
          </cell>
          <cell r="P390">
            <v>3581.8999999999996</v>
          </cell>
          <cell r="Q390">
            <v>921</v>
          </cell>
          <cell r="R390">
            <v>3960.2999999999997</v>
          </cell>
          <cell r="S390"/>
          <cell r="T390">
            <v>0</v>
          </cell>
          <cell r="U390">
            <v>849</v>
          </cell>
          <cell r="V390">
            <v>3650.7</v>
          </cell>
          <cell r="W390">
            <v>914</v>
          </cell>
          <cell r="X390">
            <v>3930.2</v>
          </cell>
          <cell r="Y390">
            <v>419</v>
          </cell>
          <cell r="Z390">
            <v>1801.6999999999998</v>
          </cell>
          <cell r="AA390">
            <v>419</v>
          </cell>
          <cell r="AB390">
            <v>1801.6999999999998</v>
          </cell>
          <cell r="AC390">
            <v>419</v>
          </cell>
          <cell r="AD390">
            <v>1801.6999999999998</v>
          </cell>
          <cell r="AE390"/>
          <cell r="AF390"/>
          <cell r="AG390"/>
          <cell r="AH390"/>
          <cell r="AI390"/>
          <cell r="AJ390">
            <v>1.4999999999999999E-2</v>
          </cell>
          <cell r="AK390" t="str">
            <v>3P</v>
          </cell>
          <cell r="AL390">
            <v>275</v>
          </cell>
          <cell r="AM390">
            <v>78</v>
          </cell>
          <cell r="AN390" t="str">
            <v>01 Existing Dealer</v>
          </cell>
          <cell r="AO390" t="str">
            <v>Midwest</v>
          </cell>
          <cell r="AP390" t="str">
            <v>Central</v>
          </cell>
          <cell r="AQ390"/>
          <cell r="AR390">
            <v>0</v>
          </cell>
          <cell r="AS390">
            <v>0</v>
          </cell>
          <cell r="AT390"/>
        </row>
        <row r="391">
          <cell r="A391">
            <v>13070</v>
          </cell>
          <cell r="B391" t="str">
            <v>SCOTT EQUIP</v>
          </cell>
          <cell r="C391" t="str">
            <v>M10943</v>
          </cell>
          <cell r="D391" t="str">
            <v>NET 5, BT+</v>
          </cell>
          <cell r="E391" t="str">
            <v>FP - Wells Fargo</v>
          </cell>
          <cell r="F391" t="str">
            <v>Yes</v>
          </cell>
          <cell r="G391" t="str">
            <v>OH</v>
          </cell>
          <cell r="H391">
            <v>8</v>
          </cell>
          <cell r="I391">
            <v>0.66500000000000004</v>
          </cell>
          <cell r="J391" t="str">
            <v>JL Smith</v>
          </cell>
          <cell r="K391" t="str">
            <v>BIGGSVILLE</v>
          </cell>
          <cell r="L391" t="str">
            <v>IL</v>
          </cell>
          <cell r="M391" t="str">
            <v>800-577-8858</v>
          </cell>
          <cell r="N391" t="str">
            <v>All tandem axle trailers must have BRK2</v>
          </cell>
          <cell r="O391">
            <v>753</v>
          </cell>
          <cell r="P391">
            <v>3237.9</v>
          </cell>
          <cell r="Q391">
            <v>891</v>
          </cell>
          <cell r="R391">
            <v>3831.2999999999997</v>
          </cell>
          <cell r="S391"/>
          <cell r="T391">
            <v>0</v>
          </cell>
          <cell r="U391">
            <v>691</v>
          </cell>
          <cell r="V391">
            <v>2971.2999999999997</v>
          </cell>
          <cell r="W391">
            <v>799</v>
          </cell>
          <cell r="X391">
            <v>3435.7</v>
          </cell>
          <cell r="Y391">
            <v>447</v>
          </cell>
          <cell r="Z391">
            <v>1922.1</v>
          </cell>
          <cell r="AA391">
            <v>447</v>
          </cell>
          <cell r="AB391">
            <v>1922.1</v>
          </cell>
          <cell r="AC391">
            <v>447</v>
          </cell>
          <cell r="AD391">
            <v>1922.1</v>
          </cell>
          <cell r="AE391"/>
          <cell r="AF391"/>
          <cell r="AG391"/>
          <cell r="AH391"/>
          <cell r="AI391"/>
          <cell r="AJ391">
            <v>0</v>
          </cell>
          <cell r="AK391" t="str">
            <v>3P</v>
          </cell>
          <cell r="AL391">
            <v>151</v>
          </cell>
          <cell r="AM391">
            <v>61</v>
          </cell>
          <cell r="AN391" t="str">
            <v>01 Existing Dealer</v>
          </cell>
          <cell r="AO391" t="str">
            <v>Midwest</v>
          </cell>
          <cell r="AP391" t="str">
            <v>Central</v>
          </cell>
          <cell r="AQ391"/>
          <cell r="AR391">
            <v>0</v>
          </cell>
          <cell r="AS391">
            <v>0</v>
          </cell>
          <cell r="AT391"/>
        </row>
        <row r="392">
          <cell r="A392">
            <v>13535</v>
          </cell>
          <cell r="B392" t="str">
            <v>BOLLMAN AUTO (The Bollman Group)</v>
          </cell>
          <cell r="C392" t="str">
            <v>M11504</v>
          </cell>
          <cell r="D392" t="str">
            <v>NET 5, BT+</v>
          </cell>
          <cell r="E392" t="str">
            <v>FP - Wells Fargo</v>
          </cell>
          <cell r="F392" t="str">
            <v>Yes</v>
          </cell>
          <cell r="G392" t="str">
            <v>OH</v>
          </cell>
          <cell r="H392">
            <v>8</v>
          </cell>
          <cell r="I392">
            <v>0.66500000000000004</v>
          </cell>
          <cell r="J392" t="str">
            <v>JL Smith</v>
          </cell>
          <cell r="K392" t="str">
            <v>ROCK FALLS</v>
          </cell>
          <cell r="L392" t="str">
            <v>IL</v>
          </cell>
          <cell r="M392" t="str">
            <v>800-577-8858</v>
          </cell>
          <cell r="N392" t="str">
            <v>All tandem axle trailers must have BRK2</v>
          </cell>
          <cell r="O392">
            <v>795</v>
          </cell>
          <cell r="P392">
            <v>3418.5</v>
          </cell>
          <cell r="Q392">
            <v>912</v>
          </cell>
          <cell r="R392">
            <v>3921.6</v>
          </cell>
          <cell r="S392"/>
          <cell r="T392">
            <v>0</v>
          </cell>
          <cell r="U392">
            <v>811</v>
          </cell>
          <cell r="V392">
            <v>3487.2999999999997</v>
          </cell>
          <cell r="W392">
            <v>874</v>
          </cell>
          <cell r="X392">
            <v>3758.2</v>
          </cell>
          <cell r="Y392">
            <v>426</v>
          </cell>
          <cell r="Z392">
            <v>1831.8</v>
          </cell>
          <cell r="AA392">
            <v>426</v>
          </cell>
          <cell r="AB392">
            <v>1831.8</v>
          </cell>
          <cell r="AC392">
            <v>426</v>
          </cell>
          <cell r="AD392">
            <v>1831.8</v>
          </cell>
          <cell r="AE392"/>
          <cell r="AF392"/>
          <cell r="AG392"/>
          <cell r="AH392"/>
          <cell r="AI392"/>
          <cell r="AJ392">
            <v>1.4999999999999999E-2</v>
          </cell>
          <cell r="AK392" t="str">
            <v>3P</v>
          </cell>
          <cell r="AL392">
            <v>151</v>
          </cell>
          <cell r="AM392">
            <v>338</v>
          </cell>
          <cell r="AN392" t="str">
            <v>03 New Dealer</v>
          </cell>
          <cell r="AO392" t="str">
            <v>Midwest</v>
          </cell>
          <cell r="AP392" t="str">
            <v>Central</v>
          </cell>
          <cell r="AQ392"/>
          <cell r="AR392">
            <v>0</v>
          </cell>
          <cell r="AS392">
            <v>0</v>
          </cell>
        </row>
        <row r="393">
          <cell r="A393">
            <v>13034</v>
          </cell>
          <cell r="B393" t="str">
            <v>TW HOMER GLEN</v>
          </cell>
          <cell r="C393" t="str">
            <v>M10896</v>
          </cell>
          <cell r="D393" t="str">
            <v>Net 30, no pink card</v>
          </cell>
          <cell r="E393">
            <v>30</v>
          </cell>
          <cell r="F393" t="str">
            <v>Yes</v>
          </cell>
          <cell r="G393" t="str">
            <v>OH</v>
          </cell>
          <cell r="H393">
            <v>10</v>
          </cell>
          <cell r="I393">
            <v>0.66500000000000004</v>
          </cell>
          <cell r="J393" t="str">
            <v>Jake McEntee</v>
          </cell>
          <cell r="K393" t="str">
            <v>HOMER GLEN</v>
          </cell>
          <cell r="L393" t="str">
            <v>IL</v>
          </cell>
          <cell r="M393" t="str">
            <v>800-577-8858</v>
          </cell>
          <cell r="N393" t="str">
            <v>All tandem axle trailers must have BRK2</v>
          </cell>
          <cell r="O393">
            <v>815</v>
          </cell>
          <cell r="P393">
            <v>3504.5</v>
          </cell>
          <cell r="Q393">
            <v>859</v>
          </cell>
          <cell r="R393">
            <v>3693.7</v>
          </cell>
          <cell r="S393"/>
          <cell r="T393">
            <v>0</v>
          </cell>
          <cell r="U393">
            <v>838</v>
          </cell>
          <cell r="V393">
            <v>3603.3999999999996</v>
          </cell>
          <cell r="W393">
            <v>898</v>
          </cell>
          <cell r="X393">
            <v>3861.3999999999996</v>
          </cell>
          <cell r="Y393">
            <v>338</v>
          </cell>
          <cell r="Z393">
            <v>1453.3999999999999</v>
          </cell>
          <cell r="AA393">
            <v>338</v>
          </cell>
          <cell r="AB393">
            <v>1453.3999999999999</v>
          </cell>
          <cell r="AC393">
            <v>338</v>
          </cell>
          <cell r="AD393">
            <v>1453.3999999999999</v>
          </cell>
          <cell r="AE393">
            <v>4.53E-2</v>
          </cell>
          <cell r="AF393"/>
          <cell r="AG393">
            <v>7.46E-2</v>
          </cell>
          <cell r="AH393">
            <v>7.46E-2</v>
          </cell>
          <cell r="AI393">
            <v>7.46E-2</v>
          </cell>
          <cell r="AJ393">
            <v>0.04</v>
          </cell>
          <cell r="AK393" t="str">
            <v>TW</v>
          </cell>
          <cell r="AL393">
            <v>161</v>
          </cell>
          <cell r="AM393">
            <v>78</v>
          </cell>
          <cell r="AN393" t="str">
            <v>04 Co.Store</v>
          </cell>
          <cell r="AO393" t="str">
            <v>Midwest</v>
          </cell>
          <cell r="AP393" t="str">
            <v>Central</v>
          </cell>
          <cell r="AQ393"/>
          <cell r="AR393">
            <v>211646</v>
          </cell>
          <cell r="AS393">
            <v>46191</v>
          </cell>
          <cell r="AT393"/>
        </row>
        <row r="394">
          <cell r="A394">
            <v>13010</v>
          </cell>
          <cell r="B394" t="str">
            <v>TW LEBANON (IL)</v>
          </cell>
          <cell r="C394" t="str">
            <v>M10469</v>
          </cell>
          <cell r="D394" t="str">
            <v>Net 30, no pink card</v>
          </cell>
          <cell r="E394">
            <v>30</v>
          </cell>
          <cell r="F394" t="str">
            <v>Yes</v>
          </cell>
          <cell r="G394" t="str">
            <v>OH</v>
          </cell>
          <cell r="H394">
            <v>10</v>
          </cell>
          <cell r="I394">
            <v>0.66500000000000004</v>
          </cell>
          <cell r="J394" t="str">
            <v>Jake McEntee</v>
          </cell>
          <cell r="K394" t="str">
            <v>LEBANON</v>
          </cell>
          <cell r="L394" t="str">
            <v>IL</v>
          </cell>
          <cell r="M394" t="str">
            <v>800-577-8858</v>
          </cell>
          <cell r="N394" t="str">
            <v>All tandem axle trailers must have BRK2</v>
          </cell>
          <cell r="O394">
            <v>573</v>
          </cell>
          <cell r="P394">
            <v>2463.9</v>
          </cell>
          <cell r="Q394">
            <v>681</v>
          </cell>
          <cell r="R394">
            <v>2928.2999999999997</v>
          </cell>
          <cell r="S394"/>
          <cell r="T394">
            <v>0</v>
          </cell>
          <cell r="U394">
            <v>589</v>
          </cell>
          <cell r="V394">
            <v>2532.6999999999998</v>
          </cell>
          <cell r="W394">
            <v>654</v>
          </cell>
          <cell r="X394">
            <v>2812.2</v>
          </cell>
          <cell r="Y394">
            <v>371</v>
          </cell>
          <cell r="Z394">
            <v>1595.3</v>
          </cell>
          <cell r="AA394">
            <v>371</v>
          </cell>
          <cell r="AB394">
            <v>1595.3</v>
          </cell>
          <cell r="AC394">
            <v>371</v>
          </cell>
          <cell r="AD394">
            <v>1595.3</v>
          </cell>
          <cell r="AE394">
            <v>5.0309999999999994E-2</v>
          </cell>
          <cell r="AF394"/>
          <cell r="AG394">
            <v>5.0999999999999997E-2</v>
          </cell>
          <cell r="AH394">
            <v>5.0999999999999997E-2</v>
          </cell>
          <cell r="AI394">
            <v>5.0999999999999997E-2</v>
          </cell>
          <cell r="AJ394">
            <v>0.04</v>
          </cell>
          <cell r="AK394" t="str">
            <v>TW</v>
          </cell>
          <cell r="AL394">
            <v>161</v>
          </cell>
          <cell r="AM394">
            <v>394</v>
          </cell>
          <cell r="AN394" t="str">
            <v>04 Co.Store</v>
          </cell>
          <cell r="AO394" t="str">
            <v>Midwest</v>
          </cell>
          <cell r="AP394" t="str">
            <v>Central</v>
          </cell>
          <cell r="AQ394"/>
          <cell r="AR394">
            <v>129130</v>
          </cell>
          <cell r="AS394">
            <v>100987</v>
          </cell>
        </row>
        <row r="395">
          <cell r="A395" t="str">
            <v>11645H</v>
          </cell>
          <cell r="B395" t="str">
            <v>UNITED RENTALS</v>
          </cell>
          <cell r="C395" t="str">
            <v>M08848</v>
          </cell>
          <cell r="D395" t="str">
            <v>Net 60, no pink card</v>
          </cell>
          <cell r="E395">
            <v>60</v>
          </cell>
          <cell r="F395" t="str">
            <v>No</v>
          </cell>
          <cell r="G395" t="str">
            <v>OH</v>
          </cell>
          <cell r="H395">
            <v>5</v>
          </cell>
          <cell r="I395">
            <v>0.66500000000000004</v>
          </cell>
          <cell r="J395" t="str">
            <v>JL Smith</v>
          </cell>
          <cell r="K395" t="str">
            <v>ELK GROVE VILLAGE</v>
          </cell>
          <cell r="L395" t="str">
            <v>IL</v>
          </cell>
          <cell r="M395" t="str">
            <v>800-577-8858</v>
          </cell>
          <cell r="N395" t="str">
            <v>MSO's to 4001 Leadenhall Rd, NJ.  Invoice go to PO Box in College Station</v>
          </cell>
          <cell r="O395" t="str"/>
          <cell r="P395" t="str"/>
          <cell r="Q395" t="str"/>
          <cell r="R395" t="str"/>
          <cell r="S395" t="str"/>
          <cell r="T395" t="str"/>
          <cell r="U395" t="str"/>
          <cell r="V395" t="str"/>
          <cell r="W395" t="str"/>
          <cell r="X395" t="str"/>
          <cell r="Y395"/>
          <cell r="Z395">
            <v>0</v>
          </cell>
          <cell r="AA395"/>
          <cell r="AB395">
            <v>0</v>
          </cell>
          <cell r="AC395"/>
          <cell r="AD395">
            <v>0</v>
          </cell>
          <cell r="AE395" t="str"/>
          <cell r="AF395"/>
          <cell r="AG395" t="str"/>
          <cell r="AH395" t="str"/>
          <cell r="AI395" t="str"/>
          <cell r="AJ395">
            <v>0</v>
          </cell>
          <cell r="AK395" t="str">
            <v>3P</v>
          </cell>
          <cell r="AL395">
            <v>151</v>
          </cell>
          <cell r="AM395"/>
          <cell r="AN395" t="str">
            <v>11 National</v>
          </cell>
          <cell r="AO395" t="str">
            <v>Midwest</v>
          </cell>
          <cell r="AP395" t="str">
            <v>Central</v>
          </cell>
          <cell r="AQ395"/>
          <cell r="AR395">
            <v>0</v>
          </cell>
          <cell r="AS395">
            <v>0</v>
          </cell>
          <cell r="AT395"/>
        </row>
        <row r="396">
          <cell r="A396">
            <v>11397</v>
          </cell>
          <cell r="B396" t="str">
            <v>VICTORY LANE FORD</v>
          </cell>
          <cell r="C396" t="str">
            <v>M10442</v>
          </cell>
          <cell r="D396" t="str">
            <v>NET 5, BT+</v>
          </cell>
          <cell r="E396" t="str">
            <v>FP</v>
          </cell>
          <cell r="F396" t="str">
            <v>Yes</v>
          </cell>
          <cell r="G396" t="str">
            <v>OH</v>
          </cell>
          <cell r="H396">
            <v>8</v>
          </cell>
          <cell r="I396">
            <v>0.66500000000000004</v>
          </cell>
          <cell r="J396" t="str">
            <v>Orphaned Acct</v>
          </cell>
          <cell r="K396" t="str">
            <v>LITCHFIELD</v>
          </cell>
          <cell r="L396" t="str">
            <v>IL</v>
          </cell>
          <cell r="M396" t="str">
            <v>800-577-8858</v>
          </cell>
          <cell r="N396"/>
          <cell r="O396">
            <v>605</v>
          </cell>
          <cell r="P396">
            <v>2601.5</v>
          </cell>
          <cell r="Q396">
            <v>725</v>
          </cell>
          <cell r="R396">
            <v>3117.5</v>
          </cell>
          <cell r="S396"/>
          <cell r="T396">
            <v>0</v>
          </cell>
          <cell r="U396">
            <v>621</v>
          </cell>
          <cell r="V396">
            <v>2670.2999999999997</v>
          </cell>
          <cell r="W396">
            <v>685</v>
          </cell>
          <cell r="X396">
            <v>2945.5</v>
          </cell>
          <cell r="Y396">
            <v>359</v>
          </cell>
          <cell r="Z396">
            <v>1543.7</v>
          </cell>
          <cell r="AA396">
            <v>359</v>
          </cell>
          <cell r="AB396">
            <v>1543.7</v>
          </cell>
          <cell r="AC396">
            <v>359</v>
          </cell>
          <cell r="AD396">
            <v>1543.7</v>
          </cell>
          <cell r="AE396"/>
          <cell r="AF396"/>
          <cell r="AG396"/>
          <cell r="AH396"/>
          <cell r="AI396"/>
          <cell r="AJ396">
            <v>0</v>
          </cell>
          <cell r="AK396" t="str">
            <v>3P</v>
          </cell>
          <cell r="AL396">
            <v>213</v>
          </cell>
          <cell r="AM396">
            <v>426</v>
          </cell>
          <cell r="AN396" t="str">
            <v>08 Inactive Dealer</v>
          </cell>
          <cell r="AO396" t="str">
            <v>Midwest</v>
          </cell>
          <cell r="AP396" t="str">
            <v>Central</v>
          </cell>
          <cell r="AQ396"/>
          <cell r="AR396">
            <v>0</v>
          </cell>
          <cell r="AS396">
            <v>0</v>
          </cell>
        </row>
        <row r="397">
          <cell r="A397" t="str">
            <v>13397E</v>
          </cell>
          <cell r="B397" t="str">
            <v>BCMS / SILVERLINE</v>
          </cell>
          <cell r="C397" t="str">
            <v>M11363</v>
          </cell>
          <cell r="D397" t="str">
            <v>Return Mail, no pink card</v>
          </cell>
          <cell r="E397" t="str">
            <v>F3 - Wells Fargo</v>
          </cell>
          <cell r="F397" t="str">
            <v>Yes</v>
          </cell>
          <cell r="G397" t="str">
            <v>OH</v>
          </cell>
          <cell r="H397">
            <v>8</v>
          </cell>
          <cell r="I397">
            <v>0.66500000000000004</v>
          </cell>
          <cell r="J397" t="str">
            <v>Trent Evans</v>
          </cell>
          <cell r="K397" t="str">
            <v>SPRINGFIELD</v>
          </cell>
          <cell r="L397" t="str">
            <v>IL</v>
          </cell>
          <cell r="M397" t="str">
            <v>800-577-8858</v>
          </cell>
          <cell r="N397"/>
          <cell r="O397">
            <v>648</v>
          </cell>
          <cell r="P397">
            <v>2786.4</v>
          </cell>
          <cell r="Q397">
            <v>766</v>
          </cell>
          <cell r="R397">
            <v>3293.7999999999997</v>
          </cell>
          <cell r="S397"/>
          <cell r="T397">
            <v>0</v>
          </cell>
          <cell r="U397">
            <v>664</v>
          </cell>
          <cell r="V397">
            <v>2855.2</v>
          </cell>
          <cell r="W397">
            <v>728</v>
          </cell>
          <cell r="X397">
            <v>3130.4</v>
          </cell>
          <cell r="Y397">
            <v>352</v>
          </cell>
          <cell r="Z397">
            <v>1513.6</v>
          </cell>
          <cell r="AA397">
            <v>352</v>
          </cell>
          <cell r="AB397">
            <v>1513.6</v>
          </cell>
          <cell r="AC397">
            <v>352</v>
          </cell>
          <cell r="AD397">
            <v>1513.6</v>
          </cell>
          <cell r="AE397"/>
          <cell r="AF397"/>
          <cell r="AG397"/>
          <cell r="AH397"/>
          <cell r="AI397"/>
          <cell r="AJ397">
            <v>0.03</v>
          </cell>
          <cell r="AK397" t="str">
            <v>3P</v>
          </cell>
          <cell r="AL397">
            <v>226</v>
          </cell>
          <cell r="AM397">
            <v>426</v>
          </cell>
          <cell r="AN397" t="str">
            <v>01 Existing Dealer</v>
          </cell>
          <cell r="AO397" t="str">
            <v>Midwest</v>
          </cell>
          <cell r="AP397" t="str">
            <v>Central</v>
          </cell>
          <cell r="AQ397"/>
          <cell r="AR397">
            <v>0</v>
          </cell>
          <cell r="AS397">
            <v>0</v>
          </cell>
        </row>
        <row r="398">
          <cell r="A398">
            <v>10036</v>
          </cell>
          <cell r="B398" t="str">
            <v>AMERICAN TRAILER SALES &amp; SVC</v>
          </cell>
          <cell r="C398" t="str">
            <v>M10030</v>
          </cell>
          <cell r="D398" t="str">
            <v>NET 5, BT+</v>
          </cell>
          <cell r="E398" t="str">
            <v>RM</v>
          </cell>
          <cell r="F398" t="str">
            <v>Yes</v>
          </cell>
          <cell r="G398" t="str">
            <v>OH</v>
          </cell>
          <cell r="H398">
            <v>7</v>
          </cell>
          <cell r="I398">
            <v>0.66500000000000004</v>
          </cell>
          <cell r="J398" t="str">
            <v>Orphaned Acct</v>
          </cell>
          <cell r="K398" t="str">
            <v>NEW ALBANY</v>
          </cell>
          <cell r="L398" t="str">
            <v>IN</v>
          </cell>
          <cell r="M398" t="str">
            <v>800-577-8858</v>
          </cell>
          <cell r="N398" t="str">
            <v>All tandem axle trailers must have BRK2</v>
          </cell>
          <cell r="O398">
            <v>726</v>
          </cell>
          <cell r="P398">
            <v>3121.7999999999997</v>
          </cell>
          <cell r="Q398">
            <v>574</v>
          </cell>
          <cell r="R398">
            <v>2468.1999999999998</v>
          </cell>
          <cell r="S398"/>
          <cell r="T398">
            <v>0</v>
          </cell>
          <cell r="U398">
            <v>819</v>
          </cell>
          <cell r="V398">
            <v>3521.7</v>
          </cell>
          <cell r="W398">
            <v>806</v>
          </cell>
          <cell r="X398">
            <v>3465.7999999999997</v>
          </cell>
          <cell r="Y398">
            <v>138</v>
          </cell>
          <cell r="Z398">
            <v>593.4</v>
          </cell>
          <cell r="AA398">
            <v>138</v>
          </cell>
          <cell r="AB398">
            <v>593.4</v>
          </cell>
          <cell r="AC398">
            <v>138</v>
          </cell>
          <cell r="AD398">
            <v>593.4</v>
          </cell>
          <cell r="AE398"/>
          <cell r="AF398"/>
          <cell r="AG398"/>
          <cell r="AH398"/>
          <cell r="AI398"/>
          <cell r="AJ398">
            <v>0</v>
          </cell>
          <cell r="AK398" t="str">
            <v>3P</v>
          </cell>
          <cell r="AL398">
            <v>213</v>
          </cell>
          <cell r="AM398">
            <v>263</v>
          </cell>
          <cell r="AN398" t="str">
            <v>08 Inactive Dealer</v>
          </cell>
          <cell r="AO398" t="str">
            <v>Midwest</v>
          </cell>
          <cell r="AP398" t="str">
            <v>North</v>
          </cell>
          <cell r="AQ398"/>
          <cell r="AR398">
            <v>0</v>
          </cell>
          <cell r="AS398">
            <v>0</v>
          </cell>
        </row>
        <row r="399">
          <cell r="A399">
            <v>10864</v>
          </cell>
          <cell r="B399" t="str">
            <v>BRIDGE MFG</v>
          </cell>
          <cell r="C399" t="str">
            <v>M10998</v>
          </cell>
          <cell r="D399" t="str">
            <v>Return Mail, no pink card</v>
          </cell>
          <cell r="E399" t="str">
            <v>RM</v>
          </cell>
          <cell r="F399" t="str">
            <v>Yes</v>
          </cell>
          <cell r="G399" t="str">
            <v>OH</v>
          </cell>
          <cell r="H399">
            <v>7</v>
          </cell>
          <cell r="I399">
            <v>0.66500000000000004</v>
          </cell>
          <cell r="J399" t="str">
            <v>Lane Davis</v>
          </cell>
          <cell r="K399" t="str">
            <v>WOODBURN</v>
          </cell>
          <cell r="L399" t="str">
            <v>IN</v>
          </cell>
          <cell r="M399" t="str">
            <v>800-577-8858</v>
          </cell>
          <cell r="N399"/>
          <cell r="O399">
            <v>924</v>
          </cell>
          <cell r="P399">
            <v>3973.2</v>
          </cell>
          <cell r="Q399">
            <v>778</v>
          </cell>
          <cell r="R399">
            <v>3345.3999999999996</v>
          </cell>
          <cell r="S399"/>
          <cell r="T399">
            <v>0</v>
          </cell>
          <cell r="U399">
            <v>952</v>
          </cell>
          <cell r="V399">
            <v>4093.6</v>
          </cell>
          <cell r="W399">
            <v>1006</v>
          </cell>
          <cell r="X399">
            <v>4325.8</v>
          </cell>
          <cell r="Y399">
            <v>188</v>
          </cell>
          <cell r="Z399">
            <v>808.4</v>
          </cell>
          <cell r="AA399">
            <v>188</v>
          </cell>
          <cell r="AB399">
            <v>808.4</v>
          </cell>
          <cell r="AC399">
            <v>188</v>
          </cell>
          <cell r="AD399">
            <v>808.4</v>
          </cell>
          <cell r="AE399"/>
          <cell r="AF399"/>
          <cell r="AG399"/>
          <cell r="AH399"/>
          <cell r="AI399"/>
          <cell r="AJ399">
            <v>0.03</v>
          </cell>
          <cell r="AK399" t="str">
            <v>3P</v>
          </cell>
          <cell r="AL399">
            <v>275</v>
          </cell>
          <cell r="AM399">
            <v>155</v>
          </cell>
          <cell r="AN399" t="str">
            <v>01 Existing Dealer</v>
          </cell>
          <cell r="AO399" t="str">
            <v>Midwest</v>
          </cell>
          <cell r="AP399" t="str">
            <v>North</v>
          </cell>
          <cell r="AQ399"/>
          <cell r="AR399">
            <v>53316</v>
          </cell>
          <cell r="AS399">
            <v>43873</v>
          </cell>
        </row>
        <row r="400">
          <cell r="A400">
            <v>13629</v>
          </cell>
          <cell r="B400" t="str">
            <v>CAPTAIN SPIFFY</v>
          </cell>
          <cell r="C400" t="str">
            <v>M11592</v>
          </cell>
          <cell r="D400" t="str">
            <v>NET 5, BT+</v>
          </cell>
          <cell r="E400" t="str">
            <v>FP - Northpoint</v>
          </cell>
          <cell r="F400" t="str">
            <v>Yes</v>
          </cell>
          <cell r="G400" t="str">
            <v>OH</v>
          </cell>
          <cell r="H400">
            <v>8</v>
          </cell>
          <cell r="I400">
            <v>0.66500000000000004</v>
          </cell>
          <cell r="J400" t="str">
            <v>JL Smith</v>
          </cell>
          <cell r="K400" t="str">
            <v>LAFAYETTE</v>
          </cell>
          <cell r="L400" t="str">
            <v>IN</v>
          </cell>
          <cell r="M400" t="str">
            <v>800-577-8858</v>
          </cell>
          <cell r="N400"/>
          <cell r="O400">
            <v>808</v>
          </cell>
          <cell r="P400">
            <v>3474.3999999999996</v>
          </cell>
          <cell r="Q400">
            <v>734</v>
          </cell>
          <cell r="R400">
            <v>3156.2</v>
          </cell>
          <cell r="S400"/>
          <cell r="T400">
            <v>0</v>
          </cell>
          <cell r="U400">
            <v>837</v>
          </cell>
          <cell r="V400">
            <v>3599.1</v>
          </cell>
          <cell r="W400">
            <v>889</v>
          </cell>
          <cell r="X400">
            <v>3822.7</v>
          </cell>
          <cell r="Y400"/>
          <cell r="Z400">
            <v>0</v>
          </cell>
          <cell r="AA400">
            <v>202</v>
          </cell>
          <cell r="AB400">
            <v>868.59999999999991</v>
          </cell>
          <cell r="AC400">
            <v>202</v>
          </cell>
          <cell r="AD400">
            <v>868.59999999999991</v>
          </cell>
          <cell r="AE400"/>
          <cell r="AF400"/>
          <cell r="AG400"/>
          <cell r="AH400"/>
          <cell r="AI400"/>
          <cell r="AJ400">
            <v>0</v>
          </cell>
          <cell r="AK400" t="str">
            <v>3P</v>
          </cell>
          <cell r="AL400">
            <v>151</v>
          </cell>
          <cell r="AM400">
            <v>235</v>
          </cell>
          <cell r="AN400" t="str">
            <v>03 New Dealer</v>
          </cell>
          <cell r="AO400" t="str">
            <v>Midwest</v>
          </cell>
          <cell r="AP400" t="str">
            <v>North</v>
          </cell>
          <cell r="AQ400"/>
          <cell r="AR400">
            <v>88360</v>
          </cell>
          <cell r="AS400">
            <v>44125</v>
          </cell>
        </row>
        <row r="401">
          <cell r="A401">
            <v>13616</v>
          </cell>
          <cell r="B401" t="str">
            <v>CAPTAIN SPIFFY</v>
          </cell>
          <cell r="C401" t="str">
            <v>M11592</v>
          </cell>
          <cell r="D401" t="str">
            <v>NET 5, BT+</v>
          </cell>
          <cell r="E401" t="str">
            <v>CO</v>
          </cell>
          <cell r="F401" t="str">
            <v>Yes</v>
          </cell>
          <cell r="G401" t="str">
            <v>OH</v>
          </cell>
          <cell r="H401">
            <v>7</v>
          </cell>
          <cell r="I401">
            <v>0.66500000000000004</v>
          </cell>
          <cell r="J401" t="str">
            <v>JL Smith</v>
          </cell>
          <cell r="K401" t="str">
            <v>LAFAYETTE</v>
          </cell>
          <cell r="L401" t="str">
            <v>IN</v>
          </cell>
          <cell r="M401" t="str">
            <v>800-577-8858</v>
          </cell>
          <cell r="N401"/>
          <cell r="O401">
            <v>808</v>
          </cell>
          <cell r="P401">
            <v>3474.3999999999996</v>
          </cell>
          <cell r="Q401">
            <v>734</v>
          </cell>
          <cell r="R401">
            <v>3156.2</v>
          </cell>
          <cell r="S401"/>
          <cell r="T401">
            <v>0</v>
          </cell>
          <cell r="U401">
            <v>837</v>
          </cell>
          <cell r="V401">
            <v>3599.1</v>
          </cell>
          <cell r="W401">
            <v>889</v>
          </cell>
          <cell r="X401">
            <v>3822.7</v>
          </cell>
          <cell r="Y401"/>
          <cell r="Z401">
            <v>0</v>
          </cell>
          <cell r="AA401">
            <v>202</v>
          </cell>
          <cell r="AB401">
            <v>868.59999999999991</v>
          </cell>
          <cell r="AC401">
            <v>202</v>
          </cell>
          <cell r="AD401">
            <v>868.59999999999991</v>
          </cell>
          <cell r="AE401"/>
          <cell r="AF401"/>
          <cell r="AG401"/>
          <cell r="AH401"/>
          <cell r="AI401"/>
          <cell r="AJ401">
            <v>0</v>
          </cell>
          <cell r="AK401" t="str">
            <v>3P</v>
          </cell>
          <cell r="AL401">
            <v>151</v>
          </cell>
          <cell r="AM401">
            <v>235</v>
          </cell>
          <cell r="AN401" t="str">
            <v>03 New Dealer</v>
          </cell>
          <cell r="AO401" t="str">
            <v>Midwest</v>
          </cell>
          <cell r="AP401" t="str">
            <v>North</v>
          </cell>
          <cell r="AQ401"/>
          <cell r="AR401">
            <v>-40750</v>
          </cell>
          <cell r="AS401">
            <v>0</v>
          </cell>
        </row>
        <row r="402">
          <cell r="A402">
            <v>12222</v>
          </cell>
          <cell r="B402" t="str">
            <v>CAR STOP</v>
          </cell>
          <cell r="C402" t="str">
            <v>M10132</v>
          </cell>
          <cell r="D402" t="str">
            <v>NET 5, BT+</v>
          </cell>
          <cell r="E402" t="str">
            <v>CF</v>
          </cell>
          <cell r="F402" t="str">
            <v>Yes</v>
          </cell>
          <cell r="G402" t="str">
            <v>OH</v>
          </cell>
          <cell r="H402">
            <v>7</v>
          </cell>
          <cell r="I402">
            <v>0.66500000000000004</v>
          </cell>
          <cell r="J402" t="str">
            <v>Orphaned Acct</v>
          </cell>
          <cell r="K402" t="str">
            <v>TERRE HAUTE</v>
          </cell>
          <cell r="L402" t="str">
            <v>IN</v>
          </cell>
          <cell r="M402" t="str">
            <v>800-577-8858</v>
          </cell>
          <cell r="N402"/>
          <cell r="O402">
            <v>712</v>
          </cell>
          <cell r="P402">
            <v>3061.6</v>
          </cell>
          <cell r="Q402">
            <v>653</v>
          </cell>
          <cell r="R402">
            <v>2807.9</v>
          </cell>
          <cell r="S402"/>
          <cell r="T402">
            <v>0</v>
          </cell>
          <cell r="U402">
            <v>736</v>
          </cell>
          <cell r="V402">
            <v>3164.7999999999997</v>
          </cell>
          <cell r="W402">
            <v>792</v>
          </cell>
          <cell r="X402">
            <v>3405.6</v>
          </cell>
          <cell r="Y402">
            <v>226</v>
          </cell>
          <cell r="Z402">
            <v>971.8</v>
          </cell>
          <cell r="AA402">
            <v>226</v>
          </cell>
          <cell r="AB402">
            <v>971.8</v>
          </cell>
          <cell r="AC402">
            <v>226</v>
          </cell>
          <cell r="AD402">
            <v>971.8</v>
          </cell>
          <cell r="AE402"/>
          <cell r="AF402"/>
          <cell r="AG402"/>
          <cell r="AH402"/>
          <cell r="AI402"/>
          <cell r="AJ402">
            <v>0</v>
          </cell>
          <cell r="AK402"/>
          <cell r="AL402">
            <v>213</v>
          </cell>
          <cell r="AM402">
            <v>442</v>
          </cell>
          <cell r="AN402" t="str">
            <v>01 Existing Dealer</v>
          </cell>
          <cell r="AO402" t="str">
            <v>Midwest</v>
          </cell>
          <cell r="AP402" t="str">
            <v>North</v>
          </cell>
          <cell r="AQ402"/>
          <cell r="AR402">
            <v>0</v>
          </cell>
          <cell r="AS402">
            <v>0</v>
          </cell>
        </row>
        <row r="403">
          <cell r="A403">
            <v>12694</v>
          </cell>
          <cell r="B403" t="str">
            <v>CAR STOP</v>
          </cell>
          <cell r="C403" t="str">
            <v>M10132</v>
          </cell>
          <cell r="D403" t="str">
            <v>NET 5, BT+</v>
          </cell>
          <cell r="E403" t="str">
            <v>FP - Wells Fargo</v>
          </cell>
          <cell r="F403" t="str">
            <v>Yes</v>
          </cell>
          <cell r="G403" t="str">
            <v>OH</v>
          </cell>
          <cell r="H403">
            <v>8</v>
          </cell>
          <cell r="I403">
            <v>0.66500000000000004</v>
          </cell>
          <cell r="J403" t="str">
            <v>Orphaned Acct</v>
          </cell>
          <cell r="K403" t="str">
            <v>TERRE HAUTE</v>
          </cell>
          <cell r="L403" t="str">
            <v>IN</v>
          </cell>
          <cell r="M403" t="str">
            <v>800-577-8858</v>
          </cell>
          <cell r="N403"/>
          <cell r="O403">
            <v>712</v>
          </cell>
          <cell r="P403">
            <v>3061.6</v>
          </cell>
          <cell r="Q403">
            <v>653</v>
          </cell>
          <cell r="R403">
            <v>2807.9</v>
          </cell>
          <cell r="S403"/>
          <cell r="T403">
            <v>0</v>
          </cell>
          <cell r="U403">
            <v>736</v>
          </cell>
          <cell r="V403">
            <v>3164.7999999999997</v>
          </cell>
          <cell r="W403">
            <v>792</v>
          </cell>
          <cell r="X403">
            <v>3405.6</v>
          </cell>
          <cell r="Y403">
            <v>226</v>
          </cell>
          <cell r="Z403">
            <v>971.8</v>
          </cell>
          <cell r="AA403">
            <v>226</v>
          </cell>
          <cell r="AB403">
            <v>971.8</v>
          </cell>
          <cell r="AC403">
            <v>226</v>
          </cell>
          <cell r="AD403">
            <v>971.8</v>
          </cell>
          <cell r="AE403"/>
          <cell r="AF403"/>
          <cell r="AG403"/>
          <cell r="AH403"/>
          <cell r="AI403"/>
          <cell r="AJ403">
            <v>0</v>
          </cell>
          <cell r="AK403"/>
          <cell r="AL403">
            <v>213</v>
          </cell>
          <cell r="AM403">
            <v>442</v>
          </cell>
          <cell r="AN403" t="str">
            <v>01 Existing Dealer</v>
          </cell>
          <cell r="AO403" t="str">
            <v>Midwest</v>
          </cell>
          <cell r="AP403" t="str">
            <v>North</v>
          </cell>
          <cell r="AQ403"/>
          <cell r="AR403">
            <v>0</v>
          </cell>
          <cell r="AS403">
            <v>0</v>
          </cell>
        </row>
        <row r="404">
          <cell r="A404">
            <v>10178</v>
          </cell>
          <cell r="B404" t="str">
            <v>DELPHI PRODUCTS</v>
          </cell>
          <cell r="C404" t="str">
            <v>M10178</v>
          </cell>
          <cell r="D404" t="str">
            <v>NET 5, BT+</v>
          </cell>
          <cell r="E404" t="str">
            <v>FP - Wells Fargo</v>
          </cell>
          <cell r="F404" t="str">
            <v>Yes</v>
          </cell>
          <cell r="G404" t="str">
            <v>OH</v>
          </cell>
          <cell r="H404">
            <v>8</v>
          </cell>
          <cell r="I404">
            <v>0.66500000000000004</v>
          </cell>
          <cell r="J404" t="str">
            <v>Orphaned Acct</v>
          </cell>
          <cell r="K404" t="str">
            <v>DELPHI</v>
          </cell>
          <cell r="L404" t="str">
            <v>IN</v>
          </cell>
          <cell r="M404" t="str">
            <v>800-577-8858</v>
          </cell>
          <cell r="N404"/>
          <cell r="O404">
            <v>838</v>
          </cell>
          <cell r="P404">
            <v>3603.3999999999996</v>
          </cell>
          <cell r="Q404">
            <v>761</v>
          </cell>
          <cell r="R404">
            <v>3272.2999999999997</v>
          </cell>
          <cell r="S404"/>
          <cell r="T404">
            <v>0</v>
          </cell>
          <cell r="U404">
            <v>862</v>
          </cell>
          <cell r="V404">
            <v>3706.6</v>
          </cell>
          <cell r="W404">
            <v>918</v>
          </cell>
          <cell r="X404">
            <v>3947.3999999999996</v>
          </cell>
          <cell r="Y404">
            <v>231</v>
          </cell>
          <cell r="Z404">
            <v>993.3</v>
          </cell>
          <cell r="AA404">
            <v>231</v>
          </cell>
          <cell r="AB404">
            <v>993.3</v>
          </cell>
          <cell r="AC404">
            <v>231</v>
          </cell>
          <cell r="AD404">
            <v>993.3</v>
          </cell>
          <cell r="AE404"/>
          <cell r="AF404"/>
          <cell r="AG404"/>
          <cell r="AH404"/>
          <cell r="AI404"/>
          <cell r="AJ404">
            <v>0</v>
          </cell>
          <cell r="AK404" t="str">
            <v>3P</v>
          </cell>
          <cell r="AL404">
            <v>213</v>
          </cell>
          <cell r="AM404">
            <v>235</v>
          </cell>
          <cell r="AN404" t="str">
            <v>08 Inactive Dealer</v>
          </cell>
          <cell r="AO404" t="str">
            <v>Midwest</v>
          </cell>
          <cell r="AP404" t="str">
            <v>North</v>
          </cell>
          <cell r="AQ404"/>
          <cell r="AR404">
            <v>0</v>
          </cell>
          <cell r="AS404">
            <v>0</v>
          </cell>
          <cell r="AT404"/>
        </row>
        <row r="405">
          <cell r="A405">
            <v>10271</v>
          </cell>
          <cell r="B405" t="str">
            <v>JIM BERRY</v>
          </cell>
          <cell r="C405" t="str">
            <v>M10240</v>
          </cell>
          <cell r="D405" t="str">
            <v>NET 5, BT+</v>
          </cell>
          <cell r="E405" t="str">
            <v>CO</v>
          </cell>
          <cell r="F405" t="str">
            <v>Yes</v>
          </cell>
          <cell r="G405" t="str">
            <v>OH</v>
          </cell>
          <cell r="H405">
            <v>7</v>
          </cell>
          <cell r="I405">
            <v>0.66500000000000004</v>
          </cell>
          <cell r="J405" t="str">
            <v>Orphaned Acct</v>
          </cell>
          <cell r="K405" t="str">
            <v>KEWANNA</v>
          </cell>
          <cell r="L405" t="str">
            <v>IN</v>
          </cell>
          <cell r="M405" t="str">
            <v>800-577-8858</v>
          </cell>
          <cell r="N405" t="str">
            <v>All tandem axle trailers must have BRK2</v>
          </cell>
          <cell r="O405">
            <v>883</v>
          </cell>
          <cell r="P405">
            <v>3796.8999999999996</v>
          </cell>
          <cell r="Q405">
            <v>783</v>
          </cell>
          <cell r="R405">
            <v>3366.8999999999996</v>
          </cell>
          <cell r="S405"/>
          <cell r="T405">
            <v>0</v>
          </cell>
          <cell r="U405">
            <v>907</v>
          </cell>
          <cell r="V405">
            <v>3900.1</v>
          </cell>
          <cell r="W405">
            <v>963</v>
          </cell>
          <cell r="X405">
            <v>4140.8999999999996</v>
          </cell>
          <cell r="Y405">
            <v>246</v>
          </cell>
          <cell r="Z405">
            <v>1057.8</v>
          </cell>
          <cell r="AA405">
            <v>246</v>
          </cell>
          <cell r="AB405">
            <v>1057.8</v>
          </cell>
          <cell r="AC405">
            <v>246</v>
          </cell>
          <cell r="AD405">
            <v>1057.8</v>
          </cell>
          <cell r="AE405"/>
          <cell r="AF405"/>
          <cell r="AG405"/>
          <cell r="AH405"/>
          <cell r="AI405"/>
          <cell r="AJ405">
            <v>0</v>
          </cell>
          <cell r="AK405" t="str">
            <v>3P</v>
          </cell>
          <cell r="AL405">
            <v>213</v>
          </cell>
          <cell r="AM405">
            <v>233</v>
          </cell>
          <cell r="AN405" t="str">
            <v>08 Inactive Dealer</v>
          </cell>
          <cell r="AO405" t="str">
            <v>Midwest</v>
          </cell>
          <cell r="AP405" t="str">
            <v>North</v>
          </cell>
          <cell r="AQ405"/>
          <cell r="AR405">
            <v>0</v>
          </cell>
          <cell r="AS405">
            <v>0</v>
          </cell>
          <cell r="AT405"/>
        </row>
        <row r="406">
          <cell r="A406">
            <v>12895</v>
          </cell>
          <cell r="B406" t="str">
            <v>MAIN TRAILER</v>
          </cell>
          <cell r="C406" t="str">
            <v>M10273</v>
          </cell>
          <cell r="D406" t="str">
            <v>NET 5, BT+</v>
          </cell>
          <cell r="E406" t="str">
            <v>FP - Northpoint</v>
          </cell>
          <cell r="F406" t="str">
            <v>Yes</v>
          </cell>
          <cell r="G406" t="str">
            <v>OH</v>
          </cell>
          <cell r="H406">
            <v>8</v>
          </cell>
          <cell r="I406">
            <v>0.66500000000000004</v>
          </cell>
          <cell r="J406" t="str">
            <v>Lane Davis</v>
          </cell>
          <cell r="K406" t="str">
            <v>SEYMOUR</v>
          </cell>
          <cell r="L406" t="str">
            <v>IN</v>
          </cell>
          <cell r="M406" t="str">
            <v>800-577-8858</v>
          </cell>
          <cell r="N406" t="str">
            <v>All tandem axle trailers must have BRK2</v>
          </cell>
          <cell r="O406">
            <v>774</v>
          </cell>
          <cell r="P406">
            <v>3328.2</v>
          </cell>
          <cell r="Q406">
            <v>622</v>
          </cell>
          <cell r="R406">
            <v>2674.6</v>
          </cell>
          <cell r="S406"/>
          <cell r="T406">
            <v>0</v>
          </cell>
          <cell r="U406">
            <v>865</v>
          </cell>
          <cell r="V406">
            <v>3719.5</v>
          </cell>
          <cell r="W406">
            <v>854</v>
          </cell>
          <cell r="X406">
            <v>3672.2</v>
          </cell>
          <cell r="Y406">
            <v>122</v>
          </cell>
          <cell r="Z406">
            <v>524.6</v>
          </cell>
          <cell r="AA406">
            <v>122</v>
          </cell>
          <cell r="AB406">
            <v>524.6</v>
          </cell>
          <cell r="AC406">
            <v>122</v>
          </cell>
          <cell r="AD406">
            <v>524.6</v>
          </cell>
          <cell r="AE406"/>
          <cell r="AF406"/>
          <cell r="AG406"/>
          <cell r="AH406"/>
          <cell r="AI406"/>
          <cell r="AJ406">
            <v>0</v>
          </cell>
          <cell r="AK406" t="str">
            <v>3P</v>
          </cell>
          <cell r="AL406">
            <v>275</v>
          </cell>
          <cell r="AM406">
            <v>93</v>
          </cell>
          <cell r="AN406" t="str">
            <v>01 Existing Dealer</v>
          </cell>
          <cell r="AO406" t="str">
            <v>Midwest</v>
          </cell>
          <cell r="AP406" t="str">
            <v>North</v>
          </cell>
          <cell r="AQ406"/>
          <cell r="AR406">
            <v>55496</v>
          </cell>
          <cell r="AS406">
            <v>0</v>
          </cell>
        </row>
        <row r="407">
          <cell r="A407">
            <v>12771</v>
          </cell>
          <cell r="B407" t="str">
            <v>MAIN TRAILER</v>
          </cell>
          <cell r="C407" t="str">
            <v>M10273</v>
          </cell>
          <cell r="D407" t="str">
            <v>NET 5, BT+</v>
          </cell>
          <cell r="E407" t="str">
            <v>C6, on hold</v>
          </cell>
          <cell r="F407" t="str">
            <v>No</v>
          </cell>
          <cell r="G407" t="str">
            <v>OH</v>
          </cell>
          <cell r="H407">
            <v>9</v>
          </cell>
          <cell r="I407">
            <v>0.66500000000000004</v>
          </cell>
          <cell r="J407" t="str">
            <v>Lane Davis</v>
          </cell>
          <cell r="K407" t="str">
            <v>SEYMOUR</v>
          </cell>
          <cell r="L407" t="str">
            <v>IN</v>
          </cell>
          <cell r="M407" t="str">
            <v>800-577-8858</v>
          </cell>
          <cell r="N407" t="str">
            <v>All tandem axle trailers must have BRK2</v>
          </cell>
          <cell r="O407">
            <v>774</v>
          </cell>
          <cell r="P407">
            <v>3328.2</v>
          </cell>
          <cell r="Q407">
            <v>622</v>
          </cell>
          <cell r="R407">
            <v>2674.6</v>
          </cell>
          <cell r="S407"/>
          <cell r="T407">
            <v>0</v>
          </cell>
          <cell r="U407">
            <v>865</v>
          </cell>
          <cell r="V407">
            <v>3719.5</v>
          </cell>
          <cell r="W407">
            <v>854</v>
          </cell>
          <cell r="X407">
            <v>3672.2</v>
          </cell>
          <cell r="Y407">
            <v>125</v>
          </cell>
          <cell r="Z407">
            <v>537.5</v>
          </cell>
          <cell r="AA407">
            <v>125</v>
          </cell>
          <cell r="AB407">
            <v>537.5</v>
          </cell>
          <cell r="AC407">
            <v>125</v>
          </cell>
          <cell r="AD407">
            <v>537.5</v>
          </cell>
          <cell r="AE407"/>
          <cell r="AF407"/>
          <cell r="AG407"/>
          <cell r="AH407"/>
          <cell r="AI407"/>
          <cell r="AJ407">
            <v>0</v>
          </cell>
          <cell r="AK407" t="str">
            <v>3P</v>
          </cell>
          <cell r="AL407">
            <v>275</v>
          </cell>
          <cell r="AM407">
            <v>93</v>
          </cell>
          <cell r="AN407" t="str">
            <v>08 Inactive Dealer</v>
          </cell>
          <cell r="AO407" t="str">
            <v>Midwest</v>
          </cell>
          <cell r="AP407" t="str">
            <v>North</v>
          </cell>
          <cell r="AQ407"/>
          <cell r="AR407">
            <v>0</v>
          </cell>
          <cell r="AS407">
            <v>0</v>
          </cell>
        </row>
        <row r="408">
          <cell r="A408">
            <v>12825</v>
          </cell>
          <cell r="B408" t="str">
            <v>MAYES TRAILER SALES INC</v>
          </cell>
          <cell r="C408" t="str">
            <v>M10278</v>
          </cell>
          <cell r="D408" t="str">
            <v>NET 5, BT+</v>
          </cell>
          <cell r="E408" t="str">
            <v>CO</v>
          </cell>
          <cell r="F408" t="str">
            <v>Yes</v>
          </cell>
          <cell r="G408" t="str">
            <v>OH</v>
          </cell>
          <cell r="H408">
            <v>7</v>
          </cell>
          <cell r="I408">
            <v>0.66500000000000004</v>
          </cell>
          <cell r="J408" t="str">
            <v>Orphaned Acct</v>
          </cell>
          <cell r="K408" t="str">
            <v>NEW WHITELAND</v>
          </cell>
          <cell r="L408" t="str">
            <v>IN</v>
          </cell>
          <cell r="M408" t="str">
            <v>800-577-8858</v>
          </cell>
          <cell r="N408"/>
          <cell r="O408">
            <v>795</v>
          </cell>
          <cell r="P408">
            <v>3418.5</v>
          </cell>
          <cell r="Q408">
            <v>662</v>
          </cell>
          <cell r="R408">
            <v>2846.6</v>
          </cell>
          <cell r="S408"/>
          <cell r="T408">
            <v>0</v>
          </cell>
          <cell r="U408">
            <v>822</v>
          </cell>
          <cell r="V408">
            <v>3534.6</v>
          </cell>
          <cell r="W408">
            <v>869</v>
          </cell>
          <cell r="X408">
            <v>3736.7</v>
          </cell>
          <cell r="Y408">
            <v>143</v>
          </cell>
          <cell r="Z408">
            <v>614.9</v>
          </cell>
          <cell r="AA408">
            <v>143</v>
          </cell>
          <cell r="AB408">
            <v>614.9</v>
          </cell>
          <cell r="AC408">
            <v>143</v>
          </cell>
          <cell r="AD408">
            <v>614.9</v>
          </cell>
          <cell r="AE408"/>
          <cell r="AF408"/>
          <cell r="AG408"/>
          <cell r="AH408"/>
          <cell r="AI408"/>
          <cell r="AJ408">
            <v>0</v>
          </cell>
          <cell r="AK408" t="str">
            <v>3P</v>
          </cell>
          <cell r="AL408">
            <v>213</v>
          </cell>
          <cell r="AM408">
            <v>204</v>
          </cell>
          <cell r="AN408" t="str">
            <v>08 Inactive Dealer</v>
          </cell>
          <cell r="AO408" t="str">
            <v>Midwest</v>
          </cell>
          <cell r="AP408" t="str">
            <v>North</v>
          </cell>
          <cell r="AQ408"/>
          <cell r="AR408">
            <v>0</v>
          </cell>
          <cell r="AS408">
            <v>0</v>
          </cell>
        </row>
        <row r="409">
          <cell r="A409">
            <v>12944</v>
          </cell>
          <cell r="B409" t="str">
            <v>MAYES TRAILER SALES INC</v>
          </cell>
          <cell r="C409" t="str">
            <v>M10278</v>
          </cell>
          <cell r="D409" t="str">
            <v>NET 5, BT+</v>
          </cell>
          <cell r="E409" t="str">
            <v>C6</v>
          </cell>
          <cell r="F409" t="str">
            <v>No</v>
          </cell>
          <cell r="G409" t="str">
            <v>OH</v>
          </cell>
          <cell r="H409">
            <v>9</v>
          </cell>
          <cell r="I409">
            <v>0.66500000000000004</v>
          </cell>
          <cell r="J409" t="str">
            <v>Orphaned Acct</v>
          </cell>
          <cell r="K409" t="str">
            <v>NEW WHITELAND</v>
          </cell>
          <cell r="L409" t="str">
            <v>IN</v>
          </cell>
          <cell r="M409" t="str">
            <v>800-577-8858</v>
          </cell>
          <cell r="N409"/>
          <cell r="O409">
            <v>795</v>
          </cell>
          <cell r="P409">
            <v>3418.5</v>
          </cell>
          <cell r="Q409">
            <v>662</v>
          </cell>
          <cell r="R409">
            <v>2846.6</v>
          </cell>
          <cell r="S409"/>
          <cell r="T409">
            <v>0</v>
          </cell>
          <cell r="U409">
            <v>822</v>
          </cell>
          <cell r="V409">
            <v>3534.6</v>
          </cell>
          <cell r="W409">
            <v>869</v>
          </cell>
          <cell r="X409">
            <v>3736.7</v>
          </cell>
          <cell r="Y409">
            <v>143</v>
          </cell>
          <cell r="Z409">
            <v>614.9</v>
          </cell>
          <cell r="AA409">
            <v>143</v>
          </cell>
          <cell r="AB409">
            <v>614.9</v>
          </cell>
          <cell r="AC409">
            <v>143</v>
          </cell>
          <cell r="AD409">
            <v>614.9</v>
          </cell>
          <cell r="AE409"/>
          <cell r="AF409"/>
          <cell r="AG409"/>
          <cell r="AH409"/>
          <cell r="AI409"/>
          <cell r="AJ409">
            <v>0</v>
          </cell>
          <cell r="AK409" t="str">
            <v>3P</v>
          </cell>
          <cell r="AL409">
            <v>213</v>
          </cell>
          <cell r="AM409">
            <v>204</v>
          </cell>
          <cell r="AN409" t="str">
            <v>08 Inactive Dealer</v>
          </cell>
          <cell r="AO409" t="str">
            <v>Midwest</v>
          </cell>
          <cell r="AP409" t="str">
            <v>North</v>
          </cell>
          <cell r="AQ409"/>
          <cell r="AR409">
            <v>0</v>
          </cell>
          <cell r="AS409">
            <v>0</v>
          </cell>
        </row>
        <row r="410">
          <cell r="A410">
            <v>12713</v>
          </cell>
          <cell r="B410" t="str">
            <v>PBK (RED BRUSH TRAILER SALES)</v>
          </cell>
          <cell r="C410" t="str">
            <v>M10320</v>
          </cell>
          <cell r="D410" t="str">
            <v>NET 5, BT+</v>
          </cell>
          <cell r="E410" t="str">
            <v>CO</v>
          </cell>
          <cell r="F410" t="str">
            <v>Yes</v>
          </cell>
          <cell r="G410" t="str">
            <v>OH</v>
          </cell>
          <cell r="H410">
            <v>7</v>
          </cell>
          <cell r="I410">
            <v>0.66500000000000004</v>
          </cell>
          <cell r="J410" t="str">
            <v>Orphaned Acct</v>
          </cell>
          <cell r="K410" t="str">
            <v>NEWBURGH</v>
          </cell>
          <cell r="L410" t="str">
            <v>IN</v>
          </cell>
          <cell r="M410" t="str">
            <v>800-577-8858</v>
          </cell>
          <cell r="N410"/>
          <cell r="O410">
            <v>654</v>
          </cell>
          <cell r="P410">
            <v>2812.2</v>
          </cell>
          <cell r="Q410">
            <v>557</v>
          </cell>
          <cell r="R410">
            <v>2395.1</v>
          </cell>
          <cell r="S410"/>
          <cell r="T410">
            <v>0</v>
          </cell>
          <cell r="U410">
            <v>746</v>
          </cell>
          <cell r="V410">
            <v>3207.7999999999997</v>
          </cell>
          <cell r="W410">
            <v>735</v>
          </cell>
          <cell r="X410">
            <v>3160.5</v>
          </cell>
          <cell r="Y410">
            <v>252</v>
          </cell>
          <cell r="Z410">
            <v>1083.5999999999999</v>
          </cell>
          <cell r="AA410">
            <v>252</v>
          </cell>
          <cell r="AB410">
            <v>1083.5999999999999</v>
          </cell>
          <cell r="AC410">
            <v>252</v>
          </cell>
          <cell r="AD410">
            <v>1083.5999999999999</v>
          </cell>
          <cell r="AE410"/>
          <cell r="AF410"/>
          <cell r="AG410"/>
          <cell r="AH410"/>
          <cell r="AI410"/>
          <cell r="AJ410">
            <v>0</v>
          </cell>
          <cell r="AK410" t="str">
            <v>3P</v>
          </cell>
          <cell r="AL410">
            <v>213</v>
          </cell>
          <cell r="AM410">
            <v>135</v>
          </cell>
          <cell r="AN410" t="str">
            <v>08 Inactive Dealer</v>
          </cell>
          <cell r="AO410" t="str">
            <v>Midwest</v>
          </cell>
          <cell r="AP410" t="str">
            <v>North</v>
          </cell>
          <cell r="AQ410"/>
          <cell r="AR410">
            <v>0</v>
          </cell>
          <cell r="AS410">
            <v>0</v>
          </cell>
        </row>
        <row r="411">
          <cell r="A411">
            <v>13233</v>
          </cell>
          <cell r="B411" t="str">
            <v>PREMIER TRUCK</v>
          </cell>
          <cell r="C411" t="str">
            <v>M10874</v>
          </cell>
          <cell r="D411" t="str">
            <v>Net 30, no pink card</v>
          </cell>
          <cell r="E411">
            <v>30</v>
          </cell>
          <cell r="F411" t="str">
            <v>Yes</v>
          </cell>
          <cell r="G411" t="str">
            <v>OH</v>
          </cell>
          <cell r="H411">
            <v>5</v>
          </cell>
          <cell r="I411">
            <v>0.66500000000000004</v>
          </cell>
          <cell r="J411" t="str">
            <v>Dakota Nation</v>
          </cell>
          <cell r="K411" t="str">
            <v>FORT WAYNE</v>
          </cell>
          <cell r="L411" t="str">
            <v>IN</v>
          </cell>
          <cell r="M411" t="str">
            <v>800-577-8858</v>
          </cell>
          <cell r="N411" t="str">
            <v>MSO's must read and Fedex to Ft. Wayne, IN. Driver gets BOL only</v>
          </cell>
          <cell r="O411">
            <v>910</v>
          </cell>
          <cell r="P411">
            <v>3913</v>
          </cell>
          <cell r="Q411"/>
          <cell r="R411">
            <v>0</v>
          </cell>
          <cell r="S411"/>
          <cell r="T411">
            <v>0</v>
          </cell>
          <cell r="U411"/>
          <cell r="V411">
            <v>0</v>
          </cell>
          <cell r="W411"/>
          <cell r="X411">
            <v>0</v>
          </cell>
          <cell r="Y411"/>
          <cell r="Z411">
            <v>0</v>
          </cell>
          <cell r="AA411"/>
          <cell r="AB411">
            <v>0</v>
          </cell>
          <cell r="AC411"/>
          <cell r="AD411">
            <v>0</v>
          </cell>
          <cell r="AE411"/>
          <cell r="AF411"/>
          <cell r="AG411"/>
          <cell r="AH411"/>
          <cell r="AI411"/>
          <cell r="AJ411">
            <v>0</v>
          </cell>
          <cell r="AK411" t="str">
            <v>3P</v>
          </cell>
          <cell r="AL411">
            <v>223</v>
          </cell>
          <cell r="AM411">
            <v>155</v>
          </cell>
          <cell r="AN411" t="str">
            <v>11 National</v>
          </cell>
          <cell r="AO411" t="str">
            <v>Midwest</v>
          </cell>
          <cell r="AP411" t="str">
            <v>North</v>
          </cell>
          <cell r="AQ411"/>
          <cell r="AR411">
            <v>0</v>
          </cell>
          <cell r="AS411">
            <v>0</v>
          </cell>
        </row>
        <row r="412">
          <cell r="A412">
            <v>13015</v>
          </cell>
          <cell r="B412" t="str">
            <v>QC SUPPLY</v>
          </cell>
          <cell r="C412" t="str">
            <v>M10178</v>
          </cell>
          <cell r="D412" t="str">
            <v>Net 15, no pink card</v>
          </cell>
          <cell r="E412">
            <v>15</v>
          </cell>
          <cell r="F412" t="str">
            <v>Yes</v>
          </cell>
          <cell r="G412" t="str">
            <v>OH</v>
          </cell>
          <cell r="H412">
            <v>5</v>
          </cell>
          <cell r="I412">
            <v>0.66500000000000004</v>
          </cell>
          <cell r="J412" t="str">
            <v>Orphaned Acct</v>
          </cell>
          <cell r="K412" t="str">
            <v>DELPHI</v>
          </cell>
          <cell r="L412" t="str">
            <v>IN</v>
          </cell>
          <cell r="M412" t="str">
            <v>800-577-8858</v>
          </cell>
          <cell r="N412" t="str">
            <v>All tandem axle trailers must have BRK2</v>
          </cell>
          <cell r="O412">
            <v>838</v>
          </cell>
          <cell r="P412">
            <v>3603.3999999999996</v>
          </cell>
          <cell r="Q412">
            <v>761</v>
          </cell>
          <cell r="R412">
            <v>3272.2999999999997</v>
          </cell>
          <cell r="S412"/>
          <cell r="T412">
            <v>0</v>
          </cell>
          <cell r="U412">
            <v>862</v>
          </cell>
          <cell r="V412">
            <v>3706.6</v>
          </cell>
          <cell r="W412">
            <v>918</v>
          </cell>
          <cell r="X412">
            <v>3947.3999999999996</v>
          </cell>
          <cell r="Y412">
            <v>231</v>
          </cell>
          <cell r="Z412">
            <v>993.3</v>
          </cell>
          <cell r="AA412">
            <v>231</v>
          </cell>
          <cell r="AB412">
            <v>993.3</v>
          </cell>
          <cell r="AC412">
            <v>231</v>
          </cell>
          <cell r="AD412">
            <v>993.3</v>
          </cell>
          <cell r="AE412"/>
          <cell r="AF412"/>
          <cell r="AG412"/>
          <cell r="AH412"/>
          <cell r="AI412"/>
          <cell r="AJ412">
            <v>0</v>
          </cell>
          <cell r="AK412" t="str">
            <v>3P</v>
          </cell>
          <cell r="AL412">
            <v>213</v>
          </cell>
          <cell r="AM412">
            <v>235</v>
          </cell>
          <cell r="AN412" t="str">
            <v>08 Inactive Dealer</v>
          </cell>
          <cell r="AO412" t="str">
            <v>Midwest</v>
          </cell>
          <cell r="AP412" t="str">
            <v>North</v>
          </cell>
          <cell r="AQ412"/>
          <cell r="AR412">
            <v>0</v>
          </cell>
          <cell r="AS412">
            <v>0</v>
          </cell>
        </row>
        <row r="413">
          <cell r="A413">
            <v>11439</v>
          </cell>
          <cell r="B413" t="str">
            <v>ROOT'S RV</v>
          </cell>
          <cell r="C413" t="str">
            <v>M07204</v>
          </cell>
          <cell r="D413" t="str">
            <v>NET 5, BT+</v>
          </cell>
          <cell r="E413" t="str">
            <v>F3 - Northpoint</v>
          </cell>
          <cell r="F413" t="str">
            <v>Yes</v>
          </cell>
          <cell r="G413" t="str">
            <v>OH</v>
          </cell>
          <cell r="H413">
            <v>8</v>
          </cell>
          <cell r="I413">
            <v>0.66500000000000004</v>
          </cell>
          <cell r="J413" t="str">
            <v>Orphaned Acct</v>
          </cell>
          <cell r="K413" t="str">
            <v>MITCHELL</v>
          </cell>
          <cell r="L413" t="str">
            <v>IN</v>
          </cell>
          <cell r="M413" t="str">
            <v>800-577-8858</v>
          </cell>
          <cell r="N413"/>
          <cell r="O413">
            <v>735</v>
          </cell>
          <cell r="P413">
            <v>3160.5</v>
          </cell>
          <cell r="Q413">
            <v>629</v>
          </cell>
          <cell r="R413">
            <v>2704.7</v>
          </cell>
          <cell r="S413"/>
          <cell r="T413">
            <v>0</v>
          </cell>
          <cell r="U413">
            <v>805</v>
          </cell>
          <cell r="V413">
            <v>3461.5</v>
          </cell>
          <cell r="W413">
            <v>815</v>
          </cell>
          <cell r="X413">
            <v>3504.5</v>
          </cell>
          <cell r="Y413">
            <v>169</v>
          </cell>
          <cell r="Z413">
            <v>726.69999999999993</v>
          </cell>
          <cell r="AA413">
            <v>169</v>
          </cell>
          <cell r="AB413">
            <v>726.69999999999993</v>
          </cell>
          <cell r="AC413">
            <v>169</v>
          </cell>
          <cell r="AD413">
            <v>726.69999999999993</v>
          </cell>
          <cell r="AE413"/>
          <cell r="AF413"/>
          <cell r="AG413"/>
          <cell r="AH413"/>
          <cell r="AI413"/>
          <cell r="AJ413">
            <v>0</v>
          </cell>
          <cell r="AK413" t="str">
            <v>3P</v>
          </cell>
          <cell r="AL413">
            <v>275</v>
          </cell>
          <cell r="AM413">
            <v>47</v>
          </cell>
          <cell r="AN413" t="str">
            <v>01 Existing Dealer</v>
          </cell>
          <cell r="AO413" t="str">
            <v>Midwest</v>
          </cell>
          <cell r="AP413" t="str">
            <v>North</v>
          </cell>
          <cell r="AQ413"/>
          <cell r="AR413">
            <v>0</v>
          </cell>
          <cell r="AS413">
            <v>0</v>
          </cell>
        </row>
        <row r="414">
          <cell r="A414">
            <v>12824</v>
          </cell>
          <cell r="B414" t="str">
            <v>ROYER TRAILER</v>
          </cell>
          <cell r="C414" t="str">
            <v>M10359</v>
          </cell>
          <cell r="D414" t="str">
            <v>NET 5, BT+</v>
          </cell>
          <cell r="E414" t="str">
            <v>F3 - Northpoint</v>
          </cell>
          <cell r="F414" t="str">
            <v>Yes</v>
          </cell>
          <cell r="G414" t="str">
            <v>OH</v>
          </cell>
          <cell r="H414">
            <v>8</v>
          </cell>
          <cell r="I414">
            <v>0.66500000000000004</v>
          </cell>
          <cell r="J414" t="str">
            <v>Orphaned Acct</v>
          </cell>
          <cell r="K414" t="str">
            <v>CLINTON</v>
          </cell>
          <cell r="L414" t="str">
            <v>IN</v>
          </cell>
          <cell r="M414" t="str">
            <v>800-577-8858</v>
          </cell>
          <cell r="N414"/>
          <cell r="O414">
            <v>726</v>
          </cell>
          <cell r="P414">
            <v>3121.7999999999997</v>
          </cell>
          <cell r="Q414">
            <v>667</v>
          </cell>
          <cell r="R414">
            <v>2868.1</v>
          </cell>
          <cell r="S414"/>
          <cell r="T414">
            <v>0</v>
          </cell>
          <cell r="U414">
            <v>753</v>
          </cell>
          <cell r="V414">
            <v>3237.9</v>
          </cell>
          <cell r="W414">
            <v>807</v>
          </cell>
          <cell r="X414">
            <v>3470.1</v>
          </cell>
          <cell r="Y414">
            <v>226</v>
          </cell>
          <cell r="Z414">
            <v>971.8</v>
          </cell>
          <cell r="AA414">
            <v>226</v>
          </cell>
          <cell r="AB414">
            <v>971.8</v>
          </cell>
          <cell r="AC414">
            <v>226</v>
          </cell>
          <cell r="AD414">
            <v>971.8</v>
          </cell>
          <cell r="AE414"/>
          <cell r="AF414"/>
          <cell r="AG414"/>
          <cell r="AH414"/>
          <cell r="AI414"/>
          <cell r="AJ414">
            <v>0</v>
          </cell>
          <cell r="AK414" t="str">
            <v>3P</v>
          </cell>
          <cell r="AL414">
            <v>213</v>
          </cell>
          <cell r="AM414">
            <v>442</v>
          </cell>
          <cell r="AN414" t="str">
            <v>01 Existing Dealer</v>
          </cell>
          <cell r="AO414" t="str">
            <v>Midwest</v>
          </cell>
          <cell r="AP414" t="str">
            <v>North</v>
          </cell>
          <cell r="AQ414"/>
          <cell r="AR414">
            <v>0</v>
          </cell>
          <cell r="AS414">
            <v>0</v>
          </cell>
        </row>
        <row r="415">
          <cell r="A415">
            <v>13605</v>
          </cell>
          <cell r="B415" t="str">
            <v>SOUTHERN INDIANA TRLR</v>
          </cell>
          <cell r="C415" t="str">
            <v>M11584</v>
          </cell>
          <cell r="D415" t="str">
            <v>NET 5, BT+</v>
          </cell>
          <cell r="E415" t="str">
            <v>F3 - Northpoint</v>
          </cell>
          <cell r="F415" t="str">
            <v>Yes</v>
          </cell>
          <cell r="G415" t="str">
            <v>OH</v>
          </cell>
          <cell r="H415">
            <v>8</v>
          </cell>
          <cell r="I415">
            <v>0.66500000000000004</v>
          </cell>
          <cell r="J415" t="str">
            <v>Lane Davis</v>
          </cell>
          <cell r="K415" t="str">
            <v>MITCHELL</v>
          </cell>
          <cell r="L415" t="str">
            <v>IN</v>
          </cell>
          <cell r="M415" t="str">
            <v>800-577-8858</v>
          </cell>
          <cell r="N415"/>
          <cell r="O415">
            <v>735</v>
          </cell>
          <cell r="P415">
            <v>3160.5</v>
          </cell>
          <cell r="Q415">
            <v>629</v>
          </cell>
          <cell r="R415">
            <v>2704.7</v>
          </cell>
          <cell r="S415"/>
          <cell r="T415">
            <v>0</v>
          </cell>
          <cell r="U415">
            <v>805</v>
          </cell>
          <cell r="V415">
            <v>3461.5</v>
          </cell>
          <cell r="W415">
            <v>815</v>
          </cell>
          <cell r="X415">
            <v>3504.5</v>
          </cell>
          <cell r="Y415">
            <v>169</v>
          </cell>
          <cell r="Z415">
            <v>726.69999999999993</v>
          </cell>
          <cell r="AA415">
            <v>169</v>
          </cell>
          <cell r="AB415">
            <v>726.69999999999993</v>
          </cell>
          <cell r="AC415">
            <v>169</v>
          </cell>
          <cell r="AD415">
            <v>726.69999999999993</v>
          </cell>
          <cell r="AE415"/>
          <cell r="AF415"/>
          <cell r="AG415"/>
          <cell r="AH415"/>
          <cell r="AI415"/>
          <cell r="AJ415">
            <v>0.02</v>
          </cell>
          <cell r="AK415" t="str">
            <v>3P</v>
          </cell>
          <cell r="AL415">
            <v>275</v>
          </cell>
          <cell r="AM415">
            <v>47</v>
          </cell>
          <cell r="AN415" t="str">
            <v>01 Existing Dealer</v>
          </cell>
          <cell r="AO415" t="str">
            <v>Midwest</v>
          </cell>
          <cell r="AP415" t="str">
            <v>North</v>
          </cell>
          <cell r="AQ415"/>
          <cell r="AR415">
            <v>0</v>
          </cell>
          <cell r="AS415">
            <v>0</v>
          </cell>
        </row>
        <row r="416">
          <cell r="A416">
            <v>13121</v>
          </cell>
          <cell r="B416" t="str">
            <v>STATELINE TRAILER</v>
          </cell>
          <cell r="C416" t="str">
            <v>M11012</v>
          </cell>
          <cell r="D416" t="str">
            <v>NET 5, BT+</v>
          </cell>
          <cell r="E416" t="str">
            <v>FP - Wells Fargo</v>
          </cell>
          <cell r="F416" t="str">
            <v>Yes</v>
          </cell>
          <cell r="G416" t="str">
            <v>OH</v>
          </cell>
          <cell r="H416">
            <v>8</v>
          </cell>
          <cell r="I416">
            <v>0.66500000000000004</v>
          </cell>
          <cell r="J416" t="str">
            <v>Orphaned Acct</v>
          </cell>
          <cell r="K416" t="str">
            <v>EVANSVILLE</v>
          </cell>
          <cell r="L416" t="str">
            <v>IN</v>
          </cell>
          <cell r="M416" t="str">
            <v>800-577-8858</v>
          </cell>
          <cell r="N416"/>
          <cell r="O416">
            <v>654</v>
          </cell>
          <cell r="P416">
            <v>2812.2</v>
          </cell>
          <cell r="Q416">
            <v>557</v>
          </cell>
          <cell r="R416">
            <v>2395.1</v>
          </cell>
          <cell r="S416"/>
          <cell r="T416">
            <v>0</v>
          </cell>
          <cell r="U416">
            <v>746</v>
          </cell>
          <cell r="V416">
            <v>3207.7999999999997</v>
          </cell>
          <cell r="W416">
            <v>734</v>
          </cell>
          <cell r="X416">
            <v>3156.2</v>
          </cell>
          <cell r="Y416">
            <v>251</v>
          </cell>
          <cell r="Z416">
            <v>1079.3</v>
          </cell>
          <cell r="AA416">
            <v>251</v>
          </cell>
          <cell r="AB416">
            <v>1079.3</v>
          </cell>
          <cell r="AC416">
            <v>251</v>
          </cell>
          <cell r="AD416">
            <v>1079.3</v>
          </cell>
          <cell r="AE416"/>
          <cell r="AF416"/>
          <cell r="AG416"/>
          <cell r="AH416"/>
          <cell r="AI416"/>
          <cell r="AJ416">
            <v>0</v>
          </cell>
          <cell r="AK416" t="str">
            <v>3P</v>
          </cell>
          <cell r="AL416">
            <v>213</v>
          </cell>
          <cell r="AM416">
            <v>135</v>
          </cell>
          <cell r="AN416" t="str">
            <v>01 Existing Dealer</v>
          </cell>
          <cell r="AO416" t="str">
            <v>Midwest</v>
          </cell>
          <cell r="AP416" t="str">
            <v>North</v>
          </cell>
          <cell r="AQ416"/>
          <cell r="AR416">
            <v>0</v>
          </cell>
          <cell r="AS416">
            <v>0</v>
          </cell>
          <cell r="AT416"/>
        </row>
        <row r="417">
          <cell r="A417">
            <v>12515</v>
          </cell>
          <cell r="B417" t="str">
            <v>T.D. WALL, INC</v>
          </cell>
          <cell r="C417" t="str">
            <v>M10392</v>
          </cell>
          <cell r="D417" t="str">
            <v>NET 5, BT+</v>
          </cell>
          <cell r="E417" t="str">
            <v>CO</v>
          </cell>
          <cell r="F417" t="str">
            <v>Yes</v>
          </cell>
          <cell r="G417" t="str">
            <v>OH</v>
          </cell>
          <cell r="H417">
            <v>7</v>
          </cell>
          <cell r="I417">
            <v>0.66500000000000004</v>
          </cell>
          <cell r="J417" t="str">
            <v>Orphaned Acct</v>
          </cell>
          <cell r="K417" t="str">
            <v>HUNTINGTON</v>
          </cell>
          <cell r="L417" t="str">
            <v>IN</v>
          </cell>
          <cell r="M417" t="str">
            <v>800-577-8858</v>
          </cell>
          <cell r="N417"/>
          <cell r="O417">
            <v>891</v>
          </cell>
          <cell r="P417">
            <v>3831.2999999999997</v>
          </cell>
          <cell r="Q417">
            <v>782</v>
          </cell>
          <cell r="R417">
            <v>3362.6</v>
          </cell>
          <cell r="S417"/>
          <cell r="T417">
            <v>0</v>
          </cell>
          <cell r="U417">
            <v>915</v>
          </cell>
          <cell r="V417">
            <v>3934.5</v>
          </cell>
          <cell r="W417">
            <v>971</v>
          </cell>
          <cell r="X417">
            <v>4175.3</v>
          </cell>
          <cell r="Y417">
            <v>214</v>
          </cell>
          <cell r="Z417">
            <v>920.19999999999993</v>
          </cell>
          <cell r="AA417">
            <v>214</v>
          </cell>
          <cell r="AB417">
            <v>920.19999999999993</v>
          </cell>
          <cell r="AC417">
            <v>214</v>
          </cell>
          <cell r="AD417">
            <v>920.19999999999993</v>
          </cell>
          <cell r="AE417"/>
          <cell r="AF417"/>
          <cell r="AG417"/>
          <cell r="AH417"/>
          <cell r="AI417"/>
          <cell r="AJ417">
            <v>0</v>
          </cell>
          <cell r="AK417" t="str">
            <v>3P</v>
          </cell>
          <cell r="AL417">
            <v>213</v>
          </cell>
          <cell r="AM417">
            <v>155</v>
          </cell>
          <cell r="AN417" t="str">
            <v>08 Inactive Dealer</v>
          </cell>
          <cell r="AO417" t="str">
            <v>Midwest</v>
          </cell>
          <cell r="AP417" t="str">
            <v>North</v>
          </cell>
          <cell r="AQ417"/>
          <cell r="AR417">
            <v>0</v>
          </cell>
          <cell r="AS417">
            <v>0</v>
          </cell>
          <cell r="AT417"/>
        </row>
        <row r="418">
          <cell r="A418">
            <v>12921</v>
          </cell>
          <cell r="B418" t="str">
            <v>T.D. WALL, INC</v>
          </cell>
          <cell r="C418" t="str">
            <v>M10392</v>
          </cell>
          <cell r="D418" t="str">
            <v>NET 5, BT+</v>
          </cell>
          <cell r="E418" t="str">
            <v>C9</v>
          </cell>
          <cell r="F418" t="str">
            <v>No</v>
          </cell>
          <cell r="G418" t="str">
            <v>OH</v>
          </cell>
          <cell r="H418">
            <v>9</v>
          </cell>
          <cell r="I418">
            <v>0.66500000000000004</v>
          </cell>
          <cell r="J418" t="str">
            <v>Orphaned Acct</v>
          </cell>
          <cell r="K418" t="str">
            <v>WARREN</v>
          </cell>
          <cell r="L418" t="str">
            <v>IN</v>
          </cell>
          <cell r="M418" t="str">
            <v>800-577-8858</v>
          </cell>
          <cell r="N418"/>
          <cell r="O418">
            <v>891</v>
          </cell>
          <cell r="P418">
            <v>3831.2999999999997</v>
          </cell>
          <cell r="Q418">
            <v>782</v>
          </cell>
          <cell r="R418">
            <v>3362.6</v>
          </cell>
          <cell r="S418"/>
          <cell r="T418">
            <v>0</v>
          </cell>
          <cell r="U418">
            <v>915</v>
          </cell>
          <cell r="V418">
            <v>3934.5</v>
          </cell>
          <cell r="W418">
            <v>971</v>
          </cell>
          <cell r="X418">
            <v>4175.3</v>
          </cell>
          <cell r="Y418">
            <v>178</v>
          </cell>
          <cell r="Z418">
            <v>765.4</v>
          </cell>
          <cell r="AA418">
            <v>178</v>
          </cell>
          <cell r="AB418">
            <v>765.4</v>
          </cell>
          <cell r="AC418">
            <v>178</v>
          </cell>
          <cell r="AD418">
            <v>765.4</v>
          </cell>
          <cell r="AE418"/>
          <cell r="AF418"/>
          <cell r="AG418"/>
          <cell r="AH418"/>
          <cell r="AI418"/>
          <cell r="AJ418">
            <v>0</v>
          </cell>
          <cell r="AK418" t="str">
            <v>3P</v>
          </cell>
          <cell r="AL418">
            <v>213</v>
          </cell>
          <cell r="AM418">
            <v>155</v>
          </cell>
          <cell r="AN418" t="str">
            <v>08 Inactive Dealer</v>
          </cell>
          <cell r="AO418" t="str">
            <v>Midwest</v>
          </cell>
          <cell r="AP418" t="str">
            <v>North</v>
          </cell>
          <cell r="AQ418"/>
          <cell r="AR418">
            <v>0</v>
          </cell>
          <cell r="AS418">
            <v>0</v>
          </cell>
          <cell r="AT418"/>
        </row>
        <row r="419">
          <cell r="A419">
            <v>13020</v>
          </cell>
          <cell r="B419" t="str">
            <v>T.D. WALL, INC</v>
          </cell>
          <cell r="C419" t="str">
            <v>M10392</v>
          </cell>
          <cell r="D419" t="str">
            <v>NET 5, BT+</v>
          </cell>
          <cell r="E419" t="str">
            <v>FP - Northpoint</v>
          </cell>
          <cell r="F419" t="str">
            <v>No</v>
          </cell>
          <cell r="G419" t="str">
            <v>OH</v>
          </cell>
          <cell r="H419">
            <v>8</v>
          </cell>
          <cell r="I419">
            <v>0.66500000000000004</v>
          </cell>
          <cell r="J419" t="str">
            <v>Orphaned Acct</v>
          </cell>
          <cell r="K419" t="str">
            <v>WARREN</v>
          </cell>
          <cell r="L419" t="str">
            <v>IN</v>
          </cell>
          <cell r="M419" t="str">
            <v>800-577-8858</v>
          </cell>
          <cell r="N419"/>
          <cell r="O419">
            <v>891</v>
          </cell>
          <cell r="P419">
            <v>3831.2999999999997</v>
          </cell>
          <cell r="Q419">
            <v>782</v>
          </cell>
          <cell r="R419">
            <v>3362.6</v>
          </cell>
          <cell r="S419"/>
          <cell r="T419">
            <v>0</v>
          </cell>
          <cell r="U419">
            <v>915</v>
          </cell>
          <cell r="V419">
            <v>3934.5</v>
          </cell>
          <cell r="W419">
            <v>971</v>
          </cell>
          <cell r="X419">
            <v>4175.3</v>
          </cell>
          <cell r="Y419">
            <v>178</v>
          </cell>
          <cell r="Z419">
            <v>765.4</v>
          </cell>
          <cell r="AA419">
            <v>178</v>
          </cell>
          <cell r="AB419">
            <v>765.4</v>
          </cell>
          <cell r="AC419">
            <v>178</v>
          </cell>
          <cell r="AD419">
            <v>765.4</v>
          </cell>
          <cell r="AE419"/>
          <cell r="AF419"/>
          <cell r="AG419"/>
          <cell r="AH419"/>
          <cell r="AI419"/>
          <cell r="AJ419">
            <v>0</v>
          </cell>
          <cell r="AK419" t="str">
            <v>3P</v>
          </cell>
          <cell r="AL419">
            <v>213</v>
          </cell>
          <cell r="AM419">
            <v>155</v>
          </cell>
          <cell r="AN419" t="str">
            <v>08 Inactive Dealer</v>
          </cell>
          <cell r="AO419" t="str">
            <v>Midwest</v>
          </cell>
          <cell r="AP419" t="str">
            <v>North</v>
          </cell>
          <cell r="AQ419"/>
          <cell r="AR419">
            <v>0</v>
          </cell>
          <cell r="AS419">
            <v>0</v>
          </cell>
          <cell r="AT419"/>
        </row>
        <row r="420">
          <cell r="A420">
            <v>12830</v>
          </cell>
          <cell r="B420" t="str">
            <v>TOW ZONE TRAILER &amp; EQUIPMENT SALES</v>
          </cell>
          <cell r="C420" t="str">
            <v>M10413</v>
          </cell>
          <cell r="D420" t="str">
            <v>NET 5, BT+</v>
          </cell>
          <cell r="E420" t="str">
            <v>C9</v>
          </cell>
          <cell r="F420" t="str">
            <v>No</v>
          </cell>
          <cell r="G420" t="str">
            <v>OH</v>
          </cell>
          <cell r="H420">
            <v>9</v>
          </cell>
          <cell r="I420">
            <v>0.66500000000000004</v>
          </cell>
          <cell r="J420" t="str">
            <v>Orphaned Acct</v>
          </cell>
          <cell r="K420" t="str">
            <v>JEFFERSONVILLE</v>
          </cell>
          <cell r="L420" t="str">
            <v>IN</v>
          </cell>
          <cell r="M420" t="str">
            <v>800-577-8858</v>
          </cell>
          <cell r="N420"/>
          <cell r="O420">
            <v>722</v>
          </cell>
          <cell r="P420">
            <v>3104.6</v>
          </cell>
          <cell r="Q420">
            <v>570</v>
          </cell>
          <cell r="R420">
            <v>2451</v>
          </cell>
          <cell r="S420"/>
          <cell r="T420">
            <v>0</v>
          </cell>
          <cell r="U420">
            <v>826</v>
          </cell>
          <cell r="V420">
            <v>3551.7999999999997</v>
          </cell>
          <cell r="W420">
            <v>803</v>
          </cell>
          <cell r="X420">
            <v>3452.8999999999996</v>
          </cell>
          <cell r="Y420">
            <v>132</v>
          </cell>
          <cell r="Z420">
            <v>567.6</v>
          </cell>
          <cell r="AA420">
            <v>132</v>
          </cell>
          <cell r="AB420">
            <v>567.6</v>
          </cell>
          <cell r="AC420">
            <v>132</v>
          </cell>
          <cell r="AD420">
            <v>567.6</v>
          </cell>
          <cell r="AE420"/>
          <cell r="AF420"/>
          <cell r="AG420"/>
          <cell r="AH420"/>
          <cell r="AI420"/>
          <cell r="AJ420">
            <v>0</v>
          </cell>
          <cell r="AK420" t="str">
            <v>3P</v>
          </cell>
          <cell r="AL420">
            <v>213</v>
          </cell>
          <cell r="AM420">
            <v>263</v>
          </cell>
          <cell r="AN420" t="str">
            <v>08 Inactive Dealer</v>
          </cell>
          <cell r="AO420" t="str">
            <v>Midwest</v>
          </cell>
          <cell r="AP420" t="str">
            <v>North</v>
          </cell>
          <cell r="AQ420"/>
          <cell r="AR420">
            <v>0</v>
          </cell>
          <cell r="AS420">
            <v>0</v>
          </cell>
          <cell r="AT420"/>
        </row>
        <row r="421">
          <cell r="A421">
            <v>13043</v>
          </cell>
          <cell r="B421" t="str">
            <v>TOW ZONE TRAILER &amp; EQUIPMENT SALES</v>
          </cell>
          <cell r="C421" t="str">
            <v>M10413</v>
          </cell>
          <cell r="D421" t="str">
            <v>NET 5, BT+</v>
          </cell>
          <cell r="E421" t="str">
            <v>CF</v>
          </cell>
          <cell r="F421" t="str">
            <v>Yes</v>
          </cell>
          <cell r="G421" t="str">
            <v>OH</v>
          </cell>
          <cell r="H421">
            <v>7</v>
          </cell>
          <cell r="I421">
            <v>0.66500000000000004</v>
          </cell>
          <cell r="J421" t="str">
            <v>Orphaned Acct</v>
          </cell>
          <cell r="K421" t="str">
            <v>JEFFERSONVILLE</v>
          </cell>
          <cell r="L421" t="str">
            <v>IN</v>
          </cell>
          <cell r="M421" t="str">
            <v>800-577-8858</v>
          </cell>
          <cell r="N421"/>
          <cell r="O421">
            <v>722</v>
          </cell>
          <cell r="P421">
            <v>3104.6</v>
          </cell>
          <cell r="Q421">
            <v>570</v>
          </cell>
          <cell r="R421">
            <v>2451</v>
          </cell>
          <cell r="S421"/>
          <cell r="T421">
            <v>0</v>
          </cell>
          <cell r="U421">
            <v>826</v>
          </cell>
          <cell r="V421">
            <v>3551.7999999999997</v>
          </cell>
          <cell r="W421">
            <v>803</v>
          </cell>
          <cell r="X421">
            <v>3452.8999999999996</v>
          </cell>
          <cell r="Y421">
            <v>132</v>
          </cell>
          <cell r="Z421">
            <v>567.6</v>
          </cell>
          <cell r="AA421">
            <v>132</v>
          </cell>
          <cell r="AB421">
            <v>567.6</v>
          </cell>
          <cell r="AC421">
            <v>132</v>
          </cell>
          <cell r="AD421">
            <v>567.6</v>
          </cell>
          <cell r="AE421"/>
          <cell r="AF421"/>
          <cell r="AG421"/>
          <cell r="AH421"/>
          <cell r="AI421"/>
          <cell r="AJ421">
            <v>0</v>
          </cell>
          <cell r="AK421" t="str">
            <v>3P</v>
          </cell>
          <cell r="AL421">
            <v>213</v>
          </cell>
          <cell r="AM421">
            <v>263</v>
          </cell>
          <cell r="AN421" t="str">
            <v>08 Inactive Dealer</v>
          </cell>
          <cell r="AO421" t="str">
            <v>Midwest</v>
          </cell>
          <cell r="AP421" t="str">
            <v>North</v>
          </cell>
          <cell r="AQ421"/>
          <cell r="AR421">
            <v>0</v>
          </cell>
          <cell r="AS421">
            <v>0</v>
          </cell>
        </row>
        <row r="422">
          <cell r="A422">
            <v>13099</v>
          </cell>
          <cell r="B422" t="str">
            <v>TW CLARKSVILLE</v>
          </cell>
          <cell r="C422" t="str">
            <v>M11006</v>
          </cell>
          <cell r="D422" t="str">
            <v>Net 30, no pink card</v>
          </cell>
          <cell r="E422">
            <v>30</v>
          </cell>
          <cell r="F422" t="str">
            <v>Yes</v>
          </cell>
          <cell r="G422" t="str">
            <v>OH</v>
          </cell>
          <cell r="H422">
            <v>10</v>
          </cell>
          <cell r="I422">
            <v>0.66500000000000004</v>
          </cell>
          <cell r="J422" t="str">
            <v>Jake McEntee</v>
          </cell>
          <cell r="K422" t="str">
            <v>CLARKSVILLE</v>
          </cell>
          <cell r="L422" t="str">
            <v>IN</v>
          </cell>
          <cell r="M422" t="str">
            <v>800-577-8858</v>
          </cell>
          <cell r="N422" t="str">
            <v>All tandem axle trailers must have BRK2</v>
          </cell>
          <cell r="O422">
            <v>722</v>
          </cell>
          <cell r="P422">
            <v>3104.6</v>
          </cell>
          <cell r="Q422">
            <v>565</v>
          </cell>
          <cell r="R422">
            <v>2429.5</v>
          </cell>
          <cell r="S422"/>
          <cell r="T422">
            <v>0</v>
          </cell>
          <cell r="U422">
            <v>829</v>
          </cell>
          <cell r="V422">
            <v>3564.7</v>
          </cell>
          <cell r="W422">
            <v>804</v>
          </cell>
          <cell r="X422">
            <v>3457.2</v>
          </cell>
          <cell r="Y422">
            <v>134</v>
          </cell>
          <cell r="Z422">
            <v>576.19999999999993</v>
          </cell>
          <cell r="AA422">
            <v>134</v>
          </cell>
          <cell r="AB422">
            <v>576.19999999999993</v>
          </cell>
          <cell r="AC422">
            <v>134</v>
          </cell>
          <cell r="AD422">
            <v>576.19999999999993</v>
          </cell>
          <cell r="AE422">
            <v>6.2519999999999992E-2</v>
          </cell>
          <cell r="AF422"/>
          <cell r="AG422">
            <v>0</v>
          </cell>
          <cell r="AH422">
            <v>7.4999999999999997E-2</v>
          </cell>
          <cell r="AI422">
            <v>7.4999999999999997E-2</v>
          </cell>
          <cell r="AJ422">
            <v>0.04</v>
          </cell>
          <cell r="AK422" t="str">
            <v>TW</v>
          </cell>
          <cell r="AL422">
            <v>161</v>
          </cell>
          <cell r="AM422">
            <v>263</v>
          </cell>
          <cell r="AN422" t="str">
            <v>04 Co.Store</v>
          </cell>
          <cell r="AO422" t="str">
            <v>Midwest</v>
          </cell>
          <cell r="AP422" t="str">
            <v>North</v>
          </cell>
          <cell r="AQ422"/>
          <cell r="AR422">
            <v>69802</v>
          </cell>
          <cell r="AS422">
            <v>43487</v>
          </cell>
        </row>
        <row r="423">
          <cell r="A423">
            <v>13071</v>
          </cell>
          <cell r="B423" t="str">
            <v>TW INDIANAPOLIS</v>
          </cell>
          <cell r="C423" t="str">
            <v>M10944</v>
          </cell>
          <cell r="D423" t="str">
            <v>Net 30, no pink card</v>
          </cell>
          <cell r="E423">
            <v>30</v>
          </cell>
          <cell r="F423" t="str">
            <v>Yes</v>
          </cell>
          <cell r="G423" t="str">
            <v>OH</v>
          </cell>
          <cell r="H423">
            <v>10</v>
          </cell>
          <cell r="I423">
            <v>0.66500000000000004</v>
          </cell>
          <cell r="J423" t="str">
            <v>Jake McEntee</v>
          </cell>
          <cell r="K423" t="str">
            <v>INDIANAPOLIS</v>
          </cell>
          <cell r="L423" t="str">
            <v>IN</v>
          </cell>
          <cell r="M423" t="str">
            <v>800-577-8858</v>
          </cell>
          <cell r="N423" t="str">
            <v>All tandem axle trailers must have BRK2</v>
          </cell>
          <cell r="O423">
            <v>784</v>
          </cell>
          <cell r="P423">
            <v>3371.2</v>
          </cell>
          <cell r="Q423">
            <v>670</v>
          </cell>
          <cell r="R423">
            <v>2881</v>
          </cell>
          <cell r="S423"/>
          <cell r="T423">
            <v>0</v>
          </cell>
          <cell r="U423">
            <v>812</v>
          </cell>
          <cell r="V423">
            <v>3491.6</v>
          </cell>
          <cell r="W423">
            <v>866</v>
          </cell>
          <cell r="X423">
            <v>3723.7999999999997</v>
          </cell>
          <cell r="Y423">
            <v>147</v>
          </cell>
          <cell r="Z423">
            <v>632.1</v>
          </cell>
          <cell r="AA423">
            <v>147</v>
          </cell>
          <cell r="AB423">
            <v>632.1</v>
          </cell>
          <cell r="AC423">
            <v>147</v>
          </cell>
          <cell r="AD423">
            <v>632.1</v>
          </cell>
          <cell r="AE423">
            <v>3.8399999999999997E-2</v>
          </cell>
          <cell r="AF423"/>
          <cell r="AG423">
            <v>0</v>
          </cell>
          <cell r="AH423">
            <v>8.2000000000000003E-2</v>
          </cell>
          <cell r="AI423">
            <v>8.2000000000000003E-2</v>
          </cell>
          <cell r="AJ423">
            <v>0.04</v>
          </cell>
          <cell r="AK423" t="str">
            <v>TW</v>
          </cell>
          <cell r="AL423">
            <v>161</v>
          </cell>
          <cell r="AM423">
            <v>204</v>
          </cell>
          <cell r="AN423" t="str">
            <v>04 Co.Store</v>
          </cell>
          <cell r="AO423" t="str">
            <v>Midwest</v>
          </cell>
          <cell r="AP423" t="str">
            <v>North</v>
          </cell>
          <cell r="AQ423"/>
          <cell r="AR423">
            <v>221117</v>
          </cell>
          <cell r="AS423">
            <v>149045</v>
          </cell>
        </row>
        <row r="424">
          <cell r="A424">
            <v>12939</v>
          </cell>
          <cell r="B424" t="str">
            <v>TWOE ANDERSON, INC. dba TOM WOOD OUTDOOR</v>
          </cell>
          <cell r="C424" t="str">
            <v>M10432</v>
          </cell>
          <cell r="D424" t="str">
            <v>Return Mail, no pink card</v>
          </cell>
          <cell r="E424" t="str">
            <v>F1 - Wells Fargo</v>
          </cell>
          <cell r="F424" t="str">
            <v>Yes</v>
          </cell>
          <cell r="G424" t="str">
            <v>OH</v>
          </cell>
          <cell r="H424">
            <v>8</v>
          </cell>
          <cell r="I424">
            <v>0.66500000000000004</v>
          </cell>
          <cell r="J424" t="str">
            <v>Orphaned Acct</v>
          </cell>
          <cell r="K424" t="str">
            <v>ANDERSON</v>
          </cell>
          <cell r="L424" t="str">
            <v>IN</v>
          </cell>
          <cell r="M424" t="str">
            <v>800-577-8858</v>
          </cell>
          <cell r="N424"/>
          <cell r="O424">
            <v>831</v>
          </cell>
          <cell r="P424">
            <v>3573.2999999999997</v>
          </cell>
          <cell r="Q424">
            <v>722</v>
          </cell>
          <cell r="R424">
            <v>3104.6</v>
          </cell>
          <cell r="S424"/>
          <cell r="T424">
            <v>0</v>
          </cell>
          <cell r="U424">
            <v>855</v>
          </cell>
          <cell r="V424">
            <v>3676.5</v>
          </cell>
          <cell r="W424">
            <v>911</v>
          </cell>
          <cell r="X424">
            <v>3917.2999999999997</v>
          </cell>
          <cell r="Y424">
            <v>164</v>
          </cell>
          <cell r="Z424">
            <v>705.19999999999993</v>
          </cell>
          <cell r="AA424">
            <v>164</v>
          </cell>
          <cell r="AB424">
            <v>705.19999999999993</v>
          </cell>
          <cell r="AC424">
            <v>164</v>
          </cell>
          <cell r="AD424">
            <v>705.19999999999993</v>
          </cell>
          <cell r="AE424"/>
          <cell r="AF424"/>
          <cell r="AG424"/>
          <cell r="AH424"/>
          <cell r="AI424"/>
          <cell r="AJ424">
            <v>0</v>
          </cell>
          <cell r="AK424" t="str">
            <v>3P</v>
          </cell>
          <cell r="AL424">
            <v>213</v>
          </cell>
          <cell r="AM424">
            <v>15</v>
          </cell>
          <cell r="AN424" t="str">
            <v>08 Inactive Dealer</v>
          </cell>
          <cell r="AO424" t="str">
            <v>Midwest</v>
          </cell>
          <cell r="AP424" t="str">
            <v>North</v>
          </cell>
          <cell r="AQ424"/>
          <cell r="AR424">
            <v>0</v>
          </cell>
          <cell r="AS424">
            <v>0</v>
          </cell>
        </row>
        <row r="425">
          <cell r="A425">
            <v>10541</v>
          </cell>
          <cell r="B425" t="str">
            <v>VALPARAISO</v>
          </cell>
          <cell r="C425" t="str">
            <v>M10437</v>
          </cell>
          <cell r="D425" t="str">
            <v>Net 15, no pink card</v>
          </cell>
          <cell r="E425">
            <v>15</v>
          </cell>
          <cell r="F425" t="str">
            <v>Yes</v>
          </cell>
          <cell r="G425" t="str">
            <v>OH</v>
          </cell>
          <cell r="H425">
            <v>5</v>
          </cell>
          <cell r="I425">
            <v>0.66500000000000004</v>
          </cell>
          <cell r="J425" t="str">
            <v>Lane Davis</v>
          </cell>
          <cell r="K425" t="str">
            <v>VALPARAISO</v>
          </cell>
          <cell r="L425" t="str">
            <v>IN</v>
          </cell>
          <cell r="M425" t="str">
            <v>800-577-8858</v>
          </cell>
          <cell r="N425"/>
          <cell r="O425">
            <v>861</v>
          </cell>
          <cell r="P425">
            <v>3702.2999999999997</v>
          </cell>
          <cell r="Q425">
            <v>841</v>
          </cell>
          <cell r="R425">
            <v>3616.2999999999997</v>
          </cell>
          <cell r="S425"/>
          <cell r="T425">
            <v>0</v>
          </cell>
          <cell r="U425">
            <v>888</v>
          </cell>
          <cell r="V425">
            <v>3818.3999999999996</v>
          </cell>
          <cell r="W425">
            <v>941</v>
          </cell>
          <cell r="X425">
            <v>4046.2999999999997</v>
          </cell>
          <cell r="Y425">
            <v>310</v>
          </cell>
          <cell r="Z425">
            <v>1333</v>
          </cell>
          <cell r="AA425">
            <v>310</v>
          </cell>
          <cell r="AB425">
            <v>1333</v>
          </cell>
          <cell r="AC425">
            <v>310</v>
          </cell>
          <cell r="AD425">
            <v>1333</v>
          </cell>
          <cell r="AE425"/>
          <cell r="AF425"/>
          <cell r="AG425"/>
          <cell r="AH425"/>
          <cell r="AI425"/>
          <cell r="AJ425">
            <v>0</v>
          </cell>
          <cell r="AK425" t="str">
            <v>3P</v>
          </cell>
          <cell r="AL425">
            <v>275</v>
          </cell>
          <cell r="AM425">
            <v>78</v>
          </cell>
          <cell r="AN425" t="str">
            <v>01 Existing Dealer</v>
          </cell>
          <cell r="AO425" t="str">
            <v>Midwest</v>
          </cell>
          <cell r="AP425" t="str">
            <v>North</v>
          </cell>
          <cell r="AQ425"/>
          <cell r="AR425">
            <v>0</v>
          </cell>
          <cell r="AS425">
            <v>0</v>
          </cell>
        </row>
        <row r="426">
          <cell r="A426">
            <v>12292</v>
          </cell>
          <cell r="B426" t="str">
            <v>BECKER AUTOS</v>
          </cell>
          <cell r="C426" t="str">
            <v>M10048</v>
          </cell>
          <cell r="D426" t="str">
            <v>NET 5, BT+</v>
          </cell>
          <cell r="E426" t="str">
            <v>CO</v>
          </cell>
          <cell r="F426" t="str">
            <v>Yes</v>
          </cell>
          <cell r="G426" t="str">
            <v>TX</v>
          </cell>
          <cell r="H426">
            <v>7</v>
          </cell>
          <cell r="I426">
            <v>0.66500000000000004</v>
          </cell>
          <cell r="J426" t="str">
            <v>Orphaned Acct</v>
          </cell>
          <cell r="K426" t="str">
            <v>BELOIT</v>
          </cell>
          <cell r="L426" t="str">
            <v>KS</v>
          </cell>
          <cell r="M426" t="str">
            <v>800-577-8858</v>
          </cell>
          <cell r="N426"/>
          <cell r="O426">
            <v>559</v>
          </cell>
          <cell r="P426">
            <v>2403.6999999999998</v>
          </cell>
          <cell r="Q426">
            <v>1164</v>
          </cell>
          <cell r="R426">
            <v>5005.2</v>
          </cell>
          <cell r="S426"/>
          <cell r="T426">
            <v>0</v>
          </cell>
          <cell r="U426">
            <v>429</v>
          </cell>
          <cell r="V426">
            <v>1844.6999999999998</v>
          </cell>
          <cell r="W426">
            <v>547</v>
          </cell>
          <cell r="X426">
            <v>2352.1</v>
          </cell>
          <cell r="Y426">
            <v>844</v>
          </cell>
          <cell r="Z426">
            <v>3629.2</v>
          </cell>
          <cell r="AA426">
            <v>844</v>
          </cell>
          <cell r="AB426">
            <v>3629.2</v>
          </cell>
          <cell r="AC426">
            <v>844</v>
          </cell>
          <cell r="AD426">
            <v>3629.2</v>
          </cell>
          <cell r="AE426"/>
          <cell r="AF426"/>
          <cell r="AG426"/>
          <cell r="AH426"/>
          <cell r="AI426"/>
          <cell r="AJ426">
            <v>0</v>
          </cell>
          <cell r="AK426" t="str">
            <v>3P</v>
          </cell>
          <cell r="AL426">
            <v>213</v>
          </cell>
          <cell r="AM426">
            <v>396</v>
          </cell>
          <cell r="AN426" t="str">
            <v>01 Existing Dealer</v>
          </cell>
          <cell r="AO426" t="str">
            <v>Midwest</v>
          </cell>
          <cell r="AP426" t="str">
            <v>Central</v>
          </cell>
          <cell r="AQ426"/>
          <cell r="AR426">
            <v>0</v>
          </cell>
          <cell r="AS426">
            <v>0</v>
          </cell>
          <cell r="AT426"/>
        </row>
        <row r="427">
          <cell r="A427" t="str">
            <v>12292A</v>
          </cell>
          <cell r="B427" t="str">
            <v>BECKER AUTOS</v>
          </cell>
          <cell r="C427" t="str">
            <v>M10048</v>
          </cell>
          <cell r="D427" t="str">
            <v>NET 5, BT+</v>
          </cell>
          <cell r="E427" t="str">
            <v>CO</v>
          </cell>
          <cell r="F427" t="str">
            <v>Yes</v>
          </cell>
          <cell r="G427" t="str">
            <v>TX</v>
          </cell>
          <cell r="H427">
            <v>7</v>
          </cell>
          <cell r="I427">
            <v>0.66500000000000004</v>
          </cell>
          <cell r="J427" t="str">
            <v>Orphaned Acct</v>
          </cell>
          <cell r="K427" t="str">
            <v>SALINA</v>
          </cell>
          <cell r="L427" t="str">
            <v>KS</v>
          </cell>
          <cell r="M427" t="str">
            <v>800-577-8858</v>
          </cell>
          <cell r="N427"/>
          <cell r="O427">
            <v>497</v>
          </cell>
          <cell r="P427">
            <v>2137.1</v>
          </cell>
          <cell r="Q427">
            <v>1122</v>
          </cell>
          <cell r="R427">
            <v>4824.5999999999995</v>
          </cell>
          <cell r="S427"/>
          <cell r="T427">
            <v>0</v>
          </cell>
          <cell r="U427">
            <v>367</v>
          </cell>
          <cell r="V427">
            <v>1578.1</v>
          </cell>
          <cell r="W427">
            <v>496</v>
          </cell>
          <cell r="X427">
            <v>2132.7999999999997</v>
          </cell>
          <cell r="Y427">
            <v>804</v>
          </cell>
          <cell r="Z427">
            <v>3457.2</v>
          </cell>
          <cell r="AA427">
            <v>804</v>
          </cell>
          <cell r="AB427">
            <v>3457.2</v>
          </cell>
          <cell r="AC427">
            <v>804</v>
          </cell>
          <cell r="AD427">
            <v>3457.2</v>
          </cell>
          <cell r="AE427"/>
          <cell r="AF427"/>
          <cell r="AG427"/>
          <cell r="AH427"/>
          <cell r="AI427"/>
          <cell r="AJ427">
            <v>0</v>
          </cell>
          <cell r="AK427" t="str">
            <v>3P</v>
          </cell>
          <cell r="AL427">
            <v>213</v>
          </cell>
          <cell r="AM427">
            <v>396</v>
          </cell>
          <cell r="AN427" t="str">
            <v>01 Existing Dealer</v>
          </cell>
          <cell r="AO427" t="str">
            <v>Midwest</v>
          </cell>
          <cell r="AP427" t="str">
            <v>Central</v>
          </cell>
          <cell r="AQ427"/>
          <cell r="AR427">
            <v>0</v>
          </cell>
          <cell r="AS427">
            <v>0</v>
          </cell>
        </row>
        <row r="428">
          <cell r="A428">
            <v>12767</v>
          </cell>
          <cell r="B428" t="str">
            <v>BECKER AUTOS</v>
          </cell>
          <cell r="C428" t="str">
            <v>M10048</v>
          </cell>
          <cell r="D428" t="str">
            <v>NET 5, BT+</v>
          </cell>
          <cell r="E428" t="str">
            <v>On Hold</v>
          </cell>
          <cell r="F428" t="str">
            <v>Copies</v>
          </cell>
          <cell r="G428" t="str">
            <v>TX</v>
          </cell>
          <cell r="H428">
            <v>9</v>
          </cell>
          <cell r="I428">
            <v>0.66500000000000004</v>
          </cell>
          <cell r="J428" t="str">
            <v>Orphaned Acct</v>
          </cell>
          <cell r="K428" t="str">
            <v>BELOIT</v>
          </cell>
          <cell r="L428" t="str">
            <v>KS</v>
          </cell>
          <cell r="M428" t="str">
            <v>800-577-8858</v>
          </cell>
          <cell r="N428"/>
          <cell r="O428">
            <v>559</v>
          </cell>
          <cell r="P428">
            <v>2403.6999999999998</v>
          </cell>
          <cell r="Q428">
            <v>1164</v>
          </cell>
          <cell r="R428">
            <v>5005.2</v>
          </cell>
          <cell r="S428"/>
          <cell r="T428">
            <v>0</v>
          </cell>
          <cell r="U428">
            <v>429</v>
          </cell>
          <cell r="V428">
            <v>1844.6999999999998</v>
          </cell>
          <cell r="W428">
            <v>547</v>
          </cell>
          <cell r="X428">
            <v>2352.1</v>
          </cell>
          <cell r="Y428">
            <v>844</v>
          </cell>
          <cell r="Z428">
            <v>3629.2</v>
          </cell>
          <cell r="AA428">
            <v>844</v>
          </cell>
          <cell r="AB428">
            <v>3629.2</v>
          </cell>
          <cell r="AC428">
            <v>844</v>
          </cell>
          <cell r="AD428">
            <v>3629.2</v>
          </cell>
          <cell r="AE428"/>
          <cell r="AF428"/>
          <cell r="AG428"/>
          <cell r="AH428"/>
          <cell r="AI428"/>
          <cell r="AJ428">
            <v>0</v>
          </cell>
          <cell r="AK428" t="str">
            <v>3P</v>
          </cell>
          <cell r="AL428">
            <v>213</v>
          </cell>
          <cell r="AM428">
            <v>396</v>
          </cell>
          <cell r="AN428" t="str">
            <v>01 Existing Dealer</v>
          </cell>
          <cell r="AO428" t="str">
            <v>Midwest</v>
          </cell>
          <cell r="AP428" t="str">
            <v>Central</v>
          </cell>
          <cell r="AQ428"/>
          <cell r="AR428">
            <v>0</v>
          </cell>
          <cell r="AS428">
            <v>0</v>
          </cell>
          <cell r="AT428"/>
        </row>
        <row r="429">
          <cell r="A429" t="str">
            <v>12767A</v>
          </cell>
          <cell r="B429" t="str">
            <v>BECKER AUTOS</v>
          </cell>
          <cell r="C429" t="str">
            <v>M10048</v>
          </cell>
          <cell r="D429" t="str">
            <v>NET 5, BT+</v>
          </cell>
          <cell r="E429" t="str">
            <v>On Hold</v>
          </cell>
          <cell r="F429" t="str">
            <v>Copies</v>
          </cell>
          <cell r="G429" t="str">
            <v>TX</v>
          </cell>
          <cell r="H429">
            <v>9</v>
          </cell>
          <cell r="I429">
            <v>0.66500000000000004</v>
          </cell>
          <cell r="J429" t="str">
            <v>Orphaned Acct</v>
          </cell>
          <cell r="K429" t="str">
            <v>SALINA</v>
          </cell>
          <cell r="L429" t="str">
            <v>KS</v>
          </cell>
          <cell r="M429" t="str">
            <v>800-577-8858</v>
          </cell>
          <cell r="N429"/>
          <cell r="O429">
            <v>497</v>
          </cell>
          <cell r="P429">
            <v>2137.1</v>
          </cell>
          <cell r="Q429">
            <v>1122</v>
          </cell>
          <cell r="R429">
            <v>4824.5999999999995</v>
          </cell>
          <cell r="S429"/>
          <cell r="T429">
            <v>0</v>
          </cell>
          <cell r="U429">
            <v>367</v>
          </cell>
          <cell r="V429">
            <v>1578.1</v>
          </cell>
          <cell r="W429">
            <v>496</v>
          </cell>
          <cell r="X429">
            <v>2132.7999999999997</v>
          </cell>
          <cell r="Y429">
            <v>804</v>
          </cell>
          <cell r="Z429">
            <v>3457.2</v>
          </cell>
          <cell r="AA429">
            <v>804</v>
          </cell>
          <cell r="AB429">
            <v>3457.2</v>
          </cell>
          <cell r="AC429">
            <v>804</v>
          </cell>
          <cell r="AD429">
            <v>3457.2</v>
          </cell>
          <cell r="AE429"/>
          <cell r="AF429"/>
          <cell r="AG429"/>
          <cell r="AH429"/>
          <cell r="AI429"/>
          <cell r="AJ429">
            <v>0</v>
          </cell>
          <cell r="AK429" t="str">
            <v>3P</v>
          </cell>
          <cell r="AL429">
            <v>213</v>
          </cell>
          <cell r="AM429">
            <v>396</v>
          </cell>
          <cell r="AN429" t="str">
            <v>01 Existing Dealer</v>
          </cell>
          <cell r="AO429" t="str">
            <v>Midwest</v>
          </cell>
          <cell r="AP429" t="str">
            <v>Central</v>
          </cell>
          <cell r="AQ429"/>
          <cell r="AR429">
            <v>0</v>
          </cell>
          <cell r="AS429">
            <v>0</v>
          </cell>
          <cell r="AT429"/>
        </row>
        <row r="430">
          <cell r="A430">
            <v>12880</v>
          </cell>
          <cell r="B430" t="str">
            <v>BECKER AUTOS</v>
          </cell>
          <cell r="C430" t="str">
            <v>M10048</v>
          </cell>
          <cell r="D430" t="str">
            <v>NET 5, BT+</v>
          </cell>
          <cell r="E430" t="str">
            <v>FP</v>
          </cell>
          <cell r="F430" t="str">
            <v>Yes</v>
          </cell>
          <cell r="G430" t="str">
            <v>TX</v>
          </cell>
          <cell r="H430">
            <v>8</v>
          </cell>
          <cell r="I430">
            <v>0.66500000000000004</v>
          </cell>
          <cell r="J430" t="str">
            <v>Orphaned Acct</v>
          </cell>
          <cell r="K430" t="str">
            <v>BELOIT</v>
          </cell>
          <cell r="L430" t="str">
            <v>KS</v>
          </cell>
          <cell r="M430" t="str">
            <v>800-577-8858</v>
          </cell>
          <cell r="N430"/>
          <cell r="O430">
            <v>559</v>
          </cell>
          <cell r="P430">
            <v>2403.6999999999998</v>
          </cell>
          <cell r="Q430">
            <v>1164</v>
          </cell>
          <cell r="R430">
            <v>5005.2</v>
          </cell>
          <cell r="S430"/>
          <cell r="T430">
            <v>0</v>
          </cell>
          <cell r="U430">
            <v>429</v>
          </cell>
          <cell r="V430">
            <v>1844.6999999999998</v>
          </cell>
          <cell r="W430">
            <v>547</v>
          </cell>
          <cell r="X430">
            <v>2352.1</v>
          </cell>
          <cell r="Y430">
            <v>844</v>
          </cell>
          <cell r="Z430">
            <v>3629.2</v>
          </cell>
          <cell r="AA430">
            <v>844</v>
          </cell>
          <cell r="AB430">
            <v>3629.2</v>
          </cell>
          <cell r="AC430">
            <v>844</v>
          </cell>
          <cell r="AD430">
            <v>3629.2</v>
          </cell>
          <cell r="AE430"/>
          <cell r="AF430"/>
          <cell r="AG430"/>
          <cell r="AH430"/>
          <cell r="AI430"/>
          <cell r="AJ430">
            <v>0</v>
          </cell>
          <cell r="AK430" t="str">
            <v>3P</v>
          </cell>
          <cell r="AL430">
            <v>213</v>
          </cell>
          <cell r="AM430">
            <v>396</v>
          </cell>
          <cell r="AN430" t="str">
            <v>01 Existing Dealer</v>
          </cell>
          <cell r="AO430" t="str">
            <v>Midwest</v>
          </cell>
          <cell r="AP430" t="str">
            <v>Central</v>
          </cell>
          <cell r="AQ430"/>
          <cell r="AR430">
            <v>0</v>
          </cell>
          <cell r="AS430">
            <v>0</v>
          </cell>
          <cell r="AT430"/>
        </row>
        <row r="431">
          <cell r="A431">
            <v>11496</v>
          </cell>
          <cell r="B431" t="str">
            <v>BOGNER</v>
          </cell>
          <cell r="C431" t="str">
            <v>M10107</v>
          </cell>
          <cell r="D431" t="str">
            <v>NET 5, BT+</v>
          </cell>
          <cell r="E431" t="str">
            <v>CO</v>
          </cell>
          <cell r="F431" t="str">
            <v>Yes</v>
          </cell>
          <cell r="G431" t="str">
            <v>TX</v>
          </cell>
          <cell r="H431">
            <v>7</v>
          </cell>
          <cell r="I431">
            <v>0.66500000000000004</v>
          </cell>
          <cell r="J431" t="str">
            <v>Orphaned Acct</v>
          </cell>
          <cell r="K431" t="str">
            <v>KIOWA</v>
          </cell>
          <cell r="L431" t="str">
            <v>KS</v>
          </cell>
          <cell r="M431" t="str">
            <v>800-577-8858</v>
          </cell>
          <cell r="N431"/>
          <cell r="O431">
            <v>426</v>
          </cell>
          <cell r="P431">
            <v>1831.8</v>
          </cell>
          <cell r="Q431">
            <v>1117</v>
          </cell>
          <cell r="R431">
            <v>4803.0999999999995</v>
          </cell>
          <cell r="S431"/>
          <cell r="T431">
            <v>0</v>
          </cell>
          <cell r="U431">
            <v>282</v>
          </cell>
          <cell r="V431">
            <v>1212.5999999999999</v>
          </cell>
          <cell r="W431">
            <v>411</v>
          </cell>
          <cell r="X431">
            <v>1767.3</v>
          </cell>
          <cell r="Y431">
            <v>915</v>
          </cell>
          <cell r="Z431">
            <v>3934.5</v>
          </cell>
          <cell r="AA431">
            <v>915</v>
          </cell>
          <cell r="AB431">
            <v>3934.5</v>
          </cell>
          <cell r="AC431">
            <v>915</v>
          </cell>
          <cell r="AD431">
            <v>3934.5</v>
          </cell>
          <cell r="AE431"/>
          <cell r="AF431"/>
          <cell r="AG431"/>
          <cell r="AH431"/>
          <cell r="AI431"/>
          <cell r="AJ431">
            <v>0</v>
          </cell>
          <cell r="AK431" t="str">
            <v>3P</v>
          </cell>
          <cell r="AL431">
            <v>213</v>
          </cell>
          <cell r="AM431">
            <v>396</v>
          </cell>
          <cell r="AN431" t="str">
            <v>08 Inactive Dealer</v>
          </cell>
          <cell r="AO431" t="str">
            <v>Midwest</v>
          </cell>
          <cell r="AP431" t="str">
            <v>Central</v>
          </cell>
          <cell r="AQ431"/>
          <cell r="AR431">
            <v>0</v>
          </cell>
          <cell r="AS431">
            <v>0</v>
          </cell>
        </row>
        <row r="432">
          <cell r="A432">
            <v>12957</v>
          </cell>
          <cell r="B432" t="str">
            <v>BS TRAILER SALES INC</v>
          </cell>
          <cell r="C432" t="str">
            <v>M10495</v>
          </cell>
          <cell r="D432" t="str">
            <v>NET 5, BT+</v>
          </cell>
          <cell r="E432" t="str">
            <v>CO</v>
          </cell>
          <cell r="F432" t="str">
            <v>Yes</v>
          </cell>
          <cell r="G432" t="str">
            <v>TX</v>
          </cell>
          <cell r="H432">
            <v>7</v>
          </cell>
          <cell r="I432">
            <v>0.66500000000000004</v>
          </cell>
          <cell r="J432" t="str">
            <v>Orphaned Acct</v>
          </cell>
          <cell r="K432" t="str">
            <v>DODGE CITY</v>
          </cell>
          <cell r="L432" t="str">
            <v>KS</v>
          </cell>
          <cell r="M432" t="str">
            <v>800-577-8858</v>
          </cell>
          <cell r="N432"/>
          <cell r="O432">
            <v>528</v>
          </cell>
          <cell r="P432">
            <v>2270.4</v>
          </cell>
          <cell r="Q432"/>
          <cell r="R432">
            <v>0</v>
          </cell>
          <cell r="S432"/>
          <cell r="T432">
            <v>0</v>
          </cell>
          <cell r="U432">
            <v>377</v>
          </cell>
          <cell r="V432">
            <v>1621.1</v>
          </cell>
          <cell r="W432">
            <v>506</v>
          </cell>
          <cell r="X432">
            <v>2175.7999999999997</v>
          </cell>
          <cell r="Y432">
            <v>965</v>
          </cell>
          <cell r="Z432">
            <v>4149.5</v>
          </cell>
          <cell r="AA432">
            <v>965</v>
          </cell>
          <cell r="AB432">
            <v>4149.5</v>
          </cell>
          <cell r="AC432">
            <v>965</v>
          </cell>
          <cell r="AD432">
            <v>4149.5</v>
          </cell>
          <cell r="AE432"/>
          <cell r="AF432"/>
          <cell r="AG432"/>
          <cell r="AH432"/>
          <cell r="AI432"/>
          <cell r="AJ432">
            <v>0</v>
          </cell>
          <cell r="AK432" t="str">
            <v>3P</v>
          </cell>
          <cell r="AL432">
            <v>213</v>
          </cell>
          <cell r="AM432">
            <v>114</v>
          </cell>
          <cell r="AN432" t="str">
            <v>08 Inactive Dealer</v>
          </cell>
          <cell r="AO432" t="str">
            <v>Midwest</v>
          </cell>
          <cell r="AP432" t="str">
            <v>Central</v>
          </cell>
          <cell r="AQ432"/>
          <cell r="AR432">
            <v>0</v>
          </cell>
          <cell r="AS432">
            <v>0</v>
          </cell>
        </row>
        <row r="433">
          <cell r="A433">
            <v>13642</v>
          </cell>
          <cell r="B433" t="str">
            <v>BOOI dba COLBY DODGE</v>
          </cell>
          <cell r="C433" t="str">
            <v>M11621</v>
          </cell>
          <cell r="D433" t="str">
            <v>NET 5, BT+</v>
          </cell>
          <cell r="E433" t="str">
            <v>FP - Wells Fargo</v>
          </cell>
          <cell r="F433" t="str">
            <v>Yes</v>
          </cell>
          <cell r="G433" t="str">
            <v>TX</v>
          </cell>
          <cell r="H433">
            <v>8</v>
          </cell>
          <cell r="I433">
            <v>0.66500000000000004</v>
          </cell>
          <cell r="J433" t="str">
            <v>Nate Erickson</v>
          </cell>
          <cell r="K433" t="str">
            <v>COLBY</v>
          </cell>
          <cell r="L433" t="str">
            <v>KS</v>
          </cell>
          <cell r="M433" t="str">
            <v>800-577-8858</v>
          </cell>
          <cell r="N433"/>
          <cell r="O433">
            <v>1260</v>
          </cell>
          <cell r="P433">
            <v>5418</v>
          </cell>
          <cell r="Q433">
            <v>2050</v>
          </cell>
          <cell r="R433">
            <v>8815</v>
          </cell>
          <cell r="S433"/>
          <cell r="T433">
            <v>0</v>
          </cell>
          <cell r="U433">
            <v>1133</v>
          </cell>
          <cell r="V433">
            <v>4871.8999999999996</v>
          </cell>
          <cell r="W433">
            <v>1289</v>
          </cell>
          <cell r="X433">
            <v>5542.7</v>
          </cell>
          <cell r="Y433">
            <v>0</v>
          </cell>
          <cell r="Z433">
            <v>0</v>
          </cell>
          <cell r="AA433">
            <v>1941</v>
          </cell>
          <cell r="AB433">
            <v>8346.2999999999993</v>
          </cell>
          <cell r="AC433">
            <v>1941</v>
          </cell>
          <cell r="AD433">
            <v>8346.2999999999993</v>
          </cell>
          <cell r="AE433"/>
          <cell r="AF433"/>
          <cell r="AG433"/>
          <cell r="AH433"/>
          <cell r="AI433"/>
          <cell r="AJ433">
            <v>0</v>
          </cell>
          <cell r="AK433" t="str">
            <v>3P</v>
          </cell>
          <cell r="AL433">
            <v>187</v>
          </cell>
          <cell r="AM433">
            <v>187</v>
          </cell>
          <cell r="AN433" t="str">
            <v>03 New Dealer</v>
          </cell>
          <cell r="AO433" t="str">
            <v>Midwest</v>
          </cell>
          <cell r="AP433" t="str">
            <v>Central</v>
          </cell>
          <cell r="AQ433">
            <v>67701</v>
          </cell>
          <cell r="AR433">
            <v>0</v>
          </cell>
          <cell r="AS433">
            <v>0</v>
          </cell>
        </row>
        <row r="434">
          <cell r="A434">
            <v>12872</v>
          </cell>
          <cell r="B434" t="str">
            <v>HOLTON RANCH SUPPLY LLC</v>
          </cell>
          <cell r="C434" t="str">
            <v>M10220</v>
          </cell>
          <cell r="D434" t="str">
            <v>NET 5, BT+</v>
          </cell>
          <cell r="E434" t="str">
            <v>C6</v>
          </cell>
          <cell r="F434" t="str">
            <v>Yes</v>
          </cell>
          <cell r="G434" t="str">
            <v>TX</v>
          </cell>
          <cell r="H434">
            <v>9</v>
          </cell>
          <cell r="I434">
            <v>0.66500000000000004</v>
          </cell>
          <cell r="J434" t="str">
            <v>Orphaned Acct</v>
          </cell>
          <cell r="K434" t="str">
            <v>EDGERTON</v>
          </cell>
          <cell r="L434" t="str">
            <v>KS</v>
          </cell>
          <cell r="M434" t="str">
            <v>800-577-8858</v>
          </cell>
          <cell r="N434"/>
          <cell r="O434">
            <v>444</v>
          </cell>
          <cell r="P434">
            <v>1909.1999999999998</v>
          </cell>
          <cell r="Q434"/>
          <cell r="R434">
            <v>0</v>
          </cell>
          <cell r="S434"/>
          <cell r="T434">
            <v>0</v>
          </cell>
          <cell r="U434">
            <v>434</v>
          </cell>
          <cell r="V434">
            <v>1866.1999999999998</v>
          </cell>
          <cell r="W434">
            <v>506</v>
          </cell>
          <cell r="X434">
            <v>2175.7999999999997</v>
          </cell>
          <cell r="Y434">
            <v>666</v>
          </cell>
          <cell r="Z434">
            <v>2863.7999999999997</v>
          </cell>
          <cell r="AA434">
            <v>666</v>
          </cell>
          <cell r="AB434">
            <v>2863.7999999999997</v>
          </cell>
          <cell r="AC434">
            <v>666</v>
          </cell>
          <cell r="AD434">
            <v>2863.7999999999997</v>
          </cell>
          <cell r="AE434"/>
          <cell r="AF434"/>
          <cell r="AG434"/>
          <cell r="AH434"/>
          <cell r="AI434"/>
          <cell r="AJ434">
            <v>0</v>
          </cell>
          <cell r="AK434" t="str">
            <v>3P</v>
          </cell>
          <cell r="AL434">
            <v>213</v>
          </cell>
          <cell r="AM434">
            <v>226</v>
          </cell>
          <cell r="AN434" t="str">
            <v>08 Inactive Dealer</v>
          </cell>
          <cell r="AO434" t="str">
            <v>Midwest</v>
          </cell>
          <cell r="AP434" t="str">
            <v>Central</v>
          </cell>
          <cell r="AQ434"/>
          <cell r="AR434">
            <v>0</v>
          </cell>
          <cell r="AS434">
            <v>0</v>
          </cell>
          <cell r="AT434"/>
        </row>
        <row r="435">
          <cell r="A435">
            <v>12959</v>
          </cell>
          <cell r="B435" t="str">
            <v>HOLTON RANCH SUPPLY LLC</v>
          </cell>
          <cell r="C435" t="str">
            <v>M10220</v>
          </cell>
          <cell r="D435" t="str">
            <v>NET 5, BT+</v>
          </cell>
          <cell r="E435" t="str">
            <v>FP - Northpoint</v>
          </cell>
          <cell r="F435" t="str">
            <v>Yes</v>
          </cell>
          <cell r="G435" t="str">
            <v>TX</v>
          </cell>
          <cell r="H435">
            <v>8</v>
          </cell>
          <cell r="I435">
            <v>0.66500000000000004</v>
          </cell>
          <cell r="J435" t="str">
            <v>Orphaned Acct</v>
          </cell>
          <cell r="K435" t="str">
            <v>EDGERTON</v>
          </cell>
          <cell r="L435" t="str">
            <v>KS</v>
          </cell>
          <cell r="M435" t="str">
            <v>800-577-8858</v>
          </cell>
          <cell r="N435"/>
          <cell r="O435">
            <v>444</v>
          </cell>
          <cell r="P435">
            <v>1909.1999999999998</v>
          </cell>
          <cell r="Q435"/>
          <cell r="R435">
            <v>0</v>
          </cell>
          <cell r="S435"/>
          <cell r="T435">
            <v>0</v>
          </cell>
          <cell r="U435">
            <v>434</v>
          </cell>
          <cell r="V435">
            <v>1866.1999999999998</v>
          </cell>
          <cell r="W435">
            <v>506</v>
          </cell>
          <cell r="X435">
            <v>2175.7999999999997</v>
          </cell>
          <cell r="Y435">
            <v>666</v>
          </cell>
          <cell r="Z435">
            <v>2863.7999999999997</v>
          </cell>
          <cell r="AA435">
            <v>666</v>
          </cell>
          <cell r="AB435">
            <v>2863.7999999999997</v>
          </cell>
          <cell r="AC435">
            <v>666</v>
          </cell>
          <cell r="AD435">
            <v>2863.7999999999997</v>
          </cell>
          <cell r="AE435"/>
          <cell r="AF435"/>
          <cell r="AG435"/>
          <cell r="AH435"/>
          <cell r="AI435"/>
          <cell r="AJ435">
            <v>0</v>
          </cell>
          <cell r="AK435" t="str">
            <v>3P</v>
          </cell>
          <cell r="AL435">
            <v>213</v>
          </cell>
          <cell r="AM435">
            <v>226</v>
          </cell>
          <cell r="AN435" t="str">
            <v>08 Inactive Dealer</v>
          </cell>
          <cell r="AO435" t="str">
            <v>Midwest</v>
          </cell>
          <cell r="AP435" t="str">
            <v>Central</v>
          </cell>
          <cell r="AQ435"/>
          <cell r="AR435">
            <v>0</v>
          </cell>
          <cell r="AS435">
            <v>0</v>
          </cell>
        </row>
        <row r="436">
          <cell r="A436">
            <v>11591</v>
          </cell>
          <cell r="B436" t="str">
            <v>HOLTON TRAILERS SALES &amp; SERVICE, INC.</v>
          </cell>
          <cell r="C436" t="str">
            <v>M10220</v>
          </cell>
          <cell r="D436" t="str">
            <v>NET 5, BT+</v>
          </cell>
          <cell r="E436" t="str">
            <v>FP - Wells Fargo</v>
          </cell>
          <cell r="F436" t="str">
            <v>Yes</v>
          </cell>
          <cell r="G436" t="str">
            <v>TX</v>
          </cell>
          <cell r="H436">
            <v>6</v>
          </cell>
          <cell r="I436">
            <v>0.66500000000000004</v>
          </cell>
          <cell r="J436" t="str">
            <v>House</v>
          </cell>
          <cell r="K436" t="str">
            <v>EDGERTON</v>
          </cell>
          <cell r="L436" t="str">
            <v>KS</v>
          </cell>
          <cell r="M436" t="str">
            <v>800-577-8858</v>
          </cell>
          <cell r="N436"/>
          <cell r="O436">
            <v>444</v>
          </cell>
          <cell r="P436">
            <v>1909.1999999999998</v>
          </cell>
          <cell r="Q436"/>
          <cell r="R436">
            <v>0</v>
          </cell>
          <cell r="S436"/>
          <cell r="T436">
            <v>0</v>
          </cell>
          <cell r="U436">
            <v>434</v>
          </cell>
          <cell r="V436">
            <v>1866.1999999999998</v>
          </cell>
          <cell r="W436">
            <v>506</v>
          </cell>
          <cell r="X436">
            <v>2175.7999999999997</v>
          </cell>
          <cell r="Y436">
            <v>666</v>
          </cell>
          <cell r="Z436">
            <v>2863.7999999999997</v>
          </cell>
          <cell r="AA436">
            <v>666</v>
          </cell>
          <cell r="AB436">
            <v>2863.7999999999997</v>
          </cell>
          <cell r="AC436">
            <v>666</v>
          </cell>
          <cell r="AD436">
            <v>2863.7999999999997</v>
          </cell>
          <cell r="AE436"/>
          <cell r="AF436"/>
          <cell r="AG436"/>
          <cell r="AH436"/>
          <cell r="AI436"/>
          <cell r="AJ436">
            <v>0</v>
          </cell>
          <cell r="AK436" t="str">
            <v>3P</v>
          </cell>
          <cell r="AL436">
            <v>400</v>
          </cell>
          <cell r="AM436">
            <v>226</v>
          </cell>
          <cell r="AN436" t="str">
            <v>08 Inactive Dealer</v>
          </cell>
          <cell r="AO436" t="str">
            <v>Midwest</v>
          </cell>
          <cell r="AP436" t="str">
            <v>Central</v>
          </cell>
          <cell r="AQ436"/>
          <cell r="AR436">
            <v>0</v>
          </cell>
          <cell r="AS436">
            <v>0</v>
          </cell>
        </row>
        <row r="437">
          <cell r="A437">
            <v>12646</v>
          </cell>
          <cell r="B437" t="str">
            <v>MIDWEST ENGINE &amp; WELDING</v>
          </cell>
          <cell r="C437" t="str">
            <v>M10288</v>
          </cell>
          <cell r="D437" t="str">
            <v>NET 5, BT+</v>
          </cell>
          <cell r="E437" t="str">
            <v>COD</v>
          </cell>
          <cell r="F437" t="str">
            <v>Yes</v>
          </cell>
          <cell r="G437" t="str">
            <v>TX</v>
          </cell>
          <cell r="H437">
            <v>7</v>
          </cell>
          <cell r="I437">
            <v>0.66500000000000004</v>
          </cell>
          <cell r="J437" t="str">
            <v>Orphaned Acct</v>
          </cell>
          <cell r="K437" t="str">
            <v>AGRA</v>
          </cell>
          <cell r="L437" t="str">
            <v>KS</v>
          </cell>
          <cell r="M437" t="str">
            <v>800-577-8858</v>
          </cell>
          <cell r="N437"/>
          <cell r="O437">
            <v>631</v>
          </cell>
          <cell r="P437">
            <v>2713.2999999999997</v>
          </cell>
          <cell r="Q437"/>
          <cell r="R437">
            <v>0</v>
          </cell>
          <cell r="S437"/>
          <cell r="T437">
            <v>0</v>
          </cell>
          <cell r="U437">
            <v>501</v>
          </cell>
          <cell r="V437">
            <v>2154.2999999999997</v>
          </cell>
          <cell r="W437">
            <v>630</v>
          </cell>
          <cell r="X437">
            <v>2709</v>
          </cell>
          <cell r="Y437">
            <v>885</v>
          </cell>
          <cell r="Z437">
            <v>3805.5</v>
          </cell>
          <cell r="AA437">
            <v>885</v>
          </cell>
          <cell r="AB437">
            <v>3805.5</v>
          </cell>
          <cell r="AC437">
            <v>885</v>
          </cell>
          <cell r="AD437">
            <v>3805.5</v>
          </cell>
          <cell r="AE437"/>
          <cell r="AF437"/>
          <cell r="AG437"/>
          <cell r="AH437"/>
          <cell r="AI437"/>
          <cell r="AJ437">
            <v>0</v>
          </cell>
          <cell r="AK437" t="str">
            <v>3P</v>
          </cell>
          <cell r="AL437">
            <v>213</v>
          </cell>
          <cell r="AM437">
            <v>396</v>
          </cell>
          <cell r="AN437" t="str">
            <v>08 Inactive Dealer</v>
          </cell>
          <cell r="AO437" t="str">
            <v>Midwest</v>
          </cell>
          <cell r="AP437" t="str">
            <v>Central</v>
          </cell>
          <cell r="AQ437"/>
          <cell r="AR437">
            <v>0</v>
          </cell>
          <cell r="AS437">
            <v>0</v>
          </cell>
          <cell r="AT437"/>
        </row>
        <row r="438">
          <cell r="A438">
            <v>12686</v>
          </cell>
          <cell r="B438" t="str">
            <v>S&amp;S TRAILER SALES, INC.</v>
          </cell>
          <cell r="C438" t="str">
            <v>M10362</v>
          </cell>
          <cell r="D438" t="str">
            <v>NET 5, BT+</v>
          </cell>
          <cell r="E438" t="str">
            <v>CO</v>
          </cell>
          <cell r="F438" t="str">
            <v>Yes</v>
          </cell>
          <cell r="G438" t="str">
            <v>TX</v>
          </cell>
          <cell r="H438">
            <v>7</v>
          </cell>
          <cell r="I438">
            <v>0.66500000000000004</v>
          </cell>
          <cell r="J438" t="str">
            <v>Orphaned Acct</v>
          </cell>
          <cell r="K438" t="str">
            <v>NESS CITY</v>
          </cell>
          <cell r="L438" t="str">
            <v>KS</v>
          </cell>
          <cell r="M438" t="str">
            <v>800-577-8858</v>
          </cell>
          <cell r="N438"/>
          <cell r="O438">
            <v>582</v>
          </cell>
          <cell r="P438">
            <v>2502.6</v>
          </cell>
          <cell r="Q438">
            <v>1283</v>
          </cell>
          <cell r="R438">
            <v>5516.9</v>
          </cell>
          <cell r="S438"/>
          <cell r="T438">
            <v>0</v>
          </cell>
          <cell r="U438">
            <v>430</v>
          </cell>
          <cell r="V438">
            <v>1849</v>
          </cell>
          <cell r="W438">
            <v>560</v>
          </cell>
          <cell r="X438">
            <v>2408</v>
          </cell>
          <cell r="Y438">
            <v>944</v>
          </cell>
          <cell r="Z438">
            <v>4059.2</v>
          </cell>
          <cell r="AA438">
            <v>944</v>
          </cell>
          <cell r="AB438">
            <v>4059.2</v>
          </cell>
          <cell r="AC438">
            <v>944</v>
          </cell>
          <cell r="AD438">
            <v>4059.2</v>
          </cell>
          <cell r="AE438"/>
          <cell r="AF438"/>
          <cell r="AG438"/>
          <cell r="AH438"/>
          <cell r="AI438"/>
          <cell r="AJ438">
            <v>0</v>
          </cell>
          <cell r="AK438" t="str">
            <v>3P</v>
          </cell>
          <cell r="AL438">
            <v>213</v>
          </cell>
          <cell r="AM438">
            <v>187</v>
          </cell>
          <cell r="AN438" t="str">
            <v>08 Inactive Dealer</v>
          </cell>
          <cell r="AO438" t="str">
            <v>Midwest</v>
          </cell>
          <cell r="AP438" t="str">
            <v>Central</v>
          </cell>
          <cell r="AQ438"/>
          <cell r="AR438">
            <v>0</v>
          </cell>
          <cell r="AS438">
            <v>0</v>
          </cell>
          <cell r="AT438"/>
        </row>
        <row r="439">
          <cell r="A439">
            <v>12968</v>
          </cell>
          <cell r="B439" t="str">
            <v>SPENCER dba HOYT'S</v>
          </cell>
          <cell r="C439" t="str">
            <v>M10790</v>
          </cell>
          <cell r="D439" t="str">
            <v>NET 5, BT+</v>
          </cell>
          <cell r="E439" t="str">
            <v>CO</v>
          </cell>
          <cell r="F439" t="str">
            <v>Yes</v>
          </cell>
          <cell r="G439" t="str">
            <v>TX</v>
          </cell>
          <cell r="H439">
            <v>7</v>
          </cell>
          <cell r="I439">
            <v>0.66500000000000004</v>
          </cell>
          <cell r="J439" t="str">
            <v>Orphaned Acct</v>
          </cell>
          <cell r="K439" t="str">
            <v>TOPEKA</v>
          </cell>
          <cell r="L439" t="str">
            <v>KS</v>
          </cell>
          <cell r="M439" t="str">
            <v>800-577-8858</v>
          </cell>
          <cell r="N439"/>
          <cell r="O439">
            <v>457</v>
          </cell>
          <cell r="P439">
            <v>1965.1</v>
          </cell>
          <cell r="Q439"/>
          <cell r="R439">
            <v>0</v>
          </cell>
          <cell r="S439"/>
          <cell r="T439">
            <v>0</v>
          </cell>
          <cell r="U439">
            <v>416</v>
          </cell>
          <cell r="V439">
            <v>1788.8</v>
          </cell>
          <cell r="W439">
            <v>545</v>
          </cell>
          <cell r="X439">
            <v>2343.5</v>
          </cell>
          <cell r="Y439">
            <v>693</v>
          </cell>
          <cell r="Z439">
            <v>2979.9</v>
          </cell>
          <cell r="AA439">
            <v>693</v>
          </cell>
          <cell r="AB439">
            <v>2979.9</v>
          </cell>
          <cell r="AC439">
            <v>693</v>
          </cell>
          <cell r="AD439">
            <v>2979.9</v>
          </cell>
          <cell r="AE439"/>
          <cell r="AF439"/>
          <cell r="AG439"/>
          <cell r="AH439"/>
          <cell r="AI439"/>
          <cell r="AJ439">
            <v>0</v>
          </cell>
          <cell r="AK439" t="str">
            <v>3P</v>
          </cell>
          <cell r="AL439">
            <v>213</v>
          </cell>
          <cell r="AM439">
            <v>445</v>
          </cell>
          <cell r="AN439" t="str">
            <v>08 Inactive Dealer</v>
          </cell>
          <cell r="AO439" t="str">
            <v>Midwest</v>
          </cell>
          <cell r="AP439" t="str">
            <v>Central</v>
          </cell>
          <cell r="AQ439"/>
          <cell r="AR439">
            <v>0</v>
          </cell>
          <cell r="AS439">
            <v>0</v>
          </cell>
          <cell r="AT439"/>
        </row>
        <row r="440">
          <cell r="A440">
            <v>11268</v>
          </cell>
          <cell r="B440" t="str">
            <v>TRAILERS "N" MORE</v>
          </cell>
          <cell r="C440" t="str">
            <v>M10421</v>
          </cell>
          <cell r="D440" t="str">
            <v>NET 5, BT+</v>
          </cell>
          <cell r="E440" t="str">
            <v>FP</v>
          </cell>
          <cell r="F440" t="str">
            <v>Yes</v>
          </cell>
          <cell r="G440" t="str">
            <v>TX</v>
          </cell>
          <cell r="H440">
            <v>8</v>
          </cell>
          <cell r="I440">
            <v>0.66500000000000004</v>
          </cell>
          <cell r="J440" t="str">
            <v>Orphaned Acct</v>
          </cell>
          <cell r="K440" t="str">
            <v>WICHITA</v>
          </cell>
          <cell r="L440" t="str">
            <v>KS</v>
          </cell>
          <cell r="M440" t="str">
            <v>800-577-8858</v>
          </cell>
          <cell r="N440"/>
          <cell r="O440">
            <v>414</v>
          </cell>
          <cell r="P440">
            <v>1780.1999999999998</v>
          </cell>
          <cell r="Q440"/>
          <cell r="R440">
            <v>0</v>
          </cell>
          <cell r="S440"/>
          <cell r="T440">
            <v>0</v>
          </cell>
          <cell r="U440">
            <v>284</v>
          </cell>
          <cell r="V440">
            <v>1221.2</v>
          </cell>
          <cell r="W440">
            <v>413</v>
          </cell>
          <cell r="X440">
            <v>1775.8999999999999</v>
          </cell>
          <cell r="Y440">
            <v>825</v>
          </cell>
          <cell r="Z440">
            <v>3547.5</v>
          </cell>
          <cell r="AA440">
            <v>825</v>
          </cell>
          <cell r="AB440">
            <v>3547.5</v>
          </cell>
          <cell r="AC440">
            <v>825</v>
          </cell>
          <cell r="AD440">
            <v>3547.5</v>
          </cell>
          <cell r="AE440"/>
          <cell r="AF440"/>
          <cell r="AG440"/>
          <cell r="AH440"/>
          <cell r="AI440"/>
          <cell r="AJ440">
            <v>0</v>
          </cell>
          <cell r="AK440" t="str">
            <v>3P</v>
          </cell>
          <cell r="AL440">
            <v>213</v>
          </cell>
          <cell r="AM440">
            <v>472</v>
          </cell>
          <cell r="AN440" t="str">
            <v>08 Inactive Dealer</v>
          </cell>
          <cell r="AO440" t="str">
            <v>Midwest</v>
          </cell>
          <cell r="AP440" t="str">
            <v>Central</v>
          </cell>
          <cell r="AQ440"/>
          <cell r="AR440">
            <v>0</v>
          </cell>
          <cell r="AS440">
            <v>0</v>
          </cell>
          <cell r="AT440"/>
        </row>
        <row r="441">
          <cell r="A441">
            <v>12934</v>
          </cell>
          <cell r="B441" t="str">
            <v>TRAILERS "N" MORE</v>
          </cell>
          <cell r="C441" t="str">
            <v>M10421</v>
          </cell>
          <cell r="D441" t="str">
            <v>NET 5, BT+</v>
          </cell>
          <cell r="E441" t="str">
            <v>CF</v>
          </cell>
          <cell r="F441" t="str">
            <v>Yes</v>
          </cell>
          <cell r="G441" t="str">
            <v>TX</v>
          </cell>
          <cell r="H441">
            <v>7</v>
          </cell>
          <cell r="I441">
            <v>0.66500000000000004</v>
          </cell>
          <cell r="J441" t="str">
            <v>Orphaned Acct</v>
          </cell>
          <cell r="K441" t="str">
            <v>WICHITA</v>
          </cell>
          <cell r="L441" t="str">
            <v>KS</v>
          </cell>
          <cell r="M441" t="str">
            <v>800-577-8858</v>
          </cell>
          <cell r="N441"/>
          <cell r="O441">
            <v>414</v>
          </cell>
          <cell r="P441">
            <v>1780.1999999999998</v>
          </cell>
          <cell r="Q441"/>
          <cell r="R441">
            <v>0</v>
          </cell>
          <cell r="S441"/>
          <cell r="T441">
            <v>0</v>
          </cell>
          <cell r="U441">
            <v>284</v>
          </cell>
          <cell r="V441">
            <v>1221.2</v>
          </cell>
          <cell r="W441">
            <v>413</v>
          </cell>
          <cell r="X441">
            <v>1775.8999999999999</v>
          </cell>
          <cell r="Y441">
            <v>825</v>
          </cell>
          <cell r="Z441">
            <v>3547.5</v>
          </cell>
          <cell r="AA441">
            <v>825</v>
          </cell>
          <cell r="AB441">
            <v>3547.5</v>
          </cell>
          <cell r="AC441">
            <v>825</v>
          </cell>
          <cell r="AD441">
            <v>3547.5</v>
          </cell>
          <cell r="AE441"/>
          <cell r="AF441"/>
          <cell r="AG441"/>
          <cell r="AH441"/>
          <cell r="AI441"/>
          <cell r="AJ441">
            <v>0</v>
          </cell>
          <cell r="AK441" t="str">
            <v>3P</v>
          </cell>
          <cell r="AL441">
            <v>213</v>
          </cell>
          <cell r="AM441">
            <v>472</v>
          </cell>
          <cell r="AN441" t="str">
            <v>08 Inactive Dealer</v>
          </cell>
          <cell r="AO441" t="str">
            <v>Midwest</v>
          </cell>
          <cell r="AP441" t="str">
            <v>Central</v>
          </cell>
          <cell r="AQ441"/>
          <cell r="AR441">
            <v>0</v>
          </cell>
          <cell r="AS441">
            <v>0</v>
          </cell>
        </row>
        <row r="442">
          <cell r="A442">
            <v>12400</v>
          </cell>
          <cell r="B442" t="str">
            <v>WRIGHT &amp; SONS TRAILERS</v>
          </cell>
          <cell r="C442" t="str">
            <v>M10459</v>
          </cell>
          <cell r="D442" t="str">
            <v>NET 5, BT+</v>
          </cell>
          <cell r="E442" t="str">
            <v>CO</v>
          </cell>
          <cell r="F442" t="str">
            <v>Yes</v>
          </cell>
          <cell r="G442" t="str">
            <v>TX</v>
          </cell>
          <cell r="H442">
            <v>7</v>
          </cell>
          <cell r="I442">
            <v>0.66500000000000004</v>
          </cell>
          <cell r="J442" t="str">
            <v>Orphaned Acct</v>
          </cell>
          <cell r="K442" t="str">
            <v>ATWOOD</v>
          </cell>
          <cell r="L442" t="str">
            <v>KS</v>
          </cell>
          <cell r="M442" t="str">
            <v>800-577-8858</v>
          </cell>
          <cell r="N442"/>
          <cell r="O442">
            <v>726</v>
          </cell>
          <cell r="P442">
            <v>3121.7999999999997</v>
          </cell>
          <cell r="Q442"/>
          <cell r="R442">
            <v>0</v>
          </cell>
          <cell r="S442"/>
          <cell r="T442">
            <v>0</v>
          </cell>
          <cell r="U442">
            <v>596</v>
          </cell>
          <cell r="V442">
            <v>2562.7999999999997</v>
          </cell>
          <cell r="W442">
            <v>726</v>
          </cell>
          <cell r="X442">
            <v>3121.7999999999997</v>
          </cell>
          <cell r="Y442">
            <v>1031</v>
          </cell>
          <cell r="Z442">
            <v>4433.3</v>
          </cell>
          <cell r="AA442">
            <v>1031</v>
          </cell>
          <cell r="AB442">
            <v>4433.3</v>
          </cell>
          <cell r="AC442">
            <v>1031</v>
          </cell>
          <cell r="AD442">
            <v>4433.3</v>
          </cell>
          <cell r="AE442"/>
          <cell r="AF442"/>
          <cell r="AG442"/>
          <cell r="AH442"/>
          <cell r="AI442"/>
          <cell r="AJ442">
            <v>0</v>
          </cell>
          <cell r="AK442" t="str">
            <v>3P</v>
          </cell>
          <cell r="AL442">
            <v>213</v>
          </cell>
          <cell r="AM442">
            <v>270</v>
          </cell>
          <cell r="AN442" t="str">
            <v>08 Inactive Dealer</v>
          </cell>
          <cell r="AO442" t="str">
            <v>Midwest</v>
          </cell>
          <cell r="AP442" t="str">
            <v>Central</v>
          </cell>
          <cell r="AQ442"/>
          <cell r="AR442">
            <v>0</v>
          </cell>
          <cell r="AS442">
            <v>0</v>
          </cell>
        </row>
        <row r="443">
          <cell r="A443">
            <v>12442</v>
          </cell>
          <cell r="B443" t="str">
            <v>WRIGHT &amp; SONS TRAILERS</v>
          </cell>
          <cell r="C443" t="str">
            <v>M10459</v>
          </cell>
          <cell r="D443" t="str">
            <v>NET 5, BT+</v>
          </cell>
          <cell r="E443" t="str">
            <v>FP - Wells Fargo</v>
          </cell>
          <cell r="F443" t="str">
            <v>Yes</v>
          </cell>
          <cell r="G443" t="str">
            <v>TX</v>
          </cell>
          <cell r="H443">
            <v>8</v>
          </cell>
          <cell r="I443">
            <v>0.66500000000000004</v>
          </cell>
          <cell r="J443" t="str">
            <v>Orphaned Acct</v>
          </cell>
          <cell r="K443" t="str">
            <v>ATWOOD</v>
          </cell>
          <cell r="L443" t="str">
            <v>KS</v>
          </cell>
          <cell r="M443" t="str">
            <v>800-577-8858</v>
          </cell>
          <cell r="N443"/>
          <cell r="O443">
            <v>726</v>
          </cell>
          <cell r="P443">
            <v>3121.7999999999997</v>
          </cell>
          <cell r="Q443"/>
          <cell r="R443">
            <v>0</v>
          </cell>
          <cell r="S443"/>
          <cell r="T443">
            <v>0</v>
          </cell>
          <cell r="U443">
            <v>596</v>
          </cell>
          <cell r="V443">
            <v>2562.7999999999997</v>
          </cell>
          <cell r="W443">
            <v>726</v>
          </cell>
          <cell r="X443">
            <v>3121.7999999999997</v>
          </cell>
          <cell r="Y443">
            <v>1031</v>
          </cell>
          <cell r="Z443">
            <v>4433.3</v>
          </cell>
          <cell r="AA443">
            <v>1031</v>
          </cell>
          <cell r="AB443">
            <v>4433.3</v>
          </cell>
          <cell r="AC443">
            <v>1031</v>
          </cell>
          <cell r="AD443">
            <v>4433.3</v>
          </cell>
          <cell r="AE443"/>
          <cell r="AF443"/>
          <cell r="AG443"/>
          <cell r="AH443"/>
          <cell r="AI443"/>
          <cell r="AJ443">
            <v>0</v>
          </cell>
          <cell r="AK443" t="str">
            <v>3P</v>
          </cell>
          <cell r="AL443">
            <v>213</v>
          </cell>
          <cell r="AM443">
            <v>270</v>
          </cell>
          <cell r="AN443" t="str">
            <v>08 Inactive Dealer</v>
          </cell>
          <cell r="AO443" t="str">
            <v>Midwest</v>
          </cell>
          <cell r="AP443" t="str">
            <v>Central</v>
          </cell>
          <cell r="AQ443"/>
          <cell r="AR443">
            <v>0</v>
          </cell>
          <cell r="AS443">
            <v>0</v>
          </cell>
        </row>
        <row r="444">
          <cell r="A444">
            <v>10655</v>
          </cell>
          <cell r="B444" t="str">
            <v>ARNETT TRAILER</v>
          </cell>
          <cell r="C444" t="str">
            <v>M10643</v>
          </cell>
          <cell r="D444" t="str">
            <v>NET 5, BT+</v>
          </cell>
          <cell r="E444" t="str">
            <v>FP - Northpoint</v>
          </cell>
          <cell r="F444" t="str">
            <v>Yes</v>
          </cell>
          <cell r="G444" t="str">
            <v>OH</v>
          </cell>
          <cell r="H444">
            <v>8</v>
          </cell>
          <cell r="I444">
            <v>0.66500000000000004</v>
          </cell>
          <cell r="J444" t="str">
            <v>Orphaned Acct</v>
          </cell>
          <cell r="K444" t="str">
            <v>MT. STERLING</v>
          </cell>
          <cell r="L444" t="str">
            <v>KY</v>
          </cell>
          <cell r="M444" t="str">
            <v>800-577-8858</v>
          </cell>
          <cell r="N444"/>
          <cell r="O444">
            <v>795</v>
          </cell>
          <cell r="P444">
            <v>3418.5</v>
          </cell>
          <cell r="Q444">
            <v>539</v>
          </cell>
          <cell r="R444">
            <v>2317.6999999999998</v>
          </cell>
          <cell r="S444"/>
          <cell r="T444">
            <v>0</v>
          </cell>
          <cell r="U444">
            <v>891</v>
          </cell>
          <cell r="V444">
            <v>3831.2999999999997</v>
          </cell>
          <cell r="W444">
            <v>875</v>
          </cell>
          <cell r="X444">
            <v>3762.5</v>
          </cell>
          <cell r="Y444">
            <v>85</v>
          </cell>
          <cell r="Z444">
            <v>365.5</v>
          </cell>
          <cell r="AA444">
            <v>85</v>
          </cell>
          <cell r="AB444">
            <v>365.5</v>
          </cell>
          <cell r="AC444">
            <v>85</v>
          </cell>
          <cell r="AD444">
            <v>365.5</v>
          </cell>
          <cell r="AE444"/>
          <cell r="AF444"/>
          <cell r="AG444"/>
          <cell r="AH444"/>
          <cell r="AI444"/>
          <cell r="AJ444">
            <v>0</v>
          </cell>
          <cell r="AK444" t="str">
            <v>3P</v>
          </cell>
          <cell r="AL444">
            <v>213</v>
          </cell>
          <cell r="AM444">
            <v>252</v>
          </cell>
          <cell r="AN444" t="str">
            <v>01 Existing Dealer</v>
          </cell>
          <cell r="AO444" t="str">
            <v>Southeast</v>
          </cell>
          <cell r="AP444" t="str">
            <v>South</v>
          </cell>
          <cell r="AQ444"/>
          <cell r="AR444">
            <v>0</v>
          </cell>
          <cell r="AS444">
            <v>0</v>
          </cell>
        </row>
        <row r="445">
          <cell r="A445" t="str">
            <v>13397D</v>
          </cell>
          <cell r="B445" t="str">
            <v>BCMS / SILVERLINE</v>
          </cell>
          <cell r="C445" t="str">
            <v>M11363</v>
          </cell>
          <cell r="D445" t="str">
            <v>Return Mail, no pink card</v>
          </cell>
          <cell r="E445" t="str">
            <v>F3 - Wells Fargo</v>
          </cell>
          <cell r="F445" t="str">
            <v>Yes</v>
          </cell>
          <cell r="G445" t="str">
            <v>OH</v>
          </cell>
          <cell r="H445">
            <v>8</v>
          </cell>
          <cell r="I445">
            <v>0.66500000000000004</v>
          </cell>
          <cell r="J445" t="str">
            <v>Trent Evans</v>
          </cell>
          <cell r="K445" t="str">
            <v>RICHMOND</v>
          </cell>
          <cell r="L445" t="str">
            <v>KY</v>
          </cell>
          <cell r="M445" t="str">
            <v>800-577-8858</v>
          </cell>
          <cell r="N445"/>
          <cell r="O445">
            <v>775</v>
          </cell>
          <cell r="P445">
            <v>3332.5</v>
          </cell>
          <cell r="Q445">
            <v>502</v>
          </cell>
          <cell r="R445">
            <v>2158.6</v>
          </cell>
          <cell r="S445"/>
          <cell r="T445">
            <v>0</v>
          </cell>
          <cell r="U445">
            <v>883</v>
          </cell>
          <cell r="V445">
            <v>3796.8999999999996</v>
          </cell>
          <cell r="W445">
            <v>856</v>
          </cell>
          <cell r="X445">
            <v>3680.7999999999997</v>
          </cell>
          <cell r="Y445">
            <v>131</v>
          </cell>
          <cell r="Z445">
            <v>563.29999999999995</v>
          </cell>
          <cell r="AA445">
            <v>131</v>
          </cell>
          <cell r="AB445">
            <v>563.29999999999995</v>
          </cell>
          <cell r="AC445">
            <v>131</v>
          </cell>
          <cell r="AD445">
            <v>563.29999999999995</v>
          </cell>
          <cell r="AE445"/>
          <cell r="AF445"/>
          <cell r="AG445"/>
          <cell r="AH445"/>
          <cell r="AI445"/>
          <cell r="AJ445">
            <v>0.03</v>
          </cell>
          <cell r="AK445" t="str">
            <v>3P</v>
          </cell>
          <cell r="AL445">
            <v>226</v>
          </cell>
          <cell r="AM445">
            <v>394</v>
          </cell>
          <cell r="AN445" t="str">
            <v>01 Existing Dealer</v>
          </cell>
          <cell r="AO445" t="str">
            <v>Midwest</v>
          </cell>
          <cell r="AP445" t="str">
            <v>Central</v>
          </cell>
          <cell r="AQ445"/>
          <cell r="AR445">
            <v>0</v>
          </cell>
          <cell r="AS445">
            <v>0</v>
          </cell>
        </row>
        <row r="446">
          <cell r="A446">
            <v>12520</v>
          </cell>
          <cell r="B446" t="str">
            <v>CENTRAL KENTUCKY TRUCK &amp; TRAILER</v>
          </cell>
          <cell r="C446" t="str">
            <v>M10138</v>
          </cell>
          <cell r="D446" t="str">
            <v>NET 5, BT+</v>
          </cell>
          <cell r="E446" t="str">
            <v>S1</v>
          </cell>
          <cell r="F446" t="str">
            <v>Copies</v>
          </cell>
          <cell r="G446" t="str">
            <v>OH</v>
          </cell>
          <cell r="H446">
            <v>9</v>
          </cell>
          <cell r="I446">
            <v>0.66500000000000004</v>
          </cell>
          <cell r="J446" t="str">
            <v>Orphaned Acct</v>
          </cell>
          <cell r="K446" t="str">
            <v>RICHMOND</v>
          </cell>
          <cell r="L446" t="str">
            <v>KY</v>
          </cell>
          <cell r="M446" t="str">
            <v>800-577-8858</v>
          </cell>
          <cell r="N446"/>
          <cell r="O446">
            <v>772</v>
          </cell>
          <cell r="P446">
            <v>3319.6</v>
          </cell>
          <cell r="Q446">
            <v>505</v>
          </cell>
          <cell r="R446">
            <v>2171.5</v>
          </cell>
          <cell r="S446"/>
          <cell r="T446">
            <v>0</v>
          </cell>
          <cell r="U446">
            <v>868</v>
          </cell>
          <cell r="V446">
            <v>3732.3999999999996</v>
          </cell>
          <cell r="W446">
            <v>852</v>
          </cell>
          <cell r="X446">
            <v>3663.6</v>
          </cell>
          <cell r="Y446"/>
          <cell r="Z446">
            <v>0</v>
          </cell>
          <cell r="AA446"/>
          <cell r="AB446">
            <v>0</v>
          </cell>
          <cell r="AC446"/>
          <cell r="AD446">
            <v>0</v>
          </cell>
          <cell r="AE446"/>
          <cell r="AF446"/>
          <cell r="AG446"/>
          <cell r="AH446"/>
          <cell r="AI446"/>
          <cell r="AJ446">
            <v>0</v>
          </cell>
          <cell r="AK446" t="str">
            <v>3P</v>
          </cell>
          <cell r="AL446">
            <v>213</v>
          </cell>
          <cell r="AM446">
            <v>252</v>
          </cell>
          <cell r="AN446" t="str">
            <v>08 Inactive Dealer</v>
          </cell>
          <cell r="AO446" t="str">
            <v>Southeast</v>
          </cell>
          <cell r="AP446" t="str">
            <v>South</v>
          </cell>
          <cell r="AQ446"/>
          <cell r="AR446">
            <v>0</v>
          </cell>
          <cell r="AS446">
            <v>0</v>
          </cell>
        </row>
        <row r="447">
          <cell r="A447">
            <v>12728</v>
          </cell>
          <cell r="B447" t="str">
            <v>CONDERS</v>
          </cell>
          <cell r="C447" t="str">
            <v>M10158</v>
          </cell>
          <cell r="D447" t="str">
            <v>NET 5, BT+</v>
          </cell>
          <cell r="E447" t="str">
            <v>CO</v>
          </cell>
          <cell r="F447" t="str">
            <v>Yes</v>
          </cell>
          <cell r="G447" t="str">
            <v>OH</v>
          </cell>
          <cell r="H447">
            <v>7</v>
          </cell>
          <cell r="I447">
            <v>0.66500000000000004</v>
          </cell>
          <cell r="J447" t="str">
            <v>Trent Evans</v>
          </cell>
          <cell r="K447" t="str">
            <v>SOMERSET</v>
          </cell>
          <cell r="L447" t="str">
            <v>KY</v>
          </cell>
          <cell r="M447" t="str">
            <v>800-577-8858</v>
          </cell>
          <cell r="N447" t="str">
            <v>Spare tires on every trailer.</v>
          </cell>
          <cell r="O447">
            <v>718</v>
          </cell>
          <cell r="P447">
            <v>3087.4</v>
          </cell>
          <cell r="Q447">
            <v>441</v>
          </cell>
          <cell r="R447">
            <v>1896.3</v>
          </cell>
          <cell r="S447"/>
          <cell r="T447">
            <v>0</v>
          </cell>
          <cell r="U447">
            <v>815</v>
          </cell>
          <cell r="V447">
            <v>3504.5</v>
          </cell>
          <cell r="W447">
            <v>799</v>
          </cell>
          <cell r="X447">
            <v>3435.7</v>
          </cell>
          <cell r="Y447">
            <v>191</v>
          </cell>
          <cell r="Z447">
            <v>821.3</v>
          </cell>
          <cell r="AA447">
            <v>191</v>
          </cell>
          <cell r="AB447">
            <v>821.3</v>
          </cell>
          <cell r="AC447">
            <v>191</v>
          </cell>
          <cell r="AD447">
            <v>821.3</v>
          </cell>
          <cell r="AE447"/>
          <cell r="AF447"/>
          <cell r="AG447"/>
          <cell r="AH447"/>
          <cell r="AI447"/>
          <cell r="AJ447">
            <v>0</v>
          </cell>
          <cell r="AK447" t="str">
            <v>3P</v>
          </cell>
          <cell r="AL447">
            <v>226</v>
          </cell>
          <cell r="AM447">
            <v>423</v>
          </cell>
          <cell r="AN447" t="str">
            <v>01 Existing Dealer</v>
          </cell>
          <cell r="AO447" t="str">
            <v>Southeast</v>
          </cell>
          <cell r="AP447" t="str">
            <v>South</v>
          </cell>
          <cell r="AQ447"/>
          <cell r="AR447">
            <v>0</v>
          </cell>
          <cell r="AS447">
            <v>0</v>
          </cell>
        </row>
        <row r="448">
          <cell r="A448">
            <v>12858</v>
          </cell>
          <cell r="B448" t="str">
            <v>CONDERS</v>
          </cell>
          <cell r="C448" t="str">
            <v>M10158</v>
          </cell>
          <cell r="D448" t="str">
            <v>NET 5, BT+</v>
          </cell>
          <cell r="E448" t="str">
            <v>F3 - Northpoint</v>
          </cell>
          <cell r="F448" t="str">
            <v>Yes</v>
          </cell>
          <cell r="G448" t="str">
            <v>OH</v>
          </cell>
          <cell r="H448">
            <v>8</v>
          </cell>
          <cell r="I448">
            <v>0.66500000000000004</v>
          </cell>
          <cell r="J448" t="str">
            <v>Trent Evans</v>
          </cell>
          <cell r="K448" t="str">
            <v>SOMERSET</v>
          </cell>
          <cell r="L448" t="str">
            <v>KY</v>
          </cell>
          <cell r="M448" t="str">
            <v>800-577-8858</v>
          </cell>
          <cell r="N448" t="str">
            <v>Spare tires on every trailer.</v>
          </cell>
          <cell r="O448">
            <v>718</v>
          </cell>
          <cell r="P448">
            <v>3087.4</v>
          </cell>
          <cell r="Q448">
            <v>441</v>
          </cell>
          <cell r="R448">
            <v>1896.3</v>
          </cell>
          <cell r="S448"/>
          <cell r="T448">
            <v>0</v>
          </cell>
          <cell r="U448">
            <v>815</v>
          </cell>
          <cell r="V448">
            <v>3504.5</v>
          </cell>
          <cell r="W448">
            <v>799</v>
          </cell>
          <cell r="X448">
            <v>3435.7</v>
          </cell>
          <cell r="Y448">
            <v>191</v>
          </cell>
          <cell r="Z448">
            <v>821.3</v>
          </cell>
          <cell r="AA448">
            <v>191</v>
          </cell>
          <cell r="AB448">
            <v>821.3</v>
          </cell>
          <cell r="AC448">
            <v>191</v>
          </cell>
          <cell r="AD448">
            <v>821.3</v>
          </cell>
          <cell r="AE448"/>
          <cell r="AF448"/>
          <cell r="AG448"/>
          <cell r="AH448"/>
          <cell r="AI448"/>
          <cell r="AJ448">
            <v>0</v>
          </cell>
          <cell r="AK448" t="str">
            <v>3P</v>
          </cell>
          <cell r="AL448">
            <v>226</v>
          </cell>
          <cell r="AM448">
            <v>423</v>
          </cell>
          <cell r="AN448" t="str">
            <v>01 Existing Dealer</v>
          </cell>
          <cell r="AO448" t="str">
            <v>Southeast</v>
          </cell>
          <cell r="AP448" t="str">
            <v>South</v>
          </cell>
          <cell r="AQ448"/>
          <cell r="AR448">
            <v>0</v>
          </cell>
          <cell r="AS448">
            <v>0</v>
          </cell>
          <cell r="AT448"/>
        </row>
        <row r="449">
          <cell r="A449" t="str">
            <v>12858A</v>
          </cell>
          <cell r="B449" t="str">
            <v>CONDERS</v>
          </cell>
          <cell r="C449" t="str">
            <v>M10158</v>
          </cell>
          <cell r="D449" t="str">
            <v>NET 5, BT+</v>
          </cell>
          <cell r="E449" t="str">
            <v>F3 - Northpoint</v>
          </cell>
          <cell r="F449" t="str">
            <v>Yes</v>
          </cell>
          <cell r="G449" t="str">
            <v>OH</v>
          </cell>
          <cell r="H449">
            <v>8</v>
          </cell>
          <cell r="I449">
            <v>0.66500000000000004</v>
          </cell>
          <cell r="J449" t="str">
            <v>Trent Evans</v>
          </cell>
          <cell r="K449" t="str">
            <v>LONDON</v>
          </cell>
          <cell r="L449" t="str">
            <v>KY</v>
          </cell>
          <cell r="M449" t="str">
            <v>800-577-8858</v>
          </cell>
          <cell r="N449" t="str">
            <v>Spare tires on every trailer.</v>
          </cell>
          <cell r="O449">
            <v>749</v>
          </cell>
          <cell r="P449">
            <v>3220.7</v>
          </cell>
          <cell r="Q449">
            <v>495</v>
          </cell>
          <cell r="R449">
            <v>2128.5</v>
          </cell>
          <cell r="S449"/>
          <cell r="T449">
            <v>0</v>
          </cell>
          <cell r="U449">
            <v>879</v>
          </cell>
          <cell r="V449">
            <v>3779.7</v>
          </cell>
          <cell r="W449">
            <v>830</v>
          </cell>
          <cell r="X449">
            <v>3569</v>
          </cell>
          <cell r="Y449">
            <v>187</v>
          </cell>
          <cell r="Z449">
            <v>804.1</v>
          </cell>
          <cell r="AA449">
            <v>187</v>
          </cell>
          <cell r="AB449">
            <v>804.1</v>
          </cell>
          <cell r="AC449">
            <v>187</v>
          </cell>
          <cell r="AD449">
            <v>804.1</v>
          </cell>
          <cell r="AE449"/>
          <cell r="AF449"/>
          <cell r="AG449"/>
          <cell r="AH449"/>
          <cell r="AI449"/>
          <cell r="AJ449">
            <v>0</v>
          </cell>
          <cell r="AK449" t="str">
            <v>3P</v>
          </cell>
          <cell r="AL449">
            <v>226</v>
          </cell>
          <cell r="AM449">
            <v>423</v>
          </cell>
          <cell r="AN449" t="str">
            <v>01 Existing Dealer</v>
          </cell>
          <cell r="AO449" t="str">
            <v>Southeast</v>
          </cell>
          <cell r="AP449" t="str">
            <v>South</v>
          </cell>
          <cell r="AQ449"/>
          <cell r="AR449">
            <v>0</v>
          </cell>
          <cell r="AS449">
            <v>0</v>
          </cell>
          <cell r="AT449"/>
        </row>
        <row r="450">
          <cell r="A450">
            <v>10192</v>
          </cell>
          <cell r="B450" t="str">
            <v>EAST KY TRAILER SALES</v>
          </cell>
          <cell r="C450" t="str">
            <v>M10188</v>
          </cell>
          <cell r="D450" t="str">
            <v>NET 5, BT+</v>
          </cell>
          <cell r="E450" t="str">
            <v>CO</v>
          </cell>
          <cell r="F450" t="str">
            <v>Yes</v>
          </cell>
          <cell r="G450" t="str">
            <v>OH</v>
          </cell>
          <cell r="H450">
            <v>7</v>
          </cell>
          <cell r="I450">
            <v>0.66500000000000004</v>
          </cell>
          <cell r="J450" t="str">
            <v>House</v>
          </cell>
          <cell r="K450" t="str">
            <v>LONDON</v>
          </cell>
          <cell r="L450" t="str">
            <v>KY</v>
          </cell>
          <cell r="M450" t="str">
            <v>800-577-8858</v>
          </cell>
          <cell r="N450"/>
          <cell r="O450">
            <v>749</v>
          </cell>
          <cell r="P450">
            <v>3220.7</v>
          </cell>
          <cell r="Q450">
            <v>495</v>
          </cell>
          <cell r="R450">
            <v>2128.5</v>
          </cell>
          <cell r="S450"/>
          <cell r="T450">
            <v>0</v>
          </cell>
          <cell r="U450">
            <v>879</v>
          </cell>
          <cell r="V450">
            <v>3779.7</v>
          </cell>
          <cell r="W450"/>
          <cell r="X450">
            <v>0</v>
          </cell>
          <cell r="Y450"/>
          <cell r="Z450">
            <v>0</v>
          </cell>
          <cell r="AA450"/>
          <cell r="AB450">
            <v>0</v>
          </cell>
          <cell r="AC450"/>
          <cell r="AD450">
            <v>0</v>
          </cell>
          <cell r="AE450"/>
          <cell r="AF450"/>
          <cell r="AG450"/>
          <cell r="AH450"/>
          <cell r="AI450"/>
          <cell r="AJ450">
            <v>0</v>
          </cell>
          <cell r="AK450" t="str">
            <v>3P</v>
          </cell>
          <cell r="AL450">
            <v>400</v>
          </cell>
          <cell r="AM450">
            <v>98</v>
          </cell>
          <cell r="AN450" t="str">
            <v>08 Inactive Dealer</v>
          </cell>
          <cell r="AO450" t="str">
            <v>Southeast</v>
          </cell>
          <cell r="AP450" t="str">
            <v>South</v>
          </cell>
          <cell r="AQ450"/>
          <cell r="AR450">
            <v>0</v>
          </cell>
          <cell r="AS450">
            <v>0</v>
          </cell>
          <cell r="AT450"/>
        </row>
        <row r="451">
          <cell r="A451">
            <v>12941</v>
          </cell>
          <cell r="B451" t="str">
            <v>ERIC PHAUP ENT bda BROWN DUCT OUTLET</v>
          </cell>
          <cell r="C451" t="str">
            <v>M10190</v>
          </cell>
          <cell r="D451" t="str">
            <v>NET 5, BT+</v>
          </cell>
          <cell r="E451" t="str">
            <v>CO</v>
          </cell>
          <cell r="F451" t="str">
            <v>Yes</v>
          </cell>
          <cell r="G451" t="str">
            <v>OH</v>
          </cell>
          <cell r="H451">
            <v>7</v>
          </cell>
          <cell r="I451">
            <v>0.66500000000000004</v>
          </cell>
          <cell r="J451" t="str">
            <v>Orphaned Acct</v>
          </cell>
          <cell r="K451" t="str">
            <v>MADISONVILLE</v>
          </cell>
          <cell r="L451" t="str">
            <v>KY</v>
          </cell>
          <cell r="M451" t="str">
            <v>800-577-8858</v>
          </cell>
          <cell r="N451"/>
          <cell r="O451">
            <v>597</v>
          </cell>
          <cell r="P451">
            <v>2567.1</v>
          </cell>
          <cell r="Q451">
            <v>499</v>
          </cell>
          <cell r="R451">
            <v>2145.6999999999998</v>
          </cell>
          <cell r="S451"/>
          <cell r="T451">
            <v>0</v>
          </cell>
          <cell r="U451">
            <v>693</v>
          </cell>
          <cell r="V451">
            <v>2979.9</v>
          </cell>
          <cell r="W451">
            <v>677</v>
          </cell>
          <cell r="X451">
            <v>2911.1</v>
          </cell>
          <cell r="Y451"/>
          <cell r="Z451">
            <v>0</v>
          </cell>
          <cell r="AA451"/>
          <cell r="AB451">
            <v>0</v>
          </cell>
          <cell r="AC451"/>
          <cell r="AD451">
            <v>0</v>
          </cell>
          <cell r="AE451"/>
          <cell r="AF451"/>
          <cell r="AG451"/>
          <cell r="AH451"/>
          <cell r="AI451"/>
          <cell r="AJ451">
            <v>0</v>
          </cell>
          <cell r="AK451" t="str">
            <v>3P</v>
          </cell>
          <cell r="AL451">
            <v>213</v>
          </cell>
          <cell r="AM451">
            <v>273</v>
          </cell>
          <cell r="AN451" t="str">
            <v>08 Inactive Dealer</v>
          </cell>
          <cell r="AO451" t="str">
            <v>Southeast</v>
          </cell>
          <cell r="AP451" t="str">
            <v>South</v>
          </cell>
          <cell r="AQ451"/>
          <cell r="AR451">
            <v>0</v>
          </cell>
          <cell r="AS451">
            <v>0</v>
          </cell>
          <cell r="AT451"/>
        </row>
        <row r="452">
          <cell r="A452">
            <v>13143</v>
          </cell>
          <cell r="B452" t="str">
            <v>HOGHEAD TRAILER</v>
          </cell>
          <cell r="C452" t="str">
            <v>M11070</v>
          </cell>
          <cell r="D452" t="str">
            <v>NET 5, BT+</v>
          </cell>
          <cell r="E452" t="str">
            <v>FP - Wells Fargo</v>
          </cell>
          <cell r="F452" t="str">
            <v>Yes</v>
          </cell>
          <cell r="G452" t="str">
            <v>OH</v>
          </cell>
          <cell r="H452">
            <v>8</v>
          </cell>
          <cell r="I452">
            <v>0.66500000000000004</v>
          </cell>
          <cell r="J452" t="str">
            <v>Orphaned Acct</v>
          </cell>
          <cell r="K452" t="str">
            <v>GEORGETOWN</v>
          </cell>
          <cell r="L452" t="str">
            <v>KY</v>
          </cell>
          <cell r="M452" t="str">
            <v>800-577-8858</v>
          </cell>
          <cell r="N452"/>
          <cell r="O452">
            <v>770</v>
          </cell>
          <cell r="P452">
            <v>3311</v>
          </cell>
          <cell r="Q452">
            <v>541</v>
          </cell>
          <cell r="R452">
            <v>2326.2999999999997</v>
          </cell>
          <cell r="S452" t="str"/>
          <cell r="T452" t="str"/>
          <cell r="U452">
            <v>866</v>
          </cell>
          <cell r="V452">
            <v>3723.7999999999997</v>
          </cell>
          <cell r="W452">
            <v>850</v>
          </cell>
          <cell r="X452">
            <v>3655</v>
          </cell>
          <cell r="Y452">
            <v>102</v>
          </cell>
          <cell r="Z452">
            <v>438.59999999999997</v>
          </cell>
          <cell r="AA452">
            <v>102</v>
          </cell>
          <cell r="AB452">
            <v>438.59999999999997</v>
          </cell>
          <cell r="AC452">
            <v>102</v>
          </cell>
          <cell r="AD452">
            <v>438.59999999999997</v>
          </cell>
          <cell r="AE452" t="str"/>
          <cell r="AF452"/>
          <cell r="AG452" t="str"/>
          <cell r="AH452" t="str"/>
          <cell r="AI452" t="str"/>
          <cell r="AJ452">
            <v>0</v>
          </cell>
          <cell r="AK452" t="str">
            <v>3P</v>
          </cell>
          <cell r="AL452">
            <v>213</v>
          </cell>
          <cell r="AM452">
            <v>252</v>
          </cell>
          <cell r="AN452" t="str">
            <v>01 Existing Dealer</v>
          </cell>
          <cell r="AO452" t="str">
            <v>Southeast</v>
          </cell>
          <cell r="AP452" t="str">
            <v>South</v>
          </cell>
          <cell r="AQ452"/>
          <cell r="AR452">
            <v>0</v>
          </cell>
          <cell r="AS452">
            <v>0</v>
          </cell>
          <cell r="AT452"/>
        </row>
        <row r="453">
          <cell r="A453">
            <v>13651</v>
          </cell>
          <cell r="B453" t="str">
            <v>MLS POWERSPORTS</v>
          </cell>
          <cell r="C453" t="str">
            <v>M11644</v>
          </cell>
          <cell r="D453" t="str">
            <v>NET 5, BT+</v>
          </cell>
          <cell r="E453" t="str">
            <v>CF</v>
          </cell>
          <cell r="F453" t="str">
            <v>Yes</v>
          </cell>
          <cell r="G453" t="str">
            <v>OH</v>
          </cell>
          <cell r="H453">
            <v>7</v>
          </cell>
          <cell r="I453">
            <v>0.66500000000000004</v>
          </cell>
          <cell r="J453" t="str">
            <v>JL Smith</v>
          </cell>
          <cell r="K453" t="str">
            <v>GEORGETOWN</v>
          </cell>
          <cell r="L453" t="str">
            <v>KY</v>
          </cell>
          <cell r="M453" t="str">
            <v>800-577-8858</v>
          </cell>
          <cell r="N453"/>
          <cell r="O453">
            <v>681</v>
          </cell>
          <cell r="P453">
            <v>2928.2999999999997</v>
          </cell>
          <cell r="Q453">
            <v>536</v>
          </cell>
          <cell r="R453">
            <v>2304.7999999999997</v>
          </cell>
          <cell r="S453"/>
          <cell r="T453">
            <v>0</v>
          </cell>
          <cell r="U453">
            <v>740</v>
          </cell>
          <cell r="V453">
            <v>3182</v>
          </cell>
          <cell r="W453">
            <v>748</v>
          </cell>
          <cell r="X453">
            <v>3216.4</v>
          </cell>
          <cell r="Y453"/>
          <cell r="Z453">
            <v>0</v>
          </cell>
          <cell r="AA453">
            <v>88</v>
          </cell>
          <cell r="AB453">
            <v>378.4</v>
          </cell>
          <cell r="AC453">
            <v>102</v>
          </cell>
          <cell r="AD453">
            <v>438.59999999999997</v>
          </cell>
          <cell r="AE453"/>
          <cell r="AF453"/>
          <cell r="AG453"/>
          <cell r="AH453"/>
          <cell r="AI453"/>
          <cell r="AJ453">
            <v>0</v>
          </cell>
          <cell r="AK453" t="str">
            <v>3P</v>
          </cell>
          <cell r="AL453">
            <v>151</v>
          </cell>
          <cell r="AM453">
            <v>252</v>
          </cell>
          <cell r="AN453" t="str">
            <v>03 New Dealer</v>
          </cell>
          <cell r="AO453" t="str">
            <v>Southeast</v>
          </cell>
          <cell r="AP453" t="str">
            <v>South</v>
          </cell>
          <cell r="AQ453"/>
          <cell r="AR453">
            <v>0</v>
          </cell>
          <cell r="AS453">
            <v>0</v>
          </cell>
          <cell r="AT453"/>
        </row>
        <row r="454">
          <cell r="A454">
            <v>13559</v>
          </cell>
          <cell r="B454" t="str">
            <v>MOORE OUTDOOR</v>
          </cell>
          <cell r="C454" t="str">
            <v>M11531</v>
          </cell>
          <cell r="D454" t="str">
            <v>NET 5, BT+</v>
          </cell>
          <cell r="E454" t="str">
            <v>FP - Wells Fargo</v>
          </cell>
          <cell r="F454" t="str">
            <v>Yes</v>
          </cell>
          <cell r="G454" t="str">
            <v>OH</v>
          </cell>
          <cell r="H454">
            <v>8</v>
          </cell>
          <cell r="I454">
            <v>0.66500000000000004</v>
          </cell>
          <cell r="J454" t="str">
            <v>JL Smith</v>
          </cell>
          <cell r="K454" t="str">
            <v>TAYLORSVILLE</v>
          </cell>
          <cell r="L454" t="str">
            <v>KY</v>
          </cell>
          <cell r="M454" t="str">
            <v>800-577-8858</v>
          </cell>
          <cell r="N454"/>
          <cell r="O454">
            <v>724</v>
          </cell>
          <cell r="P454">
            <v>3113.2</v>
          </cell>
          <cell r="Q454">
            <v>567</v>
          </cell>
          <cell r="R454">
            <v>2438.1</v>
          </cell>
          <cell r="S454"/>
          <cell r="T454">
            <v>0</v>
          </cell>
          <cell r="U454">
            <v>857</v>
          </cell>
          <cell r="V454">
            <v>3685.1</v>
          </cell>
          <cell r="W454">
            <v>802</v>
          </cell>
          <cell r="X454">
            <v>3448.6</v>
          </cell>
          <cell r="Y454">
            <v>135</v>
          </cell>
          <cell r="Z454">
            <v>580.5</v>
          </cell>
          <cell r="AA454">
            <v>135</v>
          </cell>
          <cell r="AB454">
            <v>580.5</v>
          </cell>
          <cell r="AC454">
            <v>133</v>
          </cell>
          <cell r="AD454">
            <v>571.9</v>
          </cell>
          <cell r="AE454"/>
          <cell r="AF454"/>
          <cell r="AG454"/>
          <cell r="AH454"/>
          <cell r="AI454"/>
          <cell r="AJ454">
            <v>0</v>
          </cell>
          <cell r="AK454" t="str">
            <v>3P</v>
          </cell>
          <cell r="AL454">
            <v>151</v>
          </cell>
          <cell r="AM454">
            <v>263</v>
          </cell>
          <cell r="AN454" t="str">
            <v>03 New Dealer</v>
          </cell>
          <cell r="AO454" t="str">
            <v>Southeast</v>
          </cell>
          <cell r="AP454" t="str">
            <v>South</v>
          </cell>
          <cell r="AQ454"/>
          <cell r="AR454">
            <v>0</v>
          </cell>
          <cell r="AS454">
            <v>0</v>
          </cell>
          <cell r="AT454"/>
        </row>
        <row r="455">
          <cell r="A455">
            <v>12249</v>
          </cell>
          <cell r="B455" t="str">
            <v>SELECT TRAILER</v>
          </cell>
          <cell r="C455" t="str">
            <v>M10371</v>
          </cell>
          <cell r="D455" t="str">
            <v>NET 5, BT+</v>
          </cell>
          <cell r="E455" t="str">
            <v>CO</v>
          </cell>
          <cell r="F455" t="str">
            <v>Yes</v>
          </cell>
          <cell r="G455" t="str">
            <v>OH</v>
          </cell>
          <cell r="H455">
            <v>7</v>
          </cell>
          <cell r="I455">
            <v>0.66500000000000004</v>
          </cell>
          <cell r="J455" t="str">
            <v>Orphaned Acct</v>
          </cell>
          <cell r="K455" t="str">
            <v>FLEMINGSBURG</v>
          </cell>
          <cell r="L455" t="str">
            <v>KY</v>
          </cell>
          <cell r="M455" t="str">
            <v>800-577-8858</v>
          </cell>
          <cell r="N455"/>
          <cell r="O455">
            <v>816</v>
          </cell>
          <cell r="P455">
            <v>3508.7999999999997</v>
          </cell>
          <cell r="Q455">
            <v>569</v>
          </cell>
          <cell r="R455">
            <v>2446.6999999999998</v>
          </cell>
          <cell r="S455"/>
          <cell r="T455">
            <v>0</v>
          </cell>
          <cell r="U455">
            <v>912</v>
          </cell>
          <cell r="V455">
            <v>3921.6</v>
          </cell>
          <cell r="W455">
            <v>896</v>
          </cell>
          <cell r="X455">
            <v>3852.7999999999997</v>
          </cell>
          <cell r="Y455">
            <v>56</v>
          </cell>
          <cell r="Z455">
            <v>240.79999999999998</v>
          </cell>
          <cell r="AA455">
            <v>56</v>
          </cell>
          <cell r="AB455">
            <v>240.79999999999998</v>
          </cell>
          <cell r="AC455">
            <v>56</v>
          </cell>
          <cell r="AD455">
            <v>240.79999999999998</v>
          </cell>
          <cell r="AE455"/>
          <cell r="AF455"/>
          <cell r="AG455"/>
          <cell r="AH455"/>
          <cell r="AI455"/>
          <cell r="AJ455">
            <v>0</v>
          </cell>
          <cell r="AK455" t="str">
            <v>3P</v>
          </cell>
          <cell r="AL455">
            <v>213</v>
          </cell>
          <cell r="AM455">
            <v>252</v>
          </cell>
          <cell r="AN455" t="str">
            <v>01 Existing Dealer</v>
          </cell>
          <cell r="AO455" t="str">
            <v>Southeast</v>
          </cell>
          <cell r="AP455" t="str">
            <v>South</v>
          </cell>
          <cell r="AQ455"/>
          <cell r="AR455">
            <v>0</v>
          </cell>
          <cell r="AS455">
            <v>0</v>
          </cell>
          <cell r="AT455"/>
        </row>
        <row r="456">
          <cell r="A456">
            <v>12653</v>
          </cell>
          <cell r="B456" t="str">
            <v>SELECT TRAILER</v>
          </cell>
          <cell r="C456" t="str">
            <v>M10371</v>
          </cell>
          <cell r="D456" t="str">
            <v>NET 5, BT+</v>
          </cell>
          <cell r="E456" t="str">
            <v>F4 - Wells Fargo</v>
          </cell>
          <cell r="F456" t="str">
            <v>Yes</v>
          </cell>
          <cell r="G456" t="str">
            <v>OH</v>
          </cell>
          <cell r="H456">
            <v>8</v>
          </cell>
          <cell r="I456">
            <v>0.66500000000000004</v>
          </cell>
          <cell r="J456" t="str">
            <v>Orphaned Acct</v>
          </cell>
          <cell r="K456" t="str">
            <v>FLEMINGSBURG</v>
          </cell>
          <cell r="L456" t="str">
            <v>KY</v>
          </cell>
          <cell r="M456" t="str">
            <v>800-577-8858</v>
          </cell>
          <cell r="N456"/>
          <cell r="O456">
            <v>816</v>
          </cell>
          <cell r="P456">
            <v>3508.7999999999997</v>
          </cell>
          <cell r="Q456">
            <v>569</v>
          </cell>
          <cell r="R456">
            <v>2446.6999999999998</v>
          </cell>
          <cell r="S456"/>
          <cell r="T456">
            <v>0</v>
          </cell>
          <cell r="U456">
            <v>912</v>
          </cell>
          <cell r="V456">
            <v>3921.6</v>
          </cell>
          <cell r="W456">
            <v>896</v>
          </cell>
          <cell r="X456">
            <v>3852.7999999999997</v>
          </cell>
          <cell r="Y456">
            <v>56</v>
          </cell>
          <cell r="Z456">
            <v>240.79999999999998</v>
          </cell>
          <cell r="AA456">
            <v>56</v>
          </cell>
          <cell r="AB456">
            <v>240.79999999999998</v>
          </cell>
          <cell r="AC456">
            <v>56</v>
          </cell>
          <cell r="AD456">
            <v>240.79999999999998</v>
          </cell>
          <cell r="AE456"/>
          <cell r="AF456"/>
          <cell r="AG456"/>
          <cell r="AH456"/>
          <cell r="AI456"/>
          <cell r="AJ456">
            <v>0</v>
          </cell>
          <cell r="AK456" t="str">
            <v>3P</v>
          </cell>
          <cell r="AL456">
            <v>213</v>
          </cell>
          <cell r="AM456">
            <v>252</v>
          </cell>
          <cell r="AN456" t="str">
            <v>01 Existing Dealer</v>
          </cell>
          <cell r="AO456" t="str">
            <v>Southeast</v>
          </cell>
          <cell r="AP456" t="str">
            <v>South</v>
          </cell>
          <cell r="AQ456"/>
          <cell r="AR456">
            <v>0</v>
          </cell>
          <cell r="AS456">
            <v>0</v>
          </cell>
        </row>
        <row r="457">
          <cell r="A457">
            <v>13536</v>
          </cell>
          <cell r="B457" t="str">
            <v>SCOTT'S TRAILER</v>
          </cell>
          <cell r="C457" t="str">
            <v>M11505</v>
          </cell>
          <cell r="D457" t="str">
            <v>NET 5, BT+</v>
          </cell>
          <cell r="E457" t="str">
            <v>CF</v>
          </cell>
          <cell r="F457" t="str">
            <v>Yes</v>
          </cell>
          <cell r="G457" t="str">
            <v>OH</v>
          </cell>
          <cell r="H457">
            <v>7</v>
          </cell>
          <cell r="I457">
            <v>0.66500000000000004</v>
          </cell>
          <cell r="J457" t="str">
            <v>Dakota Nation</v>
          </cell>
          <cell r="K457" t="str">
            <v>GREENVILLE</v>
          </cell>
          <cell r="L457" t="str">
            <v>KY</v>
          </cell>
          <cell r="M457" t="str">
            <v>800-577-8858</v>
          </cell>
          <cell r="N457"/>
          <cell r="O457">
            <v>598</v>
          </cell>
          <cell r="P457">
            <v>2571.4</v>
          </cell>
          <cell r="Q457">
            <v>482</v>
          </cell>
          <cell r="R457">
            <v>2072.6</v>
          </cell>
          <cell r="S457"/>
          <cell r="T457">
            <v>0</v>
          </cell>
          <cell r="U457">
            <v>701</v>
          </cell>
          <cell r="V457">
            <v>3014.2999999999997</v>
          </cell>
          <cell r="W457">
            <v>677</v>
          </cell>
          <cell r="X457">
            <v>2911.1</v>
          </cell>
          <cell r="Y457">
            <v>251</v>
          </cell>
          <cell r="Z457">
            <v>1079.3</v>
          </cell>
          <cell r="AA457">
            <v>251</v>
          </cell>
          <cell r="AB457">
            <v>1079.3</v>
          </cell>
          <cell r="AC457">
            <v>251</v>
          </cell>
          <cell r="AD457">
            <v>1079.3</v>
          </cell>
          <cell r="AE457"/>
          <cell r="AF457"/>
          <cell r="AG457"/>
          <cell r="AH457"/>
          <cell r="AI457"/>
          <cell r="AJ457">
            <v>0</v>
          </cell>
          <cell r="AK457" t="str">
            <v>3P</v>
          </cell>
          <cell r="AL457">
            <v>223</v>
          </cell>
          <cell r="AM457">
            <v>338</v>
          </cell>
          <cell r="AN457" t="str">
            <v>03 New Dealer</v>
          </cell>
          <cell r="AO457" t="str">
            <v>Southeast</v>
          </cell>
          <cell r="AP457" t="str">
            <v>South</v>
          </cell>
          <cell r="AQ457"/>
          <cell r="AR457">
            <v>0</v>
          </cell>
          <cell r="AS457">
            <v>0</v>
          </cell>
          <cell r="AT457"/>
        </row>
        <row r="458">
          <cell r="A458">
            <v>10476</v>
          </cell>
          <cell r="B458" t="str">
            <v>T P D TRAILER SALES</v>
          </cell>
          <cell r="C458" t="str">
            <v>M10393</v>
          </cell>
          <cell r="D458" t="str">
            <v>NET 5, BT+</v>
          </cell>
          <cell r="E458" t="str">
            <v>CO</v>
          </cell>
          <cell r="F458" t="str">
            <v>Yes</v>
          </cell>
          <cell r="G458" t="str">
            <v>OH</v>
          </cell>
          <cell r="H458">
            <v>7</v>
          </cell>
          <cell r="I458">
            <v>0.66500000000000004</v>
          </cell>
          <cell r="J458" t="str">
            <v>Orphaned Acct</v>
          </cell>
          <cell r="K458" t="str">
            <v>DEXTER</v>
          </cell>
          <cell r="L458" t="str">
            <v>KY</v>
          </cell>
          <cell r="M458" t="str">
            <v>800-577-8858</v>
          </cell>
          <cell r="N458"/>
          <cell r="O458">
            <v>524</v>
          </cell>
          <cell r="P458">
            <v>2253.1999999999998</v>
          </cell>
          <cell r="Q458">
            <v>501</v>
          </cell>
          <cell r="R458">
            <v>2154.2999999999997</v>
          </cell>
          <cell r="S458"/>
          <cell r="T458">
            <v>0</v>
          </cell>
          <cell r="U458">
            <v>662</v>
          </cell>
          <cell r="V458">
            <v>2846.6</v>
          </cell>
          <cell r="W458">
            <v>605</v>
          </cell>
          <cell r="X458">
            <v>2601.5</v>
          </cell>
          <cell r="Y458"/>
          <cell r="Z458">
            <v>0</v>
          </cell>
          <cell r="AA458"/>
          <cell r="AB458">
            <v>0</v>
          </cell>
          <cell r="AC458"/>
          <cell r="AD458">
            <v>0</v>
          </cell>
          <cell r="AE458"/>
          <cell r="AF458"/>
          <cell r="AG458"/>
          <cell r="AH458"/>
          <cell r="AI458"/>
          <cell r="AJ458">
            <v>0</v>
          </cell>
          <cell r="AK458" t="str">
            <v>3P</v>
          </cell>
          <cell r="AL458">
            <v>213</v>
          </cell>
          <cell r="AM458">
            <v>339</v>
          </cell>
          <cell r="AN458" t="str">
            <v>08 Inactive Dealer</v>
          </cell>
          <cell r="AO458" t="str">
            <v>Southeast</v>
          </cell>
          <cell r="AP458" t="str">
            <v>South</v>
          </cell>
          <cell r="AQ458"/>
          <cell r="AR458">
            <v>0</v>
          </cell>
          <cell r="AS458">
            <v>0</v>
          </cell>
          <cell r="AT458"/>
        </row>
        <row r="459">
          <cell r="A459">
            <v>12955</v>
          </cell>
          <cell r="B459" t="str">
            <v>T P D TRAILER SALES</v>
          </cell>
          <cell r="C459" t="str">
            <v>M10393</v>
          </cell>
          <cell r="D459" t="str">
            <v>NET 5, BT+</v>
          </cell>
          <cell r="E459" t="str">
            <v>FP</v>
          </cell>
          <cell r="F459" t="str">
            <v>Yes</v>
          </cell>
          <cell r="G459" t="str">
            <v>OH</v>
          </cell>
          <cell r="H459">
            <v>8</v>
          </cell>
          <cell r="I459">
            <v>0.66500000000000004</v>
          </cell>
          <cell r="J459" t="str">
            <v>Orphaned Acct</v>
          </cell>
          <cell r="K459" t="str">
            <v>DEXTER</v>
          </cell>
          <cell r="L459" t="str">
            <v>KY</v>
          </cell>
          <cell r="M459" t="str">
            <v>800-577-8858</v>
          </cell>
          <cell r="N459"/>
          <cell r="O459">
            <v>524</v>
          </cell>
          <cell r="P459">
            <v>2253.1999999999998</v>
          </cell>
          <cell r="Q459">
            <v>501</v>
          </cell>
          <cell r="R459">
            <v>2154.2999999999997</v>
          </cell>
          <cell r="S459"/>
          <cell r="T459">
            <v>0</v>
          </cell>
          <cell r="U459">
            <v>662</v>
          </cell>
          <cell r="V459">
            <v>2846.6</v>
          </cell>
          <cell r="W459">
            <v>605</v>
          </cell>
          <cell r="X459">
            <v>2601.5</v>
          </cell>
          <cell r="Y459"/>
          <cell r="Z459">
            <v>0</v>
          </cell>
          <cell r="AA459"/>
          <cell r="AB459">
            <v>0</v>
          </cell>
          <cell r="AC459"/>
          <cell r="AD459">
            <v>0</v>
          </cell>
          <cell r="AE459"/>
          <cell r="AF459"/>
          <cell r="AG459"/>
          <cell r="AH459"/>
          <cell r="AI459"/>
          <cell r="AJ459">
            <v>0</v>
          </cell>
          <cell r="AK459" t="str">
            <v>3P</v>
          </cell>
          <cell r="AL459">
            <v>213</v>
          </cell>
          <cell r="AM459">
            <v>339</v>
          </cell>
          <cell r="AN459" t="str">
            <v>08 Inactive Dealer</v>
          </cell>
          <cell r="AO459" t="str">
            <v>Southeast</v>
          </cell>
          <cell r="AP459" t="str">
            <v>South</v>
          </cell>
          <cell r="AQ459"/>
          <cell r="AR459">
            <v>0</v>
          </cell>
          <cell r="AS459">
            <v>0</v>
          </cell>
          <cell r="AT459"/>
        </row>
        <row r="460">
          <cell r="A460">
            <v>13409</v>
          </cell>
          <cell r="B460" t="str">
            <v>TRAILER MART - CAVE CITY</v>
          </cell>
          <cell r="C460" t="str">
            <v>M11372</v>
          </cell>
          <cell r="D460" t="str">
            <v>NET 5, BT+</v>
          </cell>
          <cell r="E460" t="str">
            <v>CO</v>
          </cell>
          <cell r="F460" t="str">
            <v>Yes</v>
          </cell>
          <cell r="G460" t="str">
            <v>OH</v>
          </cell>
          <cell r="H460">
            <v>7</v>
          </cell>
          <cell r="I460">
            <v>0.66500000000000004</v>
          </cell>
          <cell r="J460" t="str">
            <v>JL Smith</v>
          </cell>
          <cell r="K460" t="str">
            <v>CAVE CITY</v>
          </cell>
          <cell r="L460" t="str">
            <v>KY</v>
          </cell>
          <cell r="M460" t="str">
            <v>800-577-8858</v>
          </cell>
          <cell r="N460" t="str">
            <v>BRK2 ON ALL TANDEM AXLE TRAILERS</v>
          </cell>
          <cell r="O460">
            <v>639</v>
          </cell>
          <cell r="P460">
            <v>2747.7</v>
          </cell>
          <cell r="Q460">
            <v>486</v>
          </cell>
          <cell r="R460">
            <v>2089.7999999999997</v>
          </cell>
          <cell r="S460"/>
          <cell r="T460">
            <v>0</v>
          </cell>
          <cell r="U460">
            <v>735</v>
          </cell>
          <cell r="V460">
            <v>3160.5</v>
          </cell>
          <cell r="W460">
            <v>719</v>
          </cell>
          <cell r="X460">
            <v>3091.7</v>
          </cell>
          <cell r="Y460">
            <v>202</v>
          </cell>
          <cell r="Z460">
            <v>868.59999999999991</v>
          </cell>
          <cell r="AA460">
            <v>202</v>
          </cell>
          <cell r="AB460">
            <v>868.59999999999991</v>
          </cell>
          <cell r="AC460">
            <v>202</v>
          </cell>
          <cell r="AD460">
            <v>868.59999999999991</v>
          </cell>
          <cell r="AE460"/>
          <cell r="AF460"/>
          <cell r="AG460"/>
          <cell r="AH460"/>
          <cell r="AI460"/>
          <cell r="AJ460">
            <v>1.4999999999999999E-2</v>
          </cell>
          <cell r="AK460" t="str">
            <v>3P</v>
          </cell>
          <cell r="AL460">
            <v>151</v>
          </cell>
          <cell r="AM460">
            <v>52</v>
          </cell>
          <cell r="AN460" t="str">
            <v>01 Existing Dealer</v>
          </cell>
          <cell r="AO460" t="str">
            <v>Southeast</v>
          </cell>
          <cell r="AP460" t="str">
            <v>South</v>
          </cell>
          <cell r="AQ460"/>
          <cell r="AR460">
            <v>0</v>
          </cell>
          <cell r="AS460">
            <v>0</v>
          </cell>
          <cell r="AT460"/>
        </row>
        <row r="461">
          <cell r="A461">
            <v>12775</v>
          </cell>
          <cell r="B461" t="str">
            <v>TRAILER WORLD OF BG</v>
          </cell>
          <cell r="C461" t="str">
            <v>M10418</v>
          </cell>
          <cell r="D461" t="str">
            <v>NET 5, BT+</v>
          </cell>
          <cell r="E461" t="str">
            <v>C9</v>
          </cell>
          <cell r="F461" t="str">
            <v>Copies</v>
          </cell>
          <cell r="G461" t="str">
            <v>OH</v>
          </cell>
          <cell r="H461">
            <v>9</v>
          </cell>
          <cell r="I461">
            <v>0.66500000000000004</v>
          </cell>
          <cell r="J461" t="str">
            <v>Orphaned Acct</v>
          </cell>
          <cell r="K461" t="str">
            <v>BOWLING GREEN</v>
          </cell>
          <cell r="L461" t="str">
            <v>KY</v>
          </cell>
          <cell r="M461" t="str">
            <v>800-577-8858</v>
          </cell>
          <cell r="N461" t="str">
            <v>All tandem axle trailers must have BRK2</v>
          </cell>
          <cell r="O461">
            <v>614</v>
          </cell>
          <cell r="P461">
            <v>2640.2</v>
          </cell>
          <cell r="Q461">
            <v>461</v>
          </cell>
          <cell r="R461">
            <v>1982.3</v>
          </cell>
          <cell r="S461"/>
          <cell r="T461">
            <v>0</v>
          </cell>
          <cell r="U461">
            <v>710</v>
          </cell>
          <cell r="V461">
            <v>3053</v>
          </cell>
          <cell r="W461">
            <v>694</v>
          </cell>
          <cell r="X461">
            <v>2984.2</v>
          </cell>
          <cell r="Y461">
            <v>244</v>
          </cell>
          <cell r="Z461">
            <v>1049.2</v>
          </cell>
          <cell r="AA461">
            <v>244</v>
          </cell>
          <cell r="AB461">
            <v>1049.2</v>
          </cell>
          <cell r="AC461">
            <v>244</v>
          </cell>
          <cell r="AD461">
            <v>1049.2</v>
          </cell>
          <cell r="AE461"/>
          <cell r="AF461"/>
          <cell r="AG461"/>
          <cell r="AH461"/>
          <cell r="AI461"/>
          <cell r="AJ461">
            <v>0</v>
          </cell>
          <cell r="AK461" t="str">
            <v>3P</v>
          </cell>
          <cell r="AL461">
            <v>213</v>
          </cell>
          <cell r="AM461">
            <v>52</v>
          </cell>
          <cell r="AN461" t="str">
            <v>01 Existing Dealer</v>
          </cell>
          <cell r="AO461" t="str">
            <v>Southeast</v>
          </cell>
          <cell r="AP461" t="str">
            <v>South</v>
          </cell>
          <cell r="AQ461"/>
          <cell r="AR461">
            <v>0</v>
          </cell>
          <cell r="AS461">
            <v>0</v>
          </cell>
          <cell r="AT461"/>
        </row>
        <row r="462">
          <cell r="A462">
            <v>12899</v>
          </cell>
          <cell r="B462" t="str">
            <v>TRAILER WORLD OF BG</v>
          </cell>
          <cell r="C462" t="str">
            <v>M10418</v>
          </cell>
          <cell r="D462" t="str">
            <v>NET 5, BT+</v>
          </cell>
          <cell r="E462" t="str">
            <v>CO</v>
          </cell>
          <cell r="F462" t="str">
            <v>Yes</v>
          </cell>
          <cell r="G462" t="str">
            <v>OH</v>
          </cell>
          <cell r="H462">
            <v>7</v>
          </cell>
          <cell r="I462">
            <v>0.66500000000000004</v>
          </cell>
          <cell r="J462" t="str">
            <v>Orphaned Acct</v>
          </cell>
          <cell r="K462" t="str">
            <v>BOWLING GREEN</v>
          </cell>
          <cell r="L462" t="str">
            <v>KY</v>
          </cell>
          <cell r="M462" t="str">
            <v>800-577-8858</v>
          </cell>
          <cell r="N462" t="str">
            <v>All tandem axle trailers must have BRK2</v>
          </cell>
          <cell r="O462">
            <v>614</v>
          </cell>
          <cell r="P462">
            <v>2640.2</v>
          </cell>
          <cell r="Q462">
            <v>461</v>
          </cell>
          <cell r="R462">
            <v>1982.3</v>
          </cell>
          <cell r="S462"/>
          <cell r="T462">
            <v>0</v>
          </cell>
          <cell r="U462">
            <v>710</v>
          </cell>
          <cell r="V462">
            <v>3053</v>
          </cell>
          <cell r="W462">
            <v>694</v>
          </cell>
          <cell r="X462">
            <v>2984.2</v>
          </cell>
          <cell r="Y462">
            <v>244</v>
          </cell>
          <cell r="Z462">
            <v>1049.2</v>
          </cell>
          <cell r="AA462">
            <v>244</v>
          </cell>
          <cell r="AB462">
            <v>1049.2</v>
          </cell>
          <cell r="AC462">
            <v>244</v>
          </cell>
          <cell r="AD462">
            <v>1049.2</v>
          </cell>
          <cell r="AE462"/>
          <cell r="AF462"/>
          <cell r="AG462"/>
          <cell r="AH462"/>
          <cell r="AI462"/>
          <cell r="AJ462">
            <v>0</v>
          </cell>
          <cell r="AK462" t="str">
            <v>3P</v>
          </cell>
          <cell r="AL462">
            <v>213</v>
          </cell>
          <cell r="AM462">
            <v>52</v>
          </cell>
          <cell r="AN462" t="str">
            <v>01 Existing Dealer</v>
          </cell>
          <cell r="AO462" t="str">
            <v>Southeast</v>
          </cell>
          <cell r="AP462" t="str">
            <v>South</v>
          </cell>
          <cell r="AQ462"/>
          <cell r="AR462">
            <v>0</v>
          </cell>
          <cell r="AS462">
            <v>0</v>
          </cell>
        </row>
        <row r="463">
          <cell r="A463">
            <v>13002</v>
          </cell>
          <cell r="B463" t="str">
            <v>TW WALTON</v>
          </cell>
          <cell r="C463" t="str">
            <v>M10846</v>
          </cell>
          <cell r="D463" t="str">
            <v>Net 30, no pink card</v>
          </cell>
          <cell r="E463">
            <v>30</v>
          </cell>
          <cell r="F463" t="str">
            <v>Yes</v>
          </cell>
          <cell r="G463" t="str">
            <v>OH</v>
          </cell>
          <cell r="H463">
            <v>10</v>
          </cell>
          <cell r="I463">
            <v>0.66500000000000004</v>
          </cell>
          <cell r="J463" t="str">
            <v>Jake McEntee</v>
          </cell>
          <cell r="K463" t="str">
            <v>WALTON</v>
          </cell>
          <cell r="L463" t="str">
            <v>KY</v>
          </cell>
          <cell r="M463" t="str">
            <v>800-577-8858</v>
          </cell>
          <cell r="N463" t="str">
            <v>All tandem axle trailers must have BRK2</v>
          </cell>
          <cell r="O463">
            <v>800</v>
          </cell>
          <cell r="P463">
            <v>3440</v>
          </cell>
          <cell r="Q463">
            <v>588</v>
          </cell>
          <cell r="R463">
            <v>2528.4</v>
          </cell>
          <cell r="S463"/>
          <cell r="T463">
            <v>0</v>
          </cell>
          <cell r="U463">
            <v>904</v>
          </cell>
          <cell r="V463">
            <v>3887.2</v>
          </cell>
          <cell r="W463">
            <v>880</v>
          </cell>
          <cell r="X463">
            <v>3784</v>
          </cell>
          <cell r="Y463">
            <v>54</v>
          </cell>
          <cell r="Z463">
            <v>232.2</v>
          </cell>
          <cell r="AA463">
            <v>54</v>
          </cell>
          <cell r="AB463">
            <v>232.2</v>
          </cell>
          <cell r="AC463">
            <v>54</v>
          </cell>
          <cell r="AD463">
            <v>232.2</v>
          </cell>
          <cell r="AE463">
            <v>4.7599999999999996E-2</v>
          </cell>
          <cell r="AF463"/>
          <cell r="AG463">
            <v>6.6500000000000004E-2</v>
          </cell>
          <cell r="AH463">
            <v>6.6500000000000004E-2</v>
          </cell>
          <cell r="AI463">
            <v>6.6500000000000004E-2</v>
          </cell>
          <cell r="AJ463">
            <v>0.04</v>
          </cell>
          <cell r="AK463" t="str">
            <v>TW</v>
          </cell>
          <cell r="AL463">
            <v>161</v>
          </cell>
          <cell r="AM463">
            <v>81</v>
          </cell>
          <cell r="AN463" t="str">
            <v>04 Co.Store</v>
          </cell>
          <cell r="AO463" t="str">
            <v>Southeast</v>
          </cell>
          <cell r="AP463" t="str">
            <v>South</v>
          </cell>
          <cell r="AQ463"/>
          <cell r="AR463">
            <v>184138</v>
          </cell>
          <cell r="AS463">
            <v>56152</v>
          </cell>
        </row>
        <row r="464">
          <cell r="A464">
            <v>11301</v>
          </cell>
          <cell r="B464" t="str">
            <v>V &amp; H AUTO SALES, LLC</v>
          </cell>
          <cell r="C464" t="str">
            <v>M10436</v>
          </cell>
          <cell r="D464" t="str">
            <v>NET 5, BT+</v>
          </cell>
          <cell r="E464" t="str">
            <v>CO</v>
          </cell>
          <cell r="F464" t="str">
            <v>Yes</v>
          </cell>
          <cell r="G464" t="str">
            <v>OH</v>
          </cell>
          <cell r="H464">
            <v>7</v>
          </cell>
          <cell r="I464">
            <v>0.66500000000000004</v>
          </cell>
          <cell r="J464" t="str">
            <v>Orphaned Acct</v>
          </cell>
          <cell r="K464" t="str">
            <v>CLINTON</v>
          </cell>
          <cell r="L464" t="str">
            <v>KY</v>
          </cell>
          <cell r="M464" t="str">
            <v>800-577-8858</v>
          </cell>
          <cell r="N464"/>
          <cell r="O464">
            <v>494</v>
          </cell>
          <cell r="P464">
            <v>2124.1999999999998</v>
          </cell>
          <cell r="Q464">
            <v>565</v>
          </cell>
          <cell r="R464">
            <v>2429.5</v>
          </cell>
          <cell r="S464"/>
          <cell r="T464">
            <v>0</v>
          </cell>
          <cell r="U464">
            <v>591</v>
          </cell>
          <cell r="V464">
            <v>2541.2999999999997</v>
          </cell>
          <cell r="W464">
            <v>574</v>
          </cell>
          <cell r="X464">
            <v>2468.1999999999998</v>
          </cell>
          <cell r="Y464"/>
          <cell r="Z464">
            <v>0</v>
          </cell>
          <cell r="AA464"/>
          <cell r="AB464">
            <v>0</v>
          </cell>
          <cell r="AC464"/>
          <cell r="AD464">
            <v>0</v>
          </cell>
          <cell r="AE464"/>
          <cell r="AF464"/>
          <cell r="AG464"/>
          <cell r="AH464"/>
          <cell r="AI464"/>
          <cell r="AJ464">
            <v>0</v>
          </cell>
          <cell r="AK464" t="str">
            <v>3P</v>
          </cell>
          <cell r="AL464">
            <v>213</v>
          </cell>
          <cell r="AM464">
            <v>339</v>
          </cell>
          <cell r="AN464" t="str">
            <v>08 Inactive Dealer</v>
          </cell>
          <cell r="AO464" t="str">
            <v>Southeast</v>
          </cell>
          <cell r="AP464" t="str">
            <v>South</v>
          </cell>
          <cell r="AQ464"/>
          <cell r="AR464">
            <v>0</v>
          </cell>
          <cell r="AS464">
            <v>0</v>
          </cell>
        </row>
        <row r="465">
          <cell r="A465">
            <v>11819</v>
          </cell>
          <cell r="B465" t="str">
            <v>V &amp; H AUTO SALES, LLC</v>
          </cell>
          <cell r="C465" t="str">
            <v>M10436</v>
          </cell>
          <cell r="D465" t="str">
            <v>NET 5, BT+</v>
          </cell>
          <cell r="E465" t="str">
            <v>FP - Wells Fargo</v>
          </cell>
          <cell r="F465" t="str">
            <v>Yes</v>
          </cell>
          <cell r="G465" t="str">
            <v>OH</v>
          </cell>
          <cell r="H465">
            <v>8</v>
          </cell>
          <cell r="I465">
            <v>0.66500000000000004</v>
          </cell>
          <cell r="J465" t="str">
            <v>Orphaned Acct</v>
          </cell>
          <cell r="K465" t="str">
            <v>CLINTON</v>
          </cell>
          <cell r="L465" t="str">
            <v>KY</v>
          </cell>
          <cell r="M465" t="str">
            <v>800-577-8858</v>
          </cell>
          <cell r="N465"/>
          <cell r="O465">
            <v>494</v>
          </cell>
          <cell r="P465">
            <v>2124.1999999999998</v>
          </cell>
          <cell r="Q465">
            <v>565</v>
          </cell>
          <cell r="R465">
            <v>2429.5</v>
          </cell>
          <cell r="S465"/>
          <cell r="T465">
            <v>0</v>
          </cell>
          <cell r="U465">
            <v>591</v>
          </cell>
          <cell r="V465">
            <v>2541.2999999999997</v>
          </cell>
          <cell r="W465">
            <v>574</v>
          </cell>
          <cell r="X465">
            <v>2468.1999999999998</v>
          </cell>
          <cell r="Y465"/>
          <cell r="Z465">
            <v>0</v>
          </cell>
          <cell r="AA465"/>
          <cell r="AB465">
            <v>0</v>
          </cell>
          <cell r="AC465"/>
          <cell r="AD465">
            <v>0</v>
          </cell>
          <cell r="AE465"/>
          <cell r="AF465"/>
          <cell r="AG465"/>
          <cell r="AH465"/>
          <cell r="AI465"/>
          <cell r="AJ465">
            <v>0</v>
          </cell>
          <cell r="AK465" t="str">
            <v>3P</v>
          </cell>
          <cell r="AL465">
            <v>213</v>
          </cell>
          <cell r="AM465">
            <v>339</v>
          </cell>
          <cell r="AN465" t="str">
            <v>08 Inactive Dealer</v>
          </cell>
          <cell r="AO465" t="str">
            <v>Southeast</v>
          </cell>
          <cell r="AP465" t="str">
            <v>South</v>
          </cell>
          <cell r="AQ465"/>
          <cell r="AR465">
            <v>0</v>
          </cell>
          <cell r="AS465">
            <v>0</v>
          </cell>
        </row>
        <row r="466">
          <cell r="A466">
            <v>12649</v>
          </cell>
          <cell r="B466" t="str">
            <v>ACADIANA TRAILERS, LLC</v>
          </cell>
          <cell r="C466" t="str">
            <v>M10011</v>
          </cell>
          <cell r="D466" t="str">
            <v>NET 5, BT+</v>
          </cell>
          <cell r="E466" t="str">
            <v>COD</v>
          </cell>
          <cell r="F466" t="str">
            <v>Yes</v>
          </cell>
          <cell r="G466" t="str">
            <v>TX</v>
          </cell>
          <cell r="H466">
            <v>7</v>
          </cell>
          <cell r="I466">
            <v>0.66500000000000004</v>
          </cell>
          <cell r="J466" t="str">
            <v>Orphaned Acct</v>
          </cell>
          <cell r="K466" t="str">
            <v>LAFAYETTE</v>
          </cell>
          <cell r="L466" t="str">
            <v>LA</v>
          </cell>
          <cell r="M466" t="str">
            <v>800-577-8858</v>
          </cell>
          <cell r="N466"/>
          <cell r="O466">
            <v>307</v>
          </cell>
          <cell r="P466">
            <v>1320.1</v>
          </cell>
          <cell r="Q466"/>
          <cell r="R466">
            <v>0</v>
          </cell>
          <cell r="S466"/>
          <cell r="T466">
            <v>0</v>
          </cell>
          <cell r="U466">
            <v>470</v>
          </cell>
          <cell r="V466">
            <v>2021</v>
          </cell>
          <cell r="W466">
            <v>346</v>
          </cell>
          <cell r="X466">
            <v>1487.8</v>
          </cell>
          <cell r="Y466"/>
          <cell r="Z466">
            <v>0</v>
          </cell>
          <cell r="AA466"/>
          <cell r="AB466">
            <v>0</v>
          </cell>
          <cell r="AC466"/>
          <cell r="AD466">
            <v>0</v>
          </cell>
          <cell r="AE466"/>
          <cell r="AF466"/>
          <cell r="AG466"/>
          <cell r="AH466"/>
          <cell r="AI466"/>
          <cell r="AJ466">
            <v>0</v>
          </cell>
          <cell r="AK466" t="str">
            <v>3P</v>
          </cell>
          <cell r="AL466">
            <v>213</v>
          </cell>
          <cell r="AM466">
            <v>236</v>
          </cell>
          <cell r="AN466" t="str">
            <v>08 Inactive Dealer</v>
          </cell>
          <cell r="AO466" t="str">
            <v>South Central</v>
          </cell>
          <cell r="AP466" t="str">
            <v>South</v>
          </cell>
          <cell r="AQ466"/>
          <cell r="AR466">
            <v>0</v>
          </cell>
          <cell r="AS466">
            <v>0</v>
          </cell>
        </row>
        <row r="467">
          <cell r="A467">
            <v>12229</v>
          </cell>
          <cell r="B467" t="str">
            <v>BENTON PAWN</v>
          </cell>
          <cell r="C467" t="str">
            <v>M10052</v>
          </cell>
          <cell r="D467" t="str">
            <v>NET 5, BT+</v>
          </cell>
          <cell r="E467" t="str">
            <v>CO</v>
          </cell>
          <cell r="F467" t="str">
            <v>Yes</v>
          </cell>
          <cell r="G467" t="str">
            <v>TX</v>
          </cell>
          <cell r="H467">
            <v>7</v>
          </cell>
          <cell r="I467">
            <v>0.66500000000000004</v>
          </cell>
          <cell r="J467" t="str">
            <v>Orphaned Acct</v>
          </cell>
          <cell r="K467" t="str">
            <v>BENTON</v>
          </cell>
          <cell r="L467" t="str">
            <v>LA</v>
          </cell>
          <cell r="M467" t="str">
            <v>800-577-8858</v>
          </cell>
          <cell r="N467"/>
          <cell r="O467">
            <v>115</v>
          </cell>
          <cell r="P467">
            <v>494.5</v>
          </cell>
          <cell r="Q467"/>
          <cell r="R467">
            <v>0</v>
          </cell>
          <cell r="S467"/>
          <cell r="T467">
            <v>0</v>
          </cell>
          <cell r="U467">
            <v>278</v>
          </cell>
          <cell r="V467">
            <v>1195.3999999999999</v>
          </cell>
          <cell r="W467">
            <v>154</v>
          </cell>
          <cell r="X467">
            <v>662.19999999999993</v>
          </cell>
          <cell r="Y467"/>
          <cell r="Z467">
            <v>0</v>
          </cell>
          <cell r="AA467"/>
          <cell r="AB467">
            <v>0</v>
          </cell>
          <cell r="AC467"/>
          <cell r="AD467">
            <v>0</v>
          </cell>
          <cell r="AE467"/>
          <cell r="AF467"/>
          <cell r="AG467"/>
          <cell r="AH467"/>
          <cell r="AI467"/>
          <cell r="AJ467">
            <v>0</v>
          </cell>
          <cell r="AK467" t="str">
            <v>3P</v>
          </cell>
          <cell r="AL467">
            <v>213</v>
          </cell>
          <cell r="AM467">
            <v>419</v>
          </cell>
          <cell r="AN467" t="str">
            <v>08 Inactive Dealer</v>
          </cell>
          <cell r="AO467" t="str">
            <v>South Central</v>
          </cell>
          <cell r="AP467" t="str">
            <v>South</v>
          </cell>
          <cell r="AQ467"/>
          <cell r="AR467">
            <v>0</v>
          </cell>
          <cell r="AS467">
            <v>0</v>
          </cell>
        </row>
        <row r="468">
          <cell r="A468" t="str">
            <v>13397C</v>
          </cell>
          <cell r="B468" t="str">
            <v>BCMS / SILVERLINE</v>
          </cell>
          <cell r="C468" t="str">
            <v>M11363</v>
          </cell>
          <cell r="D468" t="str">
            <v>Return Mail, no pink card</v>
          </cell>
          <cell r="E468" t="str">
            <v>F3 - Wells Fargo</v>
          </cell>
          <cell r="F468" t="str">
            <v>Yes</v>
          </cell>
          <cell r="G468" t="str">
            <v>TX</v>
          </cell>
          <cell r="H468">
            <v>8</v>
          </cell>
          <cell r="I468">
            <v>0.66500000000000004</v>
          </cell>
          <cell r="J468" t="str">
            <v>Trent Evans</v>
          </cell>
          <cell r="K468" t="str">
            <v>MONROE</v>
          </cell>
          <cell r="L468" t="str">
            <v>LA</v>
          </cell>
          <cell r="M468" t="str">
            <v>800-577-8858</v>
          </cell>
          <cell r="N468" t="str">
            <v>MSO's must read the ship to address.</v>
          </cell>
          <cell r="O468">
            <v>207</v>
          </cell>
          <cell r="P468">
            <v>890.09999999999991</v>
          </cell>
          <cell r="Q468"/>
          <cell r="R468">
            <v>0</v>
          </cell>
          <cell r="S468"/>
          <cell r="T468">
            <v>0</v>
          </cell>
          <cell r="U468">
            <v>365</v>
          </cell>
          <cell r="V468">
            <v>1569.5</v>
          </cell>
          <cell r="W468">
            <v>244</v>
          </cell>
          <cell r="X468">
            <v>1049.2</v>
          </cell>
          <cell r="Y468"/>
          <cell r="Z468">
            <v>0</v>
          </cell>
          <cell r="AA468"/>
          <cell r="AB468">
            <v>0</v>
          </cell>
          <cell r="AC468"/>
          <cell r="AD468">
            <v>0</v>
          </cell>
          <cell r="AE468"/>
          <cell r="AF468"/>
          <cell r="AG468"/>
          <cell r="AH468"/>
          <cell r="AI468"/>
          <cell r="AJ468">
            <v>0.03</v>
          </cell>
          <cell r="AK468" t="str">
            <v>3P</v>
          </cell>
          <cell r="AL468">
            <v>226</v>
          </cell>
          <cell r="AM468">
            <v>304</v>
          </cell>
          <cell r="AN468" t="str">
            <v>01 Existing Dealer</v>
          </cell>
          <cell r="AO468" t="str">
            <v>Midwest</v>
          </cell>
          <cell r="AP468" t="str">
            <v>Central</v>
          </cell>
          <cell r="AQ468"/>
          <cell r="AR468">
            <v>0</v>
          </cell>
          <cell r="AS468">
            <v>0</v>
          </cell>
        </row>
        <row r="469">
          <cell r="A469">
            <v>11585</v>
          </cell>
          <cell r="B469" t="str">
            <v>BUCK BUSTERS TRAILER SALES</v>
          </cell>
          <cell r="C469" t="str">
            <v>M10118</v>
          </cell>
          <cell r="D469" t="str">
            <v>NET 5, BT+</v>
          </cell>
          <cell r="E469" t="str">
            <v>CO</v>
          </cell>
          <cell r="F469" t="str">
            <v>Yes</v>
          </cell>
          <cell r="G469" t="str">
            <v>TX</v>
          </cell>
          <cell r="H469">
            <v>7</v>
          </cell>
          <cell r="I469">
            <v>0.66500000000000004</v>
          </cell>
          <cell r="J469" t="str">
            <v>Orphaned Acct</v>
          </cell>
          <cell r="K469" t="str">
            <v>VIDALIA</v>
          </cell>
          <cell r="L469" t="str">
            <v>LA</v>
          </cell>
          <cell r="M469" t="str">
            <v>800-577-8858</v>
          </cell>
          <cell r="N469"/>
          <cell r="O469">
            <v>296</v>
          </cell>
          <cell r="P469">
            <v>1272.8</v>
          </cell>
          <cell r="Q469">
            <v>544</v>
          </cell>
          <cell r="R469">
            <v>2339.1999999999998</v>
          </cell>
          <cell r="S469"/>
          <cell r="T469">
            <v>0</v>
          </cell>
          <cell r="U469">
            <v>459</v>
          </cell>
          <cell r="V469">
            <v>1973.6999999999998</v>
          </cell>
          <cell r="W469">
            <v>335</v>
          </cell>
          <cell r="X469">
            <v>1440.5</v>
          </cell>
          <cell r="Y469"/>
          <cell r="Z469">
            <v>0</v>
          </cell>
          <cell r="AA469"/>
          <cell r="AB469">
            <v>0</v>
          </cell>
          <cell r="AC469"/>
          <cell r="AD469">
            <v>0</v>
          </cell>
          <cell r="AE469"/>
          <cell r="AF469"/>
          <cell r="AG469"/>
          <cell r="AH469"/>
          <cell r="AI469"/>
          <cell r="AJ469">
            <v>0</v>
          </cell>
          <cell r="AK469" t="str">
            <v>3P</v>
          </cell>
          <cell r="AL469">
            <v>213</v>
          </cell>
          <cell r="AM469">
            <v>315</v>
          </cell>
          <cell r="AN469" t="str">
            <v>08 Inactive Dealer</v>
          </cell>
          <cell r="AO469" t="str">
            <v>South Central</v>
          </cell>
          <cell r="AP469" t="str">
            <v>South</v>
          </cell>
          <cell r="AQ469"/>
          <cell r="AR469">
            <v>0</v>
          </cell>
          <cell r="AS469">
            <v>0</v>
          </cell>
        </row>
        <row r="470">
          <cell r="A470">
            <v>11507</v>
          </cell>
          <cell r="B470" t="str">
            <v>CYPRESS BT</v>
          </cell>
          <cell r="C470" t="str">
            <v>M10172</v>
          </cell>
          <cell r="D470" t="str">
            <v>NET 5, BT+</v>
          </cell>
          <cell r="E470" t="str">
            <v>F1 - Wells Fargo</v>
          </cell>
          <cell r="F470" t="str">
            <v>Yes</v>
          </cell>
          <cell r="G470" t="str">
            <v>TX</v>
          </cell>
          <cell r="H470">
            <v>8</v>
          </cell>
          <cell r="I470">
            <v>0.66500000000000004</v>
          </cell>
          <cell r="J470" t="str">
            <v>Trent Evans</v>
          </cell>
          <cell r="K470" t="str">
            <v>WOODWORTH</v>
          </cell>
          <cell r="L470" t="str">
            <v>LA</v>
          </cell>
          <cell r="M470" t="str">
            <v>800-577-8858</v>
          </cell>
          <cell r="N470"/>
          <cell r="O470">
            <v>230</v>
          </cell>
          <cell r="P470">
            <v>989</v>
          </cell>
          <cell r="Q470"/>
          <cell r="R470">
            <v>0</v>
          </cell>
          <cell r="S470"/>
          <cell r="T470">
            <v>0</v>
          </cell>
          <cell r="U470">
            <v>393</v>
          </cell>
          <cell r="V470">
            <v>1689.8999999999999</v>
          </cell>
          <cell r="W470">
            <v>269</v>
          </cell>
          <cell r="X470">
            <v>1156.7</v>
          </cell>
          <cell r="Y470"/>
          <cell r="Z470">
            <v>0</v>
          </cell>
          <cell r="AA470"/>
          <cell r="AB470">
            <v>0</v>
          </cell>
          <cell r="AC470"/>
          <cell r="AD470">
            <v>0</v>
          </cell>
          <cell r="AE470"/>
          <cell r="AF470"/>
          <cell r="AG470"/>
          <cell r="AH470"/>
          <cell r="AI470"/>
          <cell r="AJ470">
            <v>0.03</v>
          </cell>
          <cell r="AK470" t="str">
            <v>3P</v>
          </cell>
          <cell r="AL470">
            <v>226</v>
          </cell>
          <cell r="AM470">
            <v>9</v>
          </cell>
          <cell r="AN470" t="str">
            <v>01 Existing Dealer</v>
          </cell>
          <cell r="AO470" t="str">
            <v>South Central</v>
          </cell>
          <cell r="AP470" t="str">
            <v>South</v>
          </cell>
          <cell r="AQ470"/>
          <cell r="AR470">
            <v>199855</v>
          </cell>
          <cell r="AS470">
            <v>26356</v>
          </cell>
          <cell r="AT470"/>
        </row>
        <row r="471">
          <cell r="A471">
            <v>11629</v>
          </cell>
          <cell r="B471" t="str">
            <v>CYPRESS BT</v>
          </cell>
          <cell r="C471" t="str">
            <v>M10172</v>
          </cell>
          <cell r="D471" t="str">
            <v>NET 5, BT+</v>
          </cell>
          <cell r="E471" t="str">
            <v>RM</v>
          </cell>
          <cell r="F471" t="str">
            <v>Yes</v>
          </cell>
          <cell r="G471" t="str">
            <v>TX</v>
          </cell>
          <cell r="H471">
            <v>7</v>
          </cell>
          <cell r="I471">
            <v>0.66500000000000004</v>
          </cell>
          <cell r="J471" t="str">
            <v>Trent Evans</v>
          </cell>
          <cell r="K471" t="str">
            <v>WOODWORTH</v>
          </cell>
          <cell r="L471" t="str">
            <v>LA</v>
          </cell>
          <cell r="M471" t="str">
            <v>800-577-8858</v>
          </cell>
          <cell r="N471"/>
          <cell r="O471">
            <v>230</v>
          </cell>
          <cell r="P471">
            <v>989</v>
          </cell>
          <cell r="Q471"/>
          <cell r="R471">
            <v>0</v>
          </cell>
          <cell r="S471"/>
          <cell r="T471">
            <v>0</v>
          </cell>
          <cell r="U471">
            <v>393</v>
          </cell>
          <cell r="V471">
            <v>1689.8999999999999</v>
          </cell>
          <cell r="W471">
            <v>269</v>
          </cell>
          <cell r="X471">
            <v>1156.7</v>
          </cell>
          <cell r="Y471"/>
          <cell r="Z471">
            <v>0</v>
          </cell>
          <cell r="AA471"/>
          <cell r="AB471">
            <v>0</v>
          </cell>
          <cell r="AC471"/>
          <cell r="AD471">
            <v>0</v>
          </cell>
          <cell r="AE471"/>
          <cell r="AF471"/>
          <cell r="AG471"/>
          <cell r="AH471"/>
          <cell r="AI471"/>
          <cell r="AJ471">
            <v>0.03</v>
          </cell>
          <cell r="AK471" t="str">
            <v>3P</v>
          </cell>
          <cell r="AL471">
            <v>226</v>
          </cell>
          <cell r="AM471">
            <v>9</v>
          </cell>
          <cell r="AN471" t="str">
            <v>01 Existing Dealer</v>
          </cell>
          <cell r="AO471" t="str">
            <v>South Central</v>
          </cell>
          <cell r="AP471" t="str">
            <v>South</v>
          </cell>
          <cell r="AQ471"/>
          <cell r="AR471">
            <v>0</v>
          </cell>
          <cell r="AS471">
            <v>0</v>
          </cell>
          <cell r="AT471"/>
        </row>
        <row r="472">
          <cell r="A472">
            <v>10168</v>
          </cell>
          <cell r="B472" t="str">
            <v>CYPRESS BT</v>
          </cell>
          <cell r="C472" t="str">
            <v>M10172</v>
          </cell>
          <cell r="D472" t="str">
            <v>NET 5, BT+</v>
          </cell>
          <cell r="E472" t="str">
            <v>C6</v>
          </cell>
          <cell r="F472" t="str">
            <v>No</v>
          </cell>
          <cell r="G472" t="str">
            <v>TX</v>
          </cell>
          <cell r="H472">
            <v>9</v>
          </cell>
          <cell r="I472">
            <v>0.68200000000000005</v>
          </cell>
          <cell r="J472" t="str">
            <v>Orphaned Acct</v>
          </cell>
          <cell r="K472" t="str">
            <v>WOODWORTH</v>
          </cell>
          <cell r="L472" t="str">
            <v>LA</v>
          </cell>
          <cell r="M472" t="str">
            <v>800-577-8858</v>
          </cell>
          <cell r="N472"/>
          <cell r="O472">
            <v>230</v>
          </cell>
          <cell r="P472">
            <v>989</v>
          </cell>
          <cell r="Q472"/>
          <cell r="R472">
            <v>0</v>
          </cell>
          <cell r="S472"/>
          <cell r="T472">
            <v>0</v>
          </cell>
          <cell r="U472">
            <v>393</v>
          </cell>
          <cell r="V472">
            <v>1689.8999999999999</v>
          </cell>
          <cell r="W472">
            <v>269</v>
          </cell>
          <cell r="X472">
            <v>1156.7</v>
          </cell>
          <cell r="Y472"/>
          <cell r="Z472">
            <v>0</v>
          </cell>
          <cell r="AA472"/>
          <cell r="AB472">
            <v>0</v>
          </cell>
          <cell r="AC472"/>
          <cell r="AD472">
            <v>0</v>
          </cell>
          <cell r="AE472"/>
          <cell r="AF472"/>
          <cell r="AG472"/>
          <cell r="AH472"/>
          <cell r="AI472"/>
          <cell r="AJ472">
            <v>0.03</v>
          </cell>
          <cell r="AK472" t="str">
            <v>3P</v>
          </cell>
          <cell r="AL472">
            <v>213</v>
          </cell>
          <cell r="AM472">
            <v>9</v>
          </cell>
          <cell r="AN472" t="str">
            <v>01 Existing Dealer</v>
          </cell>
          <cell r="AO472" t="str">
            <v>South Central</v>
          </cell>
          <cell r="AP472" t="str">
            <v>South</v>
          </cell>
          <cell r="AQ472"/>
          <cell r="AR472">
            <v>0</v>
          </cell>
          <cell r="AS472">
            <v>0</v>
          </cell>
        </row>
        <row r="473">
          <cell r="A473">
            <v>13064</v>
          </cell>
          <cell r="B473" t="str">
            <v>GLENCOE</v>
          </cell>
          <cell r="C473" t="str">
            <v>M10933</v>
          </cell>
          <cell r="D473" t="str">
            <v>NET 5, BT+</v>
          </cell>
          <cell r="E473" t="str">
            <v>F3 - Northpoint</v>
          </cell>
          <cell r="F473" t="str">
            <v>Yes</v>
          </cell>
          <cell r="G473" t="str">
            <v>TX</v>
          </cell>
          <cell r="H473">
            <v>7</v>
          </cell>
          <cell r="I473">
            <v>0.66500000000000004</v>
          </cell>
          <cell r="J473" t="str">
            <v>JL Smith</v>
          </cell>
          <cell r="K473" t="str">
            <v>GONZALES</v>
          </cell>
          <cell r="L473" t="str">
            <v>LA</v>
          </cell>
          <cell r="M473" t="str">
            <v>800-577-8858</v>
          </cell>
          <cell r="N473"/>
          <cell r="O473">
            <v>364</v>
          </cell>
          <cell r="P473">
            <v>1565.2</v>
          </cell>
          <cell r="Q473"/>
          <cell r="R473">
            <v>0</v>
          </cell>
          <cell r="S473"/>
          <cell r="T473">
            <v>0</v>
          </cell>
          <cell r="U473">
            <v>527</v>
          </cell>
          <cell r="V473">
            <v>2266.1</v>
          </cell>
          <cell r="W473">
            <v>403</v>
          </cell>
          <cell r="X473">
            <v>1732.8999999999999</v>
          </cell>
          <cell r="Y473"/>
          <cell r="Z473">
            <v>0</v>
          </cell>
          <cell r="AA473"/>
          <cell r="AB473">
            <v>0</v>
          </cell>
          <cell r="AC473"/>
          <cell r="AD473">
            <v>0</v>
          </cell>
          <cell r="AE473"/>
          <cell r="AF473"/>
          <cell r="AG473"/>
          <cell r="AH473"/>
          <cell r="AI473"/>
          <cell r="AJ473">
            <v>0</v>
          </cell>
          <cell r="AK473" t="str">
            <v>3P</v>
          </cell>
          <cell r="AL473">
            <v>151</v>
          </cell>
          <cell r="AM473">
            <v>9</v>
          </cell>
          <cell r="AN473" t="str">
            <v>01 Existing Dealer</v>
          </cell>
          <cell r="AO473" t="str">
            <v>South Central</v>
          </cell>
          <cell r="AP473" t="str">
            <v>South</v>
          </cell>
          <cell r="AQ473"/>
          <cell r="AR473">
            <v>0</v>
          </cell>
          <cell r="AS473">
            <v>0</v>
          </cell>
        </row>
        <row r="474">
          <cell r="A474">
            <v>13048</v>
          </cell>
          <cell r="B474" t="str">
            <v>NORTHSHORE</v>
          </cell>
          <cell r="C474" t="str">
            <v>M10303</v>
          </cell>
          <cell r="D474" t="str">
            <v>Return Mail, no pink card</v>
          </cell>
          <cell r="E474" t="str">
            <v>F1 - Wells Fargo</v>
          </cell>
          <cell r="F474" t="str">
            <v>Yes</v>
          </cell>
          <cell r="G474" t="str">
            <v>TX</v>
          </cell>
          <cell r="H474">
            <v>8</v>
          </cell>
          <cell r="I474">
            <v>0.66500000000000004</v>
          </cell>
          <cell r="J474" t="str">
            <v>Trent Evans</v>
          </cell>
          <cell r="K474" t="str">
            <v>PEARL RIVER</v>
          </cell>
          <cell r="L474" t="str">
            <v>LA</v>
          </cell>
          <cell r="M474" t="str">
            <v>800-577-8858</v>
          </cell>
          <cell r="N474"/>
          <cell r="O474">
            <v>433</v>
          </cell>
          <cell r="P474">
            <v>1861.8999999999999</v>
          </cell>
          <cell r="Q474"/>
          <cell r="R474">
            <v>0</v>
          </cell>
          <cell r="S474"/>
          <cell r="T474">
            <v>0</v>
          </cell>
          <cell r="U474">
            <v>596</v>
          </cell>
          <cell r="V474">
            <v>2562.7999999999997</v>
          </cell>
          <cell r="W474">
            <v>472</v>
          </cell>
          <cell r="X474">
            <v>2029.6</v>
          </cell>
          <cell r="Y474"/>
          <cell r="Z474">
            <v>0</v>
          </cell>
          <cell r="AA474"/>
          <cell r="AB474">
            <v>0</v>
          </cell>
          <cell r="AC474"/>
          <cell r="AD474">
            <v>0</v>
          </cell>
          <cell r="AE474"/>
          <cell r="AF474"/>
          <cell r="AG474"/>
          <cell r="AH474"/>
          <cell r="AI474"/>
          <cell r="AJ474">
            <v>0</v>
          </cell>
          <cell r="AK474" t="str">
            <v>3P</v>
          </cell>
          <cell r="AL474">
            <v>226</v>
          </cell>
          <cell r="AM474">
            <v>320</v>
          </cell>
          <cell r="AN474" t="str">
            <v>01 Existing Dealer</v>
          </cell>
          <cell r="AO474" t="str">
            <v>South Central</v>
          </cell>
          <cell r="AP474" t="str">
            <v>South</v>
          </cell>
          <cell r="AQ474"/>
          <cell r="AR474">
            <v>40399</v>
          </cell>
          <cell r="AS474">
            <v>0</v>
          </cell>
          <cell r="AT474"/>
        </row>
        <row r="475">
          <cell r="A475">
            <v>11313</v>
          </cell>
          <cell r="B475" t="str">
            <v>NORTHSHORE</v>
          </cell>
          <cell r="C475" t="str">
            <v>M10303</v>
          </cell>
          <cell r="D475" t="str">
            <v>Return Mail, no pink card</v>
          </cell>
          <cell r="E475" t="str">
            <v>On Hold</v>
          </cell>
          <cell r="F475" t="str">
            <v>Yes</v>
          </cell>
          <cell r="G475" t="str">
            <v>TX</v>
          </cell>
          <cell r="H475">
            <v>9</v>
          </cell>
          <cell r="I475">
            <v>0.66500000000000004</v>
          </cell>
          <cell r="J475" t="str">
            <v>Orphaned Acct</v>
          </cell>
          <cell r="K475" t="str">
            <v>PEARL RIVER</v>
          </cell>
          <cell r="L475" t="str">
            <v>LA</v>
          </cell>
          <cell r="M475" t="str">
            <v>800-577-8858</v>
          </cell>
          <cell r="N475"/>
          <cell r="O475">
            <v>433</v>
          </cell>
          <cell r="P475">
            <v>1861.8999999999999</v>
          </cell>
          <cell r="Q475"/>
          <cell r="R475">
            <v>0</v>
          </cell>
          <cell r="S475"/>
          <cell r="T475">
            <v>0</v>
          </cell>
          <cell r="U475">
            <v>596</v>
          </cell>
          <cell r="V475">
            <v>2562.7999999999997</v>
          </cell>
          <cell r="W475">
            <v>472</v>
          </cell>
          <cell r="X475">
            <v>2029.6</v>
          </cell>
          <cell r="Y475"/>
          <cell r="Z475">
            <v>0</v>
          </cell>
          <cell r="AA475"/>
          <cell r="AB475">
            <v>0</v>
          </cell>
          <cell r="AC475"/>
          <cell r="AD475">
            <v>0</v>
          </cell>
          <cell r="AE475"/>
          <cell r="AF475"/>
          <cell r="AG475"/>
          <cell r="AH475"/>
          <cell r="AI475"/>
          <cell r="AJ475">
            <v>0</v>
          </cell>
          <cell r="AK475" t="str">
            <v>3P</v>
          </cell>
          <cell r="AL475">
            <v>213</v>
          </cell>
          <cell r="AM475">
            <v>320</v>
          </cell>
          <cell r="AN475" t="str">
            <v>01 Existing Dealer</v>
          </cell>
          <cell r="AO475" t="str">
            <v>South Central</v>
          </cell>
          <cell r="AP475" t="str">
            <v>South</v>
          </cell>
          <cell r="AQ475"/>
          <cell r="AR475">
            <v>0</v>
          </cell>
          <cell r="AS475">
            <v>0</v>
          </cell>
          <cell r="AT475"/>
        </row>
        <row r="476">
          <cell r="A476" t="str">
            <v>11313A</v>
          </cell>
          <cell r="B476" t="str">
            <v>NORTHSHORE</v>
          </cell>
          <cell r="C476" t="str">
            <v>M10303</v>
          </cell>
          <cell r="D476" t="str">
            <v>Return Mail, no pink card</v>
          </cell>
          <cell r="E476" t="str">
            <v>On Hold</v>
          </cell>
          <cell r="F476" t="str">
            <v>Yes</v>
          </cell>
          <cell r="G476" t="str">
            <v>TX</v>
          </cell>
          <cell r="H476">
            <v>9</v>
          </cell>
          <cell r="I476">
            <v>0.66500000000000004</v>
          </cell>
          <cell r="J476" t="str">
            <v>Orphaned Acct</v>
          </cell>
          <cell r="K476" t="str">
            <v>COVINGTON</v>
          </cell>
          <cell r="L476" t="str">
            <v>LA</v>
          </cell>
          <cell r="M476" t="str">
            <v>800-577-8858</v>
          </cell>
          <cell r="N476"/>
          <cell r="O476">
            <v>407</v>
          </cell>
          <cell r="P476">
            <v>1750.1</v>
          </cell>
          <cell r="Q476"/>
          <cell r="R476">
            <v>0</v>
          </cell>
          <cell r="S476"/>
          <cell r="T476">
            <v>0</v>
          </cell>
          <cell r="U476">
            <v>570</v>
          </cell>
          <cell r="V476">
            <v>2451</v>
          </cell>
          <cell r="W476">
            <v>446</v>
          </cell>
          <cell r="X476">
            <v>1917.8</v>
          </cell>
          <cell r="Y476"/>
          <cell r="Z476">
            <v>0</v>
          </cell>
          <cell r="AA476"/>
          <cell r="AB476">
            <v>0</v>
          </cell>
          <cell r="AC476"/>
          <cell r="AD476">
            <v>0</v>
          </cell>
          <cell r="AE476"/>
          <cell r="AF476"/>
          <cell r="AG476"/>
          <cell r="AH476"/>
          <cell r="AI476"/>
          <cell r="AJ476">
            <v>0</v>
          </cell>
          <cell r="AK476" t="str">
            <v>3P</v>
          </cell>
          <cell r="AL476">
            <v>213</v>
          </cell>
          <cell r="AM476">
            <v>320</v>
          </cell>
          <cell r="AN476" t="str">
            <v>01 Existing Dealer</v>
          </cell>
          <cell r="AO476" t="str">
            <v>South Central</v>
          </cell>
          <cell r="AP476" t="str">
            <v>South</v>
          </cell>
          <cell r="AQ476"/>
          <cell r="AR476">
            <v>0</v>
          </cell>
          <cell r="AS476">
            <v>0</v>
          </cell>
          <cell r="AT476"/>
        </row>
        <row r="477">
          <cell r="A477">
            <v>12112</v>
          </cell>
          <cell r="B477" t="str">
            <v>OIL CITY SUPPLY</v>
          </cell>
          <cell r="C477" t="str">
            <v>M10306</v>
          </cell>
          <cell r="D477" t="str">
            <v>NET 5, BT+</v>
          </cell>
          <cell r="E477" t="str">
            <v>CF</v>
          </cell>
          <cell r="F477" t="str">
            <v>Yes</v>
          </cell>
          <cell r="G477" t="str">
            <v>TX</v>
          </cell>
          <cell r="H477">
            <v>7</v>
          </cell>
          <cell r="I477">
            <v>0.66500000000000004</v>
          </cell>
          <cell r="J477" t="str">
            <v>Orphaned Acct</v>
          </cell>
          <cell r="K477" t="str">
            <v>OIL CITY</v>
          </cell>
          <cell r="L477" t="str">
            <v>LA</v>
          </cell>
          <cell r="M477" t="str">
            <v>800-577-8858</v>
          </cell>
          <cell r="N477"/>
          <cell r="O477">
            <v>78</v>
          </cell>
          <cell r="P477">
            <v>335.4</v>
          </cell>
          <cell r="Q477"/>
          <cell r="R477">
            <v>0</v>
          </cell>
          <cell r="S477"/>
          <cell r="T477">
            <v>0</v>
          </cell>
          <cell r="U477">
            <v>248</v>
          </cell>
          <cell r="V477">
            <v>1066.3999999999999</v>
          </cell>
          <cell r="W477">
            <v>149</v>
          </cell>
          <cell r="X477">
            <v>640.69999999999993</v>
          </cell>
          <cell r="Y477"/>
          <cell r="Z477">
            <v>0</v>
          </cell>
          <cell r="AA477"/>
          <cell r="AB477">
            <v>0</v>
          </cell>
          <cell r="AC477"/>
          <cell r="AD477">
            <v>0</v>
          </cell>
          <cell r="AE477"/>
          <cell r="AF477"/>
          <cell r="AG477"/>
          <cell r="AH477"/>
          <cell r="AI477"/>
          <cell r="AJ477">
            <v>0</v>
          </cell>
          <cell r="AK477" t="str">
            <v>3P</v>
          </cell>
          <cell r="AL477">
            <v>213</v>
          </cell>
          <cell r="AM477">
            <v>419</v>
          </cell>
          <cell r="AN477" t="str">
            <v>08 Inactive Dealer</v>
          </cell>
          <cell r="AO477" t="str">
            <v>South Central</v>
          </cell>
          <cell r="AP477" t="str">
            <v>South</v>
          </cell>
          <cell r="AQ477"/>
          <cell r="AR477">
            <v>0</v>
          </cell>
          <cell r="AS477">
            <v>0</v>
          </cell>
          <cell r="AT477"/>
        </row>
        <row r="478">
          <cell r="A478">
            <v>13058</v>
          </cell>
          <cell r="B478" t="str">
            <v>PARISH TRAILER</v>
          </cell>
          <cell r="C478" t="str">
            <v>M10303</v>
          </cell>
          <cell r="D478" t="str">
            <v>NET 5, BT+</v>
          </cell>
          <cell r="E478" t="str">
            <v>F1 - Wells Fargo</v>
          </cell>
          <cell r="F478" t="str">
            <v>Yes</v>
          </cell>
          <cell r="G478" t="str">
            <v>TX</v>
          </cell>
          <cell r="H478">
            <v>8</v>
          </cell>
          <cell r="I478">
            <v>0.66500000000000004</v>
          </cell>
          <cell r="J478" t="str">
            <v>Trent Evans</v>
          </cell>
          <cell r="K478" t="str">
            <v>COVINGTON</v>
          </cell>
          <cell r="L478" t="str">
            <v>LA</v>
          </cell>
          <cell r="M478" t="str">
            <v>800-577-8858</v>
          </cell>
          <cell r="N478"/>
          <cell r="O478">
            <v>407</v>
          </cell>
          <cell r="P478">
            <v>1750.1</v>
          </cell>
          <cell r="Q478"/>
          <cell r="R478">
            <v>0</v>
          </cell>
          <cell r="S478"/>
          <cell r="T478">
            <v>0</v>
          </cell>
          <cell r="U478">
            <v>570</v>
          </cell>
          <cell r="V478">
            <v>2451</v>
          </cell>
          <cell r="W478">
            <v>446</v>
          </cell>
          <cell r="X478">
            <v>1917.8</v>
          </cell>
          <cell r="Y478"/>
          <cell r="Z478">
            <v>0</v>
          </cell>
          <cell r="AA478"/>
          <cell r="AB478">
            <v>0</v>
          </cell>
          <cell r="AC478"/>
          <cell r="AD478">
            <v>0</v>
          </cell>
          <cell r="AE478"/>
          <cell r="AF478"/>
          <cell r="AG478"/>
          <cell r="AH478"/>
          <cell r="AI478"/>
          <cell r="AJ478">
            <v>0</v>
          </cell>
          <cell r="AK478" t="str">
            <v>3P</v>
          </cell>
          <cell r="AL478">
            <v>226</v>
          </cell>
          <cell r="AM478">
            <v>320</v>
          </cell>
          <cell r="AN478" t="str">
            <v>01 Existing Dealer</v>
          </cell>
          <cell r="AO478" t="str">
            <v>South Central</v>
          </cell>
          <cell r="AP478" t="str">
            <v>South</v>
          </cell>
          <cell r="AQ478"/>
          <cell r="AR478">
            <v>35290</v>
          </cell>
          <cell r="AS478">
            <v>35857</v>
          </cell>
          <cell r="AT478"/>
        </row>
        <row r="479">
          <cell r="A479">
            <v>11771</v>
          </cell>
          <cell r="B479" t="str">
            <v>PARISH TRAILER</v>
          </cell>
          <cell r="C479" t="str">
            <v>M10303</v>
          </cell>
          <cell r="D479" t="str">
            <v>NET 5, BT+</v>
          </cell>
          <cell r="E479" t="str">
            <v>C9</v>
          </cell>
          <cell r="F479" t="str">
            <v>Yes</v>
          </cell>
          <cell r="G479" t="str">
            <v>TX</v>
          </cell>
          <cell r="H479">
            <v>9</v>
          </cell>
          <cell r="I479">
            <v>0.66500000000000004</v>
          </cell>
          <cell r="J479" t="str">
            <v>House</v>
          </cell>
          <cell r="K479" t="str">
            <v>COVINGTON</v>
          </cell>
          <cell r="L479" t="str">
            <v>LA</v>
          </cell>
          <cell r="M479" t="str">
            <v>800-577-8858</v>
          </cell>
          <cell r="N479"/>
          <cell r="O479">
            <v>407</v>
          </cell>
          <cell r="P479">
            <v>1750.1</v>
          </cell>
          <cell r="Q479"/>
          <cell r="R479">
            <v>0</v>
          </cell>
          <cell r="S479"/>
          <cell r="T479">
            <v>0</v>
          </cell>
          <cell r="U479">
            <v>570</v>
          </cell>
          <cell r="V479">
            <v>2451</v>
          </cell>
          <cell r="W479">
            <v>446</v>
          </cell>
          <cell r="X479">
            <v>1917.8</v>
          </cell>
          <cell r="Y479"/>
          <cell r="Z479">
            <v>0</v>
          </cell>
          <cell r="AA479"/>
          <cell r="AB479">
            <v>0</v>
          </cell>
          <cell r="AC479"/>
          <cell r="AD479">
            <v>0</v>
          </cell>
          <cell r="AE479"/>
          <cell r="AF479"/>
          <cell r="AG479"/>
          <cell r="AH479"/>
          <cell r="AI479"/>
          <cell r="AJ479">
            <v>0</v>
          </cell>
          <cell r="AK479" t="str">
            <v>3P</v>
          </cell>
          <cell r="AL479">
            <v>400</v>
          </cell>
          <cell r="AM479">
            <v>320</v>
          </cell>
          <cell r="AN479" t="str">
            <v>01 Existing Dealer</v>
          </cell>
          <cell r="AO479" t="str">
            <v>South Central</v>
          </cell>
          <cell r="AP479" t="str">
            <v>South</v>
          </cell>
          <cell r="AQ479"/>
          <cell r="AR479">
            <v>0</v>
          </cell>
          <cell r="AS479">
            <v>0</v>
          </cell>
          <cell r="AT479"/>
        </row>
        <row r="480">
          <cell r="A480">
            <v>12030</v>
          </cell>
          <cell r="B480" t="str">
            <v>SMITH TRAILER SALES</v>
          </cell>
          <cell r="C480" t="str">
            <v>M10481</v>
          </cell>
          <cell r="D480" t="str">
            <v>NET 5, BT+</v>
          </cell>
          <cell r="E480" t="str">
            <v>CF</v>
          </cell>
          <cell r="F480" t="str">
            <v>Yes</v>
          </cell>
          <cell r="G480" t="str">
            <v>TX</v>
          </cell>
          <cell r="H480">
            <v>7</v>
          </cell>
          <cell r="I480">
            <v>0.66500000000000004</v>
          </cell>
          <cell r="J480" t="str">
            <v>Orphaned Acct</v>
          </cell>
          <cell r="K480" t="str">
            <v>BETHANY</v>
          </cell>
          <cell r="L480" t="str">
            <v>LA</v>
          </cell>
          <cell r="M480" t="str">
            <v>800-577-8858</v>
          </cell>
          <cell r="N480"/>
          <cell r="O480">
            <v>92</v>
          </cell>
          <cell r="P480">
            <v>395.59999999999997</v>
          </cell>
          <cell r="Q480"/>
          <cell r="R480">
            <v>0</v>
          </cell>
          <cell r="S480"/>
          <cell r="T480">
            <v>0</v>
          </cell>
          <cell r="U480">
            <v>255</v>
          </cell>
          <cell r="V480">
            <v>1096.5</v>
          </cell>
          <cell r="W480">
            <v>131</v>
          </cell>
          <cell r="X480">
            <v>563.29999999999995</v>
          </cell>
          <cell r="Y480"/>
          <cell r="Z480">
            <v>0</v>
          </cell>
          <cell r="AA480"/>
          <cell r="AB480">
            <v>0</v>
          </cell>
          <cell r="AC480"/>
          <cell r="AD480">
            <v>0</v>
          </cell>
          <cell r="AE480"/>
          <cell r="AF480"/>
          <cell r="AG480"/>
          <cell r="AH480"/>
          <cell r="AI480"/>
          <cell r="AJ480">
            <v>0</v>
          </cell>
          <cell r="AK480" t="str">
            <v>3P</v>
          </cell>
          <cell r="AL480">
            <v>213</v>
          </cell>
          <cell r="AM480">
            <v>109</v>
          </cell>
          <cell r="AN480" t="str">
            <v>08 Inactive Dealer</v>
          </cell>
          <cell r="AO480" t="str">
            <v>South Central</v>
          </cell>
          <cell r="AP480" t="str">
            <v>South</v>
          </cell>
          <cell r="AQ480"/>
          <cell r="AR480">
            <v>0</v>
          </cell>
          <cell r="AS480">
            <v>0</v>
          </cell>
        </row>
        <row r="481">
          <cell r="A481">
            <v>13153</v>
          </cell>
          <cell r="B481" t="str">
            <v>SOUTHERN AG</v>
          </cell>
          <cell r="C481" t="str">
            <v>M11077</v>
          </cell>
          <cell r="D481" t="str">
            <v>NET 5, BT+</v>
          </cell>
          <cell r="E481" t="str">
            <v>CF</v>
          </cell>
          <cell r="F481" t="str">
            <v>Yes</v>
          </cell>
          <cell r="G481" t="str">
            <v>TX</v>
          </cell>
          <cell r="H481">
            <v>7</v>
          </cell>
          <cell r="I481">
            <v>0.66500000000000004</v>
          </cell>
          <cell r="J481" t="str">
            <v>Orphaned Acct</v>
          </cell>
          <cell r="K481" t="str">
            <v>MORGANZA</v>
          </cell>
          <cell r="L481" t="str">
            <v>LA</v>
          </cell>
          <cell r="M481" t="str">
            <v>800-577-8858</v>
          </cell>
          <cell r="N481"/>
          <cell r="O481">
            <v>198</v>
          </cell>
          <cell r="P481">
            <v>851.4</v>
          </cell>
          <cell r="Q481"/>
          <cell r="R481">
            <v>0</v>
          </cell>
          <cell r="S481"/>
          <cell r="T481">
            <v>0</v>
          </cell>
          <cell r="U481">
            <v>327</v>
          </cell>
          <cell r="V481">
            <v>1406.1</v>
          </cell>
          <cell r="W481">
            <v>275</v>
          </cell>
          <cell r="X481">
            <v>1182.5</v>
          </cell>
          <cell r="Y481"/>
          <cell r="Z481">
            <v>0</v>
          </cell>
          <cell r="AA481"/>
          <cell r="AB481">
            <v>0</v>
          </cell>
          <cell r="AC481"/>
          <cell r="AD481">
            <v>0</v>
          </cell>
          <cell r="AE481"/>
          <cell r="AF481"/>
          <cell r="AG481"/>
          <cell r="AH481"/>
          <cell r="AI481"/>
          <cell r="AJ481">
            <v>0</v>
          </cell>
          <cell r="AK481" t="str">
            <v>3P</v>
          </cell>
          <cell r="AL481">
            <v>213</v>
          </cell>
          <cell r="AM481">
            <v>32</v>
          </cell>
          <cell r="AN481" t="str">
            <v>08 Inactive Dealer</v>
          </cell>
          <cell r="AO481" t="str">
            <v>South Central</v>
          </cell>
          <cell r="AP481" t="str">
            <v>South</v>
          </cell>
          <cell r="AQ481"/>
          <cell r="AR481">
            <v>0</v>
          </cell>
          <cell r="AS481">
            <v>0</v>
          </cell>
        </row>
        <row r="482">
          <cell r="A482">
            <v>10458</v>
          </cell>
          <cell r="B482" t="str">
            <v>SOUTHERN TRAILER WORKS</v>
          </cell>
          <cell r="C482" t="str">
            <v>M10378</v>
          </cell>
          <cell r="D482" t="str">
            <v>NET 5, BT+</v>
          </cell>
          <cell r="E482" t="str">
            <v>F6 - Wells Fargo</v>
          </cell>
          <cell r="F482" t="str">
            <v>Yes</v>
          </cell>
          <cell r="G482" t="str">
            <v>TX</v>
          </cell>
          <cell r="H482">
            <v>8</v>
          </cell>
          <cell r="I482">
            <v>0.66500000000000004</v>
          </cell>
          <cell r="J482" t="str">
            <v>Dakota Nation</v>
          </cell>
          <cell r="K482" t="str">
            <v>SCHREIVER</v>
          </cell>
          <cell r="L482" t="str">
            <v>LA</v>
          </cell>
          <cell r="M482" t="str">
            <v>800-577-8858</v>
          </cell>
          <cell r="N482"/>
          <cell r="O482">
            <v>403</v>
          </cell>
          <cell r="P482">
            <v>1732.8999999999999</v>
          </cell>
          <cell r="Q482"/>
          <cell r="R482">
            <v>0</v>
          </cell>
          <cell r="S482"/>
          <cell r="T482">
            <v>0</v>
          </cell>
          <cell r="U482">
            <v>566</v>
          </cell>
          <cell r="V482">
            <v>2433.7999999999997</v>
          </cell>
          <cell r="W482">
            <v>442</v>
          </cell>
          <cell r="X482">
            <v>1900.6</v>
          </cell>
          <cell r="Y482"/>
          <cell r="Z482">
            <v>0</v>
          </cell>
          <cell r="AA482"/>
          <cell r="AB482">
            <v>0</v>
          </cell>
          <cell r="AC482"/>
          <cell r="AD482">
            <v>0</v>
          </cell>
          <cell r="AE482"/>
          <cell r="AF482"/>
          <cell r="AG482"/>
          <cell r="AH482"/>
          <cell r="AI482"/>
          <cell r="AJ482">
            <v>0</v>
          </cell>
          <cell r="AK482" t="str">
            <v>3P</v>
          </cell>
          <cell r="AL482">
            <v>223</v>
          </cell>
          <cell r="AM482">
            <v>195</v>
          </cell>
          <cell r="AN482" t="str">
            <v>01 Existing Dealer</v>
          </cell>
          <cell r="AO482" t="str">
            <v>South Central</v>
          </cell>
          <cell r="AP482" t="str">
            <v>South</v>
          </cell>
          <cell r="AQ482"/>
          <cell r="AR482">
            <v>0</v>
          </cell>
          <cell r="AS482">
            <v>0</v>
          </cell>
        </row>
        <row r="483">
          <cell r="A483">
            <v>10457</v>
          </cell>
          <cell r="B483" t="str">
            <v>SOUTHERN TRAILER WORKS</v>
          </cell>
          <cell r="C483" t="str">
            <v>M10378</v>
          </cell>
          <cell r="D483" t="str">
            <v>NET 5, BT+</v>
          </cell>
          <cell r="E483" t="str">
            <v>C6</v>
          </cell>
          <cell r="F483" t="str">
            <v>Yes</v>
          </cell>
          <cell r="G483" t="str">
            <v>TX</v>
          </cell>
          <cell r="H483">
            <v>6</v>
          </cell>
          <cell r="I483">
            <v>0.68200000000000005</v>
          </cell>
          <cell r="J483" t="str">
            <v>House</v>
          </cell>
          <cell r="K483" t="str">
            <v>SCHRIEVER</v>
          </cell>
          <cell r="L483" t="str">
            <v>LA</v>
          </cell>
          <cell r="M483" t="str">
            <v>800-577-8858</v>
          </cell>
          <cell r="N483"/>
          <cell r="O483">
            <v>399</v>
          </cell>
          <cell r="P483">
            <v>1715.6999999999998</v>
          </cell>
          <cell r="Q483"/>
          <cell r="R483">
            <v>0</v>
          </cell>
          <cell r="S483"/>
          <cell r="T483">
            <v>0</v>
          </cell>
          <cell r="U483">
            <v>562</v>
          </cell>
          <cell r="V483">
            <v>2416.6</v>
          </cell>
          <cell r="W483">
            <v>438</v>
          </cell>
          <cell r="X483">
            <v>1883.3999999999999</v>
          </cell>
          <cell r="Y483"/>
          <cell r="Z483">
            <v>0</v>
          </cell>
          <cell r="AA483"/>
          <cell r="AB483">
            <v>0</v>
          </cell>
          <cell r="AC483"/>
          <cell r="AD483">
            <v>0</v>
          </cell>
          <cell r="AE483"/>
          <cell r="AF483"/>
          <cell r="AG483"/>
          <cell r="AH483"/>
          <cell r="AI483"/>
          <cell r="AJ483">
            <v>0</v>
          </cell>
          <cell r="AK483" t="str">
            <v>3P</v>
          </cell>
          <cell r="AL483">
            <v>400</v>
          </cell>
          <cell r="AM483">
            <v>195</v>
          </cell>
          <cell r="AN483" t="str">
            <v>08 Inactive Dealer</v>
          </cell>
          <cell r="AO483" t="str">
            <v>South Central</v>
          </cell>
          <cell r="AP483" t="str">
            <v>South</v>
          </cell>
          <cell r="AQ483"/>
          <cell r="AR483">
            <v>0</v>
          </cell>
          <cell r="AS483">
            <v>0</v>
          </cell>
        </row>
        <row r="484">
          <cell r="A484">
            <v>12227</v>
          </cell>
          <cell r="B484" t="str">
            <v>SOUTHERN TRAILER WORKS</v>
          </cell>
          <cell r="C484" t="str">
            <v>M10378</v>
          </cell>
          <cell r="D484" t="str">
            <v>NET 5, BT+</v>
          </cell>
          <cell r="E484" t="str">
            <v>CO</v>
          </cell>
          <cell r="F484" t="str">
            <v>Yes</v>
          </cell>
          <cell r="G484" t="str">
            <v>TX</v>
          </cell>
          <cell r="H484">
            <v>7</v>
          </cell>
          <cell r="I484">
            <v>0.68200000000000005</v>
          </cell>
          <cell r="J484" t="str">
            <v>Dakota Nation</v>
          </cell>
          <cell r="K484" t="str">
            <v>SCHRIEVER</v>
          </cell>
          <cell r="L484" t="str">
            <v>LA</v>
          </cell>
          <cell r="M484" t="str">
            <v>800-577-8858</v>
          </cell>
          <cell r="N484"/>
          <cell r="O484">
            <v>403</v>
          </cell>
          <cell r="P484">
            <v>1732.8999999999999</v>
          </cell>
          <cell r="Q484"/>
          <cell r="R484">
            <v>0</v>
          </cell>
          <cell r="S484"/>
          <cell r="T484">
            <v>0</v>
          </cell>
          <cell r="U484">
            <v>566</v>
          </cell>
          <cell r="V484">
            <v>2433.7999999999997</v>
          </cell>
          <cell r="W484">
            <v>442</v>
          </cell>
          <cell r="X484">
            <v>1900.6</v>
          </cell>
          <cell r="Y484"/>
          <cell r="Z484">
            <v>0</v>
          </cell>
          <cell r="AA484"/>
          <cell r="AB484">
            <v>0</v>
          </cell>
          <cell r="AC484"/>
          <cell r="AD484">
            <v>0</v>
          </cell>
          <cell r="AE484"/>
          <cell r="AF484"/>
          <cell r="AG484"/>
          <cell r="AH484"/>
          <cell r="AI484"/>
          <cell r="AJ484">
            <v>0</v>
          </cell>
          <cell r="AK484" t="str">
            <v>3P</v>
          </cell>
          <cell r="AL484">
            <v>223</v>
          </cell>
          <cell r="AM484">
            <v>195</v>
          </cell>
          <cell r="AN484" t="str">
            <v>01 Existing Dealer</v>
          </cell>
          <cell r="AO484" t="str">
            <v>South Central</v>
          </cell>
          <cell r="AP484" t="str">
            <v>South</v>
          </cell>
          <cell r="AQ484"/>
          <cell r="AR484">
            <v>0</v>
          </cell>
          <cell r="AS484">
            <v>0</v>
          </cell>
        </row>
        <row r="485">
          <cell r="A485">
            <v>12316</v>
          </cell>
          <cell r="B485" t="str">
            <v>SOUTHSIDE OF DERIDDER</v>
          </cell>
          <cell r="C485" t="str">
            <v>M10380</v>
          </cell>
          <cell r="D485" t="str">
            <v>NET 5, BT+</v>
          </cell>
          <cell r="E485" t="str">
            <v>CF</v>
          </cell>
          <cell r="F485" t="str">
            <v>Yes</v>
          </cell>
          <cell r="G485" t="str">
            <v>TX</v>
          </cell>
          <cell r="H485">
            <v>7</v>
          </cell>
          <cell r="I485">
            <v>0.66500000000000004</v>
          </cell>
          <cell r="J485" t="str">
            <v>Trent Evans</v>
          </cell>
          <cell r="K485" t="str">
            <v>DERIDDER</v>
          </cell>
          <cell r="L485" t="str">
            <v>LA</v>
          </cell>
          <cell r="M485" t="str">
            <v>800-577-8858</v>
          </cell>
          <cell r="N485"/>
          <cell r="O485">
            <v>227</v>
          </cell>
          <cell r="P485">
            <v>976.09999999999991</v>
          </cell>
          <cell r="Q485"/>
          <cell r="R485">
            <v>0</v>
          </cell>
          <cell r="S485"/>
          <cell r="T485">
            <v>0</v>
          </cell>
          <cell r="U485">
            <v>390</v>
          </cell>
          <cell r="V485">
            <v>1677</v>
          </cell>
          <cell r="W485">
            <v>266</v>
          </cell>
          <cell r="X485">
            <v>1143.8</v>
          </cell>
          <cell r="Y485"/>
          <cell r="Z485">
            <v>0</v>
          </cell>
          <cell r="AA485"/>
          <cell r="AB485">
            <v>0</v>
          </cell>
          <cell r="AC485"/>
          <cell r="AD485">
            <v>0</v>
          </cell>
          <cell r="AE485"/>
          <cell r="AF485"/>
          <cell r="AG485"/>
          <cell r="AH485"/>
          <cell r="AI485"/>
          <cell r="AJ485">
            <v>0</v>
          </cell>
          <cell r="AK485" t="str">
            <v>3P</v>
          </cell>
          <cell r="AL485">
            <v>226</v>
          </cell>
          <cell r="AM485">
            <v>238</v>
          </cell>
          <cell r="AN485" t="str">
            <v>01 Existing Dealer</v>
          </cell>
          <cell r="AO485" t="str">
            <v>South Central</v>
          </cell>
          <cell r="AP485" t="str">
            <v>South</v>
          </cell>
          <cell r="AQ485"/>
          <cell r="AR485">
            <v>0</v>
          </cell>
          <cell r="AS485">
            <v>0</v>
          </cell>
        </row>
        <row r="486">
          <cell r="A486">
            <v>13553</v>
          </cell>
          <cell r="B486" t="str">
            <v>TW BATON ROUGE</v>
          </cell>
          <cell r="C486" t="str">
            <v>M11527</v>
          </cell>
          <cell r="D486" t="str">
            <v>Net 30, no pink card</v>
          </cell>
          <cell r="E486">
            <v>30</v>
          </cell>
          <cell r="F486" t="str">
            <v>Yes</v>
          </cell>
          <cell r="G486" t="str">
            <v>TX</v>
          </cell>
          <cell r="H486">
            <v>10</v>
          </cell>
          <cell r="I486">
            <v>0.66500000000000004</v>
          </cell>
          <cell r="J486" t="str">
            <v>Jake McEntee</v>
          </cell>
          <cell r="K486" t="str">
            <v>PRAIRIEVILLE</v>
          </cell>
          <cell r="L486" t="str">
            <v>LA</v>
          </cell>
          <cell r="M486" t="str">
            <v>800-577-8858</v>
          </cell>
          <cell r="N486" t="str">
            <v>All tandem axle trailers must have BRK2</v>
          </cell>
          <cell r="O486">
            <v>397</v>
          </cell>
          <cell r="P486">
            <v>1707.1</v>
          </cell>
          <cell r="Q486">
            <v>520</v>
          </cell>
          <cell r="R486">
            <v>2236</v>
          </cell>
          <cell r="S486"/>
          <cell r="T486">
            <v>0</v>
          </cell>
          <cell r="U486">
            <v>532</v>
          </cell>
          <cell r="V486">
            <v>2287.6</v>
          </cell>
          <cell r="W486">
            <v>413</v>
          </cell>
          <cell r="X486">
            <v>1775.8999999999999</v>
          </cell>
          <cell r="Y486">
            <v>878</v>
          </cell>
          <cell r="Z486">
            <v>3775.3999999999996</v>
          </cell>
          <cell r="AA486">
            <v>878</v>
          </cell>
          <cell r="AB486">
            <v>3775.3999999999996</v>
          </cell>
          <cell r="AC486">
            <v>878</v>
          </cell>
          <cell r="AD486">
            <v>3775.3999999999996</v>
          </cell>
          <cell r="AE486"/>
          <cell r="AF486"/>
          <cell r="AG486"/>
          <cell r="AH486"/>
          <cell r="AI486"/>
          <cell r="AJ486">
            <v>0.04</v>
          </cell>
          <cell r="AK486" t="str">
            <v>TW</v>
          </cell>
          <cell r="AL486">
            <v>161</v>
          </cell>
          <cell r="AM486">
            <v>32</v>
          </cell>
          <cell r="AN486" t="str">
            <v>04 Co.Store</v>
          </cell>
          <cell r="AO486" t="str">
            <v>South Central</v>
          </cell>
          <cell r="AP486" t="str">
            <v>South</v>
          </cell>
          <cell r="AQ486"/>
          <cell r="AR486">
            <v>40858</v>
          </cell>
          <cell r="AS486">
            <v>215286</v>
          </cell>
        </row>
        <row r="487">
          <cell r="A487">
            <v>13059</v>
          </cell>
          <cell r="B487" t="str">
            <v>TW BROUSSARD</v>
          </cell>
          <cell r="C487" t="str">
            <v>M10723</v>
          </cell>
          <cell r="D487" t="str">
            <v>Net 30, no pink card</v>
          </cell>
          <cell r="E487">
            <v>30</v>
          </cell>
          <cell r="F487" t="str">
            <v>Yes</v>
          </cell>
          <cell r="G487" t="str">
            <v>TX</v>
          </cell>
          <cell r="H487">
            <v>10</v>
          </cell>
          <cell r="I487">
            <v>0.66500000000000004</v>
          </cell>
          <cell r="J487" t="str">
            <v>Jake McEntee</v>
          </cell>
          <cell r="K487" t="str">
            <v>BROUSSARD</v>
          </cell>
          <cell r="L487" t="str">
            <v>LA</v>
          </cell>
          <cell r="M487" t="str">
            <v>800-577-8858</v>
          </cell>
          <cell r="N487" t="str">
            <v>All tandem axle trailers must have BRK2</v>
          </cell>
          <cell r="O487">
            <v>312</v>
          </cell>
          <cell r="P487">
            <v>1341.6</v>
          </cell>
          <cell r="Q487">
            <v>579</v>
          </cell>
          <cell r="R487">
            <v>2489.6999999999998</v>
          </cell>
          <cell r="S487"/>
          <cell r="T487">
            <v>0</v>
          </cell>
          <cell r="U487">
            <v>495</v>
          </cell>
          <cell r="V487">
            <v>2128.5</v>
          </cell>
          <cell r="W487">
            <v>349</v>
          </cell>
          <cell r="X487">
            <v>1500.7</v>
          </cell>
          <cell r="Y487">
            <v>945</v>
          </cell>
          <cell r="Z487">
            <v>4063.5</v>
          </cell>
          <cell r="AA487">
            <v>945</v>
          </cell>
          <cell r="AB487">
            <v>4063.5</v>
          </cell>
          <cell r="AC487">
            <v>945</v>
          </cell>
          <cell r="AD487">
            <v>4063.5</v>
          </cell>
          <cell r="AE487">
            <v>3.8290000000000005E-2</v>
          </cell>
          <cell r="AF487"/>
          <cell r="AG487">
            <v>0</v>
          </cell>
          <cell r="AH487">
            <v>2.8000000000000001E-2</v>
          </cell>
          <cell r="AI487">
            <v>2.8000000000000001E-2</v>
          </cell>
          <cell r="AJ487">
            <v>0.04</v>
          </cell>
          <cell r="AK487" t="str">
            <v>TW</v>
          </cell>
          <cell r="AL487">
            <v>161</v>
          </cell>
          <cell r="AM487">
            <v>236</v>
          </cell>
          <cell r="AN487" t="str">
            <v>04 Co.Store</v>
          </cell>
          <cell r="AO487" t="str">
            <v>South Central</v>
          </cell>
          <cell r="AP487" t="str">
            <v>South</v>
          </cell>
          <cell r="AQ487"/>
          <cell r="AR487">
            <v>98813</v>
          </cell>
          <cell r="AS487">
            <v>49516</v>
          </cell>
        </row>
        <row r="488">
          <cell r="A488">
            <v>12789</v>
          </cell>
          <cell r="B488" t="str">
            <v>TW JEANERETTE</v>
          </cell>
          <cell r="C488" t="str">
            <v>M10067</v>
          </cell>
          <cell r="D488" t="str">
            <v>Net 30, no pink card</v>
          </cell>
          <cell r="E488">
            <v>30</v>
          </cell>
          <cell r="F488" t="str">
            <v>Yes</v>
          </cell>
          <cell r="G488" t="str">
            <v>TX</v>
          </cell>
          <cell r="H488">
            <v>10</v>
          </cell>
          <cell r="I488">
            <v>0.66500000000000004</v>
          </cell>
          <cell r="J488" t="str">
            <v>Orphaned Acct</v>
          </cell>
          <cell r="K488" t="str">
            <v>JEANERETTE</v>
          </cell>
          <cell r="L488" t="str">
            <v>LA</v>
          </cell>
          <cell r="M488" t="str">
            <v>800-577-8858</v>
          </cell>
          <cell r="N488"/>
          <cell r="O488">
            <v>340</v>
          </cell>
          <cell r="P488">
            <v>1462</v>
          </cell>
          <cell r="Q488">
            <v>606</v>
          </cell>
          <cell r="R488">
            <v>2605.7999999999997</v>
          </cell>
          <cell r="S488"/>
          <cell r="T488">
            <v>0</v>
          </cell>
          <cell r="U488">
            <v>503</v>
          </cell>
          <cell r="V488">
            <v>2162.9</v>
          </cell>
          <cell r="W488">
            <v>379</v>
          </cell>
          <cell r="X488">
            <v>1629.7</v>
          </cell>
          <cell r="Y488"/>
          <cell r="Z488">
            <v>0</v>
          </cell>
          <cell r="AA488"/>
          <cell r="AB488">
            <v>0</v>
          </cell>
          <cell r="AC488"/>
          <cell r="AD488">
            <v>0</v>
          </cell>
          <cell r="AE488">
            <v>0</v>
          </cell>
          <cell r="AF488"/>
          <cell r="AG488">
            <v>4.0030000000000003E-2</v>
          </cell>
          <cell r="AH488">
            <v>4.0030000000000003E-2</v>
          </cell>
          <cell r="AI488">
            <v>4.0030000000000003E-2</v>
          </cell>
          <cell r="AJ488">
            <v>0</v>
          </cell>
          <cell r="AK488"/>
          <cell r="AL488">
            <v>213</v>
          </cell>
          <cell r="AM488">
            <v>236</v>
          </cell>
          <cell r="AN488" t="str">
            <v>09 Inactive Co Store</v>
          </cell>
          <cell r="AO488" t="str">
            <v>South Central</v>
          </cell>
          <cell r="AP488" t="str">
            <v>South</v>
          </cell>
          <cell r="AQ488"/>
          <cell r="AR488">
            <v>0</v>
          </cell>
          <cell r="AS488">
            <v>0</v>
          </cell>
        </row>
        <row r="489">
          <cell r="A489">
            <v>12449</v>
          </cell>
          <cell r="B489" t="str">
            <v>TW MINDEN</v>
          </cell>
          <cell r="C489" t="str">
            <v>M10059</v>
          </cell>
          <cell r="D489" t="str">
            <v>Net 30, no pink card</v>
          </cell>
          <cell r="E489">
            <v>30</v>
          </cell>
          <cell r="F489" t="str">
            <v>Yes</v>
          </cell>
          <cell r="G489" t="str">
            <v>TX</v>
          </cell>
          <cell r="H489">
            <v>10</v>
          </cell>
          <cell r="I489">
            <v>0.66500000000000004</v>
          </cell>
          <cell r="J489" t="str">
            <v>Jake McEntee</v>
          </cell>
          <cell r="K489" t="str">
            <v>MINDEN</v>
          </cell>
          <cell r="L489" t="str">
            <v>LA</v>
          </cell>
          <cell r="M489" t="str">
            <v>800-577-8858</v>
          </cell>
          <cell r="N489" t="str">
            <v>All tandem axle trailers must have BRK2</v>
          </cell>
          <cell r="O489">
            <v>134</v>
          </cell>
          <cell r="P489">
            <v>576.19999999999993</v>
          </cell>
          <cell r="Q489">
            <v>615</v>
          </cell>
          <cell r="R489">
            <v>2644.5</v>
          </cell>
          <cell r="S489"/>
          <cell r="T489">
            <v>0</v>
          </cell>
          <cell r="U489">
            <v>297</v>
          </cell>
          <cell r="V489">
            <v>1277.0999999999999</v>
          </cell>
          <cell r="W489">
            <v>173</v>
          </cell>
          <cell r="X489">
            <v>743.9</v>
          </cell>
          <cell r="Y489"/>
          <cell r="Z489">
            <v>0</v>
          </cell>
          <cell r="AA489"/>
          <cell r="AB489">
            <v>0</v>
          </cell>
          <cell r="AC489"/>
          <cell r="AD489">
            <v>0</v>
          </cell>
          <cell r="AE489">
            <v>2.4E-2</v>
          </cell>
          <cell r="AF489"/>
          <cell r="AG489">
            <v>2.172E-2</v>
          </cell>
          <cell r="AH489">
            <v>2.172E-2</v>
          </cell>
          <cell r="AI489">
            <v>2.172E-2</v>
          </cell>
          <cell r="AJ489">
            <v>0.04</v>
          </cell>
          <cell r="AK489" t="str">
            <v>TW</v>
          </cell>
          <cell r="AL489">
            <v>161</v>
          </cell>
          <cell r="AM489">
            <v>419</v>
          </cell>
          <cell r="AN489" t="str">
            <v>04 Co.Store</v>
          </cell>
          <cell r="AO489" t="str">
            <v>South Central</v>
          </cell>
          <cell r="AP489" t="str">
            <v>South</v>
          </cell>
          <cell r="AQ489"/>
          <cell r="AR489">
            <v>120739</v>
          </cell>
          <cell r="AS489">
            <v>76293</v>
          </cell>
        </row>
        <row r="490">
          <cell r="A490">
            <v>12788</v>
          </cell>
          <cell r="B490" t="str">
            <v>TW OPELOUSAS</v>
          </cell>
          <cell r="C490" t="str">
            <v>M10066</v>
          </cell>
          <cell r="D490" t="str">
            <v>Net 30, no pink card</v>
          </cell>
          <cell r="E490">
            <v>30</v>
          </cell>
          <cell r="F490" t="str">
            <v>Yes</v>
          </cell>
          <cell r="G490" t="str">
            <v>TX</v>
          </cell>
          <cell r="H490">
            <v>10</v>
          </cell>
          <cell r="I490">
            <v>0.66500000000000004</v>
          </cell>
          <cell r="J490" t="str">
            <v>Orphaned Acct</v>
          </cell>
          <cell r="K490" t="str">
            <v>OPELOUSAS</v>
          </cell>
          <cell r="L490" t="str">
            <v>LA</v>
          </cell>
          <cell r="M490" t="str">
            <v>800-577-8858</v>
          </cell>
          <cell r="N490"/>
          <cell r="O490">
            <v>284</v>
          </cell>
          <cell r="P490">
            <v>1221.2</v>
          </cell>
          <cell r="Q490">
            <v>603</v>
          </cell>
          <cell r="R490">
            <v>2592.9</v>
          </cell>
          <cell r="S490"/>
          <cell r="T490">
            <v>0</v>
          </cell>
          <cell r="U490">
            <v>447</v>
          </cell>
          <cell r="V490">
            <v>1922.1</v>
          </cell>
          <cell r="W490">
            <v>323</v>
          </cell>
          <cell r="X490">
            <v>1388.8999999999999</v>
          </cell>
          <cell r="Y490"/>
          <cell r="Z490">
            <v>0</v>
          </cell>
          <cell r="AA490"/>
          <cell r="AB490">
            <v>0</v>
          </cell>
          <cell r="AC490"/>
          <cell r="AD490">
            <v>0</v>
          </cell>
          <cell r="AE490">
            <v>0</v>
          </cell>
          <cell r="AF490"/>
          <cell r="AG490">
            <v>3.6080000000000001E-2</v>
          </cell>
          <cell r="AH490">
            <v>3.6080000000000001E-2</v>
          </cell>
          <cell r="AI490">
            <v>3.6080000000000001E-2</v>
          </cell>
          <cell r="AJ490">
            <v>0</v>
          </cell>
          <cell r="AK490"/>
          <cell r="AL490">
            <v>213</v>
          </cell>
          <cell r="AM490">
            <v>236</v>
          </cell>
          <cell r="AN490" t="str">
            <v>09 Inactive Co Store</v>
          </cell>
          <cell r="AO490" t="str">
            <v>South Central</v>
          </cell>
          <cell r="AP490" t="str">
            <v>South</v>
          </cell>
          <cell r="AQ490"/>
          <cell r="AR490">
            <v>0</v>
          </cell>
          <cell r="AS490">
            <v>0</v>
          </cell>
        </row>
        <row r="491">
          <cell r="A491">
            <v>10630</v>
          </cell>
          <cell r="B491" t="str">
            <v>TW SULPHUR</v>
          </cell>
          <cell r="C491" t="str">
            <v>M10098</v>
          </cell>
          <cell r="D491" t="str">
            <v>Net 30, no pink card</v>
          </cell>
          <cell r="E491">
            <v>30</v>
          </cell>
          <cell r="F491" t="str">
            <v>Yes</v>
          </cell>
          <cell r="G491" t="str">
            <v>TX</v>
          </cell>
          <cell r="H491">
            <v>10</v>
          </cell>
          <cell r="I491">
            <v>0.66500000000000004</v>
          </cell>
          <cell r="J491" t="str">
            <v>Jake McEntee</v>
          </cell>
          <cell r="K491" t="str">
            <v>SULPHUR</v>
          </cell>
          <cell r="L491" t="str">
            <v>LA</v>
          </cell>
          <cell r="M491" t="str">
            <v>800-577-8858</v>
          </cell>
          <cell r="N491" t="str">
            <v>All tandem axle trailers must have BRK2</v>
          </cell>
          <cell r="O491">
            <v>258</v>
          </cell>
          <cell r="P491">
            <v>1109.3999999999999</v>
          </cell>
          <cell r="Q491">
            <v>680</v>
          </cell>
          <cell r="R491">
            <v>2924</v>
          </cell>
          <cell r="S491"/>
          <cell r="T491">
            <v>0</v>
          </cell>
          <cell r="U491">
            <v>484</v>
          </cell>
          <cell r="V491">
            <v>2081.1999999999998</v>
          </cell>
          <cell r="W491">
            <v>291</v>
          </cell>
          <cell r="X491">
            <v>1251.3</v>
          </cell>
          <cell r="Y491"/>
          <cell r="Z491">
            <v>0</v>
          </cell>
          <cell r="AA491">
            <v>1010</v>
          </cell>
          <cell r="AB491">
            <v>4343</v>
          </cell>
          <cell r="AC491">
            <v>1010</v>
          </cell>
          <cell r="AD491">
            <v>4343</v>
          </cell>
          <cell r="AE491">
            <v>6.4299999999999996E-2</v>
          </cell>
          <cell r="AF491"/>
          <cell r="AG491">
            <v>3.2640000000000002E-2</v>
          </cell>
          <cell r="AH491">
            <v>3.2640000000000002E-2</v>
          </cell>
          <cell r="AI491">
            <v>3.2640000000000002E-2</v>
          </cell>
          <cell r="AJ491">
            <v>0.04</v>
          </cell>
          <cell r="AK491" t="str">
            <v>TW</v>
          </cell>
          <cell r="AL491">
            <v>161</v>
          </cell>
          <cell r="AM491">
            <v>238</v>
          </cell>
          <cell r="AN491" t="str">
            <v>04 Co.Store</v>
          </cell>
          <cell r="AO491" t="str">
            <v>South Central</v>
          </cell>
          <cell r="AP491" t="str">
            <v>South</v>
          </cell>
          <cell r="AQ491"/>
          <cell r="AR491">
            <v>108566</v>
          </cell>
          <cell r="AS491">
            <v>236745</v>
          </cell>
        </row>
        <row r="492">
          <cell r="A492">
            <v>12040</v>
          </cell>
          <cell r="B492" t="str">
            <v>INTERNATIONAL MOTOR SPORTS</v>
          </cell>
          <cell r="C492" t="str">
            <v>M10230</v>
          </cell>
          <cell r="D492" t="str">
            <v>NET 5, BT+</v>
          </cell>
          <cell r="E492" t="str">
            <v>FP - Wells Fargo</v>
          </cell>
          <cell r="F492" t="str">
            <v>Yes</v>
          </cell>
          <cell r="G492" t="str">
            <v>OH</v>
          </cell>
          <cell r="H492">
            <v>8</v>
          </cell>
          <cell r="I492">
            <v>0.66500000000000004</v>
          </cell>
          <cell r="J492" t="str">
            <v>Orphaned Acct</v>
          </cell>
          <cell r="K492" t="str">
            <v>ROCKLAND</v>
          </cell>
          <cell r="L492" t="str">
            <v>MA</v>
          </cell>
          <cell r="M492" t="str">
            <v>800-577-8858</v>
          </cell>
          <cell r="N492"/>
          <cell r="O492">
            <v>1652</v>
          </cell>
          <cell r="P492">
            <v>7103.5999999999995</v>
          </cell>
          <cell r="Q492">
            <v>1196</v>
          </cell>
          <cell r="R492">
            <v>5142.8</v>
          </cell>
          <cell r="S492"/>
          <cell r="T492">
            <v>0</v>
          </cell>
          <cell r="U492">
            <v>1762</v>
          </cell>
          <cell r="V492">
            <v>7576.5999999999995</v>
          </cell>
          <cell r="W492">
            <v>1732</v>
          </cell>
          <cell r="X492">
            <v>7447.5999999999995</v>
          </cell>
          <cell r="Y492">
            <v>875</v>
          </cell>
          <cell r="Z492">
            <v>3762.5</v>
          </cell>
          <cell r="AA492">
            <v>875</v>
          </cell>
          <cell r="AB492">
            <v>3762.5</v>
          </cell>
          <cell r="AC492">
            <v>875</v>
          </cell>
          <cell r="AD492">
            <v>3762.5</v>
          </cell>
          <cell r="AE492"/>
          <cell r="AF492"/>
          <cell r="AG492"/>
          <cell r="AH492"/>
          <cell r="AI492"/>
          <cell r="AJ492">
            <v>0</v>
          </cell>
          <cell r="AK492" t="str">
            <v>3P</v>
          </cell>
          <cell r="AL492">
            <v>213</v>
          </cell>
          <cell r="AM492">
            <v>51</v>
          </cell>
          <cell r="AN492" t="str">
            <v>01 Existing Dealer</v>
          </cell>
          <cell r="AO492" t="str">
            <v>Northeast</v>
          </cell>
          <cell r="AP492" t="str">
            <v>North</v>
          </cell>
          <cell r="AQ492"/>
          <cell r="AR492">
            <v>0</v>
          </cell>
          <cell r="AS492">
            <v>0</v>
          </cell>
        </row>
        <row r="493">
          <cell r="A493">
            <v>12043</v>
          </cell>
          <cell r="B493" t="str">
            <v>LVJ TRAILERS &amp; EQUIPMENT, LLC</v>
          </cell>
          <cell r="C493" t="str">
            <v>M10921</v>
          </cell>
          <cell r="D493" t="str">
            <v>NET 5, BT+</v>
          </cell>
          <cell r="E493" t="str">
            <v>FP - Northpoint</v>
          </cell>
          <cell r="F493" t="str">
            <v>Yes</v>
          </cell>
          <cell r="G493" t="str">
            <v>OH</v>
          </cell>
          <cell r="H493">
            <v>8</v>
          </cell>
          <cell r="I493">
            <v>0.66500000000000004</v>
          </cell>
          <cell r="J493" t="str">
            <v>Orphaned Acct</v>
          </cell>
          <cell r="K493" t="str">
            <v>NORFOLK</v>
          </cell>
          <cell r="L493" t="str">
            <v>MA</v>
          </cell>
          <cell r="M493" t="str">
            <v>800-577-8858</v>
          </cell>
          <cell r="N493"/>
          <cell r="O493">
            <v>1638</v>
          </cell>
          <cell r="P493">
            <v>7043.4</v>
          </cell>
          <cell r="Q493">
            <v>1182</v>
          </cell>
          <cell r="R493">
            <v>5082.5999999999995</v>
          </cell>
          <cell r="S493"/>
          <cell r="T493">
            <v>0</v>
          </cell>
          <cell r="U493">
            <v>1736</v>
          </cell>
          <cell r="V493">
            <v>7464.7999999999993</v>
          </cell>
          <cell r="W493">
            <v>1718</v>
          </cell>
          <cell r="X493">
            <v>7387.4</v>
          </cell>
          <cell r="Y493">
            <v>848</v>
          </cell>
          <cell r="Z493">
            <v>3646.3999999999996</v>
          </cell>
          <cell r="AA493">
            <v>848</v>
          </cell>
          <cell r="AB493">
            <v>3646.3999999999996</v>
          </cell>
          <cell r="AC493">
            <v>848</v>
          </cell>
          <cell r="AD493">
            <v>3646.3999999999996</v>
          </cell>
          <cell r="AE493"/>
          <cell r="AF493"/>
          <cell r="AG493"/>
          <cell r="AH493"/>
          <cell r="AI493"/>
          <cell r="AJ493">
            <v>0</v>
          </cell>
          <cell r="AK493" t="str">
            <v>3P</v>
          </cell>
          <cell r="AL493">
            <v>213</v>
          </cell>
          <cell r="AM493">
            <v>51</v>
          </cell>
          <cell r="AN493" t="str">
            <v>08 Inactive Dealer</v>
          </cell>
          <cell r="AO493" t="str">
            <v>Northeast</v>
          </cell>
          <cell r="AP493" t="str">
            <v>North</v>
          </cell>
          <cell r="AQ493"/>
          <cell r="AR493">
            <v>0</v>
          </cell>
          <cell r="AS493">
            <v>0</v>
          </cell>
        </row>
        <row r="494">
          <cell r="A494">
            <v>12677</v>
          </cell>
          <cell r="B494" t="str">
            <v>PITTSFIELD LAWN &amp; TRACTOR</v>
          </cell>
          <cell r="C494" t="str">
            <v>M10331</v>
          </cell>
          <cell r="D494" t="str">
            <v>NET 5, BT+</v>
          </cell>
          <cell r="E494" t="str">
            <v>CF</v>
          </cell>
          <cell r="F494" t="str">
            <v>Yes</v>
          </cell>
          <cell r="G494" t="str">
            <v>OH</v>
          </cell>
          <cell r="H494">
            <v>5</v>
          </cell>
          <cell r="I494">
            <v>0.66500000000000004</v>
          </cell>
          <cell r="J494" t="str">
            <v>Orphaned Acct</v>
          </cell>
          <cell r="K494" t="str">
            <v>PITTSFIELD</v>
          </cell>
          <cell r="L494" t="str">
            <v>MA</v>
          </cell>
          <cell r="M494" t="str">
            <v>800-577-8858</v>
          </cell>
          <cell r="N494"/>
          <cell r="O494">
            <v>1568</v>
          </cell>
          <cell r="P494">
            <v>6742.4</v>
          </cell>
          <cell r="Q494">
            <v>1132</v>
          </cell>
          <cell r="R494">
            <v>4867.5999999999995</v>
          </cell>
          <cell r="S494"/>
          <cell r="T494">
            <v>0</v>
          </cell>
          <cell r="U494">
            <v>1653</v>
          </cell>
          <cell r="V494">
            <v>7107.9</v>
          </cell>
          <cell r="W494">
            <v>1648</v>
          </cell>
          <cell r="X494">
            <v>7086.4</v>
          </cell>
          <cell r="Y494">
            <v>739</v>
          </cell>
          <cell r="Z494">
            <v>3177.7</v>
          </cell>
          <cell r="AA494">
            <v>739</v>
          </cell>
          <cell r="AB494">
            <v>3177.7</v>
          </cell>
          <cell r="AC494">
            <v>739</v>
          </cell>
          <cell r="AD494">
            <v>3177.7</v>
          </cell>
          <cell r="AE494"/>
          <cell r="AF494"/>
          <cell r="AG494"/>
          <cell r="AH494"/>
          <cell r="AI494"/>
          <cell r="AJ494">
            <v>0</v>
          </cell>
          <cell r="AK494" t="str">
            <v>3P</v>
          </cell>
          <cell r="AL494">
            <v>213</v>
          </cell>
          <cell r="AM494">
            <v>351</v>
          </cell>
          <cell r="AN494" t="str">
            <v>08 Inactive Dealer</v>
          </cell>
          <cell r="AO494" t="str">
            <v>Northeast</v>
          </cell>
          <cell r="AP494" t="str">
            <v>North</v>
          </cell>
          <cell r="AQ494"/>
          <cell r="AR494">
            <v>0</v>
          </cell>
          <cell r="AS494">
            <v>0</v>
          </cell>
        </row>
        <row r="495">
          <cell r="A495">
            <v>10410</v>
          </cell>
          <cell r="B495" t="str">
            <v>RICHEY &amp; CLAPPER, INC.</v>
          </cell>
          <cell r="C495" t="str">
            <v>M10349</v>
          </cell>
          <cell r="D495" t="str">
            <v>NET 5, BT+</v>
          </cell>
          <cell r="E495" t="str">
            <v>CO</v>
          </cell>
          <cell r="F495" t="str">
            <v>Yes</v>
          </cell>
          <cell r="G495" t="str">
            <v>OH</v>
          </cell>
          <cell r="H495">
            <v>7</v>
          </cell>
          <cell r="I495">
            <v>0.66500000000000004</v>
          </cell>
          <cell r="J495" t="str">
            <v>Orphaned Acct</v>
          </cell>
          <cell r="K495" t="str">
            <v>SUDBURY</v>
          </cell>
          <cell r="L495" t="str">
            <v>MA</v>
          </cell>
          <cell r="M495" t="str">
            <v>800-577-8858</v>
          </cell>
          <cell r="N495"/>
          <cell r="O495">
            <v>1636</v>
          </cell>
          <cell r="P495">
            <v>7034.7999999999993</v>
          </cell>
          <cell r="Q495">
            <v>1180</v>
          </cell>
          <cell r="R495">
            <v>5074</v>
          </cell>
          <cell r="S495"/>
          <cell r="T495">
            <v>0</v>
          </cell>
          <cell r="U495">
            <v>1734</v>
          </cell>
          <cell r="V495">
            <v>7456.2</v>
          </cell>
          <cell r="W495">
            <v>1716</v>
          </cell>
          <cell r="X495">
            <v>7378.7999999999993</v>
          </cell>
          <cell r="Y495">
            <v>841</v>
          </cell>
          <cell r="Z495">
            <v>3616.2999999999997</v>
          </cell>
          <cell r="AA495">
            <v>841</v>
          </cell>
          <cell r="AB495">
            <v>3616.2999999999997</v>
          </cell>
          <cell r="AC495">
            <v>841</v>
          </cell>
          <cell r="AD495">
            <v>3616.2999999999997</v>
          </cell>
          <cell r="AE495"/>
          <cell r="AF495"/>
          <cell r="AG495"/>
          <cell r="AH495"/>
          <cell r="AI495"/>
          <cell r="AJ495">
            <v>0</v>
          </cell>
          <cell r="AK495" t="str">
            <v>3P</v>
          </cell>
          <cell r="AL495">
            <v>213</v>
          </cell>
          <cell r="AM495">
            <v>351</v>
          </cell>
          <cell r="AN495" t="str">
            <v>08 Inactive Dealer</v>
          </cell>
          <cell r="AO495" t="str">
            <v>Northeast</v>
          </cell>
          <cell r="AP495" t="str">
            <v>North</v>
          </cell>
          <cell r="AQ495"/>
          <cell r="AR495">
            <v>0</v>
          </cell>
          <cell r="AS495">
            <v>0</v>
          </cell>
        </row>
        <row r="496">
          <cell r="A496">
            <v>11891</v>
          </cell>
          <cell r="B496" t="str">
            <v>RICHEY &amp; CLAPPER, INC.</v>
          </cell>
          <cell r="C496" t="str">
            <v>M10349</v>
          </cell>
          <cell r="D496" t="str">
            <v>NET 5, BT+</v>
          </cell>
          <cell r="E496" t="str">
            <v>FP - Wells Fargo</v>
          </cell>
          <cell r="F496" t="str">
            <v>Yes</v>
          </cell>
          <cell r="G496" t="str">
            <v>OH</v>
          </cell>
          <cell r="H496">
            <v>8</v>
          </cell>
          <cell r="I496">
            <v>0.66500000000000004</v>
          </cell>
          <cell r="J496" t="str">
            <v>Orphaned Acct</v>
          </cell>
          <cell r="K496" t="str">
            <v>SUDBURY</v>
          </cell>
          <cell r="L496" t="str">
            <v>MA</v>
          </cell>
          <cell r="M496" t="str">
            <v>800-577-8858</v>
          </cell>
          <cell r="N496"/>
          <cell r="O496">
            <v>1636</v>
          </cell>
          <cell r="P496">
            <v>7034.7999999999993</v>
          </cell>
          <cell r="Q496">
            <v>1180</v>
          </cell>
          <cell r="R496">
            <v>5074</v>
          </cell>
          <cell r="S496"/>
          <cell r="T496">
            <v>0</v>
          </cell>
          <cell r="U496">
            <v>1734</v>
          </cell>
          <cell r="V496">
            <v>7456.2</v>
          </cell>
          <cell r="W496">
            <v>1716</v>
          </cell>
          <cell r="X496">
            <v>7378.7999999999993</v>
          </cell>
          <cell r="Y496">
            <v>841</v>
          </cell>
          <cell r="Z496">
            <v>3616.2999999999997</v>
          </cell>
          <cell r="AA496">
            <v>841</v>
          </cell>
          <cell r="AB496">
            <v>3616.2999999999997</v>
          </cell>
          <cell r="AC496">
            <v>841</v>
          </cell>
          <cell r="AD496">
            <v>3616.2999999999997</v>
          </cell>
          <cell r="AE496"/>
          <cell r="AF496"/>
          <cell r="AG496"/>
          <cell r="AH496"/>
          <cell r="AI496"/>
          <cell r="AJ496">
            <v>0</v>
          </cell>
          <cell r="AK496" t="str">
            <v>3P</v>
          </cell>
          <cell r="AL496">
            <v>213</v>
          </cell>
          <cell r="AM496">
            <v>351</v>
          </cell>
          <cell r="AN496" t="str">
            <v>08 Inactive Dealer</v>
          </cell>
          <cell r="AO496" t="str">
            <v>Northeast</v>
          </cell>
          <cell r="AP496" t="str">
            <v>North</v>
          </cell>
          <cell r="AQ496"/>
          <cell r="AR496">
            <v>0</v>
          </cell>
          <cell r="AS496">
            <v>0</v>
          </cell>
        </row>
        <row r="497">
          <cell r="A497">
            <v>12866</v>
          </cell>
          <cell r="B497" t="str">
            <v>TRAILERS OF NEW ENG</v>
          </cell>
          <cell r="C497" t="str">
            <v>M10424</v>
          </cell>
          <cell r="D497" t="str">
            <v>NET 5, BT+</v>
          </cell>
          <cell r="E497" t="str">
            <v>FP - Northpoint</v>
          </cell>
          <cell r="F497" t="str">
            <v>Yes</v>
          </cell>
          <cell r="G497" t="str">
            <v>OH</v>
          </cell>
          <cell r="H497">
            <v>8</v>
          </cell>
          <cell r="I497">
            <v>0.66500000000000004</v>
          </cell>
          <cell r="J497" t="str">
            <v>Trent Evans</v>
          </cell>
          <cell r="K497" t="str">
            <v>PALMER</v>
          </cell>
          <cell r="L497" t="str">
            <v>MA</v>
          </cell>
          <cell r="M497" t="str">
            <v>800-577-8858</v>
          </cell>
          <cell r="N497"/>
          <cell r="O497">
            <v>1590</v>
          </cell>
          <cell r="P497">
            <v>6837</v>
          </cell>
          <cell r="Q497">
            <v>1134</v>
          </cell>
          <cell r="R497">
            <v>4876.2</v>
          </cell>
          <cell r="S497"/>
          <cell r="T497">
            <v>0</v>
          </cell>
          <cell r="U497">
            <v>1686</v>
          </cell>
          <cell r="V497">
            <v>7249.7999999999993</v>
          </cell>
          <cell r="W497">
            <v>1670</v>
          </cell>
          <cell r="X497">
            <v>7181</v>
          </cell>
          <cell r="Y497">
            <v>797</v>
          </cell>
          <cell r="Z497">
            <v>3427.1</v>
          </cell>
          <cell r="AA497">
            <v>797</v>
          </cell>
          <cell r="AB497">
            <v>3427.1</v>
          </cell>
          <cell r="AC497">
            <v>797</v>
          </cell>
          <cell r="AD497">
            <v>3427.1</v>
          </cell>
          <cell r="AE497"/>
          <cell r="AF497"/>
          <cell r="AG497"/>
          <cell r="AH497"/>
          <cell r="AI497"/>
          <cell r="AJ497">
            <v>0</v>
          </cell>
          <cell r="AK497" t="str">
            <v>3P</v>
          </cell>
          <cell r="AL497">
            <v>226</v>
          </cell>
          <cell r="AM497">
            <v>427</v>
          </cell>
          <cell r="AN497" t="str">
            <v>01 Existing Dealer</v>
          </cell>
          <cell r="AO497" t="str">
            <v>Northeast</v>
          </cell>
          <cell r="AP497" t="str">
            <v>North</v>
          </cell>
          <cell r="AQ497"/>
          <cell r="AR497">
            <v>0</v>
          </cell>
          <cell r="AS497">
            <v>0</v>
          </cell>
        </row>
        <row r="498">
          <cell r="A498">
            <v>10524</v>
          </cell>
          <cell r="B498" t="str">
            <v>TRAILERS OF NEW ENG</v>
          </cell>
          <cell r="C498" t="str">
            <v>M10424</v>
          </cell>
          <cell r="D498" t="str">
            <v>NET 5, BT+</v>
          </cell>
          <cell r="E498" t="str">
            <v>CO</v>
          </cell>
          <cell r="F498" t="str">
            <v>Yes</v>
          </cell>
          <cell r="G498" t="str">
            <v>OH</v>
          </cell>
          <cell r="H498">
            <v>7</v>
          </cell>
          <cell r="I498">
            <v>0.66500000000000004</v>
          </cell>
          <cell r="J498" t="str">
            <v>Trent Evans</v>
          </cell>
          <cell r="K498" t="str">
            <v>PALMER</v>
          </cell>
          <cell r="L498" t="str">
            <v>MA</v>
          </cell>
          <cell r="M498" t="str">
            <v>800-577-8858</v>
          </cell>
          <cell r="N498"/>
          <cell r="O498">
            <v>1590</v>
          </cell>
          <cell r="P498">
            <v>6837</v>
          </cell>
          <cell r="Q498">
            <v>1134</v>
          </cell>
          <cell r="R498">
            <v>4876.2</v>
          </cell>
          <cell r="S498"/>
          <cell r="T498">
            <v>0</v>
          </cell>
          <cell r="U498">
            <v>1686</v>
          </cell>
          <cell r="V498">
            <v>7249.7999999999993</v>
          </cell>
          <cell r="W498">
            <v>1670</v>
          </cell>
          <cell r="X498">
            <v>7181</v>
          </cell>
          <cell r="Y498">
            <v>797</v>
          </cell>
          <cell r="Z498">
            <v>3427.1</v>
          </cell>
          <cell r="AA498">
            <v>797</v>
          </cell>
          <cell r="AB498">
            <v>3427.1</v>
          </cell>
          <cell r="AC498">
            <v>797</v>
          </cell>
          <cell r="AD498">
            <v>3427.1</v>
          </cell>
          <cell r="AE498"/>
          <cell r="AF498"/>
          <cell r="AG498"/>
          <cell r="AH498"/>
          <cell r="AI498"/>
          <cell r="AJ498">
            <v>0</v>
          </cell>
          <cell r="AK498" t="str">
            <v>3P</v>
          </cell>
          <cell r="AL498">
            <v>226</v>
          </cell>
          <cell r="AM498">
            <v>427</v>
          </cell>
          <cell r="AN498" t="str">
            <v>01 Existing Dealer</v>
          </cell>
          <cell r="AO498" t="str">
            <v>Northeast</v>
          </cell>
          <cell r="AP498" t="str">
            <v>North</v>
          </cell>
          <cell r="AQ498"/>
          <cell r="AR498">
            <v>0</v>
          </cell>
          <cell r="AS498">
            <v>0</v>
          </cell>
        </row>
        <row r="499">
          <cell r="A499">
            <v>13007</v>
          </cell>
          <cell r="B499" t="str">
            <v>TW LEOMINSTER</v>
          </cell>
          <cell r="C499" t="str">
            <v>M10860</v>
          </cell>
          <cell r="D499" t="str">
            <v>Net 30, no pink card</v>
          </cell>
          <cell r="E499">
            <v>30</v>
          </cell>
          <cell r="F499" t="str">
            <v>Yes</v>
          </cell>
          <cell r="G499" t="str">
            <v>OH</v>
          </cell>
          <cell r="H499">
            <v>10</v>
          </cell>
          <cell r="I499">
            <v>0.66500000000000004</v>
          </cell>
          <cell r="J499" t="str">
            <v>Jake McEntee</v>
          </cell>
          <cell r="K499" t="str">
            <v>LEOMINSTER</v>
          </cell>
          <cell r="L499" t="str">
            <v>MA</v>
          </cell>
          <cell r="M499" t="str">
            <v>800-577-8858</v>
          </cell>
          <cell r="N499" t="str">
            <v>All tandem axle trailers must have BRK2</v>
          </cell>
          <cell r="O499">
            <v>1635</v>
          </cell>
          <cell r="P499">
            <v>7030.5</v>
          </cell>
          <cell r="Q499">
            <v>1133</v>
          </cell>
          <cell r="R499">
            <v>4871.8999999999996</v>
          </cell>
          <cell r="S499"/>
          <cell r="T499">
            <v>0</v>
          </cell>
          <cell r="U499">
            <v>1729</v>
          </cell>
          <cell r="V499">
            <v>7434.7</v>
          </cell>
          <cell r="W499">
            <v>1721</v>
          </cell>
          <cell r="X499">
            <v>7400.2999999999993</v>
          </cell>
          <cell r="Y499">
            <v>838</v>
          </cell>
          <cell r="Z499">
            <v>3603.3999999999996</v>
          </cell>
          <cell r="AA499">
            <v>838</v>
          </cell>
          <cell r="AB499">
            <v>3603.3999999999996</v>
          </cell>
          <cell r="AC499">
            <v>838</v>
          </cell>
          <cell r="AD499">
            <v>3603.3999999999996</v>
          </cell>
          <cell r="AE499">
            <v>3.6200000000000003E-2</v>
          </cell>
          <cell r="AF499"/>
          <cell r="AG499">
            <v>0.105</v>
          </cell>
          <cell r="AH499">
            <v>0.105</v>
          </cell>
          <cell r="AI499">
            <v>0.105</v>
          </cell>
          <cell r="AJ499">
            <v>0.04</v>
          </cell>
          <cell r="AK499" t="str">
            <v>TW</v>
          </cell>
          <cell r="AL499">
            <v>161</v>
          </cell>
          <cell r="AM499">
            <v>480</v>
          </cell>
          <cell r="AN499" t="str">
            <v>04 Co.Store</v>
          </cell>
          <cell r="AO499" t="str">
            <v>Northeast</v>
          </cell>
          <cell r="AP499" t="str">
            <v>North</v>
          </cell>
          <cell r="AQ499"/>
          <cell r="AR499">
            <v>106075</v>
          </cell>
          <cell r="AS499">
            <v>0</v>
          </cell>
        </row>
        <row r="500">
          <cell r="A500">
            <v>10555</v>
          </cell>
          <cell r="B500" t="str">
            <v>WELCH WELDING</v>
          </cell>
          <cell r="C500" t="str">
            <v>M10448</v>
          </cell>
          <cell r="D500" t="str">
            <v>NET 5, BT+</v>
          </cell>
          <cell r="E500" t="str">
            <v>CO</v>
          </cell>
          <cell r="F500" t="str">
            <v>Yes</v>
          </cell>
          <cell r="G500" t="str">
            <v>OH</v>
          </cell>
          <cell r="H500">
            <v>5</v>
          </cell>
          <cell r="I500">
            <v>0.66500000000000004</v>
          </cell>
          <cell r="J500" t="str">
            <v>Dakota Nation</v>
          </cell>
          <cell r="K500" t="str">
            <v>N. CHELMSFORD</v>
          </cell>
          <cell r="L500" t="str">
            <v>MA</v>
          </cell>
          <cell r="M500" t="str">
            <v>800-577-8858</v>
          </cell>
          <cell r="N500"/>
          <cell r="O500">
            <v>1652</v>
          </cell>
          <cell r="P500">
            <v>7103.5999999999995</v>
          </cell>
          <cell r="Q500">
            <v>1196</v>
          </cell>
          <cell r="R500">
            <v>5142.8</v>
          </cell>
          <cell r="S500"/>
          <cell r="T500">
            <v>0</v>
          </cell>
          <cell r="U500">
            <v>1750</v>
          </cell>
          <cell r="V500">
            <v>7525</v>
          </cell>
          <cell r="W500">
            <v>1732</v>
          </cell>
          <cell r="X500">
            <v>7447.5999999999995</v>
          </cell>
          <cell r="Y500">
            <v>857</v>
          </cell>
          <cell r="Z500">
            <v>3685.1</v>
          </cell>
          <cell r="AA500">
            <v>857</v>
          </cell>
          <cell r="AB500">
            <v>3685.1</v>
          </cell>
          <cell r="AC500">
            <v>857</v>
          </cell>
          <cell r="AD500">
            <v>3685.1</v>
          </cell>
          <cell r="AE500"/>
          <cell r="AF500"/>
          <cell r="AG500"/>
          <cell r="AH500"/>
          <cell r="AI500"/>
          <cell r="AJ500">
            <v>0</v>
          </cell>
          <cell r="AK500" t="str">
            <v>3P</v>
          </cell>
          <cell r="AL500">
            <v>223</v>
          </cell>
          <cell r="AM500">
            <v>51</v>
          </cell>
          <cell r="AN500" t="str">
            <v>01 Existing Dealer</v>
          </cell>
          <cell r="AO500" t="str">
            <v>Northeast</v>
          </cell>
          <cell r="AP500" t="str">
            <v>North</v>
          </cell>
          <cell r="AQ500"/>
          <cell r="AR500">
            <v>0</v>
          </cell>
          <cell r="AS500">
            <v>0</v>
          </cell>
        </row>
        <row r="501">
          <cell r="A501">
            <v>12904</v>
          </cell>
          <cell r="B501" t="str">
            <v>BARRICK GARDEN</v>
          </cell>
          <cell r="C501" t="str">
            <v>M10044</v>
          </cell>
          <cell r="D501" t="str">
            <v>NET 5, BT+</v>
          </cell>
          <cell r="E501" t="str">
            <v>FP - Northpoint</v>
          </cell>
          <cell r="F501" t="str">
            <v>Yes</v>
          </cell>
          <cell r="G501" t="str">
            <v>OH</v>
          </cell>
          <cell r="H501">
            <v>8</v>
          </cell>
          <cell r="I501">
            <v>0.66500000000000004</v>
          </cell>
          <cell r="J501" t="str">
            <v>House</v>
          </cell>
          <cell r="K501" t="str">
            <v>WALKERSVILLE</v>
          </cell>
          <cell r="L501" t="str">
            <v>MD</v>
          </cell>
          <cell r="M501" t="str">
            <v>800-577-8858</v>
          </cell>
          <cell r="N501" t="str">
            <v>All tandem axle trailers must have BRK2</v>
          </cell>
          <cell r="O501">
            <v>1206</v>
          </cell>
          <cell r="P501">
            <v>5185.8</v>
          </cell>
          <cell r="Q501">
            <v>769</v>
          </cell>
          <cell r="R501">
            <v>3306.7</v>
          </cell>
          <cell r="S501"/>
          <cell r="T501">
            <v>0</v>
          </cell>
          <cell r="U501">
            <v>1302</v>
          </cell>
          <cell r="V501">
            <v>5598.5999999999995</v>
          </cell>
          <cell r="W501">
            <v>1286</v>
          </cell>
          <cell r="X501">
            <v>5529.8</v>
          </cell>
          <cell r="Y501">
            <v>435</v>
          </cell>
          <cell r="Z501">
            <v>1870.5</v>
          </cell>
          <cell r="AA501">
            <v>435</v>
          </cell>
          <cell r="AB501">
            <v>1870.5</v>
          </cell>
          <cell r="AC501">
            <v>435</v>
          </cell>
          <cell r="AD501">
            <v>1870.5</v>
          </cell>
          <cell r="AE501"/>
          <cell r="AF501"/>
          <cell r="AG501"/>
          <cell r="AH501"/>
          <cell r="AI501"/>
          <cell r="AJ501">
            <v>0</v>
          </cell>
          <cell r="AK501" t="str">
            <v>3P</v>
          </cell>
          <cell r="AL501">
            <v>400</v>
          </cell>
          <cell r="AM501">
            <v>461</v>
          </cell>
          <cell r="AN501" t="str">
            <v>08 Inactive Dealer</v>
          </cell>
          <cell r="AO501" t="str">
            <v>Northeast</v>
          </cell>
          <cell r="AP501" t="str">
            <v>North</v>
          </cell>
          <cell r="AQ501"/>
          <cell r="AR501">
            <v>0</v>
          </cell>
          <cell r="AS501">
            <v>0</v>
          </cell>
        </row>
        <row r="502">
          <cell r="A502">
            <v>11998</v>
          </cell>
          <cell r="B502" t="str">
            <v>CREIGHTON'S</v>
          </cell>
          <cell r="C502" t="str">
            <v>M10166</v>
          </cell>
          <cell r="D502" t="str">
            <v>NET 5, BT+</v>
          </cell>
          <cell r="E502" t="str">
            <v>C6</v>
          </cell>
          <cell r="F502" t="str">
            <v>No</v>
          </cell>
          <cell r="G502" t="str">
            <v>OH</v>
          </cell>
          <cell r="H502">
            <v>9</v>
          </cell>
          <cell r="I502">
            <v>0.66500000000000004</v>
          </cell>
          <cell r="J502" t="str">
            <v>Orphaned Acct</v>
          </cell>
          <cell r="K502" t="str">
            <v>MARDELA SPRINGS</v>
          </cell>
          <cell r="L502" t="str">
            <v>MD</v>
          </cell>
          <cell r="M502" t="str">
            <v>800-577-8858</v>
          </cell>
          <cell r="N502"/>
          <cell r="O502">
            <v>1325</v>
          </cell>
          <cell r="P502">
            <v>5697.5</v>
          </cell>
          <cell r="Q502">
            <v>798</v>
          </cell>
          <cell r="R502">
            <v>3431.3999999999996</v>
          </cell>
          <cell r="S502"/>
          <cell r="T502">
            <v>0</v>
          </cell>
          <cell r="U502">
            <v>1421</v>
          </cell>
          <cell r="V502">
            <v>6110.3</v>
          </cell>
          <cell r="W502">
            <v>1405</v>
          </cell>
          <cell r="X502">
            <v>6041.5</v>
          </cell>
          <cell r="Y502">
            <v>570</v>
          </cell>
          <cell r="Z502">
            <v>2451</v>
          </cell>
          <cell r="AA502">
            <v>570</v>
          </cell>
          <cell r="AB502">
            <v>2451</v>
          </cell>
          <cell r="AC502">
            <v>570</v>
          </cell>
          <cell r="AD502">
            <v>2451</v>
          </cell>
          <cell r="AE502"/>
          <cell r="AF502"/>
          <cell r="AG502"/>
          <cell r="AH502"/>
          <cell r="AI502"/>
          <cell r="AJ502">
            <v>0</v>
          </cell>
          <cell r="AK502" t="str">
            <v>3P</v>
          </cell>
          <cell r="AL502">
            <v>213</v>
          </cell>
          <cell r="AM502">
            <v>398</v>
          </cell>
          <cell r="AN502" t="str">
            <v>08 Inactive Dealer</v>
          </cell>
          <cell r="AO502" t="str">
            <v>Northeast</v>
          </cell>
          <cell r="AP502" t="str">
            <v>North</v>
          </cell>
          <cell r="AQ502"/>
          <cell r="AR502">
            <v>0</v>
          </cell>
          <cell r="AS502">
            <v>0</v>
          </cell>
        </row>
        <row r="503">
          <cell r="A503">
            <v>13024</v>
          </cell>
          <cell r="B503" t="str">
            <v>CREIGHTON'S</v>
          </cell>
          <cell r="C503" t="str">
            <v>M10166</v>
          </cell>
          <cell r="D503" t="str">
            <v>NET 5, BT+</v>
          </cell>
          <cell r="E503" t="str">
            <v>FP - Northpoint</v>
          </cell>
          <cell r="F503" t="str">
            <v>Yes</v>
          </cell>
          <cell r="G503" t="str">
            <v>OH</v>
          </cell>
          <cell r="H503">
            <v>8</v>
          </cell>
          <cell r="I503">
            <v>0.66500000000000004</v>
          </cell>
          <cell r="J503" t="str">
            <v>Orphaned Acct</v>
          </cell>
          <cell r="K503" t="str">
            <v>MARDELA SPRINGS</v>
          </cell>
          <cell r="L503" t="str">
            <v>MD</v>
          </cell>
          <cell r="M503" t="str">
            <v>800-577-8858</v>
          </cell>
          <cell r="N503"/>
          <cell r="O503">
            <v>1325</v>
          </cell>
          <cell r="P503">
            <v>5697.5</v>
          </cell>
          <cell r="Q503">
            <v>798</v>
          </cell>
          <cell r="R503">
            <v>3431.3999999999996</v>
          </cell>
          <cell r="S503"/>
          <cell r="T503">
            <v>0</v>
          </cell>
          <cell r="U503">
            <v>1421</v>
          </cell>
          <cell r="V503">
            <v>6110.3</v>
          </cell>
          <cell r="W503">
            <v>1405</v>
          </cell>
          <cell r="X503">
            <v>6041.5</v>
          </cell>
          <cell r="Y503">
            <v>570</v>
          </cell>
          <cell r="Z503">
            <v>2451</v>
          </cell>
          <cell r="AA503">
            <v>570</v>
          </cell>
          <cell r="AB503">
            <v>2451</v>
          </cell>
          <cell r="AC503">
            <v>570</v>
          </cell>
          <cell r="AD503">
            <v>2451</v>
          </cell>
          <cell r="AE503"/>
          <cell r="AF503"/>
          <cell r="AG503"/>
          <cell r="AH503"/>
          <cell r="AI503"/>
          <cell r="AJ503">
            <v>0</v>
          </cell>
          <cell r="AK503" t="str">
            <v>3P</v>
          </cell>
          <cell r="AL503">
            <v>213</v>
          </cell>
          <cell r="AM503">
            <v>398</v>
          </cell>
          <cell r="AN503" t="str">
            <v>08 Inactive Dealer</v>
          </cell>
          <cell r="AO503" t="str">
            <v>Northeast</v>
          </cell>
          <cell r="AP503" t="str">
            <v>North</v>
          </cell>
          <cell r="AQ503"/>
          <cell r="AR503">
            <v>0</v>
          </cell>
          <cell r="AS503">
            <v>0</v>
          </cell>
        </row>
        <row r="504">
          <cell r="A504">
            <v>13510</v>
          </cell>
          <cell r="B504" t="str">
            <v>J&amp;S EQUIPMENT</v>
          </cell>
          <cell r="C504" t="str">
            <v>M11442</v>
          </cell>
          <cell r="D504" t="str">
            <v>NET 5, BT+</v>
          </cell>
          <cell r="E504" t="str">
            <v>F8 - Wells</v>
          </cell>
          <cell r="F504" t="str">
            <v>Yes</v>
          </cell>
          <cell r="G504" t="str">
            <v>OH</v>
          </cell>
          <cell r="H504">
            <v>8</v>
          </cell>
          <cell r="I504">
            <v>0.66500000000000004</v>
          </cell>
          <cell r="J504" t="str">
            <v>JL Smith</v>
          </cell>
          <cell r="K504" t="str">
            <v>MARDELA SPRINGS</v>
          </cell>
          <cell r="L504" t="str">
            <v>MD</v>
          </cell>
          <cell r="M504" t="str">
            <v>800-577-8858</v>
          </cell>
          <cell r="N504" t="str">
            <v>All tandem axle trailers must have BRK2</v>
          </cell>
          <cell r="O504">
            <v>1324</v>
          </cell>
          <cell r="P504">
            <v>5693.2</v>
          </cell>
          <cell r="Q504">
            <v>791</v>
          </cell>
          <cell r="R504">
            <v>3401.2999999999997</v>
          </cell>
          <cell r="S504"/>
          <cell r="T504">
            <v>0</v>
          </cell>
          <cell r="U504">
            <v>1427</v>
          </cell>
          <cell r="V504">
            <v>6136.0999999999995</v>
          </cell>
          <cell r="W504">
            <v>1403</v>
          </cell>
          <cell r="X504">
            <v>6032.9</v>
          </cell>
          <cell r="Y504">
            <v>585</v>
          </cell>
          <cell r="Z504">
            <v>2515.5</v>
          </cell>
          <cell r="AA504">
            <v>585</v>
          </cell>
          <cell r="AB504">
            <v>2515.5</v>
          </cell>
          <cell r="AC504">
            <v>585</v>
          </cell>
          <cell r="AD504">
            <v>2515.5</v>
          </cell>
          <cell r="AE504"/>
          <cell r="AF504"/>
          <cell r="AG504"/>
          <cell r="AH504"/>
          <cell r="AI504"/>
          <cell r="AJ504">
            <v>0</v>
          </cell>
          <cell r="AK504" t="str">
            <v>3P</v>
          </cell>
          <cell r="AL504">
            <v>151</v>
          </cell>
          <cell r="AM504">
            <v>398</v>
          </cell>
          <cell r="AN504" t="str">
            <v>01 Existing Dealer</v>
          </cell>
          <cell r="AO504" t="str">
            <v>Northeast</v>
          </cell>
          <cell r="AP504" t="str">
            <v>North</v>
          </cell>
          <cell r="AQ504"/>
          <cell r="AR504">
            <v>0</v>
          </cell>
          <cell r="AS504">
            <v>0</v>
          </cell>
          <cell r="AT504"/>
        </row>
        <row r="505">
          <cell r="A505">
            <v>10275</v>
          </cell>
          <cell r="B505" t="str">
            <v>JIMMY COX</v>
          </cell>
          <cell r="C505" t="str">
            <v>M10694</v>
          </cell>
          <cell r="D505" t="str">
            <v>NET 5, BT+</v>
          </cell>
          <cell r="E505" t="str">
            <v>CO</v>
          </cell>
          <cell r="F505" t="str">
            <v>Yes</v>
          </cell>
          <cell r="G505" t="str">
            <v>OH</v>
          </cell>
          <cell r="H505">
            <v>7</v>
          </cell>
          <cell r="I505">
            <v>0.66500000000000004</v>
          </cell>
          <cell r="J505" t="str">
            <v>Orphaned Acct</v>
          </cell>
          <cell r="K505" t="str">
            <v>UPPER MARLBORO</v>
          </cell>
          <cell r="L505" t="str">
            <v>MD</v>
          </cell>
          <cell r="M505" t="str">
            <v>800-577-8858</v>
          </cell>
          <cell r="N505" t="str">
            <v>All tandem axle trailers must have BRK2</v>
          </cell>
          <cell r="O505">
            <v>1234</v>
          </cell>
          <cell r="P505">
            <v>5306.2</v>
          </cell>
          <cell r="Q505">
            <v>752</v>
          </cell>
          <cell r="R505">
            <v>3233.6</v>
          </cell>
          <cell r="S505"/>
          <cell r="T505">
            <v>0</v>
          </cell>
          <cell r="U505">
            <v>1363</v>
          </cell>
          <cell r="V505">
            <v>5860.9</v>
          </cell>
          <cell r="W505"/>
          <cell r="X505">
            <v>0</v>
          </cell>
          <cell r="Y505">
            <v>491</v>
          </cell>
          <cell r="Z505">
            <v>2111.2999999999997</v>
          </cell>
          <cell r="AA505">
            <v>491</v>
          </cell>
          <cell r="AB505">
            <v>2111.2999999999997</v>
          </cell>
          <cell r="AC505">
            <v>491</v>
          </cell>
          <cell r="AD505">
            <v>2111.2999999999997</v>
          </cell>
          <cell r="AE505"/>
          <cell r="AF505"/>
          <cell r="AG505"/>
          <cell r="AH505"/>
          <cell r="AI505"/>
          <cell r="AJ505">
            <v>0</v>
          </cell>
          <cell r="AK505" t="str">
            <v>3P</v>
          </cell>
          <cell r="AL505">
            <v>213</v>
          </cell>
          <cell r="AM505">
            <v>461</v>
          </cell>
          <cell r="AN505" t="str">
            <v>01 Existing Dealer</v>
          </cell>
          <cell r="AO505" t="str">
            <v>Northeast</v>
          </cell>
          <cell r="AP505" t="str">
            <v>North</v>
          </cell>
          <cell r="AQ505"/>
          <cell r="AR505">
            <v>0</v>
          </cell>
          <cell r="AS505">
            <v>0</v>
          </cell>
        </row>
        <row r="506">
          <cell r="A506">
            <v>12017</v>
          </cell>
          <cell r="B506" t="str">
            <v>LUX TRAILER SALES</v>
          </cell>
          <cell r="C506" t="str">
            <v>M10272</v>
          </cell>
          <cell r="D506" t="str">
            <v>NET 5, BT+</v>
          </cell>
          <cell r="E506" t="str">
            <v>CO</v>
          </cell>
          <cell r="F506" t="str">
            <v>Yes</v>
          </cell>
          <cell r="G506" t="str">
            <v>OH</v>
          </cell>
          <cell r="H506">
            <v>7</v>
          </cell>
          <cell r="I506">
            <v>0.66500000000000004</v>
          </cell>
          <cell r="J506" t="str">
            <v>Orphaned Acct</v>
          </cell>
          <cell r="K506" t="str">
            <v>LANHAM</v>
          </cell>
          <cell r="L506" t="str">
            <v>MD</v>
          </cell>
          <cell r="M506" t="str">
            <v>800-577-8858</v>
          </cell>
          <cell r="N506" t="str">
            <v>DEALER CLOSED FRIDAY &amp; SATURDAY</v>
          </cell>
          <cell r="O506">
            <v>1229</v>
          </cell>
          <cell r="P506">
            <v>5284.7</v>
          </cell>
          <cell r="Q506">
            <v>760</v>
          </cell>
          <cell r="R506">
            <v>3268</v>
          </cell>
          <cell r="S506"/>
          <cell r="T506">
            <v>0</v>
          </cell>
          <cell r="U506">
            <v>1325</v>
          </cell>
          <cell r="V506">
            <v>5697.5</v>
          </cell>
          <cell r="W506">
            <v>1309</v>
          </cell>
          <cell r="X506">
            <v>5628.7</v>
          </cell>
          <cell r="Y506">
            <v>475</v>
          </cell>
          <cell r="Z506">
            <v>2042.5</v>
          </cell>
          <cell r="AA506">
            <v>475</v>
          </cell>
          <cell r="AB506">
            <v>2042.5</v>
          </cell>
          <cell r="AC506">
            <v>475</v>
          </cell>
          <cell r="AD506">
            <v>2042.5</v>
          </cell>
          <cell r="AE506"/>
          <cell r="AF506"/>
          <cell r="AG506"/>
          <cell r="AH506"/>
          <cell r="AI506"/>
          <cell r="AJ506">
            <v>0</v>
          </cell>
          <cell r="AK506" t="str">
            <v>3P</v>
          </cell>
          <cell r="AL506">
            <v>213</v>
          </cell>
          <cell r="AM506">
            <v>461</v>
          </cell>
          <cell r="AN506" t="str">
            <v>08 Inactive Dealer</v>
          </cell>
          <cell r="AO506" t="str">
            <v>Northeast</v>
          </cell>
          <cell r="AP506" t="str">
            <v>North</v>
          </cell>
          <cell r="AQ506"/>
          <cell r="AR506">
            <v>0</v>
          </cell>
          <cell r="AS506">
            <v>0</v>
          </cell>
        </row>
        <row r="507">
          <cell r="A507">
            <v>12815</v>
          </cell>
          <cell r="B507" t="str">
            <v>PSL</v>
          </cell>
          <cell r="C507" t="str">
            <v>M10337</v>
          </cell>
          <cell r="D507" t="str">
            <v>Return Mail, no pink card</v>
          </cell>
          <cell r="E507" t="str">
            <v>RM</v>
          </cell>
          <cell r="F507" t="str">
            <v>Yes</v>
          </cell>
          <cell r="G507" t="str">
            <v>OH</v>
          </cell>
          <cell r="H507">
            <v>7</v>
          </cell>
          <cell r="I507">
            <v>0.66500000000000004</v>
          </cell>
          <cell r="J507" t="str">
            <v>Lane Davis</v>
          </cell>
          <cell r="K507" t="str">
            <v>WHITE MARSH</v>
          </cell>
          <cell r="L507" t="str">
            <v>MD</v>
          </cell>
          <cell r="M507" t="str">
            <v>800-577-8858</v>
          </cell>
          <cell r="N507"/>
          <cell r="O507">
            <v>1265</v>
          </cell>
          <cell r="P507">
            <v>5439.5</v>
          </cell>
          <cell r="Q507">
            <v>804</v>
          </cell>
          <cell r="R507">
            <v>3457.2</v>
          </cell>
          <cell r="S507"/>
          <cell r="T507">
            <v>0</v>
          </cell>
          <cell r="U507">
            <v>1361</v>
          </cell>
          <cell r="V507">
            <v>5852.3</v>
          </cell>
          <cell r="W507">
            <v>1345</v>
          </cell>
          <cell r="X507">
            <v>5783.5</v>
          </cell>
          <cell r="Y507">
            <v>486</v>
          </cell>
          <cell r="Z507">
            <v>2089.7999999999997</v>
          </cell>
          <cell r="AA507">
            <v>486</v>
          </cell>
          <cell r="AB507">
            <v>2089.7999999999997</v>
          </cell>
          <cell r="AC507">
            <v>486</v>
          </cell>
          <cell r="AD507">
            <v>2089.7999999999997</v>
          </cell>
          <cell r="AE507"/>
          <cell r="AF507"/>
          <cell r="AG507"/>
          <cell r="AH507"/>
          <cell r="AI507"/>
          <cell r="AJ507">
            <v>0</v>
          </cell>
          <cell r="AK507" t="str">
            <v>3P</v>
          </cell>
          <cell r="AL507">
            <v>275</v>
          </cell>
          <cell r="AM507">
            <v>29</v>
          </cell>
          <cell r="AN507" t="str">
            <v>01 Existing Dealer</v>
          </cell>
          <cell r="AO507" t="str">
            <v>Northeast</v>
          </cell>
          <cell r="AP507" t="str">
            <v>North</v>
          </cell>
          <cell r="AQ507"/>
          <cell r="AR507">
            <v>95830</v>
          </cell>
          <cell r="AS507">
            <v>57729</v>
          </cell>
        </row>
        <row r="508">
          <cell r="A508">
            <v>13406</v>
          </cell>
          <cell r="B508" t="str">
            <v>HITCH MAN - MD</v>
          </cell>
          <cell r="C508" t="str">
            <v>M11369</v>
          </cell>
          <cell r="D508" t="str">
            <v>Return Mail, no pink card</v>
          </cell>
          <cell r="E508" t="str">
            <v>FP - Wells Fargo</v>
          </cell>
          <cell r="F508" t="str">
            <v>Yes</v>
          </cell>
          <cell r="G508" t="str">
            <v>OH</v>
          </cell>
          <cell r="H508">
            <v>7</v>
          </cell>
          <cell r="I508">
            <v>0.66500000000000004</v>
          </cell>
          <cell r="J508" t="str">
            <v>Lane Davis</v>
          </cell>
          <cell r="K508" t="str">
            <v>TANEYTOWN</v>
          </cell>
          <cell r="L508" t="str">
            <v>MD</v>
          </cell>
          <cell r="M508" t="str">
            <v>800-577-8858</v>
          </cell>
          <cell r="N508" t="str">
            <v>All tandem axle trailers must have BRK2</v>
          </cell>
          <cell r="O508">
            <v>1222</v>
          </cell>
          <cell r="P508">
            <v>5254.5999999999995</v>
          </cell>
          <cell r="Q508">
            <v>785</v>
          </cell>
          <cell r="R508">
            <v>3375.5</v>
          </cell>
          <cell r="S508"/>
          <cell r="T508">
            <v>0</v>
          </cell>
          <cell r="U508">
            <v>1318</v>
          </cell>
          <cell r="V508">
            <v>5667.4</v>
          </cell>
          <cell r="W508">
            <v>1302</v>
          </cell>
          <cell r="X508">
            <v>5598.5999999999995</v>
          </cell>
          <cell r="Y508">
            <v>458</v>
          </cell>
          <cell r="Z508">
            <v>1969.3999999999999</v>
          </cell>
          <cell r="AA508">
            <v>458</v>
          </cell>
          <cell r="AB508">
            <v>1969.3999999999999</v>
          </cell>
          <cell r="AC508">
            <v>458</v>
          </cell>
          <cell r="AD508">
            <v>1969.3999999999999</v>
          </cell>
          <cell r="AE508"/>
          <cell r="AF508"/>
          <cell r="AG508"/>
          <cell r="AH508"/>
          <cell r="AI508"/>
          <cell r="AJ508">
            <v>0.02</v>
          </cell>
          <cell r="AK508" t="str">
            <v>3P</v>
          </cell>
          <cell r="AL508">
            <v>275</v>
          </cell>
          <cell r="AM508">
            <v>29</v>
          </cell>
          <cell r="AN508" t="str">
            <v>01 Existing Dealer</v>
          </cell>
          <cell r="AO508" t="str">
            <v>Northeast</v>
          </cell>
          <cell r="AP508" t="str">
            <v>North</v>
          </cell>
          <cell r="AQ508"/>
          <cell r="AR508">
            <v>0</v>
          </cell>
          <cell r="AS508">
            <v>0</v>
          </cell>
        </row>
        <row r="509">
          <cell r="A509">
            <v>13491</v>
          </cell>
          <cell r="B509" t="str">
            <v>THE EASTERN SERVICE CORPORATION</v>
          </cell>
          <cell r="C509" t="str">
            <v>M11467</v>
          </cell>
          <cell r="D509" t="str">
            <v>NET 5, BT+</v>
          </cell>
          <cell r="E509" t="str">
            <v>FP - Wells Fargo</v>
          </cell>
          <cell r="F509" t="str">
            <v>Yes</v>
          </cell>
          <cell r="G509" t="str">
            <v>OH</v>
          </cell>
          <cell r="H509">
            <v>8</v>
          </cell>
          <cell r="I509">
            <v>0.66500000000000004</v>
          </cell>
          <cell r="J509" t="str">
            <v>JL Smith</v>
          </cell>
          <cell r="K509" t="str">
            <v>CAMBRIDGE</v>
          </cell>
          <cell r="L509" t="str">
            <v>MD</v>
          </cell>
          <cell r="M509" t="str">
            <v>800-577-8858</v>
          </cell>
          <cell r="N509" t="str">
            <v>All tandem axle trailers must have BRK2</v>
          </cell>
          <cell r="O509">
            <v>1306</v>
          </cell>
          <cell r="P509">
            <v>5615.8</v>
          </cell>
          <cell r="Q509">
            <v>826</v>
          </cell>
          <cell r="R509">
            <v>3551.7999999999997</v>
          </cell>
          <cell r="S509"/>
          <cell r="T509">
            <v>0</v>
          </cell>
          <cell r="U509">
            <v>1408</v>
          </cell>
          <cell r="V509">
            <v>6054.4</v>
          </cell>
          <cell r="W509">
            <v>1385</v>
          </cell>
          <cell r="X509">
            <v>5955.5</v>
          </cell>
          <cell r="Y509">
            <v>564</v>
          </cell>
          <cell r="Z509">
            <v>2425.1999999999998</v>
          </cell>
          <cell r="AA509">
            <v>564</v>
          </cell>
          <cell r="AB509">
            <v>2425.1999999999998</v>
          </cell>
          <cell r="AC509">
            <v>564</v>
          </cell>
          <cell r="AD509">
            <v>2425.1999999999998</v>
          </cell>
          <cell r="AE509"/>
          <cell r="AF509"/>
          <cell r="AG509"/>
          <cell r="AH509"/>
          <cell r="AI509"/>
          <cell r="AJ509">
            <v>0</v>
          </cell>
          <cell r="AK509" t="str">
            <v>3P</v>
          </cell>
          <cell r="AL509">
            <v>151</v>
          </cell>
          <cell r="AM509">
            <v>398</v>
          </cell>
          <cell r="AN509" t="str">
            <v>03 New Dealer</v>
          </cell>
          <cell r="AO509" t="str">
            <v>Northeast</v>
          </cell>
          <cell r="AP509" t="str">
            <v>North</v>
          </cell>
          <cell r="AQ509"/>
          <cell r="AR509">
            <v>0</v>
          </cell>
          <cell r="AS509">
            <v>0</v>
          </cell>
        </row>
        <row r="510">
          <cell r="A510">
            <v>13029</v>
          </cell>
          <cell r="B510" t="str">
            <v>TRUCK'N AMERICA</v>
          </cell>
          <cell r="C510" t="str">
            <v>M10428</v>
          </cell>
          <cell r="D510" t="str">
            <v>Net 60, no pink card</v>
          </cell>
          <cell r="E510">
            <v>60</v>
          </cell>
          <cell r="F510" t="str">
            <v>Yes</v>
          </cell>
          <cell r="G510" t="str">
            <v>OH</v>
          </cell>
          <cell r="H510">
            <v>5</v>
          </cell>
          <cell r="I510">
            <v>0.66500000000000004</v>
          </cell>
          <cell r="J510" t="str">
            <v>JL Smith</v>
          </cell>
          <cell r="K510" t="str">
            <v>WALDORF</v>
          </cell>
          <cell r="L510" t="str">
            <v>MD</v>
          </cell>
          <cell r="M510" t="str">
            <v>800-577-8858</v>
          </cell>
          <cell r="N510"/>
          <cell r="O510">
            <v>1232</v>
          </cell>
          <cell r="P510">
            <v>5297.5999999999995</v>
          </cell>
          <cell r="Q510">
            <v>734</v>
          </cell>
          <cell r="R510">
            <v>3156.2</v>
          </cell>
          <cell r="S510"/>
          <cell r="T510">
            <v>0</v>
          </cell>
          <cell r="U510">
            <v>1328</v>
          </cell>
          <cell r="V510">
            <v>5710.4</v>
          </cell>
          <cell r="W510">
            <v>1312</v>
          </cell>
          <cell r="X510">
            <v>5641.5999999999995</v>
          </cell>
          <cell r="Y510">
            <v>501</v>
          </cell>
          <cell r="Z510">
            <v>2154.2999999999997</v>
          </cell>
          <cell r="AA510">
            <v>501</v>
          </cell>
          <cell r="AB510">
            <v>2154.2999999999997</v>
          </cell>
          <cell r="AC510">
            <v>501</v>
          </cell>
          <cell r="AD510">
            <v>2154.2999999999997</v>
          </cell>
          <cell r="AE510"/>
          <cell r="AF510"/>
          <cell r="AG510"/>
          <cell r="AH510"/>
          <cell r="AI510"/>
          <cell r="AJ510">
            <v>5.0000000000000001E-3</v>
          </cell>
          <cell r="AK510" t="str">
            <v>3P</v>
          </cell>
          <cell r="AL510">
            <v>151</v>
          </cell>
          <cell r="AM510">
            <v>461</v>
          </cell>
          <cell r="AN510" t="str">
            <v>01 Existing Dealer</v>
          </cell>
          <cell r="AO510" t="str">
            <v>Northeast</v>
          </cell>
          <cell r="AP510" t="str">
            <v>North</v>
          </cell>
          <cell r="AQ510"/>
          <cell r="AR510">
            <v>0</v>
          </cell>
          <cell r="AS510">
            <v>0</v>
          </cell>
        </row>
        <row r="511">
          <cell r="A511" t="str">
            <v>13029A</v>
          </cell>
          <cell r="B511" t="str">
            <v>TRUCK'N AMERICA</v>
          </cell>
          <cell r="C511" t="str">
            <v>M10428</v>
          </cell>
          <cell r="D511" t="str">
            <v>Net 60, no pink card</v>
          </cell>
          <cell r="E511">
            <v>60</v>
          </cell>
          <cell r="F511" t="str">
            <v>Yes</v>
          </cell>
          <cell r="G511" t="str">
            <v>OH</v>
          </cell>
          <cell r="H511">
            <v>5</v>
          </cell>
          <cell r="I511">
            <v>0.66500000000000004</v>
          </cell>
          <cell r="J511" t="str">
            <v>JL Smith</v>
          </cell>
          <cell r="K511" t="str">
            <v>LAUREL</v>
          </cell>
          <cell r="L511" t="str">
            <v>MD</v>
          </cell>
          <cell r="M511" t="str">
            <v>800-577-8858</v>
          </cell>
          <cell r="N511"/>
          <cell r="O511">
            <v>1232</v>
          </cell>
          <cell r="P511">
            <v>5297.5999999999995</v>
          </cell>
          <cell r="Q511">
            <v>772</v>
          </cell>
          <cell r="R511">
            <v>3319.6</v>
          </cell>
          <cell r="S511"/>
          <cell r="T511">
            <v>0</v>
          </cell>
          <cell r="U511">
            <v>1328</v>
          </cell>
          <cell r="V511">
            <v>5710.4</v>
          </cell>
          <cell r="W511">
            <v>1312</v>
          </cell>
          <cell r="X511">
            <v>5641.5999999999995</v>
          </cell>
          <cell r="Y511">
            <v>471</v>
          </cell>
          <cell r="Z511">
            <v>2025.3</v>
          </cell>
          <cell r="AA511">
            <v>471</v>
          </cell>
          <cell r="AB511">
            <v>2025.3</v>
          </cell>
          <cell r="AC511">
            <v>471</v>
          </cell>
          <cell r="AD511">
            <v>2025.3</v>
          </cell>
          <cell r="AE511"/>
          <cell r="AF511"/>
          <cell r="AG511"/>
          <cell r="AH511"/>
          <cell r="AI511"/>
          <cell r="AJ511">
            <v>5.0000000000000001E-3</v>
          </cell>
          <cell r="AK511" t="str">
            <v>3P</v>
          </cell>
          <cell r="AL511">
            <v>151</v>
          </cell>
          <cell r="AM511">
            <v>461</v>
          </cell>
          <cell r="AN511" t="str">
            <v>01 Existing Dealer</v>
          </cell>
          <cell r="AO511" t="str">
            <v>Northeast</v>
          </cell>
          <cell r="AP511" t="str">
            <v>North</v>
          </cell>
          <cell r="AQ511"/>
          <cell r="AR511">
            <v>0</v>
          </cell>
          <cell r="AS511">
            <v>0</v>
          </cell>
        </row>
        <row r="512">
          <cell r="A512" t="str">
            <v>13029B</v>
          </cell>
          <cell r="B512" t="str">
            <v>TRUCK'N AMERICA</v>
          </cell>
          <cell r="C512" t="str">
            <v>M10428</v>
          </cell>
          <cell r="D512" t="str">
            <v>Net 60, no pink card</v>
          </cell>
          <cell r="E512">
            <v>60</v>
          </cell>
          <cell r="F512" t="str">
            <v>Yes</v>
          </cell>
          <cell r="G512" t="str">
            <v>OH</v>
          </cell>
          <cell r="H512">
            <v>5</v>
          </cell>
          <cell r="I512">
            <v>0.66500000000000004</v>
          </cell>
          <cell r="J512" t="str">
            <v>JL Smith</v>
          </cell>
          <cell r="K512" t="str">
            <v>FINKSBURG</v>
          </cell>
          <cell r="L512" t="str">
            <v>MD</v>
          </cell>
          <cell r="M512" t="str">
            <v>800-577-8858</v>
          </cell>
          <cell r="N512"/>
          <cell r="O512">
            <v>1241</v>
          </cell>
          <cell r="P512">
            <v>5336.3</v>
          </cell>
          <cell r="Q512">
            <v>802</v>
          </cell>
          <cell r="R512">
            <v>3448.6</v>
          </cell>
          <cell r="S512"/>
          <cell r="T512">
            <v>0</v>
          </cell>
          <cell r="U512">
            <v>1338</v>
          </cell>
          <cell r="V512">
            <v>5753.4</v>
          </cell>
          <cell r="W512">
            <v>1322</v>
          </cell>
          <cell r="X512">
            <v>5684.5999999999995</v>
          </cell>
          <cell r="Y512">
            <v>465</v>
          </cell>
          <cell r="Z512">
            <v>1999.5</v>
          </cell>
          <cell r="AA512">
            <v>465</v>
          </cell>
          <cell r="AB512">
            <v>1999.5</v>
          </cell>
          <cell r="AC512">
            <v>465</v>
          </cell>
          <cell r="AD512">
            <v>1999.5</v>
          </cell>
          <cell r="AE512"/>
          <cell r="AF512"/>
          <cell r="AG512"/>
          <cell r="AH512"/>
          <cell r="AI512"/>
          <cell r="AJ512">
            <v>5.0000000000000001E-3</v>
          </cell>
          <cell r="AK512" t="str">
            <v>3P</v>
          </cell>
          <cell r="AL512">
            <v>151</v>
          </cell>
          <cell r="AM512">
            <v>29</v>
          </cell>
          <cell r="AN512" t="str">
            <v>01 Existing Dealer</v>
          </cell>
          <cell r="AO512" t="str">
            <v>Northeast</v>
          </cell>
          <cell r="AP512" t="str">
            <v>North</v>
          </cell>
          <cell r="AQ512"/>
          <cell r="AR512">
            <v>0</v>
          </cell>
          <cell r="AS512">
            <v>0</v>
          </cell>
        </row>
        <row r="513">
          <cell r="A513" t="str">
            <v>13029C</v>
          </cell>
          <cell r="B513" t="str">
            <v>TRUCK'N AMERICA</v>
          </cell>
          <cell r="C513" t="str">
            <v>M10428</v>
          </cell>
          <cell r="D513" t="str">
            <v>Net 60, no pink card</v>
          </cell>
          <cell r="E513">
            <v>60</v>
          </cell>
          <cell r="F513" t="str">
            <v>Yes</v>
          </cell>
          <cell r="G513" t="str">
            <v>OH</v>
          </cell>
          <cell r="H513">
            <v>5</v>
          </cell>
          <cell r="I513">
            <v>0.66500000000000004</v>
          </cell>
          <cell r="J513" t="str">
            <v>JL Smith</v>
          </cell>
          <cell r="K513" t="str">
            <v>BERLIN</v>
          </cell>
          <cell r="L513" t="str">
            <v>MD</v>
          </cell>
          <cell r="M513" t="str">
            <v>800-577-8858</v>
          </cell>
          <cell r="N513"/>
          <cell r="O513">
            <v>1359</v>
          </cell>
          <cell r="P513">
            <v>5843.7</v>
          </cell>
          <cell r="Q513">
            <v>780</v>
          </cell>
          <cell r="R513">
            <v>3354</v>
          </cell>
          <cell r="S513"/>
          <cell r="T513">
            <v>0</v>
          </cell>
          <cell r="U513">
            <v>1456</v>
          </cell>
          <cell r="V513">
            <v>6260.8</v>
          </cell>
          <cell r="W513">
            <v>1439</v>
          </cell>
          <cell r="X513">
            <v>6187.7</v>
          </cell>
          <cell r="Y513">
            <v>598</v>
          </cell>
          <cell r="Z513">
            <v>2571.4</v>
          </cell>
          <cell r="AA513">
            <v>598</v>
          </cell>
          <cell r="AB513">
            <v>2571.4</v>
          </cell>
          <cell r="AC513">
            <v>598</v>
          </cell>
          <cell r="AD513">
            <v>2571.4</v>
          </cell>
          <cell r="AE513"/>
          <cell r="AF513"/>
          <cell r="AG513"/>
          <cell r="AH513"/>
          <cell r="AI513"/>
          <cell r="AJ513">
            <v>5.0000000000000001E-3</v>
          </cell>
          <cell r="AK513" t="str">
            <v>3P</v>
          </cell>
          <cell r="AL513">
            <v>151</v>
          </cell>
          <cell r="AM513">
            <v>398</v>
          </cell>
          <cell r="AN513" t="str">
            <v>01 Existing Dealer</v>
          </cell>
          <cell r="AO513" t="str">
            <v>Northeast</v>
          </cell>
          <cell r="AP513" t="str">
            <v>North</v>
          </cell>
          <cell r="AQ513"/>
          <cell r="AR513">
            <v>0</v>
          </cell>
          <cell r="AS513">
            <v>0</v>
          </cell>
        </row>
        <row r="514">
          <cell r="A514" t="str">
            <v>11484A</v>
          </cell>
          <cell r="B514" t="str">
            <v>TRUCK'N AMERICA</v>
          </cell>
          <cell r="C514" t="str">
            <v>M10428</v>
          </cell>
          <cell r="D514" t="str">
            <v>Return Mail, no pink card</v>
          </cell>
          <cell r="E514" t="str">
            <v>On Hold</v>
          </cell>
          <cell r="F514" t="str">
            <v>Yes</v>
          </cell>
          <cell r="G514" t="str">
            <v>OH</v>
          </cell>
          <cell r="H514">
            <v>9</v>
          </cell>
          <cell r="I514">
            <v>0.66500000000000004</v>
          </cell>
          <cell r="J514" t="str">
            <v>Orphaned Acct</v>
          </cell>
          <cell r="K514" t="str">
            <v>LAUREL</v>
          </cell>
          <cell r="L514" t="str">
            <v>MD</v>
          </cell>
          <cell r="M514" t="str">
            <v>800-577-8858</v>
          </cell>
          <cell r="N514"/>
          <cell r="O514">
            <v>1232</v>
          </cell>
          <cell r="P514">
            <v>5297.5999999999995</v>
          </cell>
          <cell r="Q514">
            <v>772</v>
          </cell>
          <cell r="R514">
            <v>3319.6</v>
          </cell>
          <cell r="S514"/>
          <cell r="T514">
            <v>0</v>
          </cell>
          <cell r="U514">
            <v>1328</v>
          </cell>
          <cell r="V514">
            <v>5710.4</v>
          </cell>
          <cell r="W514">
            <v>1312</v>
          </cell>
          <cell r="X514">
            <v>5641.5999999999995</v>
          </cell>
          <cell r="Y514">
            <v>471</v>
          </cell>
          <cell r="Z514">
            <v>2025.3</v>
          </cell>
          <cell r="AA514">
            <v>471</v>
          </cell>
          <cell r="AB514">
            <v>2025.3</v>
          </cell>
          <cell r="AC514">
            <v>471</v>
          </cell>
          <cell r="AD514">
            <v>2025.3</v>
          </cell>
          <cell r="AE514"/>
          <cell r="AF514"/>
          <cell r="AG514"/>
          <cell r="AH514"/>
          <cell r="AI514"/>
          <cell r="AJ514">
            <v>5.0000000000000001E-3</v>
          </cell>
          <cell r="AK514" t="str">
            <v>3P</v>
          </cell>
          <cell r="AL514">
            <v>223</v>
          </cell>
          <cell r="AM514">
            <v>461</v>
          </cell>
          <cell r="AN514" t="str">
            <v>01 Existing Dealer</v>
          </cell>
          <cell r="AO514" t="str">
            <v>Northeast</v>
          </cell>
          <cell r="AP514" t="str">
            <v>North</v>
          </cell>
          <cell r="AQ514"/>
          <cell r="AR514">
            <v>0</v>
          </cell>
          <cell r="AS514">
            <v>0</v>
          </cell>
        </row>
        <row r="515">
          <cell r="A515" t="str">
            <v>11484B</v>
          </cell>
          <cell r="B515" t="str">
            <v>TRUCK'N AMERICA</v>
          </cell>
          <cell r="C515" t="str">
            <v>M10428</v>
          </cell>
          <cell r="D515" t="str">
            <v>Return Mail, no pink card</v>
          </cell>
          <cell r="E515" t="str">
            <v>On Hold</v>
          </cell>
          <cell r="F515" t="str">
            <v>Yes</v>
          </cell>
          <cell r="G515" t="str">
            <v>OH</v>
          </cell>
          <cell r="H515">
            <v>9</v>
          </cell>
          <cell r="I515">
            <v>0.66500000000000004</v>
          </cell>
          <cell r="J515" t="str">
            <v>Orphaned Acct</v>
          </cell>
          <cell r="K515" t="str">
            <v>FINKSBURG</v>
          </cell>
          <cell r="L515" t="str">
            <v>MD</v>
          </cell>
          <cell r="M515" t="str">
            <v>800-577-8858</v>
          </cell>
          <cell r="N515"/>
          <cell r="O515">
            <v>1241</v>
          </cell>
          <cell r="P515">
            <v>5336.3</v>
          </cell>
          <cell r="Q515">
            <v>802</v>
          </cell>
          <cell r="R515">
            <v>3448.6</v>
          </cell>
          <cell r="S515"/>
          <cell r="T515">
            <v>0</v>
          </cell>
          <cell r="U515">
            <v>1338</v>
          </cell>
          <cell r="V515">
            <v>5753.4</v>
          </cell>
          <cell r="W515">
            <v>1322</v>
          </cell>
          <cell r="X515">
            <v>5684.5999999999995</v>
          </cell>
          <cell r="Y515">
            <v>465</v>
          </cell>
          <cell r="Z515">
            <v>1999.5</v>
          </cell>
          <cell r="AA515">
            <v>465</v>
          </cell>
          <cell r="AB515">
            <v>1999.5</v>
          </cell>
          <cell r="AC515">
            <v>465</v>
          </cell>
          <cell r="AD515">
            <v>1999.5</v>
          </cell>
          <cell r="AE515"/>
          <cell r="AF515"/>
          <cell r="AG515"/>
          <cell r="AH515"/>
          <cell r="AI515"/>
          <cell r="AJ515">
            <v>5.0000000000000001E-3</v>
          </cell>
          <cell r="AK515" t="str">
            <v>3P</v>
          </cell>
          <cell r="AL515">
            <v>223</v>
          </cell>
          <cell r="AM515">
            <v>461</v>
          </cell>
          <cell r="AN515" t="str">
            <v>01 Existing Dealer</v>
          </cell>
          <cell r="AO515" t="str">
            <v>Northeast</v>
          </cell>
          <cell r="AP515" t="str">
            <v>North</v>
          </cell>
          <cell r="AQ515"/>
          <cell r="AR515">
            <v>0</v>
          </cell>
          <cell r="AS515">
            <v>0</v>
          </cell>
        </row>
        <row r="516">
          <cell r="A516">
            <v>13672</v>
          </cell>
          <cell r="B516" t="str">
            <v>AMES TRUE VALUE</v>
          </cell>
          <cell r="C516" t="str">
            <v>M11310</v>
          </cell>
          <cell r="D516" t="str">
            <v>NET 5, BT+</v>
          </cell>
          <cell r="E516" t="str">
            <v>CF</v>
          </cell>
          <cell r="F516" t="str">
            <v>Yes</v>
          </cell>
          <cell r="G516" t="str">
            <v>OH</v>
          </cell>
          <cell r="H516">
            <v>7</v>
          </cell>
          <cell r="I516">
            <v>0.66500000000000004</v>
          </cell>
          <cell r="J516" t="str">
            <v>JL Smith</v>
          </cell>
          <cell r="K516" t="str">
            <v>WISCASSET</v>
          </cell>
          <cell r="L516" t="str">
            <v>ME</v>
          </cell>
          <cell r="M516" t="str">
            <v>800-577-8858</v>
          </cell>
          <cell r="N516" t="str">
            <v>BRK2 on all tandems</v>
          </cell>
          <cell r="O516">
            <v>1791</v>
          </cell>
          <cell r="P516">
            <v>7701.2999999999993</v>
          </cell>
          <cell r="Q516">
            <v>1335</v>
          </cell>
          <cell r="R516">
            <v>5740.5</v>
          </cell>
          <cell r="S516"/>
          <cell r="T516">
            <v>0</v>
          </cell>
          <cell r="U516">
            <v>1889</v>
          </cell>
          <cell r="V516">
            <v>8122.7</v>
          </cell>
          <cell r="W516">
            <v>1871</v>
          </cell>
          <cell r="X516">
            <v>8045.2999999999993</v>
          </cell>
          <cell r="Y516">
            <v>983</v>
          </cell>
          <cell r="Z516">
            <v>4226.8999999999996</v>
          </cell>
          <cell r="AA516">
            <v>983</v>
          </cell>
          <cell r="AB516">
            <v>4226.8999999999996</v>
          </cell>
          <cell r="AC516">
            <v>983</v>
          </cell>
          <cell r="AD516">
            <v>4226.8999999999996</v>
          </cell>
          <cell r="AE516"/>
          <cell r="AF516"/>
          <cell r="AG516"/>
          <cell r="AH516"/>
          <cell r="AI516"/>
          <cell r="AJ516">
            <v>0.01</v>
          </cell>
          <cell r="AK516" t="str">
            <v>3P</v>
          </cell>
          <cell r="AL516">
            <v>151</v>
          </cell>
          <cell r="AM516">
            <v>357</v>
          </cell>
          <cell r="AN516" t="str">
            <v>03 New Dealer</v>
          </cell>
          <cell r="AO516" t="str">
            <v>Northeast</v>
          </cell>
          <cell r="AP516" t="str">
            <v>North</v>
          </cell>
          <cell r="AQ516"/>
          <cell r="AR516">
            <v>0</v>
          </cell>
          <cell r="AS516">
            <v>0</v>
          </cell>
          <cell r="AT516"/>
        </row>
        <row r="517">
          <cell r="A517">
            <v>12991</v>
          </cell>
          <cell r="B517" t="str">
            <v>BP ENT dba HARVEY TRAILERS</v>
          </cell>
          <cell r="C517" t="str">
            <v>M10827</v>
          </cell>
          <cell r="D517" t="str">
            <v>NET 5, BT+</v>
          </cell>
          <cell r="E517" t="str">
            <v>CO</v>
          </cell>
          <cell r="F517" t="str">
            <v>Yes</v>
          </cell>
          <cell r="G517" t="str">
            <v>OH</v>
          </cell>
          <cell r="H517">
            <v>7</v>
          </cell>
          <cell r="I517">
            <v>0.66500000000000004</v>
          </cell>
          <cell r="J517" t="str">
            <v>Orphaned Acct</v>
          </cell>
          <cell r="K517" t="str">
            <v>BANGOR</v>
          </cell>
          <cell r="L517" t="str">
            <v>ME</v>
          </cell>
          <cell r="M517" t="str">
            <v>800-577-8858</v>
          </cell>
          <cell r="N517" t="str">
            <v>BRK2 on all tandems</v>
          </cell>
          <cell r="O517">
            <v>1875</v>
          </cell>
          <cell r="P517">
            <v>8062.5</v>
          </cell>
          <cell r="Q517">
            <v>1419</v>
          </cell>
          <cell r="R517">
            <v>6101.7</v>
          </cell>
          <cell r="S517"/>
          <cell r="T517">
            <v>0</v>
          </cell>
          <cell r="U517">
            <v>1973</v>
          </cell>
          <cell r="V517">
            <v>8483.9</v>
          </cell>
          <cell r="W517">
            <v>1955</v>
          </cell>
          <cell r="X517">
            <v>8406.5</v>
          </cell>
          <cell r="Y517">
            <v>1083</v>
          </cell>
          <cell r="Z517">
            <v>4656.8999999999996</v>
          </cell>
          <cell r="AA517">
            <v>1083</v>
          </cell>
          <cell r="AB517">
            <v>4656.8999999999996</v>
          </cell>
          <cell r="AC517">
            <v>1083</v>
          </cell>
          <cell r="AD517">
            <v>4656.8999999999996</v>
          </cell>
          <cell r="AE517"/>
          <cell r="AF517"/>
          <cell r="AG517"/>
          <cell r="AH517"/>
          <cell r="AI517"/>
          <cell r="AJ517">
            <v>0</v>
          </cell>
          <cell r="AK517" t="str">
            <v>3P</v>
          </cell>
          <cell r="AL517">
            <v>213</v>
          </cell>
          <cell r="AM517">
            <v>30</v>
          </cell>
          <cell r="AN517" t="str">
            <v>08 Inactive Dealer</v>
          </cell>
          <cell r="AO517" t="str">
            <v>Northeast</v>
          </cell>
          <cell r="AP517" t="str">
            <v>North</v>
          </cell>
          <cell r="AQ517"/>
          <cell r="AR517">
            <v>0</v>
          </cell>
          <cell r="AS517">
            <v>0</v>
          </cell>
          <cell r="AT517"/>
        </row>
        <row r="518">
          <cell r="A518">
            <v>13599</v>
          </cell>
          <cell r="B518" t="str">
            <v>CHAMBERS DBA PRIORITY TRACTOR</v>
          </cell>
          <cell r="C518" t="str">
            <v>M11566</v>
          </cell>
          <cell r="D518" t="str">
            <v>CF</v>
          </cell>
          <cell r="E518" t="str">
            <v>CF</v>
          </cell>
          <cell r="F518" t="str">
            <v>Yes</v>
          </cell>
          <cell r="G518" t="str">
            <v>OH</v>
          </cell>
          <cell r="H518">
            <v>7</v>
          </cell>
          <cell r="I518">
            <v>0.66500000000000004</v>
          </cell>
          <cell r="J518" t="str">
            <v>Dakota Nation</v>
          </cell>
          <cell r="K518" t="str">
            <v>CARIBOU</v>
          </cell>
          <cell r="L518" t="str">
            <v>ME</v>
          </cell>
          <cell r="M518" t="str">
            <v>800-577-8858</v>
          </cell>
          <cell r="N518" t="str">
            <v>BRK2 on all tandems</v>
          </cell>
          <cell r="O518">
            <v>2047</v>
          </cell>
          <cell r="P518">
            <v>8802.1</v>
          </cell>
          <cell r="Q518">
            <v>1548</v>
          </cell>
          <cell r="R518">
            <v>6656.4</v>
          </cell>
          <cell r="S518"/>
          <cell r="T518">
            <v>0</v>
          </cell>
          <cell r="U518">
            <v>2039</v>
          </cell>
          <cell r="V518">
            <v>8767.6999999999989</v>
          </cell>
          <cell r="W518">
            <v>2125</v>
          </cell>
          <cell r="X518">
            <v>9137.5</v>
          </cell>
          <cell r="Y518">
            <v>1210</v>
          </cell>
          <cell r="Z518">
            <v>5203</v>
          </cell>
          <cell r="AA518">
            <v>1210</v>
          </cell>
          <cell r="AB518">
            <v>5203</v>
          </cell>
          <cell r="AC518">
            <v>1210</v>
          </cell>
          <cell r="AD518">
            <v>5203</v>
          </cell>
          <cell r="AE518"/>
          <cell r="AF518"/>
          <cell r="AG518"/>
          <cell r="AH518"/>
          <cell r="AI518"/>
          <cell r="AJ518">
            <v>0</v>
          </cell>
          <cell r="AK518" t="str">
            <v>3P</v>
          </cell>
          <cell r="AL518">
            <v>223</v>
          </cell>
          <cell r="AM518">
            <v>363</v>
          </cell>
          <cell r="AN518" t="str">
            <v>03 New Dealer</v>
          </cell>
          <cell r="AO518" t="str">
            <v>Northeast</v>
          </cell>
          <cell r="AP518" t="str">
            <v>North</v>
          </cell>
          <cell r="AQ518"/>
          <cell r="AR518">
            <v>0</v>
          </cell>
          <cell r="AS518">
            <v>0</v>
          </cell>
          <cell r="AT518"/>
        </row>
        <row r="519">
          <cell r="A519" t="str">
            <v>13599A</v>
          </cell>
          <cell r="B519" t="str">
            <v>CHAMBERS DBA PRIORITY TRACTOR</v>
          </cell>
          <cell r="C519" t="str">
            <v>M11566</v>
          </cell>
          <cell r="D519" t="str">
            <v>CF</v>
          </cell>
          <cell r="E519" t="str">
            <v>CF</v>
          </cell>
          <cell r="F519" t="str">
            <v>Yes</v>
          </cell>
          <cell r="G519" t="str">
            <v>OH</v>
          </cell>
          <cell r="H519">
            <v>7</v>
          </cell>
          <cell r="I519">
            <v>0.66500000000000004</v>
          </cell>
          <cell r="J519" t="str">
            <v>Dakota Nation</v>
          </cell>
          <cell r="K519" t="str">
            <v>HOULTON</v>
          </cell>
          <cell r="L519" t="str">
            <v>ME</v>
          </cell>
          <cell r="M519" t="str">
            <v>800-577-8858</v>
          </cell>
          <cell r="N519" t="str">
            <v>BRK2 on all tandems</v>
          </cell>
          <cell r="O519">
            <v>1990</v>
          </cell>
          <cell r="P519">
            <v>8557</v>
          </cell>
          <cell r="Q519">
            <v>1515</v>
          </cell>
          <cell r="R519">
            <v>6514.5</v>
          </cell>
          <cell r="S519"/>
          <cell r="T519">
            <v>0</v>
          </cell>
          <cell r="U519">
            <v>2101</v>
          </cell>
          <cell r="V519">
            <v>9034.2999999999993</v>
          </cell>
          <cell r="W519">
            <v>2069</v>
          </cell>
          <cell r="X519">
            <v>8896.6999999999989</v>
          </cell>
          <cell r="Y519">
            <v>1230</v>
          </cell>
          <cell r="Z519">
            <v>5289</v>
          </cell>
          <cell r="AA519">
            <v>1230</v>
          </cell>
          <cell r="AB519">
            <v>5289</v>
          </cell>
          <cell r="AC519">
            <v>1230</v>
          </cell>
          <cell r="AD519">
            <v>5289</v>
          </cell>
          <cell r="AE519"/>
          <cell r="AF519"/>
          <cell r="AG519"/>
          <cell r="AH519"/>
          <cell r="AI519"/>
          <cell r="AJ519">
            <v>0</v>
          </cell>
          <cell r="AK519" t="str">
            <v>3P</v>
          </cell>
          <cell r="AL519">
            <v>223</v>
          </cell>
          <cell r="AM519">
            <v>363</v>
          </cell>
          <cell r="AN519" t="str">
            <v>03 New Dealer</v>
          </cell>
          <cell r="AO519" t="str">
            <v>Northeast</v>
          </cell>
          <cell r="AP519" t="str">
            <v>North</v>
          </cell>
          <cell r="AQ519"/>
          <cell r="AR519">
            <v>0</v>
          </cell>
          <cell r="AS519">
            <v>0</v>
          </cell>
          <cell r="AT519"/>
        </row>
        <row r="520">
          <cell r="A520">
            <v>13545</v>
          </cell>
          <cell r="B520" t="str">
            <v>COLDBROOK TRAILERS</v>
          </cell>
          <cell r="C520" t="str">
            <v>M11509</v>
          </cell>
          <cell r="D520" t="str">
            <v>NET 5, BT+</v>
          </cell>
          <cell r="E520" t="str">
            <v>FP - Northpoint</v>
          </cell>
          <cell r="F520" t="str">
            <v>Yes</v>
          </cell>
          <cell r="G520" t="str">
            <v>OH</v>
          </cell>
          <cell r="H520">
            <v>8</v>
          </cell>
          <cell r="I520">
            <v>0.66500000000000004</v>
          </cell>
          <cell r="J520" t="str">
            <v>JL Smith</v>
          </cell>
          <cell r="K520" t="str">
            <v>BANGOR</v>
          </cell>
          <cell r="L520" t="str">
            <v>ME</v>
          </cell>
          <cell r="M520" t="str">
            <v>800-577-8858</v>
          </cell>
          <cell r="N520" t="str">
            <v>BRK2 on all tandems</v>
          </cell>
          <cell r="O520">
            <v>1880</v>
          </cell>
          <cell r="P520">
            <v>8084</v>
          </cell>
          <cell r="Q520">
            <v>1401</v>
          </cell>
          <cell r="R520">
            <v>6024.3</v>
          </cell>
          <cell r="S520"/>
          <cell r="T520">
            <v>0</v>
          </cell>
          <cell r="U520">
            <v>1985</v>
          </cell>
          <cell r="V520">
            <v>8535.5</v>
          </cell>
          <cell r="W520">
            <v>1959</v>
          </cell>
          <cell r="X520">
            <v>8423.6999999999989</v>
          </cell>
          <cell r="Y520">
            <v>1110</v>
          </cell>
          <cell r="Z520">
            <v>4773</v>
          </cell>
          <cell r="AA520">
            <v>1110</v>
          </cell>
          <cell r="AB520">
            <v>4773</v>
          </cell>
          <cell r="AC520">
            <v>1110</v>
          </cell>
          <cell r="AD520">
            <v>4773</v>
          </cell>
          <cell r="AE520"/>
          <cell r="AF520"/>
          <cell r="AG520"/>
          <cell r="AH520"/>
          <cell r="AI520"/>
          <cell r="AJ520">
            <v>0</v>
          </cell>
          <cell r="AK520" t="str">
            <v>3P</v>
          </cell>
          <cell r="AL520">
            <v>151</v>
          </cell>
          <cell r="AM520">
            <v>30</v>
          </cell>
          <cell r="AN520" t="str">
            <v>03 New Dealer</v>
          </cell>
          <cell r="AO520" t="str">
            <v>Northeast</v>
          </cell>
          <cell r="AP520" t="str">
            <v>North</v>
          </cell>
          <cell r="AQ520"/>
          <cell r="AR520">
            <v>0</v>
          </cell>
          <cell r="AS520">
            <v>0</v>
          </cell>
          <cell r="AT520"/>
        </row>
        <row r="521">
          <cell r="A521">
            <v>10906</v>
          </cell>
          <cell r="B521" t="str">
            <v>GARY'S SALES</v>
          </cell>
          <cell r="C521" t="str">
            <v>M10201</v>
          </cell>
          <cell r="D521" t="str">
            <v>NET 5, BT+</v>
          </cell>
          <cell r="E521" t="str">
            <v>CO</v>
          </cell>
          <cell r="F521" t="str">
            <v>Yes</v>
          </cell>
          <cell r="G521" t="str">
            <v>OH</v>
          </cell>
          <cell r="H521">
            <v>7</v>
          </cell>
          <cell r="I521">
            <v>0.66500000000000004</v>
          </cell>
          <cell r="J521" t="str">
            <v>Orphaned Acct</v>
          </cell>
          <cell r="K521" t="str">
            <v>CARIBOU</v>
          </cell>
          <cell r="L521" t="str">
            <v>ME</v>
          </cell>
          <cell r="M521" t="str">
            <v>800-577-8858</v>
          </cell>
          <cell r="N521"/>
          <cell r="O521">
            <v>2015</v>
          </cell>
          <cell r="P521">
            <v>8664.5</v>
          </cell>
          <cell r="Q521">
            <v>1590</v>
          </cell>
          <cell r="R521">
            <v>6837</v>
          </cell>
          <cell r="S521"/>
          <cell r="T521">
            <v>0</v>
          </cell>
          <cell r="U521">
            <v>2039</v>
          </cell>
          <cell r="V521">
            <v>8767.6999999999989</v>
          </cell>
          <cell r="W521">
            <v>2095</v>
          </cell>
          <cell r="X521">
            <v>9008.5</v>
          </cell>
          <cell r="Y521">
            <v>1252</v>
          </cell>
          <cell r="Z521">
            <v>5383.5999999999995</v>
          </cell>
          <cell r="AA521">
            <v>1252</v>
          </cell>
          <cell r="AB521">
            <v>5383.5999999999995</v>
          </cell>
          <cell r="AC521">
            <v>1252</v>
          </cell>
          <cell r="AD521">
            <v>5383.5999999999995</v>
          </cell>
          <cell r="AE521"/>
          <cell r="AF521"/>
          <cell r="AG521"/>
          <cell r="AH521"/>
          <cell r="AI521"/>
          <cell r="AJ521">
            <v>0</v>
          </cell>
          <cell r="AK521" t="str">
            <v>3P</v>
          </cell>
          <cell r="AL521">
            <v>223</v>
          </cell>
          <cell r="AM521">
            <v>363</v>
          </cell>
          <cell r="AN521" t="str">
            <v>01 Existing Dealer</v>
          </cell>
          <cell r="AO521" t="str">
            <v>Northeast</v>
          </cell>
          <cell r="AP521" t="str">
            <v>North</v>
          </cell>
          <cell r="AQ521"/>
          <cell r="AR521">
            <v>0</v>
          </cell>
          <cell r="AS521">
            <v>0</v>
          </cell>
          <cell r="AT521"/>
        </row>
        <row r="522">
          <cell r="A522">
            <v>10334</v>
          </cell>
          <cell r="B522" t="str">
            <v>MICHAUDS WELDING dba MICHAUDS TRAILERS</v>
          </cell>
          <cell r="C522"/>
          <cell r="D522" t="str">
            <v>NET 5, BT+</v>
          </cell>
          <cell r="E522" t="str">
            <v>CO</v>
          </cell>
          <cell r="F522" t="str">
            <v>Yes</v>
          </cell>
          <cell r="G522" t="str">
            <v>OH</v>
          </cell>
          <cell r="H522">
            <v>7</v>
          </cell>
          <cell r="I522">
            <v>0.66500000000000004</v>
          </cell>
          <cell r="J522" t="str">
            <v>Orphaned Acct</v>
          </cell>
          <cell r="K522" t="str">
            <v>WINSLOW</v>
          </cell>
          <cell r="L522" t="str">
            <v>ME</v>
          </cell>
          <cell r="M522" t="str">
            <v>800-577-8858</v>
          </cell>
          <cell r="N522" t="str">
            <v>All tandem axle trailers must have BRK2</v>
          </cell>
          <cell r="O522">
            <v>1821</v>
          </cell>
          <cell r="P522">
            <v>7830.2999999999993</v>
          </cell>
          <cell r="Q522">
            <v>1365</v>
          </cell>
          <cell r="R522">
            <v>5869.5</v>
          </cell>
          <cell r="S522"/>
          <cell r="T522">
            <v>0</v>
          </cell>
          <cell r="U522">
            <v>1919</v>
          </cell>
          <cell r="V522">
            <v>8251.6999999999989</v>
          </cell>
          <cell r="W522">
            <v>1901</v>
          </cell>
          <cell r="X522">
            <v>8174.2999999999993</v>
          </cell>
          <cell r="Y522">
            <v>1028</v>
          </cell>
          <cell r="Z522">
            <v>4420.3999999999996</v>
          </cell>
          <cell r="AA522">
            <v>1028</v>
          </cell>
          <cell r="AB522">
            <v>4420.3999999999996</v>
          </cell>
          <cell r="AC522">
            <v>1028</v>
          </cell>
          <cell r="AD522">
            <v>4420.3999999999996</v>
          </cell>
          <cell r="AE522"/>
          <cell r="AF522"/>
          <cell r="AG522"/>
          <cell r="AH522"/>
          <cell r="AI522"/>
          <cell r="AJ522">
            <v>0</v>
          </cell>
          <cell r="AK522" t="str">
            <v>3P</v>
          </cell>
          <cell r="AL522">
            <v>213</v>
          </cell>
          <cell r="AM522">
            <v>465</v>
          </cell>
          <cell r="AN522" t="str">
            <v>08 Inactive Dealer</v>
          </cell>
          <cell r="AO522" t="str">
            <v>Northeast</v>
          </cell>
          <cell r="AP522" t="str">
            <v>North</v>
          </cell>
          <cell r="AQ522"/>
          <cell r="AR522">
            <v>0</v>
          </cell>
          <cell r="AS522">
            <v>0</v>
          </cell>
          <cell r="AT522"/>
        </row>
        <row r="523">
          <cell r="A523" t="str">
            <v>10334B</v>
          </cell>
          <cell r="B523" t="str">
            <v>MICHAUDS WELDING dba MICHAUDS TRAILERS</v>
          </cell>
          <cell r="C523"/>
          <cell r="D523" t="str">
            <v>NET 5, BT+</v>
          </cell>
          <cell r="E523" t="str">
            <v>CO</v>
          </cell>
          <cell r="F523" t="str">
            <v>Yes</v>
          </cell>
          <cell r="G523" t="str">
            <v>OH</v>
          </cell>
          <cell r="H523">
            <v>7</v>
          </cell>
          <cell r="I523">
            <v>0.66500000000000004</v>
          </cell>
          <cell r="J523" t="str">
            <v>Orphaned Acct</v>
          </cell>
          <cell r="K523" t="str">
            <v>AUBURN</v>
          </cell>
          <cell r="L523" t="str">
            <v>ME</v>
          </cell>
          <cell r="M523" t="str">
            <v>800-577-8858</v>
          </cell>
          <cell r="N523" t="str">
            <v>All tandem axle trailers must have BRK2</v>
          </cell>
          <cell r="O523">
            <v>1775</v>
          </cell>
          <cell r="P523">
            <v>7632.5</v>
          </cell>
          <cell r="Q523">
            <v>1319</v>
          </cell>
          <cell r="R523">
            <v>5671.7</v>
          </cell>
          <cell r="S523"/>
          <cell r="T523">
            <v>0</v>
          </cell>
          <cell r="U523">
            <v>1873</v>
          </cell>
          <cell r="V523">
            <v>8053.9</v>
          </cell>
          <cell r="W523">
            <v>1855</v>
          </cell>
          <cell r="X523">
            <v>7976.5</v>
          </cell>
          <cell r="Y523">
            <v>984</v>
          </cell>
          <cell r="Z523">
            <v>4231.2</v>
          </cell>
          <cell r="AA523">
            <v>984</v>
          </cell>
          <cell r="AB523">
            <v>4231.2</v>
          </cell>
          <cell r="AC523">
            <v>984</v>
          </cell>
          <cell r="AD523">
            <v>4231.2</v>
          </cell>
          <cell r="AE523"/>
          <cell r="AF523"/>
          <cell r="AG523"/>
          <cell r="AH523"/>
          <cell r="AI523"/>
          <cell r="AJ523">
            <v>0</v>
          </cell>
          <cell r="AK523" t="str">
            <v>3P</v>
          </cell>
          <cell r="AL523">
            <v>213</v>
          </cell>
          <cell r="AM523">
            <v>251</v>
          </cell>
          <cell r="AN523" t="str">
            <v>08 Inactive Dealer</v>
          </cell>
          <cell r="AO523" t="str">
            <v>Northeast</v>
          </cell>
          <cell r="AP523" t="str">
            <v>North</v>
          </cell>
          <cell r="AQ523"/>
          <cell r="AR523">
            <v>0</v>
          </cell>
          <cell r="AS523">
            <v>0</v>
          </cell>
          <cell r="AT523"/>
        </row>
        <row r="524">
          <cell r="A524">
            <v>10613</v>
          </cell>
          <cell r="B524" t="str">
            <v>MICHAUDS WELDING dba MICHAUDS TRAILERS</v>
          </cell>
          <cell r="C524"/>
          <cell r="D524" t="str">
            <v>Net 60, no pink card</v>
          </cell>
          <cell r="E524">
            <v>60</v>
          </cell>
          <cell r="F524" t="str">
            <v>Yes</v>
          </cell>
          <cell r="G524" t="str">
            <v>OH</v>
          </cell>
          <cell r="H524">
            <v>5</v>
          </cell>
          <cell r="I524">
            <v>0.66500000000000004</v>
          </cell>
          <cell r="J524" t="str">
            <v>Orphaned Acct</v>
          </cell>
          <cell r="K524" t="str">
            <v>WINSLOW</v>
          </cell>
          <cell r="L524" t="str">
            <v>ME</v>
          </cell>
          <cell r="M524" t="str">
            <v>800-577-8858</v>
          </cell>
          <cell r="N524" t="str">
            <v>All tandem axle trailers must have BRK2</v>
          </cell>
          <cell r="O524">
            <v>1821</v>
          </cell>
          <cell r="P524">
            <v>7830.2999999999993</v>
          </cell>
          <cell r="Q524">
            <v>1365</v>
          </cell>
          <cell r="R524">
            <v>5869.5</v>
          </cell>
          <cell r="S524"/>
          <cell r="T524">
            <v>0</v>
          </cell>
          <cell r="U524">
            <v>1919</v>
          </cell>
          <cell r="V524">
            <v>8251.6999999999989</v>
          </cell>
          <cell r="W524">
            <v>1901</v>
          </cell>
          <cell r="X524">
            <v>8174.2999999999993</v>
          </cell>
          <cell r="Y524">
            <v>1028</v>
          </cell>
          <cell r="Z524">
            <v>4420.3999999999996</v>
          </cell>
          <cell r="AA524">
            <v>1028</v>
          </cell>
          <cell r="AB524">
            <v>4420.3999999999996</v>
          </cell>
          <cell r="AC524">
            <v>1028</v>
          </cell>
          <cell r="AD524">
            <v>4420.3999999999996</v>
          </cell>
          <cell r="AE524"/>
          <cell r="AF524"/>
          <cell r="AG524"/>
          <cell r="AH524"/>
          <cell r="AI524"/>
          <cell r="AJ524">
            <v>0</v>
          </cell>
          <cell r="AK524" t="str">
            <v>3P</v>
          </cell>
          <cell r="AL524">
            <v>213</v>
          </cell>
          <cell r="AM524">
            <v>465</v>
          </cell>
          <cell r="AN524" t="str">
            <v>08 Inactive Dealer</v>
          </cell>
          <cell r="AO524" t="str">
            <v>Northeast</v>
          </cell>
          <cell r="AP524" t="str">
            <v>North</v>
          </cell>
          <cell r="AQ524"/>
          <cell r="AR524">
            <v>0</v>
          </cell>
          <cell r="AS524">
            <v>0</v>
          </cell>
          <cell r="AT524"/>
        </row>
        <row r="525">
          <cell r="A525">
            <v>13103</v>
          </cell>
          <cell r="B525" t="str">
            <v>NORTH COUNTRY RECREATION, LLC</v>
          </cell>
          <cell r="C525" t="str">
            <v>M11013</v>
          </cell>
          <cell r="D525" t="str">
            <v>NET 5, BT+</v>
          </cell>
          <cell r="E525" t="str">
            <v>F3 - Northpoint</v>
          </cell>
          <cell r="F525" t="str">
            <v>Yes</v>
          </cell>
          <cell r="G525" t="str">
            <v>OH</v>
          </cell>
          <cell r="H525">
            <v>5</v>
          </cell>
          <cell r="I525">
            <v>0.66500000000000004</v>
          </cell>
          <cell r="J525" t="str">
            <v>Orphaned Acct</v>
          </cell>
          <cell r="K525" t="str">
            <v>HOULTON</v>
          </cell>
          <cell r="L525" t="str">
            <v>ME</v>
          </cell>
          <cell r="M525" t="str">
            <v>800-577-8858</v>
          </cell>
          <cell r="N525" t="str">
            <v>All tandem axle trailers must have BRK2</v>
          </cell>
          <cell r="O525">
            <v>1993</v>
          </cell>
          <cell r="P525">
            <v>8569.9</v>
          </cell>
          <cell r="Q525">
            <v>1537</v>
          </cell>
          <cell r="R525">
            <v>6609.0999999999995</v>
          </cell>
          <cell r="S525"/>
          <cell r="T525">
            <v>0</v>
          </cell>
          <cell r="U525">
            <v>2091</v>
          </cell>
          <cell r="V525">
            <v>8991.2999999999993</v>
          </cell>
          <cell r="W525">
            <v>2073</v>
          </cell>
          <cell r="X525">
            <v>8913.9</v>
          </cell>
          <cell r="Y525">
            <v>1200</v>
          </cell>
          <cell r="Z525">
            <v>5160</v>
          </cell>
          <cell r="AA525">
            <v>1200</v>
          </cell>
          <cell r="AB525">
            <v>5160</v>
          </cell>
          <cell r="AC525">
            <v>1200</v>
          </cell>
          <cell r="AD525">
            <v>5160</v>
          </cell>
          <cell r="AE525"/>
          <cell r="AF525"/>
          <cell r="AG525"/>
          <cell r="AH525"/>
          <cell r="AI525"/>
          <cell r="AJ525">
            <v>0</v>
          </cell>
          <cell r="AK525" t="str">
            <v>3P</v>
          </cell>
          <cell r="AL525">
            <v>213</v>
          </cell>
          <cell r="AM525">
            <v>363</v>
          </cell>
          <cell r="AN525" t="str">
            <v>08 Inactive Dealer</v>
          </cell>
          <cell r="AO525" t="str">
            <v>Northeast</v>
          </cell>
          <cell r="AP525" t="str">
            <v>North</v>
          </cell>
          <cell r="AQ525"/>
          <cell r="AR525">
            <v>0</v>
          </cell>
          <cell r="AS525">
            <v>0</v>
          </cell>
          <cell r="AT525"/>
        </row>
        <row r="526">
          <cell r="A526">
            <v>13145</v>
          </cell>
          <cell r="B526" t="str">
            <v>TBA - CONTINENTAL BATTERY</v>
          </cell>
          <cell r="C526" t="str">
            <v>M11075</v>
          </cell>
          <cell r="D526" t="str">
            <v>NET 5, BT+</v>
          </cell>
          <cell r="E526" t="str">
            <v>F1 - Wells Fargo</v>
          </cell>
          <cell r="F526" t="str">
            <v>Yes</v>
          </cell>
          <cell r="G526" t="str">
            <v>OH</v>
          </cell>
          <cell r="H526">
            <v>8</v>
          </cell>
          <cell r="I526">
            <v>0.66500000000000004</v>
          </cell>
          <cell r="J526" t="str">
            <v>Orphaned Acct</v>
          </cell>
          <cell r="K526" t="str">
            <v>BANGOR</v>
          </cell>
          <cell r="L526" t="str">
            <v>ME</v>
          </cell>
          <cell r="M526" t="str">
            <v>800-577-8858</v>
          </cell>
          <cell r="N526" t="str">
            <v>All tandem axle trailers must have BRK2</v>
          </cell>
          <cell r="O526">
            <v>1875</v>
          </cell>
          <cell r="P526">
            <v>8062.5</v>
          </cell>
          <cell r="Q526">
            <v>1419</v>
          </cell>
          <cell r="R526">
            <v>6101.7</v>
          </cell>
          <cell r="S526"/>
          <cell r="T526">
            <v>0</v>
          </cell>
          <cell r="U526">
            <v>1973</v>
          </cell>
          <cell r="V526">
            <v>8483.9</v>
          </cell>
          <cell r="W526">
            <v>1955</v>
          </cell>
          <cell r="X526">
            <v>8406.5</v>
          </cell>
          <cell r="Y526">
            <v>1083</v>
          </cell>
          <cell r="Z526">
            <v>4656.8999999999996</v>
          </cell>
          <cell r="AA526">
            <v>1083</v>
          </cell>
          <cell r="AB526">
            <v>4656.8999999999996</v>
          </cell>
          <cell r="AC526">
            <v>1083</v>
          </cell>
          <cell r="AD526">
            <v>4656.8999999999996</v>
          </cell>
          <cell r="AE526"/>
          <cell r="AF526"/>
          <cell r="AG526"/>
          <cell r="AH526"/>
          <cell r="AI526"/>
          <cell r="AJ526">
            <v>0.02</v>
          </cell>
          <cell r="AK526" t="str">
            <v>3P</v>
          </cell>
          <cell r="AL526">
            <v>213</v>
          </cell>
          <cell r="AM526">
            <v>30</v>
          </cell>
          <cell r="AN526" t="str">
            <v>01 Existing Dealer</v>
          </cell>
          <cell r="AO526" t="str">
            <v>Northeast</v>
          </cell>
          <cell r="AP526" t="str">
            <v>North</v>
          </cell>
          <cell r="AQ526"/>
          <cell r="AR526">
            <v>0</v>
          </cell>
          <cell r="AS526">
            <v>0</v>
          </cell>
        </row>
        <row r="527">
          <cell r="A527">
            <v>13395</v>
          </cell>
          <cell r="B527" t="str">
            <v>TBA - CONTINENTAL BATTERY</v>
          </cell>
          <cell r="C527" t="str">
            <v>M11075</v>
          </cell>
          <cell r="D527" t="str">
            <v>Return Mail, no pink card</v>
          </cell>
          <cell r="E527" t="str">
            <v>RM</v>
          </cell>
          <cell r="F527" t="str">
            <v>Yes</v>
          </cell>
          <cell r="G527" t="str">
            <v>OH</v>
          </cell>
          <cell r="H527">
            <v>5</v>
          </cell>
          <cell r="I527">
            <v>0.66500000000000004</v>
          </cell>
          <cell r="J527" t="str">
            <v>Orphaned Acct</v>
          </cell>
          <cell r="K527" t="str">
            <v>BANGOR</v>
          </cell>
          <cell r="L527" t="str">
            <v>ME</v>
          </cell>
          <cell r="M527" t="str">
            <v>800-577-8858</v>
          </cell>
          <cell r="N527" t="str">
            <v>All tandem axle trailers must have BRK2</v>
          </cell>
          <cell r="O527">
            <v>1875</v>
          </cell>
          <cell r="P527">
            <v>8062.5</v>
          </cell>
          <cell r="Q527">
            <v>1419</v>
          </cell>
          <cell r="R527">
            <v>6101.7</v>
          </cell>
          <cell r="S527"/>
          <cell r="T527">
            <v>0</v>
          </cell>
          <cell r="U527">
            <v>1973</v>
          </cell>
          <cell r="V527">
            <v>8483.9</v>
          </cell>
          <cell r="W527">
            <v>1955</v>
          </cell>
          <cell r="X527">
            <v>8406.5</v>
          </cell>
          <cell r="Y527">
            <v>1083</v>
          </cell>
          <cell r="Z527">
            <v>4656.8999999999996</v>
          </cell>
          <cell r="AA527">
            <v>1083</v>
          </cell>
          <cell r="AB527">
            <v>4656.8999999999996</v>
          </cell>
          <cell r="AC527">
            <v>1083</v>
          </cell>
          <cell r="AD527">
            <v>4656.8999999999996</v>
          </cell>
          <cell r="AE527"/>
          <cell r="AF527"/>
          <cell r="AG527"/>
          <cell r="AH527"/>
          <cell r="AI527"/>
          <cell r="AJ527">
            <v>0.02</v>
          </cell>
          <cell r="AK527" t="str">
            <v>3P</v>
          </cell>
          <cell r="AL527">
            <v>213</v>
          </cell>
          <cell r="AM527">
            <v>30</v>
          </cell>
          <cell r="AN527" t="str">
            <v>01 Existing Dealer</v>
          </cell>
          <cell r="AO527" t="str">
            <v>Northeast</v>
          </cell>
          <cell r="AP527" t="str">
            <v>North</v>
          </cell>
          <cell r="AQ527"/>
          <cell r="AR527">
            <v>0</v>
          </cell>
          <cell r="AS527">
            <v>0</v>
          </cell>
          <cell r="AT527"/>
        </row>
        <row r="528">
          <cell r="A528">
            <v>12975</v>
          </cell>
          <cell r="B528" t="str">
            <v>TW AUBURN</v>
          </cell>
          <cell r="C528" t="str">
            <v>M10808</v>
          </cell>
          <cell r="D528" t="str">
            <v>Net 30, no pink card</v>
          </cell>
          <cell r="E528">
            <v>30</v>
          </cell>
          <cell r="F528" t="str">
            <v>Yes</v>
          </cell>
          <cell r="G528" t="str">
            <v>OH</v>
          </cell>
          <cell r="H528">
            <v>10</v>
          </cell>
          <cell r="I528">
            <v>0.66500000000000004</v>
          </cell>
          <cell r="J528" t="str">
            <v>Jake McEntee</v>
          </cell>
          <cell r="K528" t="str">
            <v>AUBURN</v>
          </cell>
          <cell r="L528" t="str">
            <v>ME</v>
          </cell>
          <cell r="M528" t="str">
            <v>800-577-8858</v>
          </cell>
          <cell r="N528" t="str">
            <v>All tandem axle trailers must have BRK2</v>
          </cell>
          <cell r="O528">
            <v>1775</v>
          </cell>
          <cell r="P528">
            <v>7632.5</v>
          </cell>
          <cell r="Q528">
            <v>1319</v>
          </cell>
          <cell r="R528">
            <v>5671.7</v>
          </cell>
          <cell r="S528"/>
          <cell r="T528">
            <v>0</v>
          </cell>
          <cell r="U528">
            <v>1873</v>
          </cell>
          <cell r="V528">
            <v>8053.9</v>
          </cell>
          <cell r="W528">
            <v>1855</v>
          </cell>
          <cell r="X528">
            <v>7976.5</v>
          </cell>
          <cell r="Y528">
            <v>984</v>
          </cell>
          <cell r="Z528">
            <v>4231.2</v>
          </cell>
          <cell r="AA528">
            <v>984</v>
          </cell>
          <cell r="AB528">
            <v>4231.2</v>
          </cell>
          <cell r="AC528">
            <v>984</v>
          </cell>
          <cell r="AD528">
            <v>4231.2</v>
          </cell>
          <cell r="AE528">
            <v>4.6799999999999994E-2</v>
          </cell>
          <cell r="AF528"/>
          <cell r="AG528">
            <v>0</v>
          </cell>
          <cell r="AH528">
            <v>0.09</v>
          </cell>
          <cell r="AI528">
            <v>0.1</v>
          </cell>
          <cell r="AJ528">
            <v>0.04</v>
          </cell>
          <cell r="AK528" t="str">
            <v>TW</v>
          </cell>
          <cell r="AL528">
            <v>161</v>
          </cell>
          <cell r="AM528">
            <v>251</v>
          </cell>
          <cell r="AN528" t="str">
            <v>04 Co.Store</v>
          </cell>
          <cell r="AO528" t="str">
            <v>Northeast</v>
          </cell>
          <cell r="AP528" t="str">
            <v>North</v>
          </cell>
          <cell r="AQ528"/>
          <cell r="AR528">
            <v>0</v>
          </cell>
          <cell r="AS528">
            <v>0</v>
          </cell>
        </row>
        <row r="529">
          <cell r="A529">
            <v>12974</v>
          </cell>
          <cell r="B529" t="str">
            <v>TW WINSLOW</v>
          </cell>
          <cell r="C529" t="str">
            <v>M10807</v>
          </cell>
          <cell r="D529" t="str">
            <v>Net 30, no pink card</v>
          </cell>
          <cell r="E529">
            <v>30</v>
          </cell>
          <cell r="F529" t="str">
            <v>Yes</v>
          </cell>
          <cell r="G529" t="str">
            <v>OH</v>
          </cell>
          <cell r="H529">
            <v>10</v>
          </cell>
          <cell r="I529">
            <v>0.66500000000000004</v>
          </cell>
          <cell r="J529" t="str">
            <v>Jake McEntee</v>
          </cell>
          <cell r="K529" t="str">
            <v>WINSLOW</v>
          </cell>
          <cell r="L529" t="str">
            <v>ME</v>
          </cell>
          <cell r="M529" t="str">
            <v>800-577-8858</v>
          </cell>
          <cell r="N529" t="str">
            <v>All tandem axle trailers must have BRK2</v>
          </cell>
          <cell r="O529">
            <v>1821</v>
          </cell>
          <cell r="P529">
            <v>7830.2999999999993</v>
          </cell>
          <cell r="Q529">
            <v>1365</v>
          </cell>
          <cell r="R529">
            <v>5869.5</v>
          </cell>
          <cell r="S529"/>
          <cell r="T529">
            <v>0</v>
          </cell>
          <cell r="U529">
            <v>1919</v>
          </cell>
          <cell r="V529">
            <v>8251.6999999999989</v>
          </cell>
          <cell r="W529">
            <v>1901</v>
          </cell>
          <cell r="X529">
            <v>8174.2999999999993</v>
          </cell>
          <cell r="Y529">
            <v>1028</v>
          </cell>
          <cell r="Z529">
            <v>4420.3999999999996</v>
          </cell>
          <cell r="AA529">
            <v>1028</v>
          </cell>
          <cell r="AB529">
            <v>4420.3999999999996</v>
          </cell>
          <cell r="AC529">
            <v>1028</v>
          </cell>
          <cell r="AD529">
            <v>4420.3999999999996</v>
          </cell>
          <cell r="AE529">
            <v>4.6799999999999994E-2</v>
          </cell>
          <cell r="AF529"/>
          <cell r="AG529">
            <v>0.11796</v>
          </cell>
          <cell r="AH529">
            <v>0.11796</v>
          </cell>
          <cell r="AI529">
            <v>0.11796</v>
          </cell>
          <cell r="AJ529">
            <v>0.04</v>
          </cell>
          <cell r="AK529" t="str">
            <v>TW</v>
          </cell>
          <cell r="AL529">
            <v>161</v>
          </cell>
          <cell r="AM529">
            <v>465</v>
          </cell>
          <cell r="AN529" t="str">
            <v>04 Co.Store</v>
          </cell>
          <cell r="AO529" t="str">
            <v>Northeast</v>
          </cell>
          <cell r="AP529" t="str">
            <v>North</v>
          </cell>
          <cell r="AQ529"/>
          <cell r="AR529">
            <v>149174</v>
          </cell>
          <cell r="AS529">
            <v>0</v>
          </cell>
        </row>
        <row r="530">
          <cell r="A530">
            <v>12529</v>
          </cell>
          <cell r="B530" t="str">
            <v>ALPINE dba GREAT LAKES</v>
          </cell>
          <cell r="C530" t="str">
            <v>M10026</v>
          </cell>
          <cell r="D530" t="str">
            <v>NET 5, BT+</v>
          </cell>
          <cell r="E530" t="str">
            <v>F1 - Northpoint</v>
          </cell>
          <cell r="F530" t="str">
            <v>Yes</v>
          </cell>
          <cell r="G530" t="str">
            <v>OH</v>
          </cell>
          <cell r="H530">
            <v>8</v>
          </cell>
          <cell r="I530">
            <v>0.66500000000000004</v>
          </cell>
          <cell r="J530" t="str">
            <v>Orphaned Acct</v>
          </cell>
          <cell r="K530" t="str">
            <v>WAYLAND</v>
          </cell>
          <cell r="L530" t="str">
            <v>MI</v>
          </cell>
          <cell r="M530" t="str">
            <v>800-577-8858</v>
          </cell>
          <cell r="N530" t="str">
            <v>All tandem axle trailers must have BRK2</v>
          </cell>
          <cell r="O530">
            <v>1005</v>
          </cell>
          <cell r="P530">
            <v>4321.5</v>
          </cell>
          <cell r="Q530">
            <v>950</v>
          </cell>
          <cell r="R530">
            <v>4085</v>
          </cell>
          <cell r="S530"/>
          <cell r="T530">
            <v>0</v>
          </cell>
          <cell r="U530">
            <v>1021</v>
          </cell>
          <cell r="V530">
            <v>4390.3</v>
          </cell>
          <cell r="W530">
            <v>1086</v>
          </cell>
          <cell r="X530">
            <v>4669.8</v>
          </cell>
          <cell r="Y530">
            <v>359</v>
          </cell>
          <cell r="Z530">
            <v>1543.7</v>
          </cell>
          <cell r="AA530">
            <v>359</v>
          </cell>
          <cell r="AB530">
            <v>1543.7</v>
          </cell>
          <cell r="AC530">
            <v>359</v>
          </cell>
          <cell r="AD530">
            <v>1543.7</v>
          </cell>
          <cell r="AE530"/>
          <cell r="AF530"/>
          <cell r="AG530"/>
          <cell r="AH530"/>
          <cell r="AI530"/>
          <cell r="AJ530">
            <v>0</v>
          </cell>
          <cell r="AK530" t="str">
            <v>3P</v>
          </cell>
          <cell r="AL530">
            <v>213</v>
          </cell>
          <cell r="AM530">
            <v>169</v>
          </cell>
          <cell r="AN530" t="str">
            <v>08 Inactive Dealer</v>
          </cell>
          <cell r="AO530" t="str">
            <v>Midwest</v>
          </cell>
          <cell r="AP530" t="str">
            <v>North</v>
          </cell>
          <cell r="AQ530"/>
          <cell r="AR530">
            <v>0</v>
          </cell>
          <cell r="AS530">
            <v>0</v>
          </cell>
          <cell r="AT530"/>
        </row>
        <row r="531">
          <cell r="A531">
            <v>10600</v>
          </cell>
          <cell r="B531" t="str">
            <v>BECKS</v>
          </cell>
          <cell r="C531" t="str">
            <v>M10049</v>
          </cell>
          <cell r="D531" t="str">
            <v>Return Mail, no pink card</v>
          </cell>
          <cell r="E531" t="str">
            <v>RM</v>
          </cell>
          <cell r="F531" t="str">
            <v>Yes</v>
          </cell>
          <cell r="G531" t="str">
            <v>OH</v>
          </cell>
          <cell r="H531">
            <v>5</v>
          </cell>
          <cell r="I531">
            <v>0.66500000000000004</v>
          </cell>
          <cell r="J531" t="str">
            <v>Trent Evans</v>
          </cell>
          <cell r="K531" t="str">
            <v>ST. JOHNS</v>
          </cell>
          <cell r="L531" t="str">
            <v>MI</v>
          </cell>
          <cell r="M531" t="str">
            <v>800-577-8858</v>
          </cell>
          <cell r="N531"/>
          <cell r="O531">
            <v>1054</v>
          </cell>
          <cell r="P531">
            <v>4532.2</v>
          </cell>
          <cell r="Q531">
            <v>949</v>
          </cell>
          <cell r="R531">
            <v>4080.7</v>
          </cell>
          <cell r="S531"/>
          <cell r="T531">
            <v>0</v>
          </cell>
          <cell r="U531">
            <v>1070</v>
          </cell>
          <cell r="V531">
            <v>4601</v>
          </cell>
          <cell r="W531">
            <v>1134</v>
          </cell>
          <cell r="X531">
            <v>4876.2</v>
          </cell>
          <cell r="Y531">
            <v>345</v>
          </cell>
          <cell r="Z531">
            <v>1483.5</v>
          </cell>
          <cell r="AA531">
            <v>345</v>
          </cell>
          <cell r="AB531">
            <v>1483.5</v>
          </cell>
          <cell r="AC531">
            <v>345</v>
          </cell>
          <cell r="AD531">
            <v>1483.5</v>
          </cell>
          <cell r="AE531"/>
          <cell r="AF531"/>
          <cell r="AG531"/>
          <cell r="AH531"/>
          <cell r="AI531"/>
          <cell r="AJ531">
            <v>0.03</v>
          </cell>
          <cell r="AK531" t="str">
            <v>3P</v>
          </cell>
          <cell r="AL531">
            <v>226</v>
          </cell>
          <cell r="AM531">
            <v>241</v>
          </cell>
          <cell r="AN531" t="str">
            <v>01 Existing Dealer</v>
          </cell>
          <cell r="AO531" t="str">
            <v>Midwest</v>
          </cell>
          <cell r="AP531" t="str">
            <v>North</v>
          </cell>
          <cell r="AQ531"/>
          <cell r="AR531">
            <v>0</v>
          </cell>
          <cell r="AS531">
            <v>0</v>
          </cell>
        </row>
        <row r="532">
          <cell r="A532">
            <v>11947</v>
          </cell>
          <cell r="B532" t="str">
            <v>BEN'S SUPERCENTER</v>
          </cell>
          <cell r="C532" t="str">
            <v>M10051</v>
          </cell>
          <cell r="D532" t="str">
            <v>NET 5, BT+</v>
          </cell>
          <cell r="E532" t="str">
            <v>CF</v>
          </cell>
          <cell r="F532" t="str">
            <v>Yes</v>
          </cell>
          <cell r="G532" t="str">
            <v>OH</v>
          </cell>
          <cell r="H532">
            <v>7</v>
          </cell>
          <cell r="I532">
            <v>0.66500000000000004</v>
          </cell>
          <cell r="J532" t="str">
            <v>Orphaned Acct</v>
          </cell>
          <cell r="K532" t="str">
            <v>BROWN CITY</v>
          </cell>
          <cell r="L532" t="str">
            <v>MI</v>
          </cell>
          <cell r="M532" t="str">
            <v>800-577-8858</v>
          </cell>
          <cell r="N532"/>
          <cell r="O532">
            <v>1141</v>
          </cell>
          <cell r="P532">
            <v>4906.3</v>
          </cell>
          <cell r="Q532">
            <v>962</v>
          </cell>
          <cell r="R532">
            <v>4136.5999999999995</v>
          </cell>
          <cell r="S532"/>
          <cell r="T532">
            <v>0</v>
          </cell>
          <cell r="U532">
            <v>1157</v>
          </cell>
          <cell r="V532">
            <v>4975.0999999999995</v>
          </cell>
          <cell r="W532">
            <v>1221</v>
          </cell>
          <cell r="X532">
            <v>5250.3</v>
          </cell>
          <cell r="Y532">
            <v>366</v>
          </cell>
          <cell r="Z532">
            <v>1573.8</v>
          </cell>
          <cell r="AA532">
            <v>366</v>
          </cell>
          <cell r="AB532">
            <v>1573.8</v>
          </cell>
          <cell r="AC532">
            <v>366</v>
          </cell>
          <cell r="AD532">
            <v>1573.8</v>
          </cell>
          <cell r="AE532"/>
          <cell r="AF532"/>
          <cell r="AG532"/>
          <cell r="AH532"/>
          <cell r="AI532"/>
          <cell r="AJ532">
            <v>0</v>
          </cell>
          <cell r="AK532" t="str">
            <v>3P</v>
          </cell>
          <cell r="AL532">
            <v>213</v>
          </cell>
          <cell r="AM532">
            <v>112</v>
          </cell>
          <cell r="AN532" t="str">
            <v>01 Existing Dealer</v>
          </cell>
          <cell r="AO532" t="str">
            <v>Midwest</v>
          </cell>
          <cell r="AP532" t="str">
            <v>North</v>
          </cell>
          <cell r="AQ532"/>
          <cell r="AR532">
            <v>0</v>
          </cell>
          <cell r="AS532">
            <v>0</v>
          </cell>
          <cell r="AT532"/>
        </row>
        <row r="533">
          <cell r="A533">
            <v>12647</v>
          </cell>
          <cell r="B533" t="str">
            <v>BEN'S SUPERCENTER</v>
          </cell>
          <cell r="C533" t="str">
            <v>M10051</v>
          </cell>
          <cell r="D533" t="str">
            <v>Return Mail, no pink card</v>
          </cell>
          <cell r="E533" t="str">
            <v>F3 - Wells Fargo</v>
          </cell>
          <cell r="F533" t="str">
            <v>Yes</v>
          </cell>
          <cell r="G533" t="str">
            <v>OH</v>
          </cell>
          <cell r="H533">
            <v>8</v>
          </cell>
          <cell r="I533">
            <v>0.66500000000000004</v>
          </cell>
          <cell r="J533" t="str">
            <v>Orphaned Acct</v>
          </cell>
          <cell r="K533" t="str">
            <v>BROWN CITY</v>
          </cell>
          <cell r="L533" t="str">
            <v>MI</v>
          </cell>
          <cell r="M533" t="str">
            <v>800-577-8858</v>
          </cell>
          <cell r="N533"/>
          <cell r="O533">
            <v>1141</v>
          </cell>
          <cell r="P533">
            <v>4906.3</v>
          </cell>
          <cell r="Q533">
            <v>962</v>
          </cell>
          <cell r="R533">
            <v>4136.5999999999995</v>
          </cell>
          <cell r="S533"/>
          <cell r="T533">
            <v>0</v>
          </cell>
          <cell r="U533">
            <v>1157</v>
          </cell>
          <cell r="V533">
            <v>4975.0999999999995</v>
          </cell>
          <cell r="W533">
            <v>1221</v>
          </cell>
          <cell r="X533">
            <v>5250.3</v>
          </cell>
          <cell r="Y533">
            <v>366</v>
          </cell>
          <cell r="Z533">
            <v>1573.8</v>
          </cell>
          <cell r="AA533">
            <v>366</v>
          </cell>
          <cell r="AB533">
            <v>1573.8</v>
          </cell>
          <cell r="AC533">
            <v>366</v>
          </cell>
          <cell r="AD533">
            <v>1573.8</v>
          </cell>
          <cell r="AE533"/>
          <cell r="AF533"/>
          <cell r="AG533"/>
          <cell r="AH533"/>
          <cell r="AI533"/>
          <cell r="AJ533">
            <v>0</v>
          </cell>
          <cell r="AK533" t="str">
            <v>3P</v>
          </cell>
          <cell r="AL533">
            <v>213</v>
          </cell>
          <cell r="AM533">
            <v>112</v>
          </cell>
          <cell r="AN533" t="str">
            <v>01 Existing Dealer</v>
          </cell>
          <cell r="AO533" t="str">
            <v>Midwest</v>
          </cell>
          <cell r="AP533" t="str">
            <v>North</v>
          </cell>
          <cell r="AQ533"/>
          <cell r="AR533">
            <v>0</v>
          </cell>
          <cell r="AS533">
            <v>0</v>
          </cell>
          <cell r="AT533"/>
        </row>
        <row r="534">
          <cell r="A534">
            <v>11991</v>
          </cell>
          <cell r="B534" t="str">
            <v>CLYDE'S FRAME</v>
          </cell>
          <cell r="C534" t="str">
            <v>M10148</v>
          </cell>
          <cell r="D534" t="str">
            <v>NET 5, BT+</v>
          </cell>
          <cell r="E534" t="str">
            <v>CO</v>
          </cell>
          <cell r="F534" t="str">
            <v>Yes</v>
          </cell>
          <cell r="G534" t="str">
            <v>OH</v>
          </cell>
          <cell r="H534">
            <v>7</v>
          </cell>
          <cell r="I534">
            <v>0.66500000000000004</v>
          </cell>
          <cell r="J534" t="str">
            <v>JL Smith</v>
          </cell>
          <cell r="K534" t="str">
            <v>PONTIAC</v>
          </cell>
          <cell r="L534" t="str">
            <v>MI</v>
          </cell>
          <cell r="M534" t="str">
            <v>800-577-8858</v>
          </cell>
          <cell r="N534" t="str">
            <v>Spare tires on every trailer.</v>
          </cell>
          <cell r="O534">
            <v>1100</v>
          </cell>
          <cell r="P534">
            <v>4730</v>
          </cell>
          <cell r="Q534">
            <v>891</v>
          </cell>
          <cell r="R534">
            <v>3831.2999999999997</v>
          </cell>
          <cell r="S534"/>
          <cell r="T534">
            <v>0</v>
          </cell>
          <cell r="U534">
            <v>1116</v>
          </cell>
          <cell r="V534">
            <v>4798.8</v>
          </cell>
          <cell r="W534">
            <v>1180</v>
          </cell>
          <cell r="X534">
            <v>5074</v>
          </cell>
          <cell r="Y534">
            <v>295</v>
          </cell>
          <cell r="Z534">
            <v>1268.5</v>
          </cell>
          <cell r="AA534">
            <v>295</v>
          </cell>
          <cell r="AB534">
            <v>1268.5</v>
          </cell>
          <cell r="AC534">
            <v>295</v>
          </cell>
          <cell r="AD534">
            <v>1268.5</v>
          </cell>
          <cell r="AE534"/>
          <cell r="AF534"/>
          <cell r="AG534"/>
          <cell r="AH534"/>
          <cell r="AI534"/>
          <cell r="AJ534">
            <v>0</v>
          </cell>
          <cell r="AK534" t="str">
            <v>3P</v>
          </cell>
          <cell r="AL534">
            <v>151</v>
          </cell>
          <cell r="AM534">
            <v>112</v>
          </cell>
          <cell r="AN534" t="str">
            <v>01 Existing Dealer</v>
          </cell>
          <cell r="AO534" t="str">
            <v>Midwest</v>
          </cell>
          <cell r="AP534" t="str">
            <v>North</v>
          </cell>
          <cell r="AQ534"/>
          <cell r="AR534">
            <v>0</v>
          </cell>
          <cell r="AS534">
            <v>0</v>
          </cell>
        </row>
        <row r="535">
          <cell r="A535">
            <v>12731</v>
          </cell>
          <cell r="B535" t="str">
            <v>CLYDE'S FRAME</v>
          </cell>
          <cell r="C535" t="str">
            <v>M10148</v>
          </cell>
          <cell r="D535" t="str">
            <v>NET 5, BT+</v>
          </cell>
          <cell r="E535" t="str">
            <v>FP - Wells Fargo</v>
          </cell>
          <cell r="F535" t="str">
            <v>Yes</v>
          </cell>
          <cell r="G535" t="str">
            <v>OH</v>
          </cell>
          <cell r="H535">
            <v>8</v>
          </cell>
          <cell r="I535">
            <v>0.66500000000000004</v>
          </cell>
          <cell r="J535" t="str">
            <v>JL Smith</v>
          </cell>
          <cell r="K535" t="str">
            <v>PONTIAC</v>
          </cell>
          <cell r="L535" t="str">
            <v>MI</v>
          </cell>
          <cell r="M535" t="str">
            <v>800-577-8858</v>
          </cell>
          <cell r="N535" t="str">
            <v>Spare tires on every trailer.</v>
          </cell>
          <cell r="O535">
            <v>1100</v>
          </cell>
          <cell r="P535">
            <v>4730</v>
          </cell>
          <cell r="Q535">
            <v>891</v>
          </cell>
          <cell r="R535">
            <v>3831.2999999999997</v>
          </cell>
          <cell r="S535"/>
          <cell r="T535">
            <v>0</v>
          </cell>
          <cell r="U535">
            <v>1116</v>
          </cell>
          <cell r="V535">
            <v>4798.8</v>
          </cell>
          <cell r="W535">
            <v>1180</v>
          </cell>
          <cell r="X535">
            <v>5074</v>
          </cell>
          <cell r="Y535">
            <v>295</v>
          </cell>
          <cell r="Z535">
            <v>1268.5</v>
          </cell>
          <cell r="AA535">
            <v>295</v>
          </cell>
          <cell r="AB535">
            <v>1268.5</v>
          </cell>
          <cell r="AC535">
            <v>295</v>
          </cell>
          <cell r="AD535">
            <v>1268.5</v>
          </cell>
          <cell r="AE535"/>
          <cell r="AF535"/>
          <cell r="AG535"/>
          <cell r="AH535"/>
          <cell r="AI535"/>
          <cell r="AJ535">
            <v>0</v>
          </cell>
          <cell r="AK535" t="str">
            <v>3P</v>
          </cell>
          <cell r="AL535">
            <v>151</v>
          </cell>
          <cell r="AM535">
            <v>112</v>
          </cell>
          <cell r="AN535" t="str">
            <v>01 Existing Dealer</v>
          </cell>
          <cell r="AO535" t="str">
            <v>Midwest</v>
          </cell>
          <cell r="AP535" t="str">
            <v>North</v>
          </cell>
          <cell r="AQ535"/>
          <cell r="AR535">
            <v>0</v>
          </cell>
          <cell r="AS535">
            <v>0</v>
          </cell>
        </row>
        <row r="536">
          <cell r="A536">
            <v>10907</v>
          </cell>
          <cell r="B536" t="str">
            <v>D &amp; K TRACTOR</v>
          </cell>
          <cell r="C536" t="str">
            <v>M10175</v>
          </cell>
          <cell r="D536" t="str">
            <v>NET 5, BT+</v>
          </cell>
          <cell r="E536" t="str">
            <v>CF</v>
          </cell>
          <cell r="F536" t="str">
            <v>Yes</v>
          </cell>
          <cell r="G536" t="str">
            <v>OH</v>
          </cell>
          <cell r="H536">
            <v>7</v>
          </cell>
          <cell r="I536">
            <v>0.66500000000000004</v>
          </cell>
          <cell r="J536" t="str">
            <v>Orphaned Acct</v>
          </cell>
          <cell r="K536" t="str">
            <v>CHRISTMAS</v>
          </cell>
          <cell r="L536" t="str">
            <v>MI</v>
          </cell>
          <cell r="M536" t="str">
            <v>800-577-8858</v>
          </cell>
          <cell r="N536"/>
          <cell r="O536">
            <v>1228</v>
          </cell>
          <cell r="P536">
            <v>5280.4</v>
          </cell>
          <cell r="Q536"/>
          <cell r="R536">
            <v>0</v>
          </cell>
          <cell r="S536"/>
          <cell r="T536">
            <v>0</v>
          </cell>
          <cell r="U536">
            <v>1224</v>
          </cell>
          <cell r="V536">
            <v>5263.2</v>
          </cell>
          <cell r="W536">
            <v>1308</v>
          </cell>
          <cell r="X536">
            <v>5624.4</v>
          </cell>
          <cell r="Y536">
            <v>675</v>
          </cell>
          <cell r="Z536">
            <v>2902.5</v>
          </cell>
          <cell r="AA536">
            <v>675</v>
          </cell>
          <cell r="AB536">
            <v>2902.5</v>
          </cell>
          <cell r="AC536">
            <v>675</v>
          </cell>
          <cell r="AD536">
            <v>2902.5</v>
          </cell>
          <cell r="AE536"/>
          <cell r="AF536"/>
          <cell r="AG536"/>
          <cell r="AH536"/>
          <cell r="AI536"/>
          <cell r="AJ536">
            <v>0</v>
          </cell>
          <cell r="AK536" t="str">
            <v>3P</v>
          </cell>
          <cell r="AL536">
            <v>213</v>
          </cell>
          <cell r="AM536">
            <v>282</v>
          </cell>
          <cell r="AN536" t="str">
            <v>08 Inactive Dealer</v>
          </cell>
          <cell r="AO536" t="str">
            <v>Midwest</v>
          </cell>
          <cell r="AP536" t="str">
            <v>North</v>
          </cell>
          <cell r="AQ536"/>
          <cell r="AR536">
            <v>0</v>
          </cell>
          <cell r="AS536">
            <v>0</v>
          </cell>
        </row>
        <row r="537">
          <cell r="A537">
            <v>11814</v>
          </cell>
          <cell r="B537" t="str">
            <v>D &amp; K TRACTOR</v>
          </cell>
          <cell r="C537" t="str">
            <v>M10175</v>
          </cell>
          <cell r="D537" t="str">
            <v>NET 5, BT+</v>
          </cell>
          <cell r="E537" t="str">
            <v>FP - Wells Fargo</v>
          </cell>
          <cell r="F537" t="str">
            <v>Yes</v>
          </cell>
          <cell r="G537" t="str">
            <v>OH</v>
          </cell>
          <cell r="H537">
            <v>8</v>
          </cell>
          <cell r="I537">
            <v>0.66500000000000004</v>
          </cell>
          <cell r="J537" t="str">
            <v>Orphaned Acct</v>
          </cell>
          <cell r="K537" t="str">
            <v>CHRISTMAS</v>
          </cell>
          <cell r="L537" t="str">
            <v>MI</v>
          </cell>
          <cell r="M537" t="str">
            <v>800-577-8858</v>
          </cell>
          <cell r="N537"/>
          <cell r="O537">
            <v>1228</v>
          </cell>
          <cell r="P537">
            <v>5280.4</v>
          </cell>
          <cell r="Q537"/>
          <cell r="R537">
            <v>0</v>
          </cell>
          <cell r="S537"/>
          <cell r="T537">
            <v>0</v>
          </cell>
          <cell r="U537">
            <v>1224</v>
          </cell>
          <cell r="V537">
            <v>5263.2</v>
          </cell>
          <cell r="W537">
            <v>1308</v>
          </cell>
          <cell r="X537">
            <v>5624.4</v>
          </cell>
          <cell r="Y537">
            <v>675</v>
          </cell>
          <cell r="Z537">
            <v>2902.5</v>
          </cell>
          <cell r="AA537">
            <v>675</v>
          </cell>
          <cell r="AB537">
            <v>2902.5</v>
          </cell>
          <cell r="AC537">
            <v>675</v>
          </cell>
          <cell r="AD537">
            <v>2902.5</v>
          </cell>
          <cell r="AE537"/>
          <cell r="AF537"/>
          <cell r="AG537"/>
          <cell r="AH537"/>
          <cell r="AI537"/>
          <cell r="AJ537">
            <v>0</v>
          </cell>
          <cell r="AK537" t="str">
            <v>3P</v>
          </cell>
          <cell r="AL537">
            <v>213</v>
          </cell>
          <cell r="AM537">
            <v>282</v>
          </cell>
          <cell r="AN537" t="str">
            <v>08 Inactive Dealer</v>
          </cell>
          <cell r="AO537" t="str">
            <v>Midwest</v>
          </cell>
          <cell r="AP537" t="str">
            <v>North</v>
          </cell>
          <cell r="AQ537"/>
          <cell r="AR537">
            <v>0</v>
          </cell>
          <cell r="AS537">
            <v>0</v>
          </cell>
        </row>
        <row r="538">
          <cell r="A538">
            <v>12726</v>
          </cell>
          <cell r="B538" t="str">
            <v>DR TRAILER</v>
          </cell>
          <cell r="C538" t="str">
            <v>M10184</v>
          </cell>
          <cell r="D538" t="str">
            <v>NET 5, BT+</v>
          </cell>
          <cell r="E538" t="str">
            <v>CO</v>
          </cell>
          <cell r="F538" t="str">
            <v>Yes</v>
          </cell>
          <cell r="G538" t="str">
            <v>OH</v>
          </cell>
          <cell r="H538">
            <v>7</v>
          </cell>
          <cell r="I538">
            <v>0.66500000000000004</v>
          </cell>
          <cell r="J538" t="str">
            <v>Dakota Nation</v>
          </cell>
          <cell r="K538" t="str">
            <v>MILAN</v>
          </cell>
          <cell r="L538" t="str">
            <v>MI</v>
          </cell>
          <cell r="M538" t="str">
            <v>800-577-8858</v>
          </cell>
          <cell r="N538" t="str">
            <v>BRK2 on all tandem axles</v>
          </cell>
          <cell r="O538">
            <v>1036</v>
          </cell>
          <cell r="P538">
            <v>4454.8</v>
          </cell>
          <cell r="Q538">
            <v>841</v>
          </cell>
          <cell r="R538">
            <v>3616.2999999999997</v>
          </cell>
          <cell r="S538"/>
          <cell r="T538">
            <v>0</v>
          </cell>
          <cell r="U538">
            <v>1060</v>
          </cell>
          <cell r="V538">
            <v>4558</v>
          </cell>
          <cell r="W538">
            <v>1116</v>
          </cell>
          <cell r="X538">
            <v>4798.8</v>
          </cell>
          <cell r="Y538">
            <v>245</v>
          </cell>
          <cell r="Z538">
            <v>1053.5</v>
          </cell>
          <cell r="AA538">
            <v>245</v>
          </cell>
          <cell r="AB538">
            <v>1053.5</v>
          </cell>
          <cell r="AC538">
            <v>245</v>
          </cell>
          <cell r="AD538">
            <v>1053.5</v>
          </cell>
          <cell r="AE538"/>
          <cell r="AF538"/>
          <cell r="AG538"/>
          <cell r="AH538"/>
          <cell r="AI538"/>
          <cell r="AJ538">
            <v>0.05</v>
          </cell>
          <cell r="AK538" t="str">
            <v>3P</v>
          </cell>
          <cell r="AL538">
            <v>223</v>
          </cell>
          <cell r="AM538">
            <v>112</v>
          </cell>
          <cell r="AN538" t="str">
            <v>01 Existing Dealer</v>
          </cell>
          <cell r="AO538" t="str">
            <v>Midwest</v>
          </cell>
          <cell r="AP538" t="str">
            <v>North</v>
          </cell>
          <cell r="AQ538">
            <v>48160</v>
          </cell>
          <cell r="AR538">
            <v>0</v>
          </cell>
          <cell r="AS538">
            <v>0</v>
          </cell>
        </row>
        <row r="539">
          <cell r="A539" t="str">
            <v>12726A</v>
          </cell>
          <cell r="B539" t="str">
            <v>DR TRAILER</v>
          </cell>
          <cell r="C539" t="str">
            <v>M10184</v>
          </cell>
          <cell r="D539" t="str">
            <v>NET 5, BT+</v>
          </cell>
          <cell r="E539" t="str">
            <v>CO</v>
          </cell>
          <cell r="F539" t="str">
            <v>Yes</v>
          </cell>
          <cell r="G539" t="str">
            <v>OH</v>
          </cell>
          <cell r="H539">
            <v>7</v>
          </cell>
          <cell r="I539">
            <v>0.66500000000000004</v>
          </cell>
          <cell r="J539" t="str">
            <v>Dakota Nation</v>
          </cell>
          <cell r="K539" t="str">
            <v>WHITE PIGEON</v>
          </cell>
          <cell r="L539" t="str">
            <v>MI</v>
          </cell>
          <cell r="M539" t="str">
            <v>800-577-8858</v>
          </cell>
          <cell r="N539" t="str">
            <v>BRK2 on all tandem axles</v>
          </cell>
          <cell r="O539">
            <v>946</v>
          </cell>
          <cell r="P539">
            <v>4067.7999999999997</v>
          </cell>
          <cell r="Q539"/>
          <cell r="R539">
            <v>0</v>
          </cell>
          <cell r="S539"/>
          <cell r="T539">
            <v>0</v>
          </cell>
          <cell r="U539">
            <v>961</v>
          </cell>
          <cell r="V539">
            <v>4132.3</v>
          </cell>
          <cell r="W539">
            <v>1026</v>
          </cell>
          <cell r="X539">
            <v>4411.8</v>
          </cell>
          <cell r="Y539">
            <v>278</v>
          </cell>
          <cell r="Z539">
            <v>1195.3999999999999</v>
          </cell>
          <cell r="AA539">
            <v>278</v>
          </cell>
          <cell r="AB539">
            <v>1195.3999999999999</v>
          </cell>
          <cell r="AC539">
            <v>278</v>
          </cell>
          <cell r="AD539">
            <v>1195.3999999999999</v>
          </cell>
          <cell r="AE539"/>
          <cell r="AF539"/>
          <cell r="AG539"/>
          <cell r="AH539"/>
          <cell r="AI539"/>
          <cell r="AJ539">
            <v>0.05</v>
          </cell>
          <cell r="AK539" t="str">
            <v>3P</v>
          </cell>
          <cell r="AL539">
            <v>223</v>
          </cell>
          <cell r="AM539">
            <v>223</v>
          </cell>
          <cell r="AN539" t="str">
            <v>01 Existing Dealer</v>
          </cell>
          <cell r="AO539" t="str">
            <v>Midwest</v>
          </cell>
          <cell r="AP539" t="str">
            <v>North</v>
          </cell>
          <cell r="AQ539">
            <v>49099</v>
          </cell>
          <cell r="AR539">
            <v>0</v>
          </cell>
          <cell r="AS539">
            <v>0</v>
          </cell>
        </row>
        <row r="540">
          <cell r="A540">
            <v>13265</v>
          </cell>
          <cell r="B540" t="str">
            <v>DR TRAILER</v>
          </cell>
          <cell r="C540" t="str">
            <v>M10184</v>
          </cell>
          <cell r="D540" t="str">
            <v>NET 5, BT+</v>
          </cell>
          <cell r="E540" t="str">
            <v>F6 - Northpoint</v>
          </cell>
          <cell r="F540" t="str">
            <v>Yes</v>
          </cell>
          <cell r="G540" t="str">
            <v>OH</v>
          </cell>
          <cell r="H540">
            <v>7</v>
          </cell>
          <cell r="I540">
            <v>0.66500000000000004</v>
          </cell>
          <cell r="J540" t="str">
            <v>Dakota Nation</v>
          </cell>
          <cell r="K540" t="str">
            <v>MILAN</v>
          </cell>
          <cell r="L540" t="str">
            <v>MI</v>
          </cell>
          <cell r="M540" t="str">
            <v>800-577-8858</v>
          </cell>
          <cell r="N540" t="str">
            <v>BRK2 on all tandem axles</v>
          </cell>
          <cell r="O540">
            <v>1069</v>
          </cell>
          <cell r="P540">
            <v>4596.7</v>
          </cell>
          <cell r="Q540">
            <v>869</v>
          </cell>
          <cell r="R540">
            <v>3736.7</v>
          </cell>
          <cell r="S540"/>
          <cell r="T540">
            <v>0</v>
          </cell>
          <cell r="U540">
            <v>1084</v>
          </cell>
          <cell r="V540">
            <v>4661.2</v>
          </cell>
          <cell r="W540">
            <v>1149</v>
          </cell>
          <cell r="X540">
            <v>4940.7</v>
          </cell>
          <cell r="Y540">
            <v>272</v>
          </cell>
          <cell r="Z540">
            <v>1169.5999999999999</v>
          </cell>
          <cell r="AA540">
            <v>272</v>
          </cell>
          <cell r="AB540">
            <v>1169.5999999999999</v>
          </cell>
          <cell r="AC540">
            <v>272</v>
          </cell>
          <cell r="AD540">
            <v>1169.5999999999999</v>
          </cell>
          <cell r="AE540"/>
          <cell r="AF540"/>
          <cell r="AG540"/>
          <cell r="AH540"/>
          <cell r="AI540"/>
          <cell r="AJ540">
            <v>0.05</v>
          </cell>
          <cell r="AK540" t="str">
            <v>3P</v>
          </cell>
          <cell r="AL540">
            <v>223</v>
          </cell>
          <cell r="AM540">
            <v>112</v>
          </cell>
          <cell r="AN540" t="str">
            <v>01 Existing Dealer</v>
          </cell>
          <cell r="AO540" t="str">
            <v>Midwest</v>
          </cell>
          <cell r="AP540" t="str">
            <v>North</v>
          </cell>
          <cell r="AQ540">
            <v>48160</v>
          </cell>
          <cell r="AR540">
            <v>823379</v>
          </cell>
          <cell r="AS540">
            <v>357035</v>
          </cell>
        </row>
        <row r="541">
          <cell r="A541" t="str">
            <v>13265A</v>
          </cell>
          <cell r="B541" t="str">
            <v>DR TRAILER</v>
          </cell>
          <cell r="C541" t="str">
            <v>M10184</v>
          </cell>
          <cell r="D541" t="str">
            <v>NET 5, BT+</v>
          </cell>
          <cell r="E541" t="str">
            <v>F6 - Northpoint</v>
          </cell>
          <cell r="F541" t="str">
            <v>Yes</v>
          </cell>
          <cell r="G541" t="str">
            <v>OH</v>
          </cell>
          <cell r="H541">
            <v>7</v>
          </cell>
          <cell r="I541">
            <v>0.66500000000000004</v>
          </cell>
          <cell r="J541" t="str">
            <v>Dakota Nation</v>
          </cell>
          <cell r="K541" t="str">
            <v>WHITE PIGEON</v>
          </cell>
          <cell r="L541" t="str">
            <v>MI</v>
          </cell>
          <cell r="M541" t="str">
            <v>800-577-8858</v>
          </cell>
          <cell r="N541" t="str">
            <v>BRK2 on all tandem axles</v>
          </cell>
          <cell r="O541">
            <v>946</v>
          </cell>
          <cell r="P541">
            <v>4067.7999999999997</v>
          </cell>
          <cell r="Q541"/>
          <cell r="R541">
            <v>0</v>
          </cell>
          <cell r="S541"/>
          <cell r="T541">
            <v>0</v>
          </cell>
          <cell r="U541">
            <v>961</v>
          </cell>
          <cell r="V541">
            <v>4132.3</v>
          </cell>
          <cell r="W541">
            <v>1026</v>
          </cell>
          <cell r="X541">
            <v>4411.8</v>
          </cell>
          <cell r="Y541">
            <v>278</v>
          </cell>
          <cell r="Z541">
            <v>1195.3999999999999</v>
          </cell>
          <cell r="AA541">
            <v>278</v>
          </cell>
          <cell r="AB541">
            <v>1195.3999999999999</v>
          </cell>
          <cell r="AC541">
            <v>278</v>
          </cell>
          <cell r="AD541">
            <v>1195.3999999999999</v>
          </cell>
          <cell r="AE541"/>
          <cell r="AF541"/>
          <cell r="AG541"/>
          <cell r="AH541"/>
          <cell r="AI541"/>
          <cell r="AJ541">
            <v>0.05</v>
          </cell>
          <cell r="AK541" t="str">
            <v>3P</v>
          </cell>
          <cell r="AL541">
            <v>223</v>
          </cell>
          <cell r="AM541">
            <v>223</v>
          </cell>
          <cell r="AN541" t="str">
            <v>01 Existing Dealer</v>
          </cell>
          <cell r="AO541" t="str">
            <v>Midwest</v>
          </cell>
          <cell r="AP541" t="str">
            <v>North</v>
          </cell>
          <cell r="AQ541">
            <v>49099</v>
          </cell>
          <cell r="AR541">
            <v>0</v>
          </cell>
          <cell r="AS541">
            <v>0</v>
          </cell>
        </row>
        <row r="542">
          <cell r="A542" t="str">
            <v>13265B</v>
          </cell>
          <cell r="B542" t="str">
            <v>DR TRAILER</v>
          </cell>
          <cell r="C542" t="str">
            <v>M10184</v>
          </cell>
          <cell r="D542" t="str">
            <v>NET 5, BT+</v>
          </cell>
          <cell r="E542" t="str">
            <v>F6 - Northpoint</v>
          </cell>
          <cell r="F542" t="str">
            <v>Yes</v>
          </cell>
          <cell r="G542" t="str">
            <v>OH</v>
          </cell>
          <cell r="H542">
            <v>7</v>
          </cell>
          <cell r="I542">
            <v>0.66500000000000004</v>
          </cell>
          <cell r="J542" t="str">
            <v>Dakota Nation</v>
          </cell>
          <cell r="K542" t="str">
            <v>WHITMORE LAKE</v>
          </cell>
          <cell r="L542" t="str">
            <v>MI</v>
          </cell>
          <cell r="M542" t="str">
            <v>800-577-8858</v>
          </cell>
          <cell r="N542" t="str">
            <v>BRK2 on all tandem axles</v>
          </cell>
          <cell r="O542">
            <v>1069</v>
          </cell>
          <cell r="P542">
            <v>4596.7</v>
          </cell>
          <cell r="Q542">
            <v>869</v>
          </cell>
          <cell r="R542">
            <v>3736.7</v>
          </cell>
          <cell r="S542"/>
          <cell r="T542">
            <v>0</v>
          </cell>
          <cell r="U542">
            <v>1084</v>
          </cell>
          <cell r="V542">
            <v>4661.2</v>
          </cell>
          <cell r="W542">
            <v>1149</v>
          </cell>
          <cell r="X542">
            <v>4940.7</v>
          </cell>
          <cell r="Y542">
            <v>272</v>
          </cell>
          <cell r="Z542">
            <v>1169.5999999999999</v>
          </cell>
          <cell r="AA542">
            <v>272</v>
          </cell>
          <cell r="AB542">
            <v>1169.5999999999999</v>
          </cell>
          <cell r="AC542">
            <v>272</v>
          </cell>
          <cell r="AD542">
            <v>1169.5999999999999</v>
          </cell>
          <cell r="AE542"/>
          <cell r="AF542"/>
          <cell r="AG542"/>
          <cell r="AH542"/>
          <cell r="AI542"/>
          <cell r="AJ542">
            <v>0.05</v>
          </cell>
          <cell r="AK542" t="str">
            <v>3P</v>
          </cell>
          <cell r="AL542">
            <v>223</v>
          </cell>
          <cell r="AM542">
            <v>112</v>
          </cell>
          <cell r="AN542" t="str">
            <v>01 Existing Dealer</v>
          </cell>
          <cell r="AO542" t="str">
            <v>Midwest</v>
          </cell>
          <cell r="AP542" t="str">
            <v>North</v>
          </cell>
          <cell r="AQ542">
            <v>48189</v>
          </cell>
          <cell r="AR542">
            <v>0</v>
          </cell>
          <cell r="AS542">
            <v>0</v>
          </cell>
        </row>
        <row r="543">
          <cell r="A543">
            <v>13606</v>
          </cell>
          <cell r="B543" t="str">
            <v>GAYLOR-THOMPSON</v>
          </cell>
          <cell r="C543" t="str">
            <v>M11587</v>
          </cell>
          <cell r="D543" t="str">
            <v>NET 5, BT+</v>
          </cell>
          <cell r="E543" t="str">
            <v>FP - Northpoint</v>
          </cell>
          <cell r="F543" t="str">
            <v>Yes</v>
          </cell>
          <cell r="G543" t="str">
            <v>OH</v>
          </cell>
          <cell r="H543">
            <v>8</v>
          </cell>
          <cell r="I543">
            <v>0.66500000000000004</v>
          </cell>
          <cell r="J543" t="str">
            <v>JL Smith</v>
          </cell>
          <cell r="K543" t="str">
            <v>RUDYARD</v>
          </cell>
          <cell r="L543" t="str">
            <v>MI</v>
          </cell>
          <cell r="M543" t="str">
            <v>800-577-8858</v>
          </cell>
          <cell r="N543" t="str">
            <v>All tandem axle trailers must have BRK2</v>
          </cell>
          <cell r="O543">
            <v>1261</v>
          </cell>
          <cell r="P543">
            <v>5422.3</v>
          </cell>
          <cell r="Q543">
            <v>1158</v>
          </cell>
          <cell r="R543">
            <v>4979.3999999999996</v>
          </cell>
          <cell r="S543"/>
          <cell r="T543">
            <v>0</v>
          </cell>
          <cell r="U543">
            <v>1281</v>
          </cell>
          <cell r="V543">
            <v>5508.3</v>
          </cell>
          <cell r="W543">
            <v>1342</v>
          </cell>
          <cell r="X543">
            <v>5770.5999999999995</v>
          </cell>
          <cell r="Y543"/>
          <cell r="Z543">
            <v>0</v>
          </cell>
          <cell r="AA543">
            <v>571</v>
          </cell>
          <cell r="AB543">
            <v>2455.2999999999997</v>
          </cell>
          <cell r="AC543">
            <v>571</v>
          </cell>
          <cell r="AD543">
            <v>2455.2999999999997</v>
          </cell>
          <cell r="AE543"/>
          <cell r="AF543"/>
          <cell r="AG543"/>
          <cell r="AH543"/>
          <cell r="AI543"/>
          <cell r="AJ543">
            <v>0</v>
          </cell>
          <cell r="AK543" t="str">
            <v>3P</v>
          </cell>
          <cell r="AL543">
            <v>151</v>
          </cell>
          <cell r="AM543">
            <v>409</v>
          </cell>
          <cell r="AN543" t="str">
            <v>03 New Dealer</v>
          </cell>
          <cell r="AO543" t="str">
            <v>Midwest</v>
          </cell>
          <cell r="AP543" t="str">
            <v>North</v>
          </cell>
          <cell r="AQ543">
            <v>49780</v>
          </cell>
          <cell r="AR543">
            <v>52370</v>
          </cell>
          <cell r="AS543">
            <v>0</v>
          </cell>
        </row>
        <row r="544">
          <cell r="A544">
            <v>12530</v>
          </cell>
          <cell r="B544" t="str">
            <v>GREAT LAKES</v>
          </cell>
          <cell r="C544" t="str">
            <v>M10026</v>
          </cell>
          <cell r="D544" t="str">
            <v>NET 5, BT+</v>
          </cell>
          <cell r="E544" t="str">
            <v>FP to go CF hold</v>
          </cell>
          <cell r="F544" t="str">
            <v>Yes</v>
          </cell>
          <cell r="G544" t="str">
            <v>OH</v>
          </cell>
          <cell r="H544">
            <v>7</v>
          </cell>
          <cell r="I544">
            <v>0.66500000000000004</v>
          </cell>
          <cell r="J544" t="str">
            <v>Orphaned Acct</v>
          </cell>
          <cell r="K544" t="str">
            <v>DORR</v>
          </cell>
          <cell r="L544" t="str">
            <v>MI</v>
          </cell>
          <cell r="M544" t="str">
            <v>800-577-8858</v>
          </cell>
          <cell r="N544" t="str">
            <v>All tandem axle trailers must have BRK2</v>
          </cell>
          <cell r="O544">
            <v>1005</v>
          </cell>
          <cell r="P544">
            <v>4321.5</v>
          </cell>
          <cell r="Q544">
            <v>950</v>
          </cell>
          <cell r="R544">
            <v>4085</v>
          </cell>
          <cell r="S544"/>
          <cell r="T544">
            <v>0</v>
          </cell>
          <cell r="U544">
            <v>1021</v>
          </cell>
          <cell r="V544">
            <v>4390.3</v>
          </cell>
          <cell r="W544">
            <v>1086</v>
          </cell>
          <cell r="X544">
            <v>4669.8</v>
          </cell>
          <cell r="Y544">
            <v>364</v>
          </cell>
          <cell r="Z544">
            <v>1565.2</v>
          </cell>
          <cell r="AA544">
            <v>364</v>
          </cell>
          <cell r="AB544">
            <v>1565.2</v>
          </cell>
          <cell r="AC544">
            <v>364</v>
          </cell>
          <cell r="AD544">
            <v>1565.2</v>
          </cell>
          <cell r="AE544"/>
          <cell r="AF544"/>
          <cell r="AG544"/>
          <cell r="AH544"/>
          <cell r="AI544"/>
          <cell r="AJ544">
            <v>0</v>
          </cell>
          <cell r="AK544" t="str">
            <v>3P</v>
          </cell>
          <cell r="AL544">
            <v>213</v>
          </cell>
          <cell r="AM544">
            <v>169</v>
          </cell>
          <cell r="AN544" t="str">
            <v>08 Inactive Dealer</v>
          </cell>
          <cell r="AO544" t="str">
            <v>Midwest</v>
          </cell>
          <cell r="AP544" t="str">
            <v>North</v>
          </cell>
          <cell r="AQ544"/>
          <cell r="AR544">
            <v>0</v>
          </cell>
          <cell r="AS544">
            <v>0</v>
          </cell>
        </row>
        <row r="545">
          <cell r="A545">
            <v>12879</v>
          </cell>
          <cell r="B545" t="str">
            <v>HOEKSTRA TRUCK EQUIPMENT CO., INC.</v>
          </cell>
          <cell r="C545" t="str">
            <v>M10219</v>
          </cell>
          <cell r="D545" t="str">
            <v>NET 5, BT+</v>
          </cell>
          <cell r="E545" t="str">
            <v>FP - Wells Fargo</v>
          </cell>
          <cell r="F545" t="str">
            <v>Yes</v>
          </cell>
          <cell r="G545" t="str">
            <v>OH</v>
          </cell>
          <cell r="H545">
            <v>8</v>
          </cell>
          <cell r="I545">
            <v>0.66500000000000004</v>
          </cell>
          <cell r="J545" t="str">
            <v>Orphaned Acct</v>
          </cell>
          <cell r="K545" t="str">
            <v>GRAND RAPIDS</v>
          </cell>
          <cell r="L545" t="str">
            <v>MI</v>
          </cell>
          <cell r="M545" t="str">
            <v>800-577-8858</v>
          </cell>
          <cell r="N545" t="str">
            <v>BRK2 on all tandem axles</v>
          </cell>
          <cell r="O545">
            <v>992</v>
          </cell>
          <cell r="P545">
            <v>4265.5999999999995</v>
          </cell>
          <cell r="Q545">
            <v>936</v>
          </cell>
          <cell r="R545">
            <v>4024.7999999999997</v>
          </cell>
          <cell r="S545"/>
          <cell r="T545">
            <v>0</v>
          </cell>
          <cell r="U545">
            <v>1008</v>
          </cell>
          <cell r="V545">
            <v>4334.3999999999996</v>
          </cell>
          <cell r="W545">
            <v>1072</v>
          </cell>
          <cell r="X545">
            <v>4609.5999999999995</v>
          </cell>
          <cell r="Y545">
            <v>379</v>
          </cell>
          <cell r="Z545">
            <v>1629.7</v>
          </cell>
          <cell r="AA545">
            <v>379</v>
          </cell>
          <cell r="AB545">
            <v>1629.7</v>
          </cell>
          <cell r="AC545">
            <v>379</v>
          </cell>
          <cell r="AD545">
            <v>1629.7</v>
          </cell>
          <cell r="AE545"/>
          <cell r="AF545"/>
          <cell r="AG545"/>
          <cell r="AH545"/>
          <cell r="AI545"/>
          <cell r="AJ545">
            <v>0</v>
          </cell>
          <cell r="AK545" t="str">
            <v>3P</v>
          </cell>
          <cell r="AL545">
            <v>213</v>
          </cell>
          <cell r="AM545">
            <v>169</v>
          </cell>
          <cell r="AN545" t="str">
            <v>08 Inactive Dealer</v>
          </cell>
          <cell r="AO545" t="str">
            <v>Midwest</v>
          </cell>
          <cell r="AP545" t="str">
            <v>North</v>
          </cell>
          <cell r="AQ545"/>
          <cell r="AR545">
            <v>0</v>
          </cell>
          <cell r="AS545">
            <v>0</v>
          </cell>
        </row>
        <row r="546">
          <cell r="A546">
            <v>13093</v>
          </cell>
          <cell r="B546" t="str">
            <v>IRON MOUNTAIN</v>
          </cell>
          <cell r="C546" t="str">
            <v>M10982</v>
          </cell>
          <cell r="D546" t="str">
            <v>NET 5, BT+</v>
          </cell>
          <cell r="E546" t="str">
            <v>F3 - Northpoint</v>
          </cell>
          <cell r="F546" t="str">
            <v>Yes</v>
          </cell>
          <cell r="G546" t="str">
            <v>OH</v>
          </cell>
          <cell r="H546">
            <v>8</v>
          </cell>
          <cell r="I546">
            <v>0.66500000000000004</v>
          </cell>
          <cell r="J546" t="str">
            <v>Lane Davis</v>
          </cell>
          <cell r="K546" t="str">
            <v>KINGSFORD</v>
          </cell>
          <cell r="L546" t="str">
            <v>MI</v>
          </cell>
          <cell r="M546" t="str">
            <v>800-577-8858</v>
          </cell>
          <cell r="N546" t="str">
            <v>BRK2 on all tandem axles</v>
          </cell>
          <cell r="O546">
            <v>1155</v>
          </cell>
          <cell r="P546">
            <v>4966.5</v>
          </cell>
          <cell r="Q546">
            <v>1176</v>
          </cell>
          <cell r="R546">
            <v>5056.8</v>
          </cell>
          <cell r="S546"/>
          <cell r="T546">
            <v>0</v>
          </cell>
          <cell r="U546">
            <v>1151</v>
          </cell>
          <cell r="V546">
            <v>4949.3</v>
          </cell>
          <cell r="W546">
            <v>1235</v>
          </cell>
          <cell r="X546">
            <v>5310.5</v>
          </cell>
          <cell r="Y546">
            <v>645</v>
          </cell>
          <cell r="Z546">
            <v>2773.5</v>
          </cell>
          <cell r="AA546">
            <v>645</v>
          </cell>
          <cell r="AB546">
            <v>2773.5</v>
          </cell>
          <cell r="AC546">
            <v>645</v>
          </cell>
          <cell r="AD546">
            <v>2773.5</v>
          </cell>
          <cell r="AE546"/>
          <cell r="AF546"/>
          <cell r="AG546"/>
          <cell r="AH546"/>
          <cell r="AI546"/>
          <cell r="AJ546">
            <v>0</v>
          </cell>
          <cell r="AK546" t="str">
            <v>3P</v>
          </cell>
          <cell r="AL546">
            <v>275</v>
          </cell>
          <cell r="AM546">
            <v>206</v>
          </cell>
          <cell r="AN546" t="str">
            <v>01 Existing Dealer</v>
          </cell>
          <cell r="AO546" t="str">
            <v>Midwest</v>
          </cell>
          <cell r="AP546" t="str">
            <v>North</v>
          </cell>
          <cell r="AQ546"/>
          <cell r="AR546">
            <v>44265</v>
          </cell>
          <cell r="AS546">
            <v>0</v>
          </cell>
        </row>
        <row r="547">
          <cell r="A547" t="str">
            <v>13093A</v>
          </cell>
          <cell r="B547" t="str">
            <v>IRON MOUNTAIN</v>
          </cell>
          <cell r="C547" t="str">
            <v>M10982</v>
          </cell>
          <cell r="D547" t="str">
            <v>NET 5, BT+</v>
          </cell>
          <cell r="E547" t="str">
            <v>F3 - Northpoint</v>
          </cell>
          <cell r="F547" t="str">
            <v>Yes</v>
          </cell>
          <cell r="G547" t="str">
            <v>OH</v>
          </cell>
          <cell r="H547">
            <v>8</v>
          </cell>
          <cell r="I547">
            <v>0.66500000000000004</v>
          </cell>
          <cell r="J547" t="str">
            <v>Lane Davis</v>
          </cell>
          <cell r="K547" t="str">
            <v>ATLANTIC MINE</v>
          </cell>
          <cell r="L547" t="str">
            <v>MI</v>
          </cell>
          <cell r="M547" t="str">
            <v>800-577-8858</v>
          </cell>
          <cell r="N547" t="str">
            <v>BRK2 on all tandem axles</v>
          </cell>
          <cell r="O547"/>
          <cell r="P547">
            <v>0</v>
          </cell>
          <cell r="Q547"/>
          <cell r="R547">
            <v>0</v>
          </cell>
          <cell r="S547"/>
          <cell r="T547">
            <v>0</v>
          </cell>
          <cell r="U547"/>
          <cell r="V547">
            <v>0</v>
          </cell>
          <cell r="W547"/>
          <cell r="X547">
            <v>0</v>
          </cell>
          <cell r="Y547">
            <v>762</v>
          </cell>
          <cell r="Z547">
            <v>3276.6</v>
          </cell>
          <cell r="AA547">
            <v>762</v>
          </cell>
          <cell r="AB547">
            <v>3276.6</v>
          </cell>
          <cell r="AC547">
            <v>762</v>
          </cell>
          <cell r="AD547">
            <v>3276.6</v>
          </cell>
          <cell r="AE547"/>
          <cell r="AF547"/>
          <cell r="AG547"/>
          <cell r="AH547"/>
          <cell r="AI547"/>
          <cell r="AJ547">
            <v>0</v>
          </cell>
          <cell r="AK547" t="str">
            <v>3P</v>
          </cell>
          <cell r="AL547">
            <v>275</v>
          </cell>
          <cell r="AM547">
            <v>194</v>
          </cell>
          <cell r="AN547" t="str">
            <v>01 Existing Dealer</v>
          </cell>
          <cell r="AO547" t="str">
            <v>Midwest</v>
          </cell>
          <cell r="AP547" t="str">
            <v>North</v>
          </cell>
          <cell r="AQ547"/>
          <cell r="AR547">
            <v>0</v>
          </cell>
          <cell r="AS547">
            <v>0</v>
          </cell>
        </row>
        <row r="548">
          <cell r="A548" t="str">
            <v>13093B</v>
          </cell>
          <cell r="B548" t="str">
            <v>IRON MOUNTAIN</v>
          </cell>
          <cell r="C548" t="str">
            <v>M10982</v>
          </cell>
          <cell r="D548" t="str">
            <v>NET 5, BT+</v>
          </cell>
          <cell r="E548" t="str">
            <v>F3 - Northpoint</v>
          </cell>
          <cell r="F548" t="str">
            <v>Yes</v>
          </cell>
          <cell r="G548" t="str">
            <v>OH</v>
          </cell>
          <cell r="H548">
            <v>8</v>
          </cell>
          <cell r="I548">
            <v>0.66500000000000004</v>
          </cell>
          <cell r="J548" t="str">
            <v>Lane Davis</v>
          </cell>
          <cell r="K548" t="str">
            <v>NEGAUNEE</v>
          </cell>
          <cell r="L548" t="str">
            <v>MI</v>
          </cell>
          <cell r="M548" t="str">
            <v>800-577-8858</v>
          </cell>
          <cell r="N548" t="str">
            <v>BRK2 on all tandem axles</v>
          </cell>
          <cell r="O548"/>
          <cell r="P548">
            <v>0</v>
          </cell>
          <cell r="Q548"/>
          <cell r="R548">
            <v>0</v>
          </cell>
          <cell r="S548"/>
          <cell r="T548">
            <v>0</v>
          </cell>
          <cell r="U548"/>
          <cell r="V548">
            <v>0</v>
          </cell>
          <cell r="W548"/>
          <cell r="X548">
            <v>0</v>
          </cell>
          <cell r="Y548">
            <v>714</v>
          </cell>
          <cell r="Z548">
            <v>3070.2</v>
          </cell>
          <cell r="AA548">
            <v>714</v>
          </cell>
          <cell r="AB548">
            <v>3070.2</v>
          </cell>
          <cell r="AC548">
            <v>714</v>
          </cell>
          <cell r="AD548">
            <v>3070.2</v>
          </cell>
          <cell r="AE548"/>
          <cell r="AF548"/>
          <cell r="AG548"/>
          <cell r="AH548"/>
          <cell r="AI548"/>
          <cell r="AJ548">
            <v>0</v>
          </cell>
          <cell r="AK548" t="str">
            <v>3P</v>
          </cell>
          <cell r="AL548">
            <v>275</v>
          </cell>
          <cell r="AM548">
            <v>282</v>
          </cell>
          <cell r="AN548" t="str">
            <v>01 Existing Dealer</v>
          </cell>
          <cell r="AO548" t="str">
            <v>Midwest</v>
          </cell>
          <cell r="AP548" t="str">
            <v>North</v>
          </cell>
          <cell r="AQ548"/>
          <cell r="AR548">
            <v>0</v>
          </cell>
          <cell r="AS548">
            <v>0</v>
          </cell>
        </row>
        <row r="549">
          <cell r="A549">
            <v>12967</v>
          </cell>
          <cell r="B549" t="str">
            <v>NOVAK'S SUPPLY</v>
          </cell>
          <cell r="C549" t="str">
            <v>M10784</v>
          </cell>
          <cell r="D549" t="str">
            <v>Return Mail, no pink card</v>
          </cell>
          <cell r="E549" t="str">
            <v>FP - Wells Fargo</v>
          </cell>
          <cell r="F549" t="str">
            <v>Yes</v>
          </cell>
          <cell r="G549" t="str">
            <v>OH</v>
          </cell>
          <cell r="H549">
            <v>8</v>
          </cell>
          <cell r="I549">
            <v>0.66500000000000004</v>
          </cell>
          <cell r="J549" t="str">
            <v>JL Smith</v>
          </cell>
          <cell r="K549" t="str">
            <v>ALMONT</v>
          </cell>
          <cell r="L549" t="str">
            <v>MI</v>
          </cell>
          <cell r="M549" t="str">
            <v>800-577-8858</v>
          </cell>
          <cell r="N549"/>
          <cell r="O549">
            <v>1128</v>
          </cell>
          <cell r="P549">
            <v>4850.3999999999996</v>
          </cell>
          <cell r="Q549">
            <v>915</v>
          </cell>
          <cell r="R549">
            <v>3934.5</v>
          </cell>
          <cell r="S549"/>
          <cell r="T549">
            <v>0</v>
          </cell>
          <cell r="U549">
            <v>1143</v>
          </cell>
          <cell r="V549">
            <v>4914.8999999999996</v>
          </cell>
          <cell r="W549">
            <v>1208</v>
          </cell>
          <cell r="X549">
            <v>5194.3999999999996</v>
          </cell>
          <cell r="Y549">
            <v>319</v>
          </cell>
          <cell r="Z549">
            <v>1371.7</v>
          </cell>
          <cell r="AA549">
            <v>319</v>
          </cell>
          <cell r="AB549">
            <v>1371.7</v>
          </cell>
          <cell r="AC549">
            <v>319</v>
          </cell>
          <cell r="AD549">
            <v>1371.7</v>
          </cell>
          <cell r="AE549"/>
          <cell r="AF549"/>
          <cell r="AG549"/>
          <cell r="AH549"/>
          <cell r="AI549"/>
          <cell r="AJ549">
            <v>0</v>
          </cell>
          <cell r="AK549" t="str">
            <v>3P</v>
          </cell>
          <cell r="AL549">
            <v>151</v>
          </cell>
          <cell r="AM549">
            <v>112</v>
          </cell>
          <cell r="AN549" t="str">
            <v>01 Existing Dealer</v>
          </cell>
          <cell r="AO549" t="str">
            <v>Midwest</v>
          </cell>
          <cell r="AP549" t="str">
            <v>North</v>
          </cell>
          <cell r="AQ549"/>
          <cell r="AR549">
            <v>0</v>
          </cell>
          <cell r="AS549">
            <v>0</v>
          </cell>
        </row>
        <row r="550">
          <cell r="A550">
            <v>13137</v>
          </cell>
          <cell r="B550" t="str">
            <v>PAUL'S TRACTOR</v>
          </cell>
          <cell r="C550" t="str">
            <v>M11058</v>
          </cell>
          <cell r="D550" t="str">
            <v>NET 5, BT+</v>
          </cell>
          <cell r="E550" t="str">
            <v>CO</v>
          </cell>
          <cell r="F550" t="str">
            <v>Yes</v>
          </cell>
          <cell r="G550" t="str">
            <v>OH</v>
          </cell>
          <cell r="H550">
            <v>7</v>
          </cell>
          <cell r="I550">
            <v>0.66500000000000004</v>
          </cell>
          <cell r="J550" t="str">
            <v>Orphaned Acct</v>
          </cell>
          <cell r="K550" t="str">
            <v>CLIO</v>
          </cell>
          <cell r="L550" t="str">
            <v>MI</v>
          </cell>
          <cell r="M550" t="str">
            <v>800-577-8858</v>
          </cell>
          <cell r="N550"/>
          <cell r="O550">
            <v>1102</v>
          </cell>
          <cell r="P550">
            <v>4738.5999999999995</v>
          </cell>
          <cell r="Q550">
            <v>923</v>
          </cell>
          <cell r="R550">
            <v>3968.8999999999996</v>
          </cell>
          <cell r="S550"/>
          <cell r="T550">
            <v>0</v>
          </cell>
          <cell r="U550">
            <v>1118</v>
          </cell>
          <cell r="V550">
            <v>4807.3999999999996</v>
          </cell>
          <cell r="W550">
            <v>1183</v>
          </cell>
          <cell r="X550">
            <v>5086.8999999999996</v>
          </cell>
          <cell r="Y550">
            <v>327</v>
          </cell>
          <cell r="Z550">
            <v>1406.1</v>
          </cell>
          <cell r="AA550">
            <v>327</v>
          </cell>
          <cell r="AB550">
            <v>1406.1</v>
          </cell>
          <cell r="AC550">
            <v>327</v>
          </cell>
          <cell r="AD550">
            <v>1406.1</v>
          </cell>
          <cell r="AE550"/>
          <cell r="AF550"/>
          <cell r="AG550"/>
          <cell r="AH550"/>
          <cell r="AI550"/>
          <cell r="AJ550">
            <v>0</v>
          </cell>
          <cell r="AK550" t="str">
            <v>3P</v>
          </cell>
          <cell r="AL550">
            <v>213</v>
          </cell>
          <cell r="AM550">
            <v>145</v>
          </cell>
          <cell r="AN550" t="str">
            <v>01 Existing Dealer</v>
          </cell>
          <cell r="AO550" t="str">
            <v>Midwest</v>
          </cell>
          <cell r="AP550" t="str">
            <v>North</v>
          </cell>
          <cell r="AQ550"/>
          <cell r="AR550">
            <v>0</v>
          </cell>
          <cell r="AS550">
            <v>0</v>
          </cell>
        </row>
        <row r="551">
          <cell r="A551">
            <v>13518</v>
          </cell>
          <cell r="B551" t="str">
            <v>SCHNEIDERS MOTORSPORTS</v>
          </cell>
          <cell r="C551" t="str">
            <v>M11491</v>
          </cell>
          <cell r="D551" t="str">
            <v>NET 5, BT+</v>
          </cell>
          <cell r="E551" t="str">
            <v>FP</v>
          </cell>
          <cell r="F551" t="str">
            <v>Yes</v>
          </cell>
          <cell r="G551" t="str">
            <v>OH</v>
          </cell>
          <cell r="H551">
            <v>8</v>
          </cell>
          <cell r="I551">
            <v>0.66500000000000004</v>
          </cell>
          <cell r="J551" t="str">
            <v>JL Smith</v>
          </cell>
          <cell r="K551" t="str">
            <v>FAIR HAVEN</v>
          </cell>
          <cell r="L551" t="str">
            <v>MI</v>
          </cell>
          <cell r="M551" t="str">
            <v>800-577-8858</v>
          </cell>
          <cell r="N551"/>
          <cell r="O551">
            <v>1115</v>
          </cell>
          <cell r="P551">
            <v>4794.5</v>
          </cell>
          <cell r="Q551">
            <v>905</v>
          </cell>
          <cell r="R551">
            <v>3891.5</v>
          </cell>
          <cell r="S551"/>
          <cell r="T551">
            <v>0</v>
          </cell>
          <cell r="U551">
            <v>1140</v>
          </cell>
          <cell r="V551">
            <v>4902</v>
          </cell>
          <cell r="W551">
            <v>1185</v>
          </cell>
          <cell r="X551">
            <v>5095.5</v>
          </cell>
          <cell r="Y551">
            <v>320</v>
          </cell>
          <cell r="Z551">
            <v>1376</v>
          </cell>
          <cell r="AA551">
            <v>320</v>
          </cell>
          <cell r="AB551">
            <v>1376</v>
          </cell>
          <cell r="AC551">
            <v>320</v>
          </cell>
          <cell r="AD551">
            <v>1376</v>
          </cell>
          <cell r="AE551"/>
          <cell r="AF551"/>
          <cell r="AG551"/>
          <cell r="AH551"/>
          <cell r="AI551"/>
          <cell r="AJ551">
            <v>0</v>
          </cell>
          <cell r="AK551" t="str">
            <v>3P</v>
          </cell>
          <cell r="AL551">
            <v>151</v>
          </cell>
          <cell r="AM551">
            <v>112</v>
          </cell>
          <cell r="AN551" t="str">
            <v>03 New Dealer</v>
          </cell>
          <cell r="AO551" t="str">
            <v>Midwest</v>
          </cell>
          <cell r="AP551" t="str">
            <v>North</v>
          </cell>
          <cell r="AQ551"/>
          <cell r="AR551">
            <v>0</v>
          </cell>
          <cell r="AS551">
            <v>0</v>
          </cell>
        </row>
        <row r="552">
          <cell r="A552">
            <v>13129</v>
          </cell>
          <cell r="B552" t="str">
            <v>SHADOW TRAILER WORLD</v>
          </cell>
          <cell r="C552" t="str">
            <v>M11056</v>
          </cell>
          <cell r="D552" t="str">
            <v>NET 5, BT+</v>
          </cell>
          <cell r="E552" t="str">
            <v>F3 - Northpoint</v>
          </cell>
          <cell r="F552" t="str">
            <v>Yes</v>
          </cell>
          <cell r="G552" t="str">
            <v>OH</v>
          </cell>
          <cell r="H552">
            <v>7</v>
          </cell>
          <cell r="I552">
            <v>0.66500000000000004</v>
          </cell>
          <cell r="J552" t="str">
            <v>Orphaned Acct</v>
          </cell>
          <cell r="K552" t="str">
            <v>BERRIEN SPRINGS</v>
          </cell>
          <cell r="L552" t="str">
            <v>MI</v>
          </cell>
          <cell r="M552" t="str">
            <v>800-577-8858</v>
          </cell>
          <cell r="N552"/>
          <cell r="O552">
            <v>922</v>
          </cell>
          <cell r="P552">
            <v>3964.6</v>
          </cell>
          <cell r="Q552">
            <v>847</v>
          </cell>
          <cell r="R552">
            <v>3642.1</v>
          </cell>
          <cell r="S552"/>
          <cell r="T552">
            <v>0</v>
          </cell>
          <cell r="U552">
            <v>938</v>
          </cell>
          <cell r="V552">
            <v>4033.3999999999996</v>
          </cell>
          <cell r="W552">
            <v>1003</v>
          </cell>
          <cell r="X552">
            <v>4312.8999999999996</v>
          </cell>
          <cell r="Y552">
            <v>310</v>
          </cell>
          <cell r="Z552">
            <v>1333</v>
          </cell>
          <cell r="AA552">
            <v>310</v>
          </cell>
          <cell r="AB552">
            <v>1333</v>
          </cell>
          <cell r="AC552">
            <v>310</v>
          </cell>
          <cell r="AD552">
            <v>1333</v>
          </cell>
          <cell r="AE552"/>
          <cell r="AF552"/>
          <cell r="AG552"/>
          <cell r="AH552"/>
          <cell r="AI552"/>
          <cell r="AJ552">
            <v>0</v>
          </cell>
          <cell r="AK552" t="str">
            <v>3P</v>
          </cell>
          <cell r="AL552">
            <v>213</v>
          </cell>
          <cell r="AM552">
            <v>39</v>
          </cell>
          <cell r="AN552" t="str">
            <v>08 Inactive Dealer</v>
          </cell>
          <cell r="AO552" t="str">
            <v>Midwest</v>
          </cell>
          <cell r="AP552" t="str">
            <v>North</v>
          </cell>
          <cell r="AQ552"/>
          <cell r="AR552">
            <v>0</v>
          </cell>
          <cell r="AS552">
            <v>0</v>
          </cell>
        </row>
        <row r="553">
          <cell r="A553">
            <v>13130</v>
          </cell>
          <cell r="B553" t="str">
            <v>SMITH EQUIPMENT</v>
          </cell>
          <cell r="C553" t="str">
            <v>M11042</v>
          </cell>
          <cell r="D553" t="str">
            <v>NET 5, BT+</v>
          </cell>
          <cell r="E553" t="str">
            <v>F3 - Northpoint</v>
          </cell>
          <cell r="F553" t="str">
            <v>Yes</v>
          </cell>
          <cell r="G553" t="str">
            <v>OH</v>
          </cell>
          <cell r="H553">
            <v>8</v>
          </cell>
          <cell r="I553">
            <v>0.66500000000000004</v>
          </cell>
          <cell r="J553" t="str">
            <v>JL Smith</v>
          </cell>
          <cell r="K553" t="str">
            <v>GAYLORD</v>
          </cell>
          <cell r="L553" t="str">
            <v>MI</v>
          </cell>
          <cell r="M553" t="str">
            <v>800-577-8858</v>
          </cell>
          <cell r="N553"/>
          <cell r="O553">
            <v>1168</v>
          </cell>
          <cell r="P553">
            <v>5022.3999999999996</v>
          </cell>
          <cell r="Q553">
            <v>1073</v>
          </cell>
          <cell r="R553">
            <v>4613.8999999999996</v>
          </cell>
          <cell r="S553"/>
          <cell r="T553">
            <v>0</v>
          </cell>
          <cell r="U553">
            <v>1184</v>
          </cell>
          <cell r="V553">
            <v>5091.2</v>
          </cell>
          <cell r="W553">
            <v>1249</v>
          </cell>
          <cell r="X553">
            <v>5370.7</v>
          </cell>
          <cell r="Y553">
            <v>477</v>
          </cell>
          <cell r="Z553">
            <v>2051.1</v>
          </cell>
          <cell r="AA553">
            <v>477</v>
          </cell>
          <cell r="AB553">
            <v>2051.1</v>
          </cell>
          <cell r="AC553">
            <v>477</v>
          </cell>
          <cell r="AD553">
            <v>2051.1</v>
          </cell>
          <cell r="AE553"/>
          <cell r="AF553"/>
          <cell r="AG553"/>
          <cell r="AH553"/>
          <cell r="AI553"/>
          <cell r="AJ553">
            <v>0</v>
          </cell>
          <cell r="AK553" t="str">
            <v>3P</v>
          </cell>
          <cell r="AL553">
            <v>151</v>
          </cell>
          <cell r="AM553">
            <v>345</v>
          </cell>
          <cell r="AN553" t="str">
            <v>01 Existing Dealer</v>
          </cell>
          <cell r="AO553" t="str">
            <v>Midwest</v>
          </cell>
          <cell r="AP553" t="str">
            <v>North</v>
          </cell>
          <cell r="AQ553"/>
          <cell r="AR553">
            <v>0</v>
          </cell>
          <cell r="AS553">
            <v>64065</v>
          </cell>
        </row>
        <row r="554">
          <cell r="A554">
            <v>13150</v>
          </cell>
          <cell r="B554" t="str">
            <v>SUMMIT POINTE</v>
          </cell>
          <cell r="C554" t="str">
            <v>M11083</v>
          </cell>
          <cell r="D554" t="str">
            <v>NET 5, BT+</v>
          </cell>
          <cell r="E554" t="str">
            <v>FP - Northpoint</v>
          </cell>
          <cell r="F554" t="str">
            <v>Yes</v>
          </cell>
          <cell r="G554" t="str">
            <v>OH</v>
          </cell>
          <cell r="H554">
            <v>8</v>
          </cell>
          <cell r="I554">
            <v>0.66500000000000004</v>
          </cell>
          <cell r="J554" t="str">
            <v>JL Smith</v>
          </cell>
          <cell r="K554" t="str">
            <v>WAYLAND</v>
          </cell>
          <cell r="L554" t="str">
            <v>MI</v>
          </cell>
          <cell r="M554" t="str">
            <v>800-577-8858</v>
          </cell>
          <cell r="N554" t="str">
            <v>Specify Floor Plan Company.  BRK2 on all tandems</v>
          </cell>
          <cell r="O554">
            <v>992</v>
          </cell>
          <cell r="P554">
            <v>4265.5999999999995</v>
          </cell>
          <cell r="Q554">
            <v>934</v>
          </cell>
          <cell r="R554">
            <v>4016.2</v>
          </cell>
          <cell r="S554"/>
          <cell r="T554">
            <v>0</v>
          </cell>
          <cell r="U554">
            <v>1011</v>
          </cell>
          <cell r="V554">
            <v>4347.3</v>
          </cell>
          <cell r="W554">
            <v>1074</v>
          </cell>
          <cell r="X554">
            <v>4618.2</v>
          </cell>
          <cell r="Y554">
            <v>345</v>
          </cell>
          <cell r="Z554">
            <v>1483.5</v>
          </cell>
          <cell r="AA554">
            <v>345</v>
          </cell>
          <cell r="AB554">
            <v>1483.5</v>
          </cell>
          <cell r="AC554">
            <v>345</v>
          </cell>
          <cell r="AD554">
            <v>1483.5</v>
          </cell>
          <cell r="AE554"/>
          <cell r="AF554"/>
          <cell r="AG554"/>
          <cell r="AH554"/>
          <cell r="AI554"/>
          <cell r="AJ554">
            <v>0</v>
          </cell>
          <cell r="AK554" t="str">
            <v>3P</v>
          </cell>
          <cell r="AL554">
            <v>151</v>
          </cell>
          <cell r="AM554">
            <v>169</v>
          </cell>
          <cell r="AN554" t="str">
            <v>01 Existing Dealer</v>
          </cell>
          <cell r="AO554" t="str">
            <v>Midwest</v>
          </cell>
          <cell r="AP554" t="str">
            <v>North</v>
          </cell>
          <cell r="AQ554"/>
          <cell r="AR554">
            <v>0</v>
          </cell>
          <cell r="AS554">
            <v>0</v>
          </cell>
        </row>
        <row r="555">
          <cell r="A555">
            <v>12714</v>
          </cell>
          <cell r="B555" t="str">
            <v>TEAM 1 (ALPENA TRIM)</v>
          </cell>
          <cell r="C555" t="str">
            <v>M10025</v>
          </cell>
          <cell r="D555" t="str">
            <v>NET 5, BT+</v>
          </cell>
          <cell r="E555" t="str">
            <v>CF</v>
          </cell>
          <cell r="F555" t="str">
            <v>Yes</v>
          </cell>
          <cell r="G555" t="str">
            <v>OH</v>
          </cell>
          <cell r="H555">
            <v>7</v>
          </cell>
          <cell r="I555">
            <v>0.66500000000000004</v>
          </cell>
          <cell r="J555" t="str">
            <v>Orphaned Acct</v>
          </cell>
          <cell r="K555" t="str">
            <v>TRAVERSE CITY</v>
          </cell>
          <cell r="L555" t="str">
            <v>MI</v>
          </cell>
          <cell r="M555" t="str">
            <v>800-577-8858</v>
          </cell>
          <cell r="N555"/>
          <cell r="O555">
            <v>1140</v>
          </cell>
          <cell r="P555">
            <v>4902</v>
          </cell>
          <cell r="Q555">
            <v>1084</v>
          </cell>
          <cell r="R555">
            <v>4661.2</v>
          </cell>
          <cell r="S555"/>
          <cell r="T555">
            <v>0</v>
          </cell>
          <cell r="U555">
            <v>1155</v>
          </cell>
          <cell r="V555">
            <v>4966.5</v>
          </cell>
          <cell r="W555">
            <v>1220</v>
          </cell>
          <cell r="X555">
            <v>5246</v>
          </cell>
          <cell r="Y555">
            <v>500</v>
          </cell>
          <cell r="Z555">
            <v>2150</v>
          </cell>
          <cell r="AA555">
            <v>500</v>
          </cell>
          <cell r="AB555">
            <v>2150</v>
          </cell>
          <cell r="AC555">
            <v>500</v>
          </cell>
          <cell r="AD555">
            <v>2150</v>
          </cell>
          <cell r="AE555"/>
          <cell r="AF555"/>
          <cell r="AG555"/>
          <cell r="AH555"/>
          <cell r="AI555"/>
          <cell r="AJ555">
            <v>0</v>
          </cell>
          <cell r="AK555" t="str">
            <v>3P</v>
          </cell>
          <cell r="AL555">
            <v>213</v>
          </cell>
          <cell r="AM555">
            <v>446</v>
          </cell>
          <cell r="AN555" t="str">
            <v>08 Inactive Dealer</v>
          </cell>
          <cell r="AO555" t="str">
            <v>Midwest</v>
          </cell>
          <cell r="AP555" t="str">
            <v>North</v>
          </cell>
          <cell r="AQ555"/>
          <cell r="AR555">
            <v>0</v>
          </cell>
          <cell r="AS555">
            <v>0</v>
          </cell>
        </row>
        <row r="556">
          <cell r="A556" t="str">
            <v>12714A</v>
          </cell>
          <cell r="B556" t="str">
            <v>TEAM 1 (ALPENA TRIM)</v>
          </cell>
          <cell r="C556" t="str">
            <v>M10025</v>
          </cell>
          <cell r="D556" t="str">
            <v>NET 5, BT+</v>
          </cell>
          <cell r="E556" t="str">
            <v>CF</v>
          </cell>
          <cell r="F556" t="str">
            <v>Yes</v>
          </cell>
          <cell r="G556" t="str">
            <v>OH</v>
          </cell>
          <cell r="H556">
            <v>7</v>
          </cell>
          <cell r="I556">
            <v>0.66500000000000004</v>
          </cell>
          <cell r="J556" t="str">
            <v>Orphaned Acct</v>
          </cell>
          <cell r="K556" t="str">
            <v>ALPENA</v>
          </cell>
          <cell r="L556" t="str">
            <v>MI</v>
          </cell>
          <cell r="M556" t="str">
            <v>800-577-8858</v>
          </cell>
          <cell r="N556"/>
          <cell r="O556">
            <v>1239</v>
          </cell>
          <cell r="P556">
            <v>5327.7</v>
          </cell>
          <cell r="Q556"/>
          <cell r="R556">
            <v>0</v>
          </cell>
          <cell r="S556"/>
          <cell r="T556">
            <v>0</v>
          </cell>
          <cell r="U556">
            <v>1255</v>
          </cell>
          <cell r="V556">
            <v>5396.5</v>
          </cell>
          <cell r="W556">
            <v>1319</v>
          </cell>
          <cell r="X556">
            <v>5671.7</v>
          </cell>
          <cell r="Y556">
            <v>488</v>
          </cell>
          <cell r="Z556">
            <v>2098.4</v>
          </cell>
          <cell r="AA556">
            <v>488</v>
          </cell>
          <cell r="AB556">
            <v>2098.4</v>
          </cell>
          <cell r="AC556">
            <v>488</v>
          </cell>
          <cell r="AD556">
            <v>2098.4</v>
          </cell>
          <cell r="AE556"/>
          <cell r="AF556"/>
          <cell r="AG556"/>
          <cell r="AH556"/>
          <cell r="AI556"/>
          <cell r="AJ556">
            <v>0</v>
          </cell>
          <cell r="AK556" t="str">
            <v>3P</v>
          </cell>
          <cell r="AL556">
            <v>213</v>
          </cell>
          <cell r="AM556">
            <v>11</v>
          </cell>
          <cell r="AN556" t="str">
            <v>01 Existing Dealer</v>
          </cell>
          <cell r="AO556" t="str">
            <v>Midwest</v>
          </cell>
          <cell r="AP556" t="str">
            <v>North</v>
          </cell>
          <cell r="AQ556"/>
          <cell r="AR556">
            <v>0</v>
          </cell>
          <cell r="AS556">
            <v>0</v>
          </cell>
        </row>
        <row r="557">
          <cell r="A557">
            <v>12781</v>
          </cell>
          <cell r="B557" t="str">
            <v>TEAM 1 (ALPENA TRIM)</v>
          </cell>
          <cell r="C557" t="str">
            <v>M10025</v>
          </cell>
          <cell r="D557" t="str">
            <v>NET 5, BT+</v>
          </cell>
          <cell r="E557" t="str">
            <v>CF Only, 12714</v>
          </cell>
          <cell r="F557" t="str">
            <v>Yes</v>
          </cell>
          <cell r="G557" t="str">
            <v>OH</v>
          </cell>
          <cell r="H557">
            <v>8</v>
          </cell>
          <cell r="I557">
            <v>0.66500000000000004</v>
          </cell>
          <cell r="J557" t="str">
            <v>Orphaned Acct</v>
          </cell>
          <cell r="K557" t="str">
            <v>TRAVERSE CITY</v>
          </cell>
          <cell r="L557" t="str">
            <v>MI</v>
          </cell>
          <cell r="M557" t="str">
            <v>800-577-8858</v>
          </cell>
          <cell r="N557"/>
          <cell r="O557">
            <v>1140</v>
          </cell>
          <cell r="P557">
            <v>4902</v>
          </cell>
          <cell r="Q557">
            <v>1084</v>
          </cell>
          <cell r="R557">
            <v>4661.2</v>
          </cell>
          <cell r="S557"/>
          <cell r="T557">
            <v>0</v>
          </cell>
          <cell r="U557">
            <v>1155</v>
          </cell>
          <cell r="V557">
            <v>4966.5</v>
          </cell>
          <cell r="W557">
            <v>1220</v>
          </cell>
          <cell r="X557">
            <v>5246</v>
          </cell>
          <cell r="Y557">
            <v>500</v>
          </cell>
          <cell r="Z557">
            <v>2150</v>
          </cell>
          <cell r="AA557">
            <v>500</v>
          </cell>
          <cell r="AB557">
            <v>2150</v>
          </cell>
          <cell r="AC557">
            <v>500</v>
          </cell>
          <cell r="AD557">
            <v>2150</v>
          </cell>
          <cell r="AE557"/>
          <cell r="AF557"/>
          <cell r="AG557"/>
          <cell r="AH557"/>
          <cell r="AI557"/>
          <cell r="AJ557">
            <v>0</v>
          </cell>
          <cell r="AK557" t="str">
            <v>3P</v>
          </cell>
          <cell r="AL557">
            <v>213</v>
          </cell>
          <cell r="AM557">
            <v>446</v>
          </cell>
          <cell r="AN557" t="str">
            <v>08 Inactive Dealer</v>
          </cell>
          <cell r="AO557" t="str">
            <v>Midwest</v>
          </cell>
          <cell r="AP557" t="str">
            <v>North</v>
          </cell>
          <cell r="AQ557"/>
          <cell r="AR557">
            <v>0</v>
          </cell>
          <cell r="AS557">
            <v>0</v>
          </cell>
        </row>
        <row r="558">
          <cell r="A558" t="str">
            <v>12781A</v>
          </cell>
          <cell r="B558" t="str">
            <v>TEAM 1 (ALPENA TRIM)</v>
          </cell>
          <cell r="C558" t="str">
            <v>M10025</v>
          </cell>
          <cell r="D558" t="str">
            <v>NET 5, BT+</v>
          </cell>
          <cell r="E558" t="str">
            <v>CF Only, 12714</v>
          </cell>
          <cell r="F558" t="str">
            <v>Yes</v>
          </cell>
          <cell r="G558" t="str">
            <v>OH</v>
          </cell>
          <cell r="H558">
            <v>8</v>
          </cell>
          <cell r="I558">
            <v>0.66500000000000004</v>
          </cell>
          <cell r="J558" t="str">
            <v>Orphaned Acct</v>
          </cell>
          <cell r="K558" t="str">
            <v>ALPENA</v>
          </cell>
          <cell r="L558" t="str">
            <v>MI</v>
          </cell>
          <cell r="M558" t="str">
            <v>800-577-8858</v>
          </cell>
          <cell r="N558"/>
          <cell r="O558">
            <v>1239</v>
          </cell>
          <cell r="P558">
            <v>5327.7</v>
          </cell>
          <cell r="Q558"/>
          <cell r="R558">
            <v>0</v>
          </cell>
          <cell r="S558"/>
          <cell r="T558">
            <v>0</v>
          </cell>
          <cell r="U558">
            <v>1255</v>
          </cell>
          <cell r="V558">
            <v>5396.5</v>
          </cell>
          <cell r="W558">
            <v>1319</v>
          </cell>
          <cell r="X558">
            <v>5671.7</v>
          </cell>
          <cell r="Y558">
            <v>488</v>
          </cell>
          <cell r="Z558">
            <v>2098.4</v>
          </cell>
          <cell r="AA558">
            <v>488</v>
          </cell>
          <cell r="AB558">
            <v>2098.4</v>
          </cell>
          <cell r="AC558">
            <v>488</v>
          </cell>
          <cell r="AD558">
            <v>2098.4</v>
          </cell>
          <cell r="AE558"/>
          <cell r="AF558"/>
          <cell r="AG558"/>
          <cell r="AH558"/>
          <cell r="AI558"/>
          <cell r="AJ558">
            <v>0</v>
          </cell>
          <cell r="AK558" t="str">
            <v>3P</v>
          </cell>
          <cell r="AL558">
            <v>213</v>
          </cell>
          <cell r="AM558">
            <v>11</v>
          </cell>
          <cell r="AN558" t="str">
            <v>08 Inactive Dealer</v>
          </cell>
          <cell r="AO558" t="str">
            <v>Midwest</v>
          </cell>
          <cell r="AP558" t="str">
            <v>North</v>
          </cell>
          <cell r="AQ558"/>
          <cell r="AR558">
            <v>0</v>
          </cell>
          <cell r="AS558">
            <v>0</v>
          </cell>
        </row>
        <row r="559">
          <cell r="A559">
            <v>13033</v>
          </cell>
          <cell r="B559" t="str">
            <v>TW WHITMORE LAKE</v>
          </cell>
          <cell r="C559" t="str">
            <v>M10890</v>
          </cell>
          <cell r="D559" t="str">
            <v>Net 30, no pink card</v>
          </cell>
          <cell r="E559">
            <v>30</v>
          </cell>
          <cell r="F559" t="str">
            <v>Yes</v>
          </cell>
          <cell r="G559" t="str">
            <v>OH</v>
          </cell>
          <cell r="H559">
            <v>10</v>
          </cell>
          <cell r="I559">
            <v>0.66500000000000004</v>
          </cell>
          <cell r="J559" t="str">
            <v>Jake McEntee</v>
          </cell>
          <cell r="K559" t="str">
            <v>WHITMORE LAKE</v>
          </cell>
          <cell r="L559" t="str">
            <v>MI</v>
          </cell>
          <cell r="M559" t="str">
            <v>800-577-8858</v>
          </cell>
          <cell r="N559" t="str">
            <v>All tandem axle trailers must have BRK2</v>
          </cell>
          <cell r="O559">
            <v>1060</v>
          </cell>
          <cell r="P559">
            <v>4558</v>
          </cell>
          <cell r="Q559">
            <v>858</v>
          </cell>
          <cell r="R559">
            <v>3689.3999999999996</v>
          </cell>
          <cell r="S559"/>
          <cell r="T559">
            <v>0</v>
          </cell>
          <cell r="U559">
            <v>1079</v>
          </cell>
          <cell r="V559">
            <v>4639.7</v>
          </cell>
          <cell r="W559">
            <v>1142</v>
          </cell>
          <cell r="X559">
            <v>4910.5999999999995</v>
          </cell>
          <cell r="Y559">
            <v>273</v>
          </cell>
          <cell r="Z559">
            <v>1173.8999999999999</v>
          </cell>
          <cell r="AA559">
            <v>273</v>
          </cell>
          <cell r="AB559">
            <v>1173.8999999999999</v>
          </cell>
          <cell r="AC559">
            <v>273</v>
          </cell>
          <cell r="AD559">
            <v>1173.8999999999999</v>
          </cell>
          <cell r="AE559">
            <v>7.8200000000000006E-2</v>
          </cell>
          <cell r="AF559"/>
          <cell r="AG559">
            <v>8.8900000000000007E-2</v>
          </cell>
          <cell r="AH559">
            <v>8.8900000000000007E-2</v>
          </cell>
          <cell r="AI559">
            <v>8.8900000000000007E-2</v>
          </cell>
          <cell r="AJ559">
            <v>0.04</v>
          </cell>
          <cell r="AK559" t="str">
            <v>TW</v>
          </cell>
          <cell r="AL559">
            <v>161</v>
          </cell>
          <cell r="AM559">
            <v>112</v>
          </cell>
          <cell r="AN559" t="str">
            <v>04 Co.Store</v>
          </cell>
          <cell r="AO559" t="str">
            <v>Midwest</v>
          </cell>
          <cell r="AP559" t="str">
            <v>North</v>
          </cell>
          <cell r="AQ559"/>
          <cell r="AR559">
            <v>0</v>
          </cell>
          <cell r="AS559">
            <v>0</v>
          </cell>
        </row>
        <row r="560">
          <cell r="A560">
            <v>13055</v>
          </cell>
          <cell r="B560" t="str">
            <v>WEST MICHIGAN AERIAL</v>
          </cell>
          <cell r="C560" t="str">
            <v>M10929</v>
          </cell>
          <cell r="D560" t="str">
            <v>NET 5, BT+</v>
          </cell>
          <cell r="E560" t="str">
            <v>FP</v>
          </cell>
          <cell r="F560" t="str">
            <v>Yes</v>
          </cell>
          <cell r="G560" t="str">
            <v>OH</v>
          </cell>
          <cell r="H560">
            <v>8</v>
          </cell>
          <cell r="I560">
            <v>0.66500000000000004</v>
          </cell>
          <cell r="J560" t="str">
            <v>Orphaned Acct</v>
          </cell>
          <cell r="K560" t="str">
            <v>LAWTON</v>
          </cell>
          <cell r="L560" t="str">
            <v>MI</v>
          </cell>
          <cell r="M560" t="str">
            <v>800-577-8858</v>
          </cell>
          <cell r="N560" t="str">
            <v>BRK2 on all tandem axles</v>
          </cell>
          <cell r="O560">
            <v>948</v>
          </cell>
          <cell r="P560">
            <v>4076.3999999999996</v>
          </cell>
          <cell r="Q560"/>
          <cell r="R560">
            <v>0</v>
          </cell>
          <cell r="S560"/>
          <cell r="T560">
            <v>0</v>
          </cell>
          <cell r="U560">
            <v>964</v>
          </cell>
          <cell r="V560">
            <v>4145.2</v>
          </cell>
          <cell r="W560">
            <v>1028</v>
          </cell>
          <cell r="X560">
            <v>4420.3999999999996</v>
          </cell>
          <cell r="Y560">
            <v>327</v>
          </cell>
          <cell r="Z560">
            <v>1406.1</v>
          </cell>
          <cell r="AA560">
            <v>327</v>
          </cell>
          <cell r="AB560">
            <v>1406.1</v>
          </cell>
          <cell r="AC560">
            <v>327</v>
          </cell>
          <cell r="AD560">
            <v>1406.1</v>
          </cell>
          <cell r="AE560"/>
          <cell r="AF560"/>
          <cell r="AG560"/>
          <cell r="AH560"/>
          <cell r="AI560"/>
          <cell r="AJ560">
            <v>0</v>
          </cell>
          <cell r="AK560" t="str">
            <v>3P</v>
          </cell>
          <cell r="AL560">
            <v>213</v>
          </cell>
          <cell r="AM560">
            <v>223</v>
          </cell>
          <cell r="AN560" t="str">
            <v>08 Inactive Dealer</v>
          </cell>
          <cell r="AO560" t="str">
            <v>Midwest</v>
          </cell>
          <cell r="AP560" t="str">
            <v>North</v>
          </cell>
          <cell r="AQ560"/>
          <cell r="AR560">
            <v>0</v>
          </cell>
          <cell r="AS560">
            <v>0</v>
          </cell>
        </row>
        <row r="561">
          <cell r="A561">
            <v>13021</v>
          </cell>
          <cell r="B561" t="str">
            <v>360 RENTS</v>
          </cell>
          <cell r="C561" t="str">
            <v>M10881</v>
          </cell>
          <cell r="D561" t="str">
            <v>NET 5, BT+</v>
          </cell>
          <cell r="E561" t="str">
            <v>FP</v>
          </cell>
          <cell r="F561" t="str">
            <v>Yes</v>
          </cell>
          <cell r="G561" t="str">
            <v>OH</v>
          </cell>
          <cell r="H561">
            <v>8</v>
          </cell>
          <cell r="I561">
            <v>0.66500000000000004</v>
          </cell>
          <cell r="J561" t="str">
            <v>Orphaned Acct</v>
          </cell>
          <cell r="K561" t="str">
            <v>WAITE PARK</v>
          </cell>
          <cell r="L561" t="str">
            <v>MN</v>
          </cell>
          <cell r="M561" t="str">
            <v>800-577-8858</v>
          </cell>
          <cell r="N561" t="str">
            <v>Overide terms to COD</v>
          </cell>
          <cell r="O561">
            <v>970</v>
          </cell>
          <cell r="P561">
            <v>4171</v>
          </cell>
          <cell r="Q561">
            <v>1343</v>
          </cell>
          <cell r="R561">
            <v>5774.9</v>
          </cell>
          <cell r="S561"/>
          <cell r="T561">
            <v>0</v>
          </cell>
          <cell r="U561">
            <v>924</v>
          </cell>
          <cell r="V561">
            <v>3973.2</v>
          </cell>
          <cell r="W561">
            <v>1032</v>
          </cell>
          <cell r="X561">
            <v>4437.5999999999995</v>
          </cell>
          <cell r="Y561">
            <v>818</v>
          </cell>
          <cell r="Z561">
            <v>3517.3999999999996</v>
          </cell>
          <cell r="AA561">
            <v>818</v>
          </cell>
          <cell r="AB561">
            <v>3517.3999999999996</v>
          </cell>
          <cell r="AC561">
            <v>818</v>
          </cell>
          <cell r="AD561">
            <v>3517.3999999999996</v>
          </cell>
          <cell r="AE561"/>
          <cell r="AF561"/>
          <cell r="AG561"/>
          <cell r="AH561"/>
          <cell r="AI561"/>
          <cell r="AJ561">
            <v>0</v>
          </cell>
          <cell r="AK561" t="str">
            <v>3P</v>
          </cell>
          <cell r="AL561">
            <v>213</v>
          </cell>
          <cell r="AM561">
            <v>391</v>
          </cell>
          <cell r="AN561" t="str">
            <v>08 Inactive Dealer</v>
          </cell>
          <cell r="AO561" t="str">
            <v>Midwest</v>
          </cell>
          <cell r="AP561" t="str">
            <v>Central</v>
          </cell>
          <cell r="AQ561"/>
          <cell r="AR561">
            <v>0</v>
          </cell>
          <cell r="AS561">
            <v>0</v>
          </cell>
        </row>
        <row r="562">
          <cell r="A562">
            <v>10012</v>
          </cell>
          <cell r="B562" t="str">
            <v>ABSOLUTE TRAILER</v>
          </cell>
          <cell r="C562" t="str">
            <v>M10010</v>
          </cell>
          <cell r="D562" t="str">
            <v>NET 5, BT+</v>
          </cell>
          <cell r="E562" t="str">
            <v>CN</v>
          </cell>
          <cell r="F562" t="str">
            <v>No</v>
          </cell>
          <cell r="G562" t="str">
            <v>OH</v>
          </cell>
          <cell r="H562">
            <v>6</v>
          </cell>
          <cell r="I562">
            <v>0.66500000000000004</v>
          </cell>
          <cell r="J562" t="str">
            <v>Orphaned Acct</v>
          </cell>
          <cell r="K562" t="str">
            <v>INVER GROVE HEIGHTS</v>
          </cell>
          <cell r="L562" t="str">
            <v>MN</v>
          </cell>
          <cell r="M562" t="str">
            <v>800-577-8858</v>
          </cell>
          <cell r="N562"/>
          <cell r="O562" t="str"/>
          <cell r="P562" t="str"/>
          <cell r="Q562" t="str"/>
          <cell r="R562" t="str"/>
          <cell r="S562" t="str"/>
          <cell r="T562" t="str"/>
          <cell r="U562" t="str"/>
          <cell r="V562" t="str"/>
          <cell r="W562" t="str"/>
          <cell r="X562" t="str"/>
          <cell r="Y562">
            <v>742</v>
          </cell>
          <cell r="Z562">
            <v>3190.6</v>
          </cell>
          <cell r="AA562">
            <v>742</v>
          </cell>
          <cell r="AB562">
            <v>3190.6</v>
          </cell>
          <cell r="AC562">
            <v>742</v>
          </cell>
          <cell r="AD562">
            <v>3190.6</v>
          </cell>
          <cell r="AE562" t="str"/>
          <cell r="AF562"/>
          <cell r="AG562" t="str"/>
          <cell r="AH562" t="str"/>
          <cell r="AI562" t="str"/>
          <cell r="AJ562">
            <v>0</v>
          </cell>
          <cell r="AK562" t="str">
            <v>3P</v>
          </cell>
          <cell r="AL562">
            <v>213</v>
          </cell>
          <cell r="AM562">
            <v>298</v>
          </cell>
          <cell r="AN562" t="str">
            <v>01 Existing Dealer</v>
          </cell>
          <cell r="AO562" t="str">
            <v>Midwest</v>
          </cell>
          <cell r="AP562" t="str">
            <v>Central</v>
          </cell>
          <cell r="AQ562"/>
          <cell r="AR562">
            <v>0</v>
          </cell>
          <cell r="AS562">
            <v>0</v>
          </cell>
        </row>
        <row r="563">
          <cell r="A563">
            <v>10011</v>
          </cell>
          <cell r="B563" t="str">
            <v>ABSOLUTE TRAILER</v>
          </cell>
          <cell r="C563" t="str">
            <v>M10010</v>
          </cell>
          <cell r="D563" t="str">
            <v>NET 5, BT+</v>
          </cell>
          <cell r="E563" t="str">
            <v>F2 - Wells Fargo</v>
          </cell>
          <cell r="F563" t="str">
            <v>Yes</v>
          </cell>
          <cell r="G563" t="str">
            <v>OH</v>
          </cell>
          <cell r="H563">
            <v>8</v>
          </cell>
          <cell r="I563">
            <v>0.66500000000000004</v>
          </cell>
          <cell r="J563" t="str">
            <v>Orphaned Acct</v>
          </cell>
          <cell r="K563" t="str">
            <v>INVER GROVE HEIGHTS</v>
          </cell>
          <cell r="L563" t="str">
            <v>MN</v>
          </cell>
          <cell r="M563" t="str">
            <v>800-577-8858</v>
          </cell>
          <cell r="N563"/>
          <cell r="O563">
            <v>907</v>
          </cell>
          <cell r="P563">
            <v>3900.1</v>
          </cell>
          <cell r="Q563">
            <v>1282</v>
          </cell>
          <cell r="R563">
            <v>5512.5999999999995</v>
          </cell>
          <cell r="S563"/>
          <cell r="T563">
            <v>0</v>
          </cell>
          <cell r="U563">
            <v>861</v>
          </cell>
          <cell r="V563">
            <v>3702.2999999999997</v>
          </cell>
          <cell r="W563">
            <v>969</v>
          </cell>
          <cell r="X563">
            <v>4166.7</v>
          </cell>
          <cell r="Y563">
            <v>742</v>
          </cell>
          <cell r="Z563">
            <v>3190.6</v>
          </cell>
          <cell r="AA563">
            <v>742</v>
          </cell>
          <cell r="AB563">
            <v>3190.6</v>
          </cell>
          <cell r="AC563">
            <v>742</v>
          </cell>
          <cell r="AD563">
            <v>3190.6</v>
          </cell>
          <cell r="AE563"/>
          <cell r="AF563"/>
          <cell r="AG563"/>
          <cell r="AH563"/>
          <cell r="AI563"/>
          <cell r="AJ563">
            <v>0</v>
          </cell>
          <cell r="AK563" t="str">
            <v>3P</v>
          </cell>
          <cell r="AL563">
            <v>213</v>
          </cell>
          <cell r="AM563">
            <v>298</v>
          </cell>
          <cell r="AN563" t="str">
            <v>08 Inactive Dealer</v>
          </cell>
          <cell r="AO563" t="str">
            <v>Midwest</v>
          </cell>
          <cell r="AP563" t="str">
            <v>Central</v>
          </cell>
          <cell r="AQ563"/>
          <cell r="AR563">
            <v>0</v>
          </cell>
          <cell r="AS563">
            <v>0</v>
          </cell>
        </row>
        <row r="564">
          <cell r="A564">
            <v>12839</v>
          </cell>
          <cell r="B564" t="str">
            <v>BRAKE AWAY TRAILERS</v>
          </cell>
          <cell r="C564" t="str">
            <v>M10109</v>
          </cell>
          <cell r="D564" t="str">
            <v>NET 5, BT+</v>
          </cell>
          <cell r="E564" t="str">
            <v>CO</v>
          </cell>
          <cell r="F564" t="str">
            <v>Yes</v>
          </cell>
          <cell r="G564" t="str">
            <v>OH</v>
          </cell>
          <cell r="H564">
            <v>7</v>
          </cell>
          <cell r="I564">
            <v>0.66500000000000004</v>
          </cell>
          <cell r="J564" t="str">
            <v>Orphaned Acct</v>
          </cell>
          <cell r="K564" t="str">
            <v>SANBORN</v>
          </cell>
          <cell r="L564" t="str">
            <v>MN</v>
          </cell>
          <cell r="M564" t="str">
            <v>800-577-8858</v>
          </cell>
          <cell r="N564"/>
          <cell r="O564">
            <v>897</v>
          </cell>
          <cell r="P564">
            <v>3857.1</v>
          </cell>
          <cell r="Q564">
            <v>1329</v>
          </cell>
          <cell r="R564">
            <v>5714.7</v>
          </cell>
          <cell r="S564"/>
          <cell r="T564">
            <v>0</v>
          </cell>
          <cell r="U564">
            <v>820</v>
          </cell>
          <cell r="V564">
            <v>3526</v>
          </cell>
          <cell r="W564">
            <v>950</v>
          </cell>
          <cell r="X564">
            <v>4085</v>
          </cell>
          <cell r="Y564">
            <v>838</v>
          </cell>
          <cell r="Z564">
            <v>3603.3999999999996</v>
          </cell>
          <cell r="AA564">
            <v>838</v>
          </cell>
          <cell r="AB564">
            <v>3603.3999999999996</v>
          </cell>
          <cell r="AC564">
            <v>838</v>
          </cell>
          <cell r="AD564">
            <v>3603.3999999999996</v>
          </cell>
          <cell r="AE564"/>
          <cell r="AF564"/>
          <cell r="AG564"/>
          <cell r="AH564"/>
          <cell r="AI564"/>
          <cell r="AJ564">
            <v>0</v>
          </cell>
          <cell r="AK564" t="str">
            <v>3P</v>
          </cell>
          <cell r="AL564">
            <v>213</v>
          </cell>
          <cell r="AM564">
            <v>277</v>
          </cell>
          <cell r="AN564" t="str">
            <v>01 Existing Dealer</v>
          </cell>
          <cell r="AO564" t="str">
            <v>Midwest</v>
          </cell>
          <cell r="AP564" t="str">
            <v>Central</v>
          </cell>
          <cell r="AQ564"/>
          <cell r="AR564">
            <v>0</v>
          </cell>
          <cell r="AS564">
            <v>0</v>
          </cell>
        </row>
        <row r="565">
          <cell r="A565">
            <v>10105</v>
          </cell>
          <cell r="B565" t="str">
            <v>BRINKMAN'S</v>
          </cell>
          <cell r="C565" t="str">
            <v>M10114</v>
          </cell>
          <cell r="D565" t="str">
            <v>NET 5, BT+</v>
          </cell>
          <cell r="E565" t="str">
            <v>FP - Wells Fargo</v>
          </cell>
          <cell r="F565" t="str">
            <v>Yes</v>
          </cell>
          <cell r="G565" t="str">
            <v>OH</v>
          </cell>
          <cell r="H565">
            <v>8</v>
          </cell>
          <cell r="I565">
            <v>0.66500000000000004</v>
          </cell>
          <cell r="J565" t="str">
            <v>Orphaned Acct</v>
          </cell>
          <cell r="K565" t="str">
            <v>DELANO</v>
          </cell>
          <cell r="L565" t="str">
            <v>MN</v>
          </cell>
          <cell r="M565" t="str">
            <v>800-577-8858</v>
          </cell>
          <cell r="N565"/>
          <cell r="O565" t="str"/>
          <cell r="P565" t="str"/>
          <cell r="Q565" t="str"/>
          <cell r="R565" t="str"/>
          <cell r="S565" t="str"/>
          <cell r="T565" t="str"/>
          <cell r="U565" t="str"/>
          <cell r="V565" t="str"/>
          <cell r="W565" t="str"/>
          <cell r="X565" t="str"/>
          <cell r="Y565">
            <v>777</v>
          </cell>
          <cell r="Z565">
            <v>3341.1</v>
          </cell>
          <cell r="AA565">
            <v>777</v>
          </cell>
          <cell r="AB565">
            <v>3341.1</v>
          </cell>
          <cell r="AC565">
            <v>777</v>
          </cell>
          <cell r="AD565">
            <v>3341.1</v>
          </cell>
          <cell r="AE565" t="str"/>
          <cell r="AF565"/>
          <cell r="AG565" t="str"/>
          <cell r="AH565" t="str"/>
          <cell r="AI565" t="str"/>
          <cell r="AJ565">
            <v>0</v>
          </cell>
          <cell r="AK565" t="str">
            <v>3P</v>
          </cell>
          <cell r="AL565">
            <v>213</v>
          </cell>
          <cell r="AM565">
            <v>298</v>
          </cell>
          <cell r="AN565" t="str">
            <v>01 Existing Dealer</v>
          </cell>
          <cell r="AO565" t="str">
            <v>Midwest</v>
          </cell>
          <cell r="AP565" t="str">
            <v>Central</v>
          </cell>
          <cell r="AQ565"/>
          <cell r="AR565">
            <v>0</v>
          </cell>
          <cell r="AS565">
            <v>0</v>
          </cell>
        </row>
        <row r="566">
          <cell r="A566">
            <v>12873</v>
          </cell>
          <cell r="B566" t="str">
            <v>BRINKMAN'S</v>
          </cell>
          <cell r="C566" t="str">
            <v>M10114</v>
          </cell>
          <cell r="D566" t="str">
            <v>NET 5, BT+</v>
          </cell>
          <cell r="E566" t="str">
            <v>CO</v>
          </cell>
          <cell r="F566" t="str">
            <v>Yes</v>
          </cell>
          <cell r="G566" t="str">
            <v>OH</v>
          </cell>
          <cell r="H566">
            <v>7</v>
          </cell>
          <cell r="I566">
            <v>0.66500000000000004</v>
          </cell>
          <cell r="J566" t="str">
            <v>Orphaned Acct</v>
          </cell>
          <cell r="K566" t="str">
            <v>FOREST LAKE</v>
          </cell>
          <cell r="L566" t="str">
            <v>MN</v>
          </cell>
          <cell r="M566" t="str">
            <v>800-577-8858</v>
          </cell>
          <cell r="N566"/>
          <cell r="O566">
            <v>931</v>
          </cell>
          <cell r="P566">
            <v>4003.2999999999997</v>
          </cell>
          <cell r="Q566"/>
          <cell r="R566">
            <v>0</v>
          </cell>
          <cell r="S566"/>
          <cell r="T566">
            <v>0</v>
          </cell>
          <cell r="U566">
            <v>885</v>
          </cell>
          <cell r="V566">
            <v>3805.5</v>
          </cell>
          <cell r="W566">
            <v>993</v>
          </cell>
          <cell r="X566">
            <v>4269.8999999999996</v>
          </cell>
          <cell r="Y566">
            <v>761</v>
          </cell>
          <cell r="Z566">
            <v>3272.2999999999997</v>
          </cell>
          <cell r="AA566">
            <v>761</v>
          </cell>
          <cell r="AB566">
            <v>3272.2999999999997</v>
          </cell>
          <cell r="AC566">
            <v>761</v>
          </cell>
          <cell r="AD566">
            <v>3272.2999999999997</v>
          </cell>
          <cell r="AE566"/>
          <cell r="AF566"/>
          <cell r="AG566"/>
          <cell r="AH566"/>
          <cell r="AI566"/>
          <cell r="AJ566">
            <v>0</v>
          </cell>
          <cell r="AK566" t="str">
            <v>3P</v>
          </cell>
          <cell r="AL566">
            <v>213</v>
          </cell>
          <cell r="AM566">
            <v>298</v>
          </cell>
          <cell r="AN566" t="str">
            <v>08 Inactive Dealer</v>
          </cell>
          <cell r="AO566" t="str">
            <v>Midwest</v>
          </cell>
          <cell r="AP566" t="str">
            <v>Central</v>
          </cell>
          <cell r="AQ566"/>
          <cell r="AR566">
            <v>0</v>
          </cell>
          <cell r="AS566">
            <v>0</v>
          </cell>
        </row>
        <row r="567">
          <cell r="A567" t="str">
            <v>12873A</v>
          </cell>
          <cell r="B567" t="str">
            <v>BRINKMAN'S</v>
          </cell>
          <cell r="C567" t="str">
            <v>M10114</v>
          </cell>
          <cell r="D567" t="str">
            <v>NET 5, BT+</v>
          </cell>
          <cell r="E567" t="str">
            <v>CO</v>
          </cell>
          <cell r="F567" t="str">
            <v>Yes</v>
          </cell>
          <cell r="G567" t="str">
            <v>OH</v>
          </cell>
          <cell r="H567">
            <v>7</v>
          </cell>
          <cell r="I567">
            <v>0.66500000000000004</v>
          </cell>
          <cell r="J567" t="str">
            <v>Orphaned Acct</v>
          </cell>
          <cell r="K567" t="str">
            <v>FOREST LAKE</v>
          </cell>
          <cell r="L567" t="str">
            <v>MN</v>
          </cell>
          <cell r="M567" t="str">
            <v>800-577-8858</v>
          </cell>
          <cell r="N567"/>
          <cell r="O567">
            <v>931</v>
          </cell>
          <cell r="P567">
            <v>4003.2999999999997</v>
          </cell>
          <cell r="Q567"/>
          <cell r="R567">
            <v>0</v>
          </cell>
          <cell r="S567"/>
          <cell r="T567">
            <v>0</v>
          </cell>
          <cell r="U567">
            <v>885</v>
          </cell>
          <cell r="V567">
            <v>3805.5</v>
          </cell>
          <cell r="W567">
            <v>993</v>
          </cell>
          <cell r="X567">
            <v>4269.8999999999996</v>
          </cell>
          <cell r="Y567">
            <v>761</v>
          </cell>
          <cell r="Z567">
            <v>3272.2999999999997</v>
          </cell>
          <cell r="AA567">
            <v>761</v>
          </cell>
          <cell r="AB567">
            <v>3272.2999999999997</v>
          </cell>
          <cell r="AC567">
            <v>761</v>
          </cell>
          <cell r="AD567">
            <v>3272.2999999999997</v>
          </cell>
          <cell r="AE567"/>
          <cell r="AF567"/>
          <cell r="AG567"/>
          <cell r="AH567"/>
          <cell r="AI567"/>
          <cell r="AJ567">
            <v>0</v>
          </cell>
          <cell r="AK567" t="str">
            <v>3P</v>
          </cell>
          <cell r="AL567">
            <v>213</v>
          </cell>
          <cell r="AM567">
            <v>298</v>
          </cell>
          <cell r="AN567" t="str">
            <v>01 Existing Dealer</v>
          </cell>
          <cell r="AO567" t="str">
            <v>Midwest</v>
          </cell>
          <cell r="AP567" t="str">
            <v>Central</v>
          </cell>
          <cell r="AQ567"/>
          <cell r="AR567">
            <v>0</v>
          </cell>
          <cell r="AS567">
            <v>0</v>
          </cell>
        </row>
        <row r="568">
          <cell r="A568" t="str">
            <v>12873B</v>
          </cell>
          <cell r="B568" t="str">
            <v>BRINKMAN'S</v>
          </cell>
          <cell r="C568" t="str">
            <v>M10114</v>
          </cell>
          <cell r="D568" t="str">
            <v>NET 5, BT+</v>
          </cell>
          <cell r="E568" t="str">
            <v>CO</v>
          </cell>
          <cell r="F568" t="str">
            <v>Yes</v>
          </cell>
          <cell r="G568" t="str">
            <v>OH</v>
          </cell>
          <cell r="H568">
            <v>7</v>
          </cell>
          <cell r="I568">
            <v>0.66500000000000004</v>
          </cell>
          <cell r="J568" t="str">
            <v>Orphaned Acct</v>
          </cell>
          <cell r="K568" t="str">
            <v>DELANO</v>
          </cell>
          <cell r="L568" t="str">
            <v>MN</v>
          </cell>
          <cell r="M568" t="str">
            <v>800-577-8858</v>
          </cell>
          <cell r="N568"/>
          <cell r="O568">
            <v>941</v>
          </cell>
          <cell r="P568">
            <v>4046.2999999999997</v>
          </cell>
          <cell r="Q568"/>
          <cell r="R568">
            <v>0</v>
          </cell>
          <cell r="S568"/>
          <cell r="T568">
            <v>0</v>
          </cell>
          <cell r="U568">
            <v>933</v>
          </cell>
          <cell r="V568">
            <v>4011.8999999999996</v>
          </cell>
          <cell r="W568">
            <v>1062</v>
          </cell>
          <cell r="X568">
            <v>4566.5999999999995</v>
          </cell>
          <cell r="Y568">
            <v>777</v>
          </cell>
          <cell r="Z568">
            <v>3341.1</v>
          </cell>
          <cell r="AA568">
            <v>777</v>
          </cell>
          <cell r="AB568">
            <v>3341.1</v>
          </cell>
          <cell r="AC568">
            <v>777</v>
          </cell>
          <cell r="AD568">
            <v>3341.1</v>
          </cell>
          <cell r="AE568"/>
          <cell r="AF568"/>
          <cell r="AG568"/>
          <cell r="AH568"/>
          <cell r="AI568"/>
          <cell r="AJ568">
            <v>0</v>
          </cell>
          <cell r="AK568" t="str">
            <v>3P</v>
          </cell>
          <cell r="AL568">
            <v>213</v>
          </cell>
          <cell r="AM568">
            <v>298</v>
          </cell>
          <cell r="AN568" t="str">
            <v>01 Existing Dealer</v>
          </cell>
          <cell r="AO568" t="str">
            <v>Midwest</v>
          </cell>
          <cell r="AP568" t="str">
            <v>Central</v>
          </cell>
          <cell r="AQ568"/>
          <cell r="AR568">
            <v>0</v>
          </cell>
          <cell r="AS568">
            <v>0</v>
          </cell>
        </row>
        <row r="569">
          <cell r="A569">
            <v>12272</v>
          </cell>
          <cell r="B569" t="str">
            <v>CRAWFORD'S EQUIPMENT, INC</v>
          </cell>
          <cell r="C569" t="str">
            <v>M10165</v>
          </cell>
          <cell r="D569" t="str">
            <v>NET 5, BT+</v>
          </cell>
          <cell r="E569" t="str">
            <v>CO</v>
          </cell>
          <cell r="F569" t="str">
            <v>Yes</v>
          </cell>
          <cell r="G569" t="str">
            <v>OH</v>
          </cell>
          <cell r="H569">
            <v>7</v>
          </cell>
          <cell r="I569">
            <v>0.66500000000000004</v>
          </cell>
          <cell r="J569" t="str">
            <v>Orphaned Acct</v>
          </cell>
          <cell r="K569" t="str">
            <v>CAMBRIDGE</v>
          </cell>
          <cell r="L569" t="str">
            <v>MN</v>
          </cell>
          <cell r="M569" t="str">
            <v>800-577-8858</v>
          </cell>
          <cell r="N569"/>
          <cell r="O569">
            <v>950</v>
          </cell>
          <cell r="P569">
            <v>4085</v>
          </cell>
          <cell r="Q569"/>
          <cell r="R569">
            <v>0</v>
          </cell>
          <cell r="S569"/>
          <cell r="T569">
            <v>0</v>
          </cell>
          <cell r="U569">
            <v>904</v>
          </cell>
          <cell r="V569">
            <v>3887.2</v>
          </cell>
          <cell r="W569">
            <v>1012</v>
          </cell>
          <cell r="X569">
            <v>4351.5999999999995</v>
          </cell>
          <cell r="Y569">
            <v>785</v>
          </cell>
          <cell r="Z569">
            <v>3375.5</v>
          </cell>
          <cell r="AA569">
            <v>785</v>
          </cell>
          <cell r="AB569">
            <v>3375.5</v>
          </cell>
          <cell r="AC569">
            <v>785</v>
          </cell>
          <cell r="AD569">
            <v>3375.5</v>
          </cell>
          <cell r="AE569"/>
          <cell r="AF569"/>
          <cell r="AG569"/>
          <cell r="AH569"/>
          <cell r="AI569"/>
          <cell r="AJ569">
            <v>0</v>
          </cell>
          <cell r="AK569" t="str">
            <v>3P</v>
          </cell>
          <cell r="AL569">
            <v>213</v>
          </cell>
          <cell r="AM569">
            <v>298</v>
          </cell>
          <cell r="AN569" t="str">
            <v>08 Inactive Dealer</v>
          </cell>
          <cell r="AO569" t="str">
            <v>Midwest</v>
          </cell>
          <cell r="AP569" t="str">
            <v>Central</v>
          </cell>
          <cell r="AQ569"/>
          <cell r="AR569">
            <v>0</v>
          </cell>
          <cell r="AS569">
            <v>0</v>
          </cell>
        </row>
        <row r="570">
          <cell r="A570">
            <v>11212</v>
          </cell>
          <cell r="B570" t="str">
            <v>DAHLBERG SALES INC</v>
          </cell>
          <cell r="C570" t="str">
            <v>M02805</v>
          </cell>
          <cell r="D570" t="str">
            <v>NET 5, BT+</v>
          </cell>
          <cell r="E570" t="str">
            <v>CO</v>
          </cell>
          <cell r="F570" t="str">
            <v>Yes</v>
          </cell>
          <cell r="G570" t="str">
            <v>OH</v>
          </cell>
          <cell r="H570">
            <v>7</v>
          </cell>
          <cell r="I570">
            <v>0.66500000000000004</v>
          </cell>
          <cell r="J570" t="str">
            <v>Orphaned Acct</v>
          </cell>
          <cell r="K570" t="str">
            <v>WILLMAR</v>
          </cell>
          <cell r="L570" t="str">
            <v>MN</v>
          </cell>
          <cell r="M570" t="str">
            <v>800-577-8858</v>
          </cell>
          <cell r="N570"/>
          <cell r="O570">
            <v>963</v>
          </cell>
          <cell r="P570">
            <v>4140.8999999999996</v>
          </cell>
          <cell r="Q570"/>
          <cell r="R570">
            <v>0</v>
          </cell>
          <cell r="S570"/>
          <cell r="T570">
            <v>0</v>
          </cell>
          <cell r="U570">
            <v>894</v>
          </cell>
          <cell r="V570">
            <v>3844.2</v>
          </cell>
          <cell r="W570">
            <v>1023</v>
          </cell>
          <cell r="X570">
            <v>4398.8999999999996</v>
          </cell>
          <cell r="Y570">
            <v>842</v>
          </cell>
          <cell r="Z570">
            <v>3620.6</v>
          </cell>
          <cell r="AA570">
            <v>842</v>
          </cell>
          <cell r="AB570">
            <v>3620.6</v>
          </cell>
          <cell r="AC570">
            <v>842</v>
          </cell>
          <cell r="AD570">
            <v>3620.6</v>
          </cell>
          <cell r="AE570"/>
          <cell r="AF570"/>
          <cell r="AG570"/>
          <cell r="AH570"/>
          <cell r="AI570"/>
          <cell r="AJ570">
            <v>0</v>
          </cell>
          <cell r="AK570" t="str">
            <v>3P</v>
          </cell>
          <cell r="AL570">
            <v>213</v>
          </cell>
          <cell r="AM570">
            <v>477</v>
          </cell>
          <cell r="AN570" t="str">
            <v>01 Existing Dealer</v>
          </cell>
          <cell r="AO570" t="str">
            <v>Midwest</v>
          </cell>
          <cell r="AP570" t="str">
            <v>Central</v>
          </cell>
          <cell r="AQ570"/>
          <cell r="AR570">
            <v>0</v>
          </cell>
          <cell r="AS570">
            <v>0</v>
          </cell>
        </row>
        <row r="571">
          <cell r="A571">
            <v>12681</v>
          </cell>
          <cell r="B571" t="str">
            <v>FLAHERTY'S HI-TECH MOTORWERKS</v>
          </cell>
          <cell r="C571" t="str">
            <v>M10198</v>
          </cell>
          <cell r="D571" t="str">
            <v>NET 5, BT+</v>
          </cell>
          <cell r="E571" t="str">
            <v>FP - Wells Fargo</v>
          </cell>
          <cell r="F571" t="str">
            <v>Yes</v>
          </cell>
          <cell r="G571" t="str">
            <v>OH</v>
          </cell>
          <cell r="H571">
            <v>8</v>
          </cell>
          <cell r="I571">
            <v>0.66500000000000004</v>
          </cell>
          <cell r="J571" t="str">
            <v>Orphaned Acct</v>
          </cell>
          <cell r="K571" t="str">
            <v>ALBERT LEA</v>
          </cell>
          <cell r="L571" t="str">
            <v>MN</v>
          </cell>
          <cell r="M571" t="str">
            <v>800-577-8858</v>
          </cell>
          <cell r="N571"/>
          <cell r="O571">
            <v>809</v>
          </cell>
          <cell r="P571">
            <v>3478.7</v>
          </cell>
          <cell r="Q571"/>
          <cell r="R571">
            <v>0</v>
          </cell>
          <cell r="S571"/>
          <cell r="T571">
            <v>0</v>
          </cell>
          <cell r="U571">
            <v>763</v>
          </cell>
          <cell r="V571">
            <v>3280.9</v>
          </cell>
          <cell r="W571">
            <v>871</v>
          </cell>
          <cell r="X571">
            <v>3745.2999999999997</v>
          </cell>
          <cell r="Y571">
            <v>721</v>
          </cell>
          <cell r="Z571">
            <v>3100.2999999999997</v>
          </cell>
          <cell r="AA571">
            <v>721</v>
          </cell>
          <cell r="AB571">
            <v>3100.2999999999997</v>
          </cell>
          <cell r="AC571">
            <v>721</v>
          </cell>
          <cell r="AD571">
            <v>3100.2999999999997</v>
          </cell>
          <cell r="AE571"/>
          <cell r="AF571"/>
          <cell r="AG571"/>
          <cell r="AH571"/>
          <cell r="AI571"/>
          <cell r="AJ571">
            <v>0</v>
          </cell>
          <cell r="AK571" t="str">
            <v>3P</v>
          </cell>
          <cell r="AL571">
            <v>213</v>
          </cell>
          <cell r="AM571">
            <v>378</v>
          </cell>
          <cell r="AN571" t="str">
            <v>01 Existing Dealer</v>
          </cell>
          <cell r="AO571" t="str">
            <v>Midwest</v>
          </cell>
          <cell r="AP571" t="str">
            <v>Central</v>
          </cell>
          <cell r="AQ571"/>
          <cell r="AR571">
            <v>0</v>
          </cell>
          <cell r="AS571">
            <v>0</v>
          </cell>
        </row>
        <row r="572">
          <cell r="A572">
            <v>13396</v>
          </cell>
          <cell r="B572" t="str">
            <v>FLAHERTY'S HI-TECH MOTORWERKS</v>
          </cell>
          <cell r="C572" t="str">
            <v>M10198</v>
          </cell>
          <cell r="D572" t="str">
            <v>NET 5, BT+</v>
          </cell>
          <cell r="E572" t="str">
            <v>CO</v>
          </cell>
          <cell r="F572" t="str">
            <v>Yes</v>
          </cell>
          <cell r="G572" t="str">
            <v>OH</v>
          </cell>
          <cell r="H572">
            <v>7</v>
          </cell>
          <cell r="I572">
            <v>0.66500000000000004</v>
          </cell>
          <cell r="J572" t="str">
            <v>Orphaned Acct</v>
          </cell>
          <cell r="K572" t="str">
            <v>ALBERT LEA</v>
          </cell>
          <cell r="L572" t="str">
            <v>MN</v>
          </cell>
          <cell r="M572" t="str">
            <v>800-577-8858</v>
          </cell>
          <cell r="N572"/>
          <cell r="O572">
            <v>809</v>
          </cell>
          <cell r="P572">
            <v>3478.7</v>
          </cell>
          <cell r="Q572"/>
          <cell r="R572">
            <v>0</v>
          </cell>
          <cell r="S572"/>
          <cell r="T572">
            <v>0</v>
          </cell>
          <cell r="U572">
            <v>763</v>
          </cell>
          <cell r="V572">
            <v>3280.9</v>
          </cell>
          <cell r="W572">
            <v>871</v>
          </cell>
          <cell r="X572">
            <v>3745.2999999999997</v>
          </cell>
          <cell r="Y572">
            <v>721</v>
          </cell>
          <cell r="Z572">
            <v>3100.2999999999997</v>
          </cell>
          <cell r="AA572">
            <v>721</v>
          </cell>
          <cell r="AB572">
            <v>3100.2999999999997</v>
          </cell>
          <cell r="AC572">
            <v>721</v>
          </cell>
          <cell r="AD572">
            <v>3100.2999999999997</v>
          </cell>
          <cell r="AE572"/>
          <cell r="AF572"/>
          <cell r="AG572"/>
          <cell r="AH572"/>
          <cell r="AI572"/>
          <cell r="AJ572">
            <v>0</v>
          </cell>
          <cell r="AK572" t="str">
            <v>3P</v>
          </cell>
          <cell r="AL572">
            <v>213</v>
          </cell>
          <cell r="AM572">
            <v>378</v>
          </cell>
          <cell r="AN572" t="str">
            <v>01 Existing Dealer</v>
          </cell>
          <cell r="AO572" t="str">
            <v>Midwest</v>
          </cell>
          <cell r="AP572" t="str">
            <v>Central</v>
          </cell>
          <cell r="AQ572"/>
          <cell r="AR572">
            <v>0</v>
          </cell>
          <cell r="AS572">
            <v>0</v>
          </cell>
        </row>
        <row r="573">
          <cell r="A573">
            <v>11972</v>
          </cell>
          <cell r="B573" t="str">
            <v>GRAND TRAILER SALES, LLC</v>
          </cell>
          <cell r="C573" t="str">
            <v>M10081</v>
          </cell>
          <cell r="D573" t="str">
            <v>NET 5, BT+</v>
          </cell>
          <cell r="E573" t="str">
            <v>CO</v>
          </cell>
          <cell r="F573" t="str">
            <v>Yes</v>
          </cell>
          <cell r="G573" t="str">
            <v>OH</v>
          </cell>
          <cell r="H573">
            <v>7</v>
          </cell>
          <cell r="I573">
            <v>0.66500000000000004</v>
          </cell>
          <cell r="J573" t="str">
            <v>Lane Davis</v>
          </cell>
          <cell r="K573" t="str">
            <v>EAST GRAND FORKS</v>
          </cell>
          <cell r="L573" t="str">
            <v>MN</v>
          </cell>
          <cell r="M573" t="str">
            <v>800-577-8858</v>
          </cell>
          <cell r="N573" t="str">
            <v>All tandem axle trailers must have BRK2</v>
          </cell>
          <cell r="O573">
            <v>1125</v>
          </cell>
          <cell r="P573">
            <v>4837.5</v>
          </cell>
          <cell r="Q573">
            <v>1592</v>
          </cell>
          <cell r="R573">
            <v>6845.5999999999995</v>
          </cell>
          <cell r="S573"/>
          <cell r="T573">
            <v>0</v>
          </cell>
          <cell r="U573">
            <v>1073</v>
          </cell>
          <cell r="V573">
            <v>4613.8999999999996</v>
          </cell>
          <cell r="W573">
            <v>1150</v>
          </cell>
          <cell r="X573">
            <v>4945</v>
          </cell>
          <cell r="Y573">
            <v>1065</v>
          </cell>
          <cell r="Z573">
            <v>4579.5</v>
          </cell>
          <cell r="AA573">
            <v>1065</v>
          </cell>
          <cell r="AB573">
            <v>4579.5</v>
          </cell>
          <cell r="AC573">
            <v>1065</v>
          </cell>
          <cell r="AD573">
            <v>4579.5</v>
          </cell>
          <cell r="AE573"/>
          <cell r="AF573"/>
          <cell r="AG573"/>
          <cell r="AH573"/>
          <cell r="AI573"/>
          <cell r="AJ573">
            <v>1.4999999999999999E-2</v>
          </cell>
          <cell r="AK573" t="str">
            <v>3P</v>
          </cell>
          <cell r="AL573">
            <v>275</v>
          </cell>
          <cell r="AM573">
            <v>166</v>
          </cell>
          <cell r="AN573" t="str">
            <v>02 Ramping</v>
          </cell>
          <cell r="AO573" t="str">
            <v>Midwest</v>
          </cell>
          <cell r="AP573" t="str">
            <v>Central</v>
          </cell>
          <cell r="AQ573"/>
          <cell r="AR573">
            <v>0</v>
          </cell>
          <cell r="AS573">
            <v>0</v>
          </cell>
        </row>
        <row r="574">
          <cell r="A574">
            <v>11857</v>
          </cell>
          <cell r="B574" t="str">
            <v>GRAND TRAILER SALES, LLC</v>
          </cell>
          <cell r="C574" t="str">
            <v>M10081</v>
          </cell>
          <cell r="D574" t="str">
            <v>NET 5, BT+</v>
          </cell>
          <cell r="E574" t="str">
            <v>F3 - Northpoint</v>
          </cell>
          <cell r="F574" t="str">
            <v>Yes</v>
          </cell>
          <cell r="G574" t="str">
            <v>OH</v>
          </cell>
          <cell r="H574">
            <v>8</v>
          </cell>
          <cell r="I574">
            <v>0.66500000000000004</v>
          </cell>
          <cell r="J574" t="str">
            <v>Lane Davis</v>
          </cell>
          <cell r="K574" t="str">
            <v>EAST GRAND FORKS</v>
          </cell>
          <cell r="L574" t="str">
            <v>MN</v>
          </cell>
          <cell r="M574" t="str">
            <v>800-577-8858</v>
          </cell>
          <cell r="N574" t="str">
            <v>All tandem axle trailers must have BRK2</v>
          </cell>
          <cell r="O574">
            <v>1125</v>
          </cell>
          <cell r="P574">
            <v>4837.5</v>
          </cell>
          <cell r="Q574">
            <v>1592</v>
          </cell>
          <cell r="R574">
            <v>6845.5999999999995</v>
          </cell>
          <cell r="S574"/>
          <cell r="T574">
            <v>0</v>
          </cell>
          <cell r="U574">
            <v>1073</v>
          </cell>
          <cell r="V574">
            <v>4613.8999999999996</v>
          </cell>
          <cell r="W574">
            <v>1150</v>
          </cell>
          <cell r="X574">
            <v>4945</v>
          </cell>
          <cell r="Y574">
            <v>1065</v>
          </cell>
          <cell r="Z574">
            <v>4579.5</v>
          </cell>
          <cell r="AA574">
            <v>1065</v>
          </cell>
          <cell r="AB574">
            <v>4579.5</v>
          </cell>
          <cell r="AC574">
            <v>1065</v>
          </cell>
          <cell r="AD574">
            <v>4579.5</v>
          </cell>
          <cell r="AE574"/>
          <cell r="AF574"/>
          <cell r="AG574"/>
          <cell r="AH574"/>
          <cell r="AI574"/>
          <cell r="AJ574">
            <v>1.4999999999999999E-2</v>
          </cell>
          <cell r="AK574" t="str">
            <v>3P</v>
          </cell>
          <cell r="AL574">
            <v>275</v>
          </cell>
          <cell r="AM574">
            <v>166</v>
          </cell>
          <cell r="AN574" t="str">
            <v>02 Ramping</v>
          </cell>
          <cell r="AO574" t="str">
            <v>Midwest</v>
          </cell>
          <cell r="AP574" t="str">
            <v>Central</v>
          </cell>
          <cell r="AQ574"/>
          <cell r="AR574">
            <v>0</v>
          </cell>
          <cell r="AS574">
            <v>55395</v>
          </cell>
        </row>
        <row r="575">
          <cell r="A575">
            <v>12235</v>
          </cell>
          <cell r="B575" t="str">
            <v>GUSTAFSON TRAILERS INC</v>
          </cell>
          <cell r="C575" t="str">
            <v>M10210</v>
          </cell>
          <cell r="D575" t="str">
            <v>NET 5, BT+</v>
          </cell>
          <cell r="E575" t="str">
            <v>CF</v>
          </cell>
          <cell r="F575" t="str">
            <v>Yes</v>
          </cell>
          <cell r="G575" t="str">
            <v>OH</v>
          </cell>
          <cell r="H575">
            <v>7</v>
          </cell>
          <cell r="I575">
            <v>0.66500000000000004</v>
          </cell>
          <cell r="J575" t="str">
            <v>Orphaned Acct</v>
          </cell>
          <cell r="K575" t="str">
            <v>BECKER</v>
          </cell>
          <cell r="L575" t="str">
            <v>MN</v>
          </cell>
          <cell r="M575" t="str">
            <v>800-577-8858</v>
          </cell>
          <cell r="N575"/>
          <cell r="O575">
            <v>952</v>
          </cell>
          <cell r="P575">
            <v>4093.6</v>
          </cell>
          <cell r="Q575"/>
          <cell r="R575">
            <v>0</v>
          </cell>
          <cell r="S575"/>
          <cell r="T575">
            <v>0</v>
          </cell>
          <cell r="U575">
            <v>906</v>
          </cell>
          <cell r="V575">
            <v>3895.7999999999997</v>
          </cell>
          <cell r="W575">
            <v>1014</v>
          </cell>
          <cell r="X575">
            <v>4360.2</v>
          </cell>
          <cell r="Y575">
            <v>794</v>
          </cell>
          <cell r="Z575">
            <v>3414.2</v>
          </cell>
          <cell r="AA575">
            <v>794</v>
          </cell>
          <cell r="AB575">
            <v>3414.2</v>
          </cell>
          <cell r="AC575">
            <v>794</v>
          </cell>
          <cell r="AD575">
            <v>3414.2</v>
          </cell>
          <cell r="AE575"/>
          <cell r="AF575"/>
          <cell r="AG575"/>
          <cell r="AH575"/>
          <cell r="AI575"/>
          <cell r="AJ575">
            <v>0</v>
          </cell>
          <cell r="AK575" t="str">
            <v>3P</v>
          </cell>
          <cell r="AL575">
            <v>213</v>
          </cell>
          <cell r="AM575">
            <v>391</v>
          </cell>
          <cell r="AN575" t="str">
            <v>08 Inactive Dealer</v>
          </cell>
          <cell r="AO575" t="str">
            <v>Midwest</v>
          </cell>
          <cell r="AP575" t="str">
            <v>Central</v>
          </cell>
          <cell r="AQ575"/>
          <cell r="AR575">
            <v>0</v>
          </cell>
          <cell r="AS575">
            <v>0</v>
          </cell>
        </row>
        <row r="576">
          <cell r="A576">
            <v>10610</v>
          </cell>
          <cell r="B576" t="str">
            <v>HWY 2 AUTO</v>
          </cell>
          <cell r="C576" t="str">
            <v>M10468</v>
          </cell>
          <cell r="D576" t="str">
            <v>NET 5, BT+</v>
          </cell>
          <cell r="E576" t="str">
            <v>CO</v>
          </cell>
          <cell r="F576" t="str">
            <v>Yes</v>
          </cell>
          <cell r="G576" t="str">
            <v>OH</v>
          </cell>
          <cell r="H576">
            <v>7</v>
          </cell>
          <cell r="I576">
            <v>0.66500000000000004</v>
          </cell>
          <cell r="J576" t="str">
            <v>Orphaned Acct</v>
          </cell>
          <cell r="K576" t="str">
            <v>SHEVLIN</v>
          </cell>
          <cell r="L576" t="str">
            <v>MN</v>
          </cell>
          <cell r="M576" t="str">
            <v>800-577-8858</v>
          </cell>
          <cell r="N576"/>
          <cell r="O576">
            <v>1140</v>
          </cell>
          <cell r="P576">
            <v>4902</v>
          </cell>
          <cell r="Q576"/>
          <cell r="R576">
            <v>0</v>
          </cell>
          <cell r="S576"/>
          <cell r="T576">
            <v>0</v>
          </cell>
          <cell r="U576">
            <v>1094</v>
          </cell>
          <cell r="V576">
            <v>4704.2</v>
          </cell>
          <cell r="W576">
            <v>1202</v>
          </cell>
          <cell r="X576">
            <v>5168.5999999999995</v>
          </cell>
          <cell r="Y576">
            <v>982</v>
          </cell>
          <cell r="Z576">
            <v>4222.5999999999995</v>
          </cell>
          <cell r="AA576">
            <v>982</v>
          </cell>
          <cell r="AB576">
            <v>4222.5999999999995</v>
          </cell>
          <cell r="AC576">
            <v>982</v>
          </cell>
          <cell r="AD576">
            <v>4222.5999999999995</v>
          </cell>
          <cell r="AE576"/>
          <cell r="AF576"/>
          <cell r="AG576"/>
          <cell r="AH576"/>
          <cell r="AI576"/>
          <cell r="AJ576">
            <v>0</v>
          </cell>
          <cell r="AK576" t="str">
            <v>3P</v>
          </cell>
          <cell r="AL576">
            <v>213</v>
          </cell>
          <cell r="AM576">
            <v>37</v>
          </cell>
          <cell r="AN576" t="str">
            <v>08 Inactive Dealer</v>
          </cell>
          <cell r="AO576" t="str">
            <v>Midwest</v>
          </cell>
          <cell r="AP576" t="str">
            <v>Central</v>
          </cell>
          <cell r="AQ576"/>
          <cell r="AR576">
            <v>0</v>
          </cell>
          <cell r="AS576">
            <v>0</v>
          </cell>
        </row>
        <row r="577">
          <cell r="A577">
            <v>13095</v>
          </cell>
          <cell r="B577" t="str">
            <v>KING OF THE ROAD TRAILERS LLC</v>
          </cell>
          <cell r="C577" t="str">
            <v>M10990</v>
          </cell>
          <cell r="D577" t="str">
            <v>NET 5, BT+</v>
          </cell>
          <cell r="E577" t="str">
            <v>CO</v>
          </cell>
          <cell r="F577" t="str">
            <v>Yes</v>
          </cell>
          <cell r="G577" t="str">
            <v>OH</v>
          </cell>
          <cell r="H577">
            <v>7</v>
          </cell>
          <cell r="I577">
            <v>0.66500000000000004</v>
          </cell>
          <cell r="J577" t="str">
            <v>Orphaned Acct</v>
          </cell>
          <cell r="K577" t="str">
            <v>BEMIDJI</v>
          </cell>
          <cell r="L577" t="str">
            <v>MN</v>
          </cell>
          <cell r="M577" t="str">
            <v>800-577-8858</v>
          </cell>
          <cell r="N577"/>
          <cell r="O577">
            <v>1121</v>
          </cell>
          <cell r="P577">
            <v>4820.3</v>
          </cell>
          <cell r="Q577"/>
          <cell r="R577">
            <v>0</v>
          </cell>
          <cell r="S577"/>
          <cell r="T577">
            <v>0</v>
          </cell>
          <cell r="U577">
            <v>1075</v>
          </cell>
          <cell r="V577">
            <v>4622.5</v>
          </cell>
          <cell r="W577">
            <v>1183</v>
          </cell>
          <cell r="X577">
            <v>5086.8999999999996</v>
          </cell>
          <cell r="Y577">
            <v>963</v>
          </cell>
          <cell r="Z577">
            <v>4140.8999999999996</v>
          </cell>
          <cell r="AA577">
            <v>963</v>
          </cell>
          <cell r="AB577">
            <v>4140.8999999999996</v>
          </cell>
          <cell r="AC577">
            <v>963</v>
          </cell>
          <cell r="AD577">
            <v>4140.8999999999996</v>
          </cell>
          <cell r="AE577"/>
          <cell r="AF577"/>
          <cell r="AG577"/>
          <cell r="AH577"/>
          <cell r="AI577"/>
          <cell r="AJ577">
            <v>0</v>
          </cell>
          <cell r="AK577" t="str">
            <v>3P</v>
          </cell>
          <cell r="AL577">
            <v>213</v>
          </cell>
          <cell r="AM577">
            <v>37</v>
          </cell>
          <cell r="AN577" t="str">
            <v>01 Existing Dealer</v>
          </cell>
          <cell r="AO577" t="str">
            <v>Midwest</v>
          </cell>
          <cell r="AP577" t="str">
            <v>Central</v>
          </cell>
          <cell r="AQ577"/>
          <cell r="AR577">
            <v>0</v>
          </cell>
          <cell r="AS577">
            <v>0</v>
          </cell>
        </row>
        <row r="578">
          <cell r="A578">
            <v>13110</v>
          </cell>
          <cell r="B578" t="str">
            <v>M&amp;G TRAILER</v>
          </cell>
          <cell r="C578" t="str">
            <v>M11019</v>
          </cell>
          <cell r="D578" t="str">
            <v>NET 5, BT+</v>
          </cell>
          <cell r="E578" t="str">
            <v>F3 - Northpoint</v>
          </cell>
          <cell r="F578" t="str">
            <v>Yes</v>
          </cell>
          <cell r="G578" t="str">
            <v>OH</v>
          </cell>
          <cell r="H578">
            <v>7</v>
          </cell>
          <cell r="I578">
            <v>0.66500000000000004</v>
          </cell>
          <cell r="J578" t="str">
            <v>Trent Evans</v>
          </cell>
          <cell r="K578" t="str">
            <v>RAMSEY</v>
          </cell>
          <cell r="L578" t="str">
            <v>MN</v>
          </cell>
          <cell r="M578" t="str">
            <v>800-577-8858</v>
          </cell>
          <cell r="N578"/>
          <cell r="O578">
            <v>924</v>
          </cell>
          <cell r="P578">
            <v>3973.2</v>
          </cell>
          <cell r="Q578">
            <v>1292</v>
          </cell>
          <cell r="R578">
            <v>5555.5999999999995</v>
          </cell>
          <cell r="S578"/>
          <cell r="T578">
            <v>0</v>
          </cell>
          <cell r="U578">
            <v>878</v>
          </cell>
          <cell r="V578">
            <v>3775.3999999999996</v>
          </cell>
          <cell r="W578">
            <v>986</v>
          </cell>
          <cell r="X578">
            <v>4239.8</v>
          </cell>
          <cell r="Y578">
            <v>771</v>
          </cell>
          <cell r="Z578">
            <v>3315.2999999999997</v>
          </cell>
          <cell r="AA578">
            <v>771</v>
          </cell>
          <cell r="AB578">
            <v>3315.2999999999997</v>
          </cell>
          <cell r="AC578">
            <v>771</v>
          </cell>
          <cell r="AD578">
            <v>3315.2999999999997</v>
          </cell>
          <cell r="AE578"/>
          <cell r="AF578"/>
          <cell r="AG578"/>
          <cell r="AH578"/>
          <cell r="AI578"/>
          <cell r="AJ578">
            <v>0.04</v>
          </cell>
          <cell r="AK578" t="str">
            <v>3P</v>
          </cell>
          <cell r="AL578">
            <v>226</v>
          </cell>
          <cell r="AM578">
            <v>298</v>
          </cell>
          <cell r="AN578" t="str">
            <v>01 Existing Dealer</v>
          </cell>
          <cell r="AO578" t="str">
            <v>Midwest</v>
          </cell>
          <cell r="AP578" t="str">
            <v>Central</v>
          </cell>
          <cell r="AQ578"/>
          <cell r="AR578">
            <v>339141</v>
          </cell>
          <cell r="AS578">
            <v>157315</v>
          </cell>
        </row>
        <row r="579">
          <cell r="A579" t="str">
            <v>13110A</v>
          </cell>
          <cell r="B579" t="str">
            <v>M&amp;G TRAILER</v>
          </cell>
          <cell r="C579" t="str">
            <v>M11019</v>
          </cell>
          <cell r="D579" t="str">
            <v>NET 5, BT+</v>
          </cell>
          <cell r="E579" t="str">
            <v>F3 - Northpoint</v>
          </cell>
          <cell r="F579" t="str">
            <v>Yes</v>
          </cell>
          <cell r="G579" t="str">
            <v>OH</v>
          </cell>
          <cell r="H579">
            <v>7</v>
          </cell>
          <cell r="I579">
            <v>0.66500000000000004</v>
          </cell>
          <cell r="J579" t="str">
            <v>Trent Evans</v>
          </cell>
          <cell r="K579" t="str">
            <v>BUFFALO</v>
          </cell>
          <cell r="L579" t="str">
            <v>MN</v>
          </cell>
          <cell r="M579" t="str">
            <v>800-577-8858</v>
          </cell>
          <cell r="N579"/>
          <cell r="O579">
            <v>950</v>
          </cell>
          <cell r="P579">
            <v>4085</v>
          </cell>
          <cell r="Q579">
            <v>1284</v>
          </cell>
          <cell r="R579">
            <v>5521.2</v>
          </cell>
          <cell r="S579"/>
          <cell r="T579">
            <v>0</v>
          </cell>
          <cell r="U579">
            <v>937</v>
          </cell>
          <cell r="V579">
            <v>4029.1</v>
          </cell>
          <cell r="W579">
            <v>936</v>
          </cell>
          <cell r="X579">
            <v>4024.7999999999997</v>
          </cell>
          <cell r="Y579"/>
          <cell r="Z579">
            <v>0</v>
          </cell>
          <cell r="AA579">
            <v>769</v>
          </cell>
          <cell r="AB579">
            <v>3306.7</v>
          </cell>
          <cell r="AC579">
            <v>769</v>
          </cell>
          <cell r="AD579">
            <v>3306.7</v>
          </cell>
          <cell r="AE579"/>
          <cell r="AF579"/>
          <cell r="AG579"/>
          <cell r="AH579"/>
          <cell r="AI579"/>
          <cell r="AJ579">
            <v>0.04</v>
          </cell>
          <cell r="AK579" t="str">
            <v>3P</v>
          </cell>
          <cell r="AL579">
            <v>226</v>
          </cell>
          <cell r="AM579">
            <v>298</v>
          </cell>
          <cell r="AN579" t="str">
            <v>01 Existing Dealer</v>
          </cell>
          <cell r="AO579" t="str">
            <v>Midwest</v>
          </cell>
          <cell r="AP579" t="str">
            <v>Central</v>
          </cell>
          <cell r="AQ579"/>
          <cell r="AR579">
            <v>0</v>
          </cell>
          <cell r="AS579">
            <v>0</v>
          </cell>
        </row>
        <row r="580">
          <cell r="A580">
            <v>12670</v>
          </cell>
          <cell r="B580" t="str">
            <v>PINE RIVER SALES</v>
          </cell>
          <cell r="C580" t="str">
            <v>M10327</v>
          </cell>
          <cell r="D580" t="str">
            <v>NET 5, BT+</v>
          </cell>
          <cell r="E580" t="str">
            <v>RM</v>
          </cell>
          <cell r="F580" t="str">
            <v>Yes</v>
          </cell>
          <cell r="G580" t="str">
            <v>OH</v>
          </cell>
          <cell r="H580">
            <v>7</v>
          </cell>
          <cell r="I580">
            <v>0.66500000000000004</v>
          </cell>
          <cell r="J580" t="str">
            <v>Orphaned Acct</v>
          </cell>
          <cell r="K580" t="str">
            <v xml:space="preserve">CLOQUET </v>
          </cell>
          <cell r="L580" t="str">
            <v>MN</v>
          </cell>
          <cell r="M580" t="str">
            <v>800-577-8858</v>
          </cell>
          <cell r="N580"/>
          <cell r="O580">
            <v>1037</v>
          </cell>
          <cell r="P580">
            <v>4459.0999999999995</v>
          </cell>
          <cell r="Q580">
            <v>1353</v>
          </cell>
          <cell r="R580">
            <v>5817.9</v>
          </cell>
          <cell r="S580"/>
          <cell r="T580">
            <v>0</v>
          </cell>
          <cell r="U580">
            <v>991</v>
          </cell>
          <cell r="V580">
            <v>4261.3</v>
          </cell>
          <cell r="W580">
            <v>1099</v>
          </cell>
          <cell r="X580">
            <v>4725.7</v>
          </cell>
          <cell r="Y580">
            <v>826</v>
          </cell>
          <cell r="Z580">
            <v>3551.7999999999997</v>
          </cell>
          <cell r="AA580">
            <v>826</v>
          </cell>
          <cell r="AB580">
            <v>3551.7999999999997</v>
          </cell>
          <cell r="AC580">
            <v>826</v>
          </cell>
          <cell r="AD580">
            <v>3551.7999999999997</v>
          </cell>
          <cell r="AE580"/>
          <cell r="AF580"/>
          <cell r="AG580"/>
          <cell r="AH580"/>
          <cell r="AI580"/>
          <cell r="AJ580">
            <v>0</v>
          </cell>
          <cell r="AK580" t="str">
            <v>3P</v>
          </cell>
          <cell r="AL580">
            <v>213</v>
          </cell>
          <cell r="AM580">
            <v>119</v>
          </cell>
          <cell r="AN580" t="str">
            <v>08 Inactive Dealer</v>
          </cell>
          <cell r="AO580" t="str">
            <v>Midwest</v>
          </cell>
          <cell r="AP580" t="str">
            <v>Central</v>
          </cell>
          <cell r="AQ580"/>
          <cell r="AR580">
            <v>0</v>
          </cell>
          <cell r="AS580">
            <v>0</v>
          </cell>
        </row>
        <row r="581">
          <cell r="A581">
            <v>12861</v>
          </cell>
          <cell r="B581" t="str">
            <v>R &amp; J HORSE dba Sundby's</v>
          </cell>
          <cell r="C581" t="str">
            <v>M10113</v>
          </cell>
          <cell r="D581" t="str">
            <v>NET 5, BT+</v>
          </cell>
          <cell r="E581" t="str">
            <v>F4 - Wells Fargo</v>
          </cell>
          <cell r="F581" t="str">
            <v>Yes</v>
          </cell>
          <cell r="G581" t="str">
            <v>OH</v>
          </cell>
          <cell r="H581">
            <v>8</v>
          </cell>
          <cell r="I581">
            <v>0.66500000000000004</v>
          </cell>
          <cell r="J581" t="str">
            <v>JL Smith</v>
          </cell>
          <cell r="K581" t="str">
            <v>VERNDALE</v>
          </cell>
          <cell r="L581" t="str">
            <v>MN</v>
          </cell>
          <cell r="M581" t="str">
            <v>800-577-8858</v>
          </cell>
          <cell r="N581"/>
          <cell r="O581">
            <v>1052</v>
          </cell>
          <cell r="P581">
            <v>4523.5999999999995</v>
          </cell>
          <cell r="Q581">
            <v>1425</v>
          </cell>
          <cell r="R581">
            <v>6127.5</v>
          </cell>
          <cell r="S581"/>
          <cell r="T581">
            <v>0</v>
          </cell>
          <cell r="U581">
            <v>992</v>
          </cell>
          <cell r="V581">
            <v>4265.5999999999995</v>
          </cell>
          <cell r="W581">
            <v>1114</v>
          </cell>
          <cell r="X581">
            <v>4790.2</v>
          </cell>
          <cell r="Y581">
            <v>895</v>
          </cell>
          <cell r="Z581">
            <v>3848.5</v>
          </cell>
          <cell r="AA581">
            <v>895</v>
          </cell>
          <cell r="AB581">
            <v>3848.5</v>
          </cell>
          <cell r="AC581">
            <v>895</v>
          </cell>
          <cell r="AD581">
            <v>3848.5</v>
          </cell>
          <cell r="AE581"/>
          <cell r="AF581"/>
          <cell r="AG581"/>
          <cell r="AH581"/>
          <cell r="AI581"/>
          <cell r="AJ581">
            <v>0</v>
          </cell>
          <cell r="AK581" t="str">
            <v>3P</v>
          </cell>
          <cell r="AL581">
            <v>151</v>
          </cell>
          <cell r="AM581">
            <v>142</v>
          </cell>
          <cell r="AN581" t="str">
            <v>01 Existing Dealer</v>
          </cell>
          <cell r="AO581" t="str">
            <v>Midwest</v>
          </cell>
          <cell r="AP581" t="str">
            <v>Central</v>
          </cell>
          <cell r="AQ581"/>
          <cell r="AR581">
            <v>0</v>
          </cell>
          <cell r="AS581">
            <v>64755</v>
          </cell>
        </row>
        <row r="582">
          <cell r="A582">
            <v>12280</v>
          </cell>
          <cell r="B582" t="str">
            <v>SPARKS SALES, LLC.</v>
          </cell>
          <cell r="C582" t="str">
            <v>M10482</v>
          </cell>
          <cell r="D582" t="str">
            <v>Net 60, no pink card</v>
          </cell>
          <cell r="E582">
            <v>60</v>
          </cell>
          <cell r="F582" t="str">
            <v>Yes</v>
          </cell>
          <cell r="G582" t="str">
            <v>OH</v>
          </cell>
          <cell r="H582">
            <v>6</v>
          </cell>
          <cell r="I582">
            <v>0.66500000000000004</v>
          </cell>
          <cell r="J582" t="str">
            <v>House</v>
          </cell>
          <cell r="K582" t="str">
            <v>BATTLELAKE</v>
          </cell>
          <cell r="L582" t="str">
            <v>MN</v>
          </cell>
          <cell r="M582" t="str">
            <v>800-577-8858</v>
          </cell>
          <cell r="N582"/>
          <cell r="O582">
            <v>1079</v>
          </cell>
          <cell r="P582">
            <v>4639.7</v>
          </cell>
          <cell r="Q582"/>
          <cell r="R582">
            <v>0</v>
          </cell>
          <cell r="S582"/>
          <cell r="T582">
            <v>0</v>
          </cell>
          <cell r="U582">
            <v>1008</v>
          </cell>
          <cell r="V582">
            <v>4334.3999999999996</v>
          </cell>
          <cell r="W582">
            <v>1140</v>
          </cell>
          <cell r="X582">
            <v>4902</v>
          </cell>
          <cell r="Y582">
            <v>917</v>
          </cell>
          <cell r="Z582">
            <v>3943.1</v>
          </cell>
          <cell r="AA582">
            <v>917</v>
          </cell>
          <cell r="AB582">
            <v>3943.1</v>
          </cell>
          <cell r="AC582">
            <v>917</v>
          </cell>
          <cell r="AD582">
            <v>3943.1</v>
          </cell>
          <cell r="AE582"/>
          <cell r="AF582"/>
          <cell r="AG582"/>
          <cell r="AH582"/>
          <cell r="AI582"/>
          <cell r="AJ582">
            <v>0</v>
          </cell>
          <cell r="AK582" t="str">
            <v>3P</v>
          </cell>
          <cell r="AL582">
            <v>400</v>
          </cell>
          <cell r="AM582">
            <v>142</v>
          </cell>
          <cell r="AN582" t="str">
            <v>08 Inactive Dealer</v>
          </cell>
          <cell r="AO582" t="str">
            <v>Midwest</v>
          </cell>
          <cell r="AP582" t="str">
            <v>Central</v>
          </cell>
          <cell r="AQ582"/>
          <cell r="AR582">
            <v>0</v>
          </cell>
          <cell r="AS582">
            <v>0</v>
          </cell>
        </row>
        <row r="583">
          <cell r="A583">
            <v>12007</v>
          </cell>
          <cell r="B583" t="str">
            <v>SPARKS SALES, LLC.</v>
          </cell>
          <cell r="C583" t="str">
            <v>M10482</v>
          </cell>
          <cell r="D583" t="str">
            <v>NET 5, BT+</v>
          </cell>
          <cell r="E583" t="str">
            <v>CO</v>
          </cell>
          <cell r="F583" t="str">
            <v>Yes</v>
          </cell>
          <cell r="G583" t="str">
            <v>OH</v>
          </cell>
          <cell r="H583">
            <v>6</v>
          </cell>
          <cell r="I583">
            <v>0.66500000000000004</v>
          </cell>
          <cell r="J583" t="str">
            <v>House</v>
          </cell>
          <cell r="K583" t="str">
            <v>BATTLELAKE</v>
          </cell>
          <cell r="L583" t="str">
            <v>MN</v>
          </cell>
          <cell r="M583" t="str">
            <v>800-577-8858</v>
          </cell>
          <cell r="N583"/>
          <cell r="O583">
            <v>1079</v>
          </cell>
          <cell r="P583">
            <v>4639.7</v>
          </cell>
          <cell r="Q583"/>
          <cell r="R583">
            <v>0</v>
          </cell>
          <cell r="S583"/>
          <cell r="T583">
            <v>0</v>
          </cell>
          <cell r="U583">
            <v>1008</v>
          </cell>
          <cell r="V583">
            <v>4334.3999999999996</v>
          </cell>
          <cell r="W583"/>
          <cell r="X583">
            <v>0</v>
          </cell>
          <cell r="Y583">
            <v>917</v>
          </cell>
          <cell r="Z583">
            <v>3943.1</v>
          </cell>
          <cell r="AA583">
            <v>917</v>
          </cell>
          <cell r="AB583">
            <v>3943.1</v>
          </cell>
          <cell r="AC583">
            <v>917</v>
          </cell>
          <cell r="AD583">
            <v>3943.1</v>
          </cell>
          <cell r="AE583"/>
          <cell r="AF583"/>
          <cell r="AG583"/>
          <cell r="AH583"/>
          <cell r="AI583"/>
          <cell r="AJ583">
            <v>0</v>
          </cell>
          <cell r="AK583" t="str">
            <v>3P</v>
          </cell>
          <cell r="AL583">
            <v>400</v>
          </cell>
          <cell r="AM583">
            <v>142</v>
          </cell>
          <cell r="AN583" t="str">
            <v>08 Inactive Dealer</v>
          </cell>
          <cell r="AO583" t="str">
            <v>Midwest</v>
          </cell>
          <cell r="AP583" t="str">
            <v>Central</v>
          </cell>
          <cell r="AQ583"/>
          <cell r="AR583">
            <v>0</v>
          </cell>
          <cell r="AS583">
            <v>0</v>
          </cell>
        </row>
        <row r="584">
          <cell r="A584">
            <v>12028</v>
          </cell>
          <cell r="B584" t="str">
            <v>SPARKS SALES, LLC.</v>
          </cell>
          <cell r="C584" t="str">
            <v>M10482</v>
          </cell>
          <cell r="D584" t="str">
            <v>NET 5, BT+</v>
          </cell>
          <cell r="E584" t="str">
            <v>C6</v>
          </cell>
          <cell r="F584" t="str">
            <v>Yes</v>
          </cell>
          <cell r="G584" t="str">
            <v>OH</v>
          </cell>
          <cell r="H584">
            <v>6</v>
          </cell>
          <cell r="I584">
            <v>0.66500000000000004</v>
          </cell>
          <cell r="J584" t="str">
            <v>House</v>
          </cell>
          <cell r="K584" t="str">
            <v>BATTLELAKE</v>
          </cell>
          <cell r="L584" t="str">
            <v>MN</v>
          </cell>
          <cell r="M584" t="str">
            <v>800-577-8858</v>
          </cell>
          <cell r="N584"/>
          <cell r="O584">
            <v>1079</v>
          </cell>
          <cell r="P584">
            <v>4639.7</v>
          </cell>
          <cell r="Q584"/>
          <cell r="R584">
            <v>0</v>
          </cell>
          <cell r="S584"/>
          <cell r="T584">
            <v>0</v>
          </cell>
          <cell r="U584">
            <v>1008</v>
          </cell>
          <cell r="V584">
            <v>4334.3999999999996</v>
          </cell>
          <cell r="W584"/>
          <cell r="X584">
            <v>0</v>
          </cell>
          <cell r="Y584">
            <v>917</v>
          </cell>
          <cell r="Z584">
            <v>3943.1</v>
          </cell>
          <cell r="AA584">
            <v>917</v>
          </cell>
          <cell r="AB584">
            <v>3943.1</v>
          </cell>
          <cell r="AC584">
            <v>917</v>
          </cell>
          <cell r="AD584">
            <v>3943.1</v>
          </cell>
          <cell r="AE584"/>
          <cell r="AF584"/>
          <cell r="AG584"/>
          <cell r="AH584"/>
          <cell r="AI584"/>
          <cell r="AJ584">
            <v>0</v>
          </cell>
          <cell r="AK584" t="str">
            <v>3P</v>
          </cell>
          <cell r="AL584">
            <v>400</v>
          </cell>
          <cell r="AM584">
            <v>142</v>
          </cell>
          <cell r="AN584" t="str">
            <v>08 Inactive Dealer</v>
          </cell>
          <cell r="AO584" t="str">
            <v>Midwest</v>
          </cell>
          <cell r="AP584" t="str">
            <v>Central</v>
          </cell>
          <cell r="AQ584"/>
          <cell r="AR584">
            <v>0</v>
          </cell>
          <cell r="AS584">
            <v>0</v>
          </cell>
        </row>
        <row r="585">
          <cell r="A585" t="str">
            <v>12028A</v>
          </cell>
          <cell r="B585" t="str">
            <v>SPARKS SALES, LLC.</v>
          </cell>
          <cell r="C585" t="str">
            <v>M10482</v>
          </cell>
          <cell r="D585" t="str">
            <v>NET 5, BT+</v>
          </cell>
          <cell r="E585" t="str">
            <v>C6</v>
          </cell>
          <cell r="F585" t="str">
            <v>Yes</v>
          </cell>
          <cell r="G585" t="str">
            <v>OH</v>
          </cell>
          <cell r="H585">
            <v>6</v>
          </cell>
          <cell r="I585">
            <v>0.66500000000000004</v>
          </cell>
          <cell r="J585" t="str">
            <v>House</v>
          </cell>
          <cell r="K585" t="str">
            <v>AVON</v>
          </cell>
          <cell r="L585" t="str">
            <v>MN</v>
          </cell>
          <cell r="M585" t="str">
            <v>800-577-8858</v>
          </cell>
          <cell r="N585"/>
          <cell r="O585">
            <v>997</v>
          </cell>
          <cell r="P585">
            <v>4287.0999999999995</v>
          </cell>
          <cell r="Q585"/>
          <cell r="R585">
            <v>0</v>
          </cell>
          <cell r="S585"/>
          <cell r="T585">
            <v>0</v>
          </cell>
          <cell r="U585">
            <v>987</v>
          </cell>
          <cell r="V585">
            <v>4244.0999999999995</v>
          </cell>
          <cell r="W585"/>
          <cell r="X585">
            <v>0</v>
          </cell>
          <cell r="Y585">
            <v>827</v>
          </cell>
          <cell r="Z585">
            <v>3556.1</v>
          </cell>
          <cell r="AA585">
            <v>827</v>
          </cell>
          <cell r="AB585">
            <v>3556.1</v>
          </cell>
          <cell r="AC585">
            <v>827</v>
          </cell>
          <cell r="AD585">
            <v>3556.1</v>
          </cell>
          <cell r="AE585"/>
          <cell r="AF585"/>
          <cell r="AG585"/>
          <cell r="AH585"/>
          <cell r="AI585"/>
          <cell r="AJ585">
            <v>0</v>
          </cell>
          <cell r="AK585" t="str">
            <v>3P</v>
          </cell>
          <cell r="AL585">
            <v>400</v>
          </cell>
          <cell r="AM585">
            <v>391</v>
          </cell>
          <cell r="AN585" t="str">
            <v>08 Inactive Dealer</v>
          </cell>
          <cell r="AO585" t="str">
            <v>Midwest</v>
          </cell>
          <cell r="AP585" t="str">
            <v>Central</v>
          </cell>
          <cell r="AQ585"/>
          <cell r="AR585">
            <v>0</v>
          </cell>
          <cell r="AS585">
            <v>0</v>
          </cell>
        </row>
        <row r="586">
          <cell r="A586">
            <v>12943</v>
          </cell>
          <cell r="B586" t="str">
            <v>TW EAST GRAND FORKS</v>
          </cell>
          <cell r="C586" t="str">
            <v>M10081</v>
          </cell>
          <cell r="D586" t="str">
            <v>Net 30, no pink card</v>
          </cell>
          <cell r="E586">
            <v>30</v>
          </cell>
          <cell r="F586" t="str">
            <v>Yes</v>
          </cell>
          <cell r="G586" t="str">
            <v>OH</v>
          </cell>
          <cell r="H586">
            <v>10</v>
          </cell>
          <cell r="I586">
            <v>0.66500000000000004</v>
          </cell>
          <cell r="J586" t="str">
            <v>Orphaned Acct</v>
          </cell>
          <cell r="K586" t="str">
            <v>EAST GRAND FORKS</v>
          </cell>
          <cell r="L586" t="str">
            <v>MN</v>
          </cell>
          <cell r="M586" t="str">
            <v>800-577-8858</v>
          </cell>
          <cell r="N586" t="str">
            <v>All tandem axle trailers must have BRK2</v>
          </cell>
          <cell r="O586">
            <v>1142</v>
          </cell>
          <cell r="P586">
            <v>4910.5999999999995</v>
          </cell>
          <cell r="Q586">
            <v>1592</v>
          </cell>
          <cell r="R586">
            <v>6845.5999999999995</v>
          </cell>
          <cell r="S586"/>
          <cell r="T586">
            <v>0</v>
          </cell>
          <cell r="U586">
            <v>1073</v>
          </cell>
          <cell r="V586">
            <v>4613.8999999999996</v>
          </cell>
          <cell r="W586">
            <v>1203</v>
          </cell>
          <cell r="X586">
            <v>5172.8999999999996</v>
          </cell>
          <cell r="Y586">
            <v>1065</v>
          </cell>
          <cell r="Z586">
            <v>4579.5</v>
          </cell>
          <cell r="AA586">
            <v>1065</v>
          </cell>
          <cell r="AB586">
            <v>4579.5</v>
          </cell>
          <cell r="AC586">
            <v>1065</v>
          </cell>
          <cell r="AD586">
            <v>4579.5</v>
          </cell>
          <cell r="AE586">
            <v>0.10154999999999999</v>
          </cell>
          <cell r="AF586"/>
          <cell r="AG586">
            <v>0.10155</v>
          </cell>
          <cell r="AH586">
            <v>0.10155</v>
          </cell>
          <cell r="AI586">
            <v>0.10155</v>
          </cell>
          <cell r="AJ586">
            <v>0.04</v>
          </cell>
          <cell r="AK586" t="str">
            <v>3P</v>
          </cell>
          <cell r="AL586">
            <v>213</v>
          </cell>
          <cell r="AM586">
            <v>166</v>
          </cell>
          <cell r="AN586" t="str">
            <v>09 Inactive Co Store</v>
          </cell>
          <cell r="AO586" t="str">
            <v>Midwest</v>
          </cell>
          <cell r="AP586" t="str">
            <v>Central</v>
          </cell>
          <cell r="AQ586"/>
          <cell r="AR586">
            <v>0</v>
          </cell>
          <cell r="AS586">
            <v>0</v>
          </cell>
        </row>
        <row r="587">
          <cell r="A587">
            <v>12931</v>
          </cell>
          <cell r="B587" t="str">
            <v>TW ELK RIVER</v>
          </cell>
          <cell r="C587" t="str">
            <v>M10079</v>
          </cell>
          <cell r="D587" t="str">
            <v>Net 30, no pink card</v>
          </cell>
          <cell r="E587">
            <v>30</v>
          </cell>
          <cell r="F587" t="str">
            <v>Yes</v>
          </cell>
          <cell r="G587" t="str">
            <v>OH</v>
          </cell>
          <cell r="H587">
            <v>10</v>
          </cell>
          <cell r="I587">
            <v>0.66500000000000004</v>
          </cell>
          <cell r="J587" t="str">
            <v>Orphaned Acct</v>
          </cell>
          <cell r="K587" t="str">
            <v>ELK RIVER</v>
          </cell>
          <cell r="L587" t="str">
            <v>MN</v>
          </cell>
          <cell r="M587" t="str">
            <v>800-577-8858</v>
          </cell>
          <cell r="N587" t="str">
            <v>All tandem axle trailers must have BRK2</v>
          </cell>
          <cell r="O587">
            <v>935</v>
          </cell>
          <cell r="P587">
            <v>4020.5</v>
          </cell>
          <cell r="Q587">
            <v>1304</v>
          </cell>
          <cell r="R587">
            <v>5607.2</v>
          </cell>
          <cell r="S587">
            <v>1455</v>
          </cell>
          <cell r="T587">
            <v>6256.5</v>
          </cell>
          <cell r="U587">
            <v>889</v>
          </cell>
          <cell r="V587">
            <v>3822.7</v>
          </cell>
          <cell r="W587">
            <v>996</v>
          </cell>
          <cell r="X587">
            <v>4282.8</v>
          </cell>
          <cell r="Y587">
            <v>779</v>
          </cell>
          <cell r="Z587">
            <v>3349.7</v>
          </cell>
          <cell r="AA587">
            <v>779</v>
          </cell>
          <cell r="AB587">
            <v>3349.7</v>
          </cell>
          <cell r="AC587">
            <v>779</v>
          </cell>
          <cell r="AD587">
            <v>3349.7</v>
          </cell>
          <cell r="AE587">
            <v>7.8899999999999998E-2</v>
          </cell>
          <cell r="AF587"/>
          <cell r="AG587">
            <v>8.5290000000000005E-2</v>
          </cell>
          <cell r="AH587">
            <v>8.5290000000000005E-2</v>
          </cell>
          <cell r="AI587">
            <v>8.5290000000000005E-2</v>
          </cell>
          <cell r="AJ587">
            <v>0.04</v>
          </cell>
          <cell r="AK587" t="str">
            <v>TW</v>
          </cell>
          <cell r="AL587">
            <v>213</v>
          </cell>
          <cell r="AM587">
            <v>391</v>
          </cell>
          <cell r="AN587" t="str">
            <v>09 Inactive Co Store</v>
          </cell>
          <cell r="AO587" t="str">
            <v>Midwest</v>
          </cell>
          <cell r="AP587" t="str">
            <v>Central</v>
          </cell>
          <cell r="AQ587"/>
          <cell r="AR587">
            <v>0</v>
          </cell>
          <cell r="AS587">
            <v>0</v>
          </cell>
        </row>
        <row r="588">
          <cell r="A588">
            <v>12683</v>
          </cell>
          <cell r="B588" t="str">
            <v>TWIN CITIES FEATHERLITE TRAILER SALES</v>
          </cell>
          <cell r="C588" t="str">
            <v>M10431</v>
          </cell>
          <cell r="D588" t="str">
            <v>NET 5, BT+</v>
          </cell>
          <cell r="E588" t="str">
            <v>CO</v>
          </cell>
          <cell r="F588" t="str">
            <v>Yes</v>
          </cell>
          <cell r="G588" t="str">
            <v>OH</v>
          </cell>
          <cell r="H588">
            <v>5</v>
          </cell>
          <cell r="I588">
            <v>0.66500000000000004</v>
          </cell>
          <cell r="J588" t="str">
            <v>Orphaned Acct</v>
          </cell>
          <cell r="K588" t="str">
            <v>ELKO</v>
          </cell>
          <cell r="L588" t="str">
            <v>MN</v>
          </cell>
          <cell r="M588" t="str">
            <v>800-577-8858</v>
          </cell>
          <cell r="N588"/>
          <cell r="O588">
            <v>875</v>
          </cell>
          <cell r="P588">
            <v>3762.5</v>
          </cell>
          <cell r="Q588">
            <v>1231</v>
          </cell>
          <cell r="R588">
            <v>5293.3</v>
          </cell>
          <cell r="S588"/>
          <cell r="T588">
            <v>0</v>
          </cell>
          <cell r="U588">
            <v>829</v>
          </cell>
          <cell r="V588">
            <v>3564.7</v>
          </cell>
          <cell r="W588">
            <v>937</v>
          </cell>
          <cell r="X588">
            <v>4029.1</v>
          </cell>
          <cell r="Y588">
            <v>756</v>
          </cell>
          <cell r="Z588">
            <v>3250.7999999999997</v>
          </cell>
          <cell r="AA588">
            <v>756</v>
          </cell>
          <cell r="AB588">
            <v>3250.7999999999997</v>
          </cell>
          <cell r="AC588">
            <v>756</v>
          </cell>
          <cell r="AD588">
            <v>3250.7999999999997</v>
          </cell>
          <cell r="AE588"/>
          <cell r="AF588"/>
          <cell r="AG588"/>
          <cell r="AH588"/>
          <cell r="AI588"/>
          <cell r="AJ588">
            <v>0</v>
          </cell>
          <cell r="AK588" t="str">
            <v>3P</v>
          </cell>
          <cell r="AL588">
            <v>213</v>
          </cell>
          <cell r="AM588">
            <v>298</v>
          </cell>
          <cell r="AN588" t="str">
            <v>08 Inactive Dealer</v>
          </cell>
          <cell r="AO588" t="str">
            <v>Midwest</v>
          </cell>
          <cell r="AP588" t="str">
            <v>Central</v>
          </cell>
          <cell r="AQ588"/>
          <cell r="AR588">
            <v>0</v>
          </cell>
          <cell r="AS588">
            <v>0</v>
          </cell>
        </row>
        <row r="589">
          <cell r="A589">
            <v>12688</v>
          </cell>
          <cell r="B589" t="str">
            <v>TWIN CITIES FEATHERLITE TRAILER SALES</v>
          </cell>
          <cell r="C589" t="str">
            <v>M10431</v>
          </cell>
          <cell r="D589" t="str">
            <v>NET 5, BT+</v>
          </cell>
          <cell r="E589" t="str">
            <v>FP</v>
          </cell>
          <cell r="F589" t="str">
            <v>Yes</v>
          </cell>
          <cell r="G589" t="str">
            <v>OH</v>
          </cell>
          <cell r="H589">
            <v>8</v>
          </cell>
          <cell r="I589">
            <v>0.66500000000000004</v>
          </cell>
          <cell r="J589" t="str">
            <v>Orphaned Acct</v>
          </cell>
          <cell r="K589" t="str">
            <v>ELKO</v>
          </cell>
          <cell r="L589" t="str">
            <v>MN</v>
          </cell>
          <cell r="M589" t="str">
            <v>800-577-8858</v>
          </cell>
          <cell r="N589"/>
          <cell r="O589">
            <v>875</v>
          </cell>
          <cell r="P589">
            <v>3762.5</v>
          </cell>
          <cell r="Q589">
            <v>1231</v>
          </cell>
          <cell r="R589">
            <v>5293.3</v>
          </cell>
          <cell r="S589"/>
          <cell r="T589">
            <v>0</v>
          </cell>
          <cell r="U589">
            <v>829</v>
          </cell>
          <cell r="V589">
            <v>3564.7</v>
          </cell>
          <cell r="W589">
            <v>937</v>
          </cell>
          <cell r="X589">
            <v>4029.1</v>
          </cell>
          <cell r="Y589">
            <v>756</v>
          </cell>
          <cell r="Z589">
            <v>3250.7999999999997</v>
          </cell>
          <cell r="AA589">
            <v>756</v>
          </cell>
          <cell r="AB589">
            <v>3250.7999999999997</v>
          </cell>
          <cell r="AC589">
            <v>756</v>
          </cell>
          <cell r="AD589">
            <v>3250.7999999999997</v>
          </cell>
          <cell r="AE589"/>
          <cell r="AF589"/>
          <cell r="AG589"/>
          <cell r="AH589"/>
          <cell r="AI589"/>
          <cell r="AJ589">
            <v>0</v>
          </cell>
          <cell r="AK589" t="str">
            <v>3P</v>
          </cell>
          <cell r="AL589">
            <v>213</v>
          </cell>
          <cell r="AM589">
            <v>298</v>
          </cell>
          <cell r="AN589" t="str">
            <v>08 Inactive Dealer</v>
          </cell>
          <cell r="AO589" t="str">
            <v>Midwest</v>
          </cell>
          <cell r="AP589" t="str">
            <v>Central</v>
          </cell>
          <cell r="AQ589"/>
          <cell r="AR589">
            <v>0</v>
          </cell>
          <cell r="AS589">
            <v>0</v>
          </cell>
        </row>
        <row r="590">
          <cell r="A590">
            <v>13241</v>
          </cell>
          <cell r="B590" t="str">
            <v>A&amp;J TRAILER SALES</v>
          </cell>
          <cell r="C590" t="str">
            <v>M11173</v>
          </cell>
          <cell r="D590" t="str">
            <v>NET 5, BT+</v>
          </cell>
          <cell r="E590" t="str">
            <v>CF</v>
          </cell>
          <cell r="F590" t="str">
            <v>Yes</v>
          </cell>
          <cell r="G590" t="str">
            <v>OH</v>
          </cell>
          <cell r="H590">
            <v>8</v>
          </cell>
          <cell r="I590">
            <v>0.66500000000000004</v>
          </cell>
          <cell r="J590" t="str">
            <v>JL Smith</v>
          </cell>
          <cell r="K590" t="str">
            <v>JEFFERSON CITY</v>
          </cell>
          <cell r="L590" t="str">
            <v>MO</v>
          </cell>
          <cell r="M590" t="str">
            <v>800-577-8858</v>
          </cell>
          <cell r="N590"/>
          <cell r="O590">
            <v>529</v>
          </cell>
          <cell r="P590">
            <v>2274.6999999999998</v>
          </cell>
          <cell r="Q590"/>
          <cell r="R590">
            <v>0</v>
          </cell>
          <cell r="S590"/>
          <cell r="T590">
            <v>0</v>
          </cell>
          <cell r="U590">
            <v>483</v>
          </cell>
          <cell r="V590">
            <v>2076.9</v>
          </cell>
          <cell r="W590">
            <v>591</v>
          </cell>
          <cell r="X590">
            <v>2541.2999999999997</v>
          </cell>
          <cell r="Y590"/>
          <cell r="Z590">
            <v>0</v>
          </cell>
          <cell r="AA590"/>
          <cell r="AB590">
            <v>0</v>
          </cell>
          <cell r="AC590"/>
          <cell r="AD590">
            <v>0</v>
          </cell>
          <cell r="AE590"/>
          <cell r="AF590"/>
          <cell r="AG590"/>
          <cell r="AH590"/>
          <cell r="AI590"/>
          <cell r="AJ590">
            <v>0</v>
          </cell>
          <cell r="AK590" t="str">
            <v>3P</v>
          </cell>
          <cell r="AL590">
            <v>151</v>
          </cell>
          <cell r="AM590">
            <v>217</v>
          </cell>
          <cell r="AN590" t="str">
            <v>02 Ramping</v>
          </cell>
          <cell r="AO590" t="str">
            <v>Midwest</v>
          </cell>
          <cell r="AP590" t="str">
            <v>Central</v>
          </cell>
          <cell r="AQ590"/>
          <cell r="AR590">
            <v>0</v>
          </cell>
          <cell r="AS590">
            <v>0</v>
          </cell>
        </row>
        <row r="591">
          <cell r="A591">
            <v>13109</v>
          </cell>
          <cell r="B591" t="str">
            <v>AFFORDABLE POWERSPORTS</v>
          </cell>
          <cell r="C591" t="str">
            <v>M11016</v>
          </cell>
          <cell r="D591" t="str">
            <v>NET 5, BT+</v>
          </cell>
          <cell r="E591" t="str">
            <v>FP - Northpoint</v>
          </cell>
          <cell r="F591" t="str">
            <v>Yes</v>
          </cell>
          <cell r="G591" t="str">
            <v>OH</v>
          </cell>
          <cell r="H591">
            <v>8</v>
          </cell>
          <cell r="I591">
            <v>0.66500000000000004</v>
          </cell>
          <cell r="J591" t="str">
            <v>Orphaned Acct</v>
          </cell>
          <cell r="K591" t="str">
            <v>COLUMBIA</v>
          </cell>
          <cell r="L591" t="str">
            <v>MO</v>
          </cell>
          <cell r="M591" t="str">
            <v>800-577-8858</v>
          </cell>
          <cell r="N591"/>
          <cell r="O591">
            <v>560</v>
          </cell>
          <cell r="P591">
            <v>2408</v>
          </cell>
          <cell r="Q591">
            <v>823</v>
          </cell>
          <cell r="R591">
            <v>3538.8999999999996</v>
          </cell>
          <cell r="S591"/>
          <cell r="T591">
            <v>0</v>
          </cell>
          <cell r="U591">
            <v>514</v>
          </cell>
          <cell r="V591">
            <v>2210.1999999999998</v>
          </cell>
          <cell r="W591">
            <v>622</v>
          </cell>
          <cell r="X591">
            <v>2674.6</v>
          </cell>
          <cell r="Y591">
            <v>508</v>
          </cell>
          <cell r="Z591">
            <v>2184.4</v>
          </cell>
          <cell r="AA591">
            <v>508</v>
          </cell>
          <cell r="AB591">
            <v>2184.4</v>
          </cell>
          <cell r="AC591">
            <v>508</v>
          </cell>
          <cell r="AD591">
            <v>2184.4</v>
          </cell>
          <cell r="AE591"/>
          <cell r="AF591"/>
          <cell r="AG591"/>
          <cell r="AH591"/>
          <cell r="AI591"/>
          <cell r="AJ591">
            <v>0</v>
          </cell>
          <cell r="AK591" t="str">
            <v>3P</v>
          </cell>
          <cell r="AL591">
            <v>213</v>
          </cell>
          <cell r="AM591">
            <v>90</v>
          </cell>
          <cell r="AN591" t="str">
            <v>01 Existing Dealer</v>
          </cell>
          <cell r="AO591" t="str">
            <v>Midwest</v>
          </cell>
          <cell r="AP591" t="str">
            <v>Central</v>
          </cell>
          <cell r="AQ591"/>
          <cell r="AR591">
            <v>0</v>
          </cell>
          <cell r="AS591">
            <v>0</v>
          </cell>
        </row>
        <row r="592">
          <cell r="A592">
            <v>10158</v>
          </cell>
          <cell r="B592" t="str">
            <v>CROFT AUTOMOTIVE &amp; TRAILERS</v>
          </cell>
          <cell r="C592" t="str">
            <v>M10168</v>
          </cell>
          <cell r="D592" t="str">
            <v>NET 5, BT+</v>
          </cell>
          <cell r="E592" t="str">
            <v>CO</v>
          </cell>
          <cell r="F592" t="str">
            <v>Yes</v>
          </cell>
          <cell r="G592" t="str">
            <v>OH</v>
          </cell>
          <cell r="H592">
            <v>7</v>
          </cell>
          <cell r="I592">
            <v>0.66500000000000004</v>
          </cell>
          <cell r="J592" t="str">
            <v>Orphaned Acct</v>
          </cell>
          <cell r="K592" t="str">
            <v>VALLEY PARK</v>
          </cell>
          <cell r="L592" t="str">
            <v>MO</v>
          </cell>
          <cell r="M592" t="str">
            <v>800-577-8858</v>
          </cell>
          <cell r="N592"/>
          <cell r="O592">
            <v>544</v>
          </cell>
          <cell r="P592">
            <v>2339.1999999999998</v>
          </cell>
          <cell r="Q592"/>
          <cell r="R592">
            <v>0</v>
          </cell>
          <cell r="S592"/>
          <cell r="T592">
            <v>0</v>
          </cell>
          <cell r="U592">
            <v>545</v>
          </cell>
          <cell r="V592">
            <v>2343.5</v>
          </cell>
          <cell r="W592">
            <v>652</v>
          </cell>
          <cell r="X592">
            <v>2803.6</v>
          </cell>
          <cell r="Y592">
            <v>411</v>
          </cell>
          <cell r="Z592">
            <v>1767.3</v>
          </cell>
          <cell r="AA592">
            <v>411</v>
          </cell>
          <cell r="AB592">
            <v>1767.3</v>
          </cell>
          <cell r="AC592">
            <v>411</v>
          </cell>
          <cell r="AD592">
            <v>1767.3</v>
          </cell>
          <cell r="AE592"/>
          <cell r="AF592"/>
          <cell r="AG592"/>
          <cell r="AH592"/>
          <cell r="AI592"/>
          <cell r="AJ592">
            <v>0</v>
          </cell>
          <cell r="AK592" t="str">
            <v>3P</v>
          </cell>
          <cell r="AL592">
            <v>213</v>
          </cell>
          <cell r="AM592">
            <v>394</v>
          </cell>
          <cell r="AN592" t="str">
            <v>08 Inactive Dealer</v>
          </cell>
          <cell r="AO592" t="str">
            <v>Midwest</v>
          </cell>
          <cell r="AP592" t="str">
            <v>Central</v>
          </cell>
          <cell r="AQ592"/>
          <cell r="AR592">
            <v>0</v>
          </cell>
          <cell r="AS592">
            <v>0</v>
          </cell>
        </row>
        <row r="593">
          <cell r="A593">
            <v>11824</v>
          </cell>
          <cell r="B593" t="str">
            <v>CROFT AUTOMOTIVE &amp; TRAILERS</v>
          </cell>
          <cell r="C593" t="str">
            <v>M10168</v>
          </cell>
          <cell r="D593" t="str">
            <v>NET 5, BT+</v>
          </cell>
          <cell r="E593" t="str">
            <v>FP - Wells Fargo</v>
          </cell>
          <cell r="F593" t="str">
            <v>Yes</v>
          </cell>
          <cell r="G593" t="str">
            <v>OH</v>
          </cell>
          <cell r="H593">
            <v>6</v>
          </cell>
          <cell r="I593">
            <v>0.66500000000000004</v>
          </cell>
          <cell r="J593" t="str">
            <v>Orphaned Acct</v>
          </cell>
          <cell r="K593" t="str">
            <v>VALLEY PARK</v>
          </cell>
          <cell r="L593" t="str">
            <v>MO</v>
          </cell>
          <cell r="M593" t="str">
            <v>800-577-8858</v>
          </cell>
          <cell r="N593"/>
          <cell r="O593">
            <v>544</v>
          </cell>
          <cell r="P593">
            <v>2339.1999999999998</v>
          </cell>
          <cell r="Q593"/>
          <cell r="R593">
            <v>0</v>
          </cell>
          <cell r="S593"/>
          <cell r="T593">
            <v>0</v>
          </cell>
          <cell r="U593">
            <v>545</v>
          </cell>
          <cell r="V593">
            <v>2343.5</v>
          </cell>
          <cell r="W593">
            <v>652</v>
          </cell>
          <cell r="X593">
            <v>2803.6</v>
          </cell>
          <cell r="Y593">
            <v>411</v>
          </cell>
          <cell r="Z593">
            <v>1767.3</v>
          </cell>
          <cell r="AA593">
            <v>411</v>
          </cell>
          <cell r="AB593">
            <v>1767.3</v>
          </cell>
          <cell r="AC593">
            <v>411</v>
          </cell>
          <cell r="AD593">
            <v>1767.3</v>
          </cell>
          <cell r="AE593"/>
          <cell r="AF593"/>
          <cell r="AG593"/>
          <cell r="AH593"/>
          <cell r="AI593"/>
          <cell r="AJ593">
            <v>0</v>
          </cell>
          <cell r="AK593" t="str">
            <v>3P</v>
          </cell>
          <cell r="AL593">
            <v>213</v>
          </cell>
          <cell r="AM593">
            <v>394</v>
          </cell>
          <cell r="AN593" t="str">
            <v>08 Inactive Dealer</v>
          </cell>
          <cell r="AO593" t="str">
            <v>Midwest</v>
          </cell>
          <cell r="AP593" t="str">
            <v>Central</v>
          </cell>
          <cell r="AQ593"/>
          <cell r="AR593">
            <v>0</v>
          </cell>
          <cell r="AS593">
            <v>0</v>
          </cell>
        </row>
        <row r="594">
          <cell r="A594">
            <v>12803</v>
          </cell>
          <cell r="B594" t="str">
            <v>CROFT TRAILER SUPPLY</v>
          </cell>
          <cell r="C594" t="str">
            <v>M10169</v>
          </cell>
          <cell r="D594" t="str">
            <v>NET 5, BT+</v>
          </cell>
          <cell r="E594" t="str">
            <v>F1 - Wells Fargo</v>
          </cell>
          <cell r="F594" t="str">
            <v>Yes</v>
          </cell>
          <cell r="G594" t="str">
            <v>TX</v>
          </cell>
          <cell r="H594">
            <v>8</v>
          </cell>
          <cell r="I594">
            <v>0.66500000000000004</v>
          </cell>
          <cell r="J594" t="str">
            <v>Orphaned Acct</v>
          </cell>
          <cell r="K594" t="str">
            <v>KANSAS CITY</v>
          </cell>
          <cell r="L594" t="str">
            <v>MO</v>
          </cell>
          <cell r="M594" t="str">
            <v>800-577-8858</v>
          </cell>
          <cell r="N594"/>
          <cell r="O594">
            <v>480</v>
          </cell>
          <cell r="P594">
            <v>2064</v>
          </cell>
          <cell r="Q594"/>
          <cell r="R594">
            <v>0</v>
          </cell>
          <cell r="S594"/>
          <cell r="T594">
            <v>0</v>
          </cell>
          <cell r="U594">
            <v>471</v>
          </cell>
          <cell r="V594">
            <v>2025.3</v>
          </cell>
          <cell r="W594">
            <v>601</v>
          </cell>
          <cell r="X594">
            <v>2584.2999999999997</v>
          </cell>
          <cell r="Y594">
            <v>631</v>
          </cell>
          <cell r="Z594">
            <v>2713.2999999999997</v>
          </cell>
          <cell r="AA594">
            <v>631</v>
          </cell>
          <cell r="AB594">
            <v>2713.2999999999997</v>
          </cell>
          <cell r="AC594">
            <v>631</v>
          </cell>
          <cell r="AD594">
            <v>2713.2999999999997</v>
          </cell>
          <cell r="AE594"/>
          <cell r="AF594"/>
          <cell r="AG594"/>
          <cell r="AH594"/>
          <cell r="AI594"/>
          <cell r="AJ594">
            <v>0</v>
          </cell>
          <cell r="AK594" t="str">
            <v>3P</v>
          </cell>
          <cell r="AL594">
            <v>213</v>
          </cell>
          <cell r="AM594">
            <v>226</v>
          </cell>
          <cell r="AN594" t="str">
            <v>08 Inactive Dealer</v>
          </cell>
          <cell r="AO594" t="str">
            <v>Midwest</v>
          </cell>
          <cell r="AP594" t="str">
            <v>Central</v>
          </cell>
          <cell r="AQ594"/>
          <cell r="AR594">
            <v>0</v>
          </cell>
          <cell r="AS594">
            <v>0</v>
          </cell>
        </row>
        <row r="595">
          <cell r="A595">
            <v>12785</v>
          </cell>
          <cell r="B595" t="str">
            <v>CROFT TRAILER SUPPLY</v>
          </cell>
          <cell r="C595" t="str">
            <v>M10169</v>
          </cell>
          <cell r="D595" t="str">
            <v>NET 5, BT+</v>
          </cell>
          <cell r="E595" t="str">
            <v>RM</v>
          </cell>
          <cell r="F595" t="str">
            <v>Yes</v>
          </cell>
          <cell r="G595" t="str">
            <v>TX</v>
          </cell>
          <cell r="H595">
            <v>5</v>
          </cell>
          <cell r="I595">
            <v>0.66500000000000004</v>
          </cell>
          <cell r="J595" t="str">
            <v>Orphaned Acct</v>
          </cell>
          <cell r="K595" t="str">
            <v>KANSAS CITY</v>
          </cell>
          <cell r="L595" t="str">
            <v>MO</v>
          </cell>
          <cell r="M595" t="str">
            <v>800-577-8858</v>
          </cell>
          <cell r="N595"/>
          <cell r="O595">
            <v>480</v>
          </cell>
          <cell r="P595">
            <v>2064</v>
          </cell>
          <cell r="Q595"/>
          <cell r="R595">
            <v>0</v>
          </cell>
          <cell r="S595"/>
          <cell r="T595">
            <v>0</v>
          </cell>
          <cell r="U595">
            <v>471</v>
          </cell>
          <cell r="V595">
            <v>2025.3</v>
          </cell>
          <cell r="W595">
            <v>601</v>
          </cell>
          <cell r="X595">
            <v>2584.2999999999997</v>
          </cell>
          <cell r="Y595">
            <v>631</v>
          </cell>
          <cell r="Z595">
            <v>2713.2999999999997</v>
          </cell>
          <cell r="AA595">
            <v>631</v>
          </cell>
          <cell r="AB595">
            <v>2713.2999999999997</v>
          </cell>
          <cell r="AC595">
            <v>631</v>
          </cell>
          <cell r="AD595">
            <v>2713.2999999999997</v>
          </cell>
          <cell r="AE595"/>
          <cell r="AF595"/>
          <cell r="AG595"/>
          <cell r="AH595"/>
          <cell r="AI595"/>
          <cell r="AJ595">
            <v>0</v>
          </cell>
          <cell r="AK595" t="str">
            <v>3P</v>
          </cell>
          <cell r="AL595">
            <v>213</v>
          </cell>
          <cell r="AM595">
            <v>226</v>
          </cell>
          <cell r="AN595" t="str">
            <v>08 Inactive Dealer</v>
          </cell>
          <cell r="AO595" t="str">
            <v>Midwest</v>
          </cell>
          <cell r="AP595" t="str">
            <v>Central</v>
          </cell>
          <cell r="AQ595"/>
          <cell r="AR595">
            <v>0</v>
          </cell>
          <cell r="AS595">
            <v>0</v>
          </cell>
        </row>
        <row r="596">
          <cell r="A596">
            <v>12079</v>
          </cell>
          <cell r="B596" t="str">
            <v>D &amp; D TRAILER SALES</v>
          </cell>
          <cell r="C596" t="str">
            <v>M10174</v>
          </cell>
          <cell r="D596" t="str">
            <v>Net 60, no pink card</v>
          </cell>
          <cell r="E596">
            <v>60</v>
          </cell>
          <cell r="F596" t="str">
            <v>Yes</v>
          </cell>
          <cell r="G596" t="str">
            <v>TX</v>
          </cell>
          <cell r="H596">
            <v>5</v>
          </cell>
          <cell r="I596">
            <v>0.66500000000000004</v>
          </cell>
          <cell r="J596" t="str">
            <v>Orphaned Acct</v>
          </cell>
          <cell r="K596" t="str">
            <v>CENTERVIEW</v>
          </cell>
          <cell r="L596" t="str">
            <v>MO</v>
          </cell>
          <cell r="M596" t="str">
            <v>800-577-8858</v>
          </cell>
          <cell r="N596"/>
          <cell r="O596">
            <v>486</v>
          </cell>
          <cell r="P596">
            <v>2089.7999999999997</v>
          </cell>
          <cell r="Q596"/>
          <cell r="R596">
            <v>0</v>
          </cell>
          <cell r="S596"/>
          <cell r="T596">
            <v>0</v>
          </cell>
          <cell r="U596">
            <v>440</v>
          </cell>
          <cell r="V596">
            <v>1892</v>
          </cell>
          <cell r="W596">
            <v>548</v>
          </cell>
          <cell r="X596">
            <v>2356.4</v>
          </cell>
          <cell r="Y596">
            <v>607</v>
          </cell>
          <cell r="Z596">
            <v>2610.1</v>
          </cell>
          <cell r="AA596">
            <v>607</v>
          </cell>
          <cell r="AB596">
            <v>2610.1</v>
          </cell>
          <cell r="AC596">
            <v>607</v>
          </cell>
          <cell r="AD596">
            <v>2610.1</v>
          </cell>
          <cell r="AE596"/>
          <cell r="AF596"/>
          <cell r="AG596"/>
          <cell r="AH596"/>
          <cell r="AI596"/>
          <cell r="AJ596">
            <v>0</v>
          </cell>
          <cell r="AK596" t="str">
            <v>3P</v>
          </cell>
          <cell r="AL596">
            <v>213</v>
          </cell>
          <cell r="AM596">
            <v>226</v>
          </cell>
          <cell r="AN596" t="str">
            <v>08 Inactive Dealer</v>
          </cell>
          <cell r="AO596" t="str">
            <v>Midwest</v>
          </cell>
          <cell r="AP596" t="str">
            <v>Central</v>
          </cell>
          <cell r="AQ596"/>
          <cell r="AR596">
            <v>0</v>
          </cell>
          <cell r="AS596">
            <v>0</v>
          </cell>
        </row>
        <row r="597">
          <cell r="A597">
            <v>12697</v>
          </cell>
          <cell r="B597" t="str">
            <v>D &amp; D TRAILER SALES</v>
          </cell>
          <cell r="C597" t="str">
            <v>M10174</v>
          </cell>
          <cell r="D597" t="str">
            <v>NET 5, BT+</v>
          </cell>
          <cell r="E597" t="str">
            <v>FP - Wells Fargo</v>
          </cell>
          <cell r="F597" t="str">
            <v>Yes</v>
          </cell>
          <cell r="G597" t="str">
            <v>TX</v>
          </cell>
          <cell r="H597">
            <v>8</v>
          </cell>
          <cell r="I597">
            <v>0.66500000000000004</v>
          </cell>
          <cell r="J597" t="str">
            <v>Orphaned Acct</v>
          </cell>
          <cell r="K597" t="str">
            <v>CENTERVIEW</v>
          </cell>
          <cell r="L597" t="str">
            <v>MO</v>
          </cell>
          <cell r="M597" t="str">
            <v>800-577-8858</v>
          </cell>
          <cell r="N597"/>
          <cell r="O597">
            <v>486</v>
          </cell>
          <cell r="P597">
            <v>2089.7999999999997</v>
          </cell>
          <cell r="Q597"/>
          <cell r="R597">
            <v>0</v>
          </cell>
          <cell r="S597"/>
          <cell r="T597">
            <v>0</v>
          </cell>
          <cell r="U597">
            <v>440</v>
          </cell>
          <cell r="V597">
            <v>1892</v>
          </cell>
          <cell r="W597">
            <v>548</v>
          </cell>
          <cell r="X597">
            <v>2356.4</v>
          </cell>
          <cell r="Y597">
            <v>607</v>
          </cell>
          <cell r="Z597">
            <v>2610.1</v>
          </cell>
          <cell r="AA597">
            <v>607</v>
          </cell>
          <cell r="AB597">
            <v>2610.1</v>
          </cell>
          <cell r="AC597">
            <v>607</v>
          </cell>
          <cell r="AD597">
            <v>2610.1</v>
          </cell>
          <cell r="AE597"/>
          <cell r="AF597"/>
          <cell r="AG597"/>
          <cell r="AH597"/>
          <cell r="AI597"/>
          <cell r="AJ597">
            <v>0</v>
          </cell>
          <cell r="AK597" t="str">
            <v>3P</v>
          </cell>
          <cell r="AL597">
            <v>213</v>
          </cell>
          <cell r="AM597">
            <v>226</v>
          </cell>
          <cell r="AN597" t="str">
            <v>08 Inactive Dealer</v>
          </cell>
          <cell r="AO597" t="str">
            <v>Midwest</v>
          </cell>
          <cell r="AP597" t="str">
            <v>Central</v>
          </cell>
          <cell r="AQ597"/>
          <cell r="AR597">
            <v>0</v>
          </cell>
          <cell r="AS597">
            <v>0</v>
          </cell>
        </row>
        <row r="598">
          <cell r="A598">
            <v>12242</v>
          </cell>
          <cell r="B598" t="str">
            <v>D &amp; D TRAILER SALES</v>
          </cell>
          <cell r="C598" t="str">
            <v>M10174</v>
          </cell>
          <cell r="D598" t="str">
            <v>NET 5, BT+</v>
          </cell>
          <cell r="E598" t="str">
            <v>C9</v>
          </cell>
          <cell r="F598" t="str">
            <v>Yes</v>
          </cell>
          <cell r="G598" t="str">
            <v>TX</v>
          </cell>
          <cell r="H598">
            <v>9</v>
          </cell>
          <cell r="I598">
            <v>0.66500000000000004</v>
          </cell>
          <cell r="J598" t="str">
            <v>Orphaned Acct</v>
          </cell>
          <cell r="K598" t="str">
            <v>CENTERVIEW</v>
          </cell>
          <cell r="L598" t="str">
            <v>MO</v>
          </cell>
          <cell r="M598" t="str">
            <v>800-577-8858</v>
          </cell>
          <cell r="N598"/>
          <cell r="O598">
            <v>486</v>
          </cell>
          <cell r="P598">
            <v>2089.7999999999997</v>
          </cell>
          <cell r="Q598"/>
          <cell r="R598">
            <v>0</v>
          </cell>
          <cell r="S598"/>
          <cell r="T598">
            <v>0</v>
          </cell>
          <cell r="U598">
            <v>440</v>
          </cell>
          <cell r="V598">
            <v>1892</v>
          </cell>
          <cell r="W598">
            <v>548</v>
          </cell>
          <cell r="X598">
            <v>2356.4</v>
          </cell>
          <cell r="Y598">
            <v>607</v>
          </cell>
          <cell r="Z598">
            <v>2610.1</v>
          </cell>
          <cell r="AA598">
            <v>607</v>
          </cell>
          <cell r="AB598">
            <v>2610.1</v>
          </cell>
          <cell r="AC598">
            <v>607</v>
          </cell>
          <cell r="AD598">
            <v>2610.1</v>
          </cell>
          <cell r="AE598"/>
          <cell r="AF598"/>
          <cell r="AG598"/>
          <cell r="AH598"/>
          <cell r="AI598"/>
          <cell r="AJ598">
            <v>0</v>
          </cell>
          <cell r="AK598" t="str">
            <v>3P</v>
          </cell>
          <cell r="AL598">
            <v>213</v>
          </cell>
          <cell r="AM598">
            <v>226</v>
          </cell>
          <cell r="AN598" t="str">
            <v>08 Inactive Dealer</v>
          </cell>
          <cell r="AO598" t="str">
            <v>Midwest</v>
          </cell>
          <cell r="AP598" t="str">
            <v>Central</v>
          </cell>
          <cell r="AQ598"/>
          <cell r="AR598">
            <v>0</v>
          </cell>
          <cell r="AS598">
            <v>0</v>
          </cell>
        </row>
        <row r="599">
          <cell r="A599">
            <v>13060</v>
          </cell>
          <cell r="B599" t="str">
            <v>DESOTO TRAILER SALES</v>
          </cell>
          <cell r="C599" t="str">
            <v>M10934</v>
          </cell>
          <cell r="D599" t="str">
            <v>NET 5, BT+</v>
          </cell>
          <cell r="E599" t="str">
            <v>CF</v>
          </cell>
          <cell r="F599" t="str">
            <v>Yes</v>
          </cell>
          <cell r="G599" t="str">
            <v>OH</v>
          </cell>
          <cell r="H599">
            <v>7</v>
          </cell>
          <cell r="I599">
            <v>0.66500000000000004</v>
          </cell>
          <cell r="J599" t="str">
            <v>Orphaned Acct</v>
          </cell>
          <cell r="K599" t="str">
            <v>DESOTO</v>
          </cell>
          <cell r="L599" t="str">
            <v>MO</v>
          </cell>
          <cell r="M599" t="str">
            <v>800-577-8858</v>
          </cell>
          <cell r="N599" t="str">
            <v>Email copies of MSO's and final load sheet to dealer &amp; AR</v>
          </cell>
          <cell r="O599">
            <v>515</v>
          </cell>
          <cell r="P599">
            <v>2214.5</v>
          </cell>
          <cell r="Q599"/>
          <cell r="R599">
            <v>0</v>
          </cell>
          <cell r="S599"/>
          <cell r="T599">
            <v>0</v>
          </cell>
          <cell r="U599">
            <v>570</v>
          </cell>
          <cell r="V599">
            <v>2451</v>
          </cell>
          <cell r="W599">
            <v>595</v>
          </cell>
          <cell r="X599">
            <v>2558.5</v>
          </cell>
          <cell r="Y599">
            <v>438</v>
          </cell>
          <cell r="Z599">
            <v>1883.3999999999999</v>
          </cell>
          <cell r="AA599">
            <v>438</v>
          </cell>
          <cell r="AB599">
            <v>1883.3999999999999</v>
          </cell>
          <cell r="AC599">
            <v>438</v>
          </cell>
          <cell r="AD599">
            <v>1883.3999999999999</v>
          </cell>
          <cell r="AE599"/>
          <cell r="AF599"/>
          <cell r="AG599"/>
          <cell r="AH599"/>
          <cell r="AI599"/>
          <cell r="AJ599">
            <v>0</v>
          </cell>
          <cell r="AK599" t="str">
            <v>3P</v>
          </cell>
          <cell r="AL599">
            <v>213</v>
          </cell>
          <cell r="AM599">
            <v>394</v>
          </cell>
          <cell r="AN599" t="str">
            <v>08 Inactive Dealer</v>
          </cell>
          <cell r="AO599" t="str">
            <v>Midwest</v>
          </cell>
          <cell r="AP599" t="str">
            <v>Central</v>
          </cell>
          <cell r="AQ599"/>
          <cell r="AR599">
            <v>0</v>
          </cell>
          <cell r="AS599">
            <v>0</v>
          </cell>
        </row>
        <row r="600">
          <cell r="A600">
            <v>12201</v>
          </cell>
          <cell r="B600" t="str">
            <v>FLOYD'S EQUIPMENT</v>
          </cell>
          <cell r="C600" t="str">
            <v>M10486</v>
          </cell>
          <cell r="D600" t="str">
            <v>NET 5, BT+</v>
          </cell>
          <cell r="E600" t="str">
            <v>NET15</v>
          </cell>
          <cell r="F600" t="str">
            <v>Yes</v>
          </cell>
          <cell r="G600" t="str">
            <v>OH</v>
          </cell>
          <cell r="H600">
            <v>5</v>
          </cell>
          <cell r="I600">
            <v>0.66500000000000004</v>
          </cell>
          <cell r="J600" t="str">
            <v>Orphaned Acct</v>
          </cell>
          <cell r="K600" t="str">
            <v>SIKESTON</v>
          </cell>
          <cell r="L600" t="str">
            <v>MO</v>
          </cell>
          <cell r="M600" t="str">
            <v>800-577-8858</v>
          </cell>
          <cell r="N600"/>
          <cell r="O600">
            <v>465</v>
          </cell>
          <cell r="P600">
            <v>1999.5</v>
          </cell>
          <cell r="Q600"/>
          <cell r="R600">
            <v>0</v>
          </cell>
          <cell r="S600"/>
          <cell r="T600">
            <v>0</v>
          </cell>
          <cell r="U600">
            <v>561</v>
          </cell>
          <cell r="V600">
            <v>2412.2999999999997</v>
          </cell>
          <cell r="W600">
            <v>545</v>
          </cell>
          <cell r="X600">
            <v>2343.5</v>
          </cell>
          <cell r="Y600">
            <v>409</v>
          </cell>
          <cell r="Z600">
            <v>1758.6999999999998</v>
          </cell>
          <cell r="AA600">
            <v>409</v>
          </cell>
          <cell r="AB600">
            <v>1758.6999999999998</v>
          </cell>
          <cell r="AC600">
            <v>409</v>
          </cell>
          <cell r="AD600">
            <v>1758.6999999999998</v>
          </cell>
          <cell r="AE600"/>
          <cell r="AF600"/>
          <cell r="AG600"/>
          <cell r="AH600"/>
          <cell r="AI600"/>
          <cell r="AJ600">
            <v>0</v>
          </cell>
          <cell r="AK600" t="str">
            <v>3P</v>
          </cell>
          <cell r="AL600">
            <v>213</v>
          </cell>
          <cell r="AM600">
            <v>66</v>
          </cell>
          <cell r="AN600" t="str">
            <v>01 Existing Dealer</v>
          </cell>
          <cell r="AO600" t="str">
            <v>Midwest</v>
          </cell>
          <cell r="AP600" t="str">
            <v>Central</v>
          </cell>
          <cell r="AQ600"/>
          <cell r="AR600">
            <v>0</v>
          </cell>
          <cell r="AS600">
            <v>0</v>
          </cell>
        </row>
        <row r="601">
          <cell r="A601">
            <v>13045</v>
          </cell>
          <cell r="B601" t="str">
            <v>JIM'S MOTORS</v>
          </cell>
          <cell r="C601" t="str">
            <v>M10243</v>
          </cell>
          <cell r="D601" t="str">
            <v>Return Mail, no pink card</v>
          </cell>
          <cell r="E601" t="str">
            <v>F6 - Wells Fargo</v>
          </cell>
          <cell r="F601" t="str">
            <v>Yes</v>
          </cell>
          <cell r="G601" t="str">
            <v>OH</v>
          </cell>
          <cell r="H601">
            <v>8</v>
          </cell>
          <cell r="I601">
            <v>0.66500000000000004</v>
          </cell>
          <cell r="J601" t="str">
            <v>Lane Davis</v>
          </cell>
          <cell r="K601" t="str">
            <v>CUBA</v>
          </cell>
          <cell r="L601" t="str">
            <v>MO</v>
          </cell>
          <cell r="M601" t="str">
            <v>800-577-8858</v>
          </cell>
          <cell r="N601"/>
          <cell r="O601">
            <v>502</v>
          </cell>
          <cell r="P601">
            <v>2158.6</v>
          </cell>
          <cell r="Q601">
            <v>789</v>
          </cell>
          <cell r="R601">
            <v>3392.7</v>
          </cell>
          <cell r="S601"/>
          <cell r="T601">
            <v>0</v>
          </cell>
          <cell r="U601">
            <v>479</v>
          </cell>
          <cell r="V601">
            <v>2059.6999999999998</v>
          </cell>
          <cell r="W601">
            <v>587</v>
          </cell>
          <cell r="X601">
            <v>2524.1</v>
          </cell>
          <cell r="Y601">
            <v>475</v>
          </cell>
          <cell r="Z601">
            <v>2042.5</v>
          </cell>
          <cell r="AA601">
            <v>475</v>
          </cell>
          <cell r="AB601">
            <v>2042.5</v>
          </cell>
          <cell r="AC601">
            <v>475</v>
          </cell>
          <cell r="AD601">
            <v>2042.5</v>
          </cell>
          <cell r="AE601"/>
          <cell r="AF601"/>
          <cell r="AG601"/>
          <cell r="AH601"/>
          <cell r="AI601"/>
          <cell r="AJ601">
            <v>0</v>
          </cell>
          <cell r="AK601" t="str">
            <v>3P</v>
          </cell>
          <cell r="AL601">
            <v>275</v>
          </cell>
          <cell r="AM601">
            <v>394</v>
          </cell>
          <cell r="AN601" t="str">
            <v>01 Existing Dealer</v>
          </cell>
          <cell r="AO601" t="str">
            <v>Midwest</v>
          </cell>
          <cell r="AP601" t="str">
            <v>Central</v>
          </cell>
          <cell r="AQ601"/>
          <cell r="AR601">
            <v>19520</v>
          </cell>
          <cell r="AS601">
            <v>0</v>
          </cell>
        </row>
        <row r="602">
          <cell r="A602">
            <v>12219</v>
          </cell>
          <cell r="B602" t="str">
            <v>JIM'S MOTORS</v>
          </cell>
          <cell r="C602" t="str">
            <v>M10243</v>
          </cell>
          <cell r="D602" t="str">
            <v>Return Mail, no pink card</v>
          </cell>
          <cell r="E602" t="str">
            <v>RM</v>
          </cell>
          <cell r="F602" t="str">
            <v>YES</v>
          </cell>
          <cell r="G602" t="str">
            <v>OH</v>
          </cell>
          <cell r="H602">
            <v>5</v>
          </cell>
          <cell r="I602">
            <v>0.66500000000000004</v>
          </cell>
          <cell r="J602" t="str">
            <v>Lane Davis</v>
          </cell>
          <cell r="K602" t="str">
            <v>CUBA</v>
          </cell>
          <cell r="L602" t="str">
            <v>MO</v>
          </cell>
          <cell r="M602" t="str">
            <v>800-577-8858</v>
          </cell>
          <cell r="N602"/>
          <cell r="O602">
            <v>502</v>
          </cell>
          <cell r="P602">
            <v>2158.6</v>
          </cell>
          <cell r="Q602">
            <v>789</v>
          </cell>
          <cell r="R602">
            <v>3392.7</v>
          </cell>
          <cell r="S602"/>
          <cell r="T602">
            <v>0</v>
          </cell>
          <cell r="U602">
            <v>479</v>
          </cell>
          <cell r="V602">
            <v>2059.6999999999998</v>
          </cell>
          <cell r="W602">
            <v>587</v>
          </cell>
          <cell r="X602">
            <v>2524.1</v>
          </cell>
          <cell r="Y602">
            <v>475</v>
          </cell>
          <cell r="Z602">
            <v>2042.5</v>
          </cell>
          <cell r="AA602">
            <v>475</v>
          </cell>
          <cell r="AB602">
            <v>2042.5</v>
          </cell>
          <cell r="AC602">
            <v>475</v>
          </cell>
          <cell r="AD602">
            <v>2042.5</v>
          </cell>
          <cell r="AE602"/>
          <cell r="AF602"/>
          <cell r="AG602"/>
          <cell r="AH602"/>
          <cell r="AI602"/>
          <cell r="AJ602">
            <v>0</v>
          </cell>
          <cell r="AK602" t="str">
            <v>3P</v>
          </cell>
          <cell r="AL602">
            <v>275</v>
          </cell>
          <cell r="AM602">
            <v>394</v>
          </cell>
          <cell r="AN602" t="str">
            <v>01 Existing Dealer</v>
          </cell>
          <cell r="AO602" t="str">
            <v>Midwest</v>
          </cell>
          <cell r="AP602" t="str">
            <v>Central</v>
          </cell>
          <cell r="AQ602"/>
          <cell r="AR602">
            <v>0</v>
          </cell>
          <cell r="AS602">
            <v>0</v>
          </cell>
        </row>
        <row r="603">
          <cell r="A603">
            <v>12477</v>
          </cell>
          <cell r="B603" t="str">
            <v>JIM'S MOTORS</v>
          </cell>
          <cell r="C603" t="str">
            <v>M10243</v>
          </cell>
          <cell r="D603" t="str">
            <v>NET 5, BT+</v>
          </cell>
          <cell r="E603" t="str">
            <v>ON HOLD</v>
          </cell>
          <cell r="F603" t="str">
            <v>Yes</v>
          </cell>
          <cell r="G603" t="str">
            <v>OH</v>
          </cell>
          <cell r="H603">
            <v>9</v>
          </cell>
          <cell r="I603">
            <v>0.66500000000000004</v>
          </cell>
          <cell r="J603" t="str">
            <v>Orphaned Acct</v>
          </cell>
          <cell r="K603" t="str">
            <v>CUBA</v>
          </cell>
          <cell r="L603" t="str">
            <v>MO</v>
          </cell>
          <cell r="M603" t="str">
            <v>800-577-8858</v>
          </cell>
          <cell r="N603"/>
          <cell r="O603">
            <v>502</v>
          </cell>
          <cell r="P603">
            <v>2158.6</v>
          </cell>
          <cell r="Q603">
            <v>789</v>
          </cell>
          <cell r="R603">
            <v>3392.7</v>
          </cell>
          <cell r="S603"/>
          <cell r="T603">
            <v>0</v>
          </cell>
          <cell r="U603">
            <v>479</v>
          </cell>
          <cell r="V603">
            <v>2059.6999999999998</v>
          </cell>
          <cell r="W603">
            <v>587</v>
          </cell>
          <cell r="X603">
            <v>2524.1</v>
          </cell>
          <cell r="Y603">
            <v>475</v>
          </cell>
          <cell r="Z603">
            <v>2042.5</v>
          </cell>
          <cell r="AA603">
            <v>475</v>
          </cell>
          <cell r="AB603">
            <v>2042.5</v>
          </cell>
          <cell r="AC603">
            <v>475</v>
          </cell>
          <cell r="AD603">
            <v>2042.5</v>
          </cell>
          <cell r="AE603"/>
          <cell r="AF603"/>
          <cell r="AG603"/>
          <cell r="AH603"/>
          <cell r="AI603"/>
          <cell r="AJ603">
            <v>0</v>
          </cell>
          <cell r="AK603" t="str">
            <v>3P</v>
          </cell>
          <cell r="AL603">
            <v>213</v>
          </cell>
          <cell r="AM603">
            <v>394</v>
          </cell>
          <cell r="AN603" t="str">
            <v>01 Existing Dealer</v>
          </cell>
          <cell r="AO603" t="str">
            <v>Midwest</v>
          </cell>
          <cell r="AP603" t="str">
            <v>Central</v>
          </cell>
          <cell r="AQ603"/>
          <cell r="AR603">
            <v>0</v>
          </cell>
          <cell r="AS603">
            <v>0</v>
          </cell>
        </row>
        <row r="604">
          <cell r="A604">
            <v>12077</v>
          </cell>
          <cell r="B604" t="str">
            <v>MCGOWN EQUIPMENT</v>
          </cell>
          <cell r="C604"/>
          <cell r="D604" t="str">
            <v>Net 90, no pink card</v>
          </cell>
          <cell r="E604">
            <v>90</v>
          </cell>
          <cell r="F604" t="str">
            <v>Yes</v>
          </cell>
          <cell r="G604" t="str">
            <v>TX</v>
          </cell>
          <cell r="H604">
            <v>5</v>
          </cell>
          <cell r="I604">
            <v>0.66500000000000004</v>
          </cell>
          <cell r="J604" t="str">
            <v>House</v>
          </cell>
          <cell r="K604" t="str">
            <v>MARCELINE</v>
          </cell>
          <cell r="L604" t="str">
            <v>MO</v>
          </cell>
          <cell r="M604" t="str">
            <v>800-577-8858</v>
          </cell>
          <cell r="N604"/>
          <cell r="O604">
            <v>603</v>
          </cell>
          <cell r="P604">
            <v>2592.9</v>
          </cell>
          <cell r="Q604"/>
          <cell r="R604">
            <v>0</v>
          </cell>
          <cell r="S604"/>
          <cell r="T604">
            <v>0</v>
          </cell>
          <cell r="U604">
            <v>598</v>
          </cell>
          <cell r="V604">
            <v>2571.4</v>
          </cell>
          <cell r="W604"/>
          <cell r="X604">
            <v>0</v>
          </cell>
          <cell r="Y604">
            <v>554</v>
          </cell>
          <cell r="Z604">
            <v>2382.1999999999998</v>
          </cell>
          <cell r="AA604">
            <v>554</v>
          </cell>
          <cell r="AB604">
            <v>2382.1999999999998</v>
          </cell>
          <cell r="AC604">
            <v>554</v>
          </cell>
          <cell r="AD604">
            <v>2382.1999999999998</v>
          </cell>
          <cell r="AE604"/>
          <cell r="AF604"/>
          <cell r="AG604"/>
          <cell r="AH604"/>
          <cell r="AI604"/>
          <cell r="AJ604">
            <v>0.01</v>
          </cell>
          <cell r="AK604" t="str">
            <v>3P</v>
          </cell>
          <cell r="AL604">
            <v>400</v>
          </cell>
          <cell r="AM604">
            <v>226</v>
          </cell>
          <cell r="AN604" t="str">
            <v>08 Inactive Dealer</v>
          </cell>
          <cell r="AO604" t="str">
            <v>Midwest</v>
          </cell>
          <cell r="AP604" t="str">
            <v>Central</v>
          </cell>
          <cell r="AQ604"/>
          <cell r="AR604">
            <v>0</v>
          </cell>
          <cell r="AS604">
            <v>0</v>
          </cell>
        </row>
        <row r="605">
          <cell r="A605">
            <v>12203</v>
          </cell>
          <cell r="B605" t="str">
            <v>MCGOWN EQUIPMENT</v>
          </cell>
          <cell r="C605"/>
          <cell r="D605" t="str">
            <v>NET 5, BT+</v>
          </cell>
          <cell r="E605" t="str">
            <v>CO</v>
          </cell>
          <cell r="F605" t="str">
            <v>Yes</v>
          </cell>
          <cell r="G605" t="str">
            <v>TX</v>
          </cell>
          <cell r="H605">
            <v>7</v>
          </cell>
          <cell r="I605">
            <v>0.66500000000000004</v>
          </cell>
          <cell r="J605" t="str">
            <v>House</v>
          </cell>
          <cell r="K605" t="str">
            <v>MARCELINE</v>
          </cell>
          <cell r="L605" t="str">
            <v>MO</v>
          </cell>
          <cell r="M605" t="str">
            <v>800-577-8858</v>
          </cell>
          <cell r="N605"/>
          <cell r="O605" t="str"/>
          <cell r="P605" t="str"/>
          <cell r="Q605" t="str"/>
          <cell r="R605" t="str"/>
          <cell r="S605" t="str"/>
          <cell r="T605" t="str"/>
          <cell r="U605" t="str"/>
          <cell r="V605" t="str"/>
          <cell r="W605" t="str"/>
          <cell r="X605" t="str"/>
          <cell r="Y605">
            <v>554</v>
          </cell>
          <cell r="Z605">
            <v>2382.1999999999998</v>
          </cell>
          <cell r="AA605">
            <v>554</v>
          </cell>
          <cell r="AB605">
            <v>2382.1999999999998</v>
          </cell>
          <cell r="AC605">
            <v>554</v>
          </cell>
          <cell r="AD605">
            <v>2382.1999999999998</v>
          </cell>
          <cell r="AE605" t="str"/>
          <cell r="AF605"/>
          <cell r="AG605" t="str"/>
          <cell r="AH605" t="str"/>
          <cell r="AI605" t="str"/>
          <cell r="AJ605">
            <v>0.01</v>
          </cell>
          <cell r="AK605" t="str">
            <v>3P</v>
          </cell>
          <cell r="AL605">
            <v>400</v>
          </cell>
          <cell r="AM605">
            <v>226</v>
          </cell>
          <cell r="AN605" t="str">
            <v>08 Inactive Dealer</v>
          </cell>
          <cell r="AO605" t="str">
            <v>Midwest</v>
          </cell>
          <cell r="AP605" t="str">
            <v>Central</v>
          </cell>
          <cell r="AQ605"/>
          <cell r="AR605">
            <v>0</v>
          </cell>
          <cell r="AS605">
            <v>0</v>
          </cell>
        </row>
        <row r="606">
          <cell r="A606">
            <v>12202</v>
          </cell>
          <cell r="B606" t="str">
            <v>MCGOWN EQUIPMENT</v>
          </cell>
          <cell r="C606"/>
          <cell r="D606" t="str">
            <v>NET 5, BT+</v>
          </cell>
          <cell r="E606" t="str">
            <v>C6</v>
          </cell>
          <cell r="F606" t="str">
            <v>No</v>
          </cell>
          <cell r="G606" t="str">
            <v>TX</v>
          </cell>
          <cell r="H606">
            <v>9</v>
          </cell>
          <cell r="I606">
            <v>0.66500000000000004</v>
          </cell>
          <cell r="J606" t="str">
            <v>House</v>
          </cell>
          <cell r="K606" t="str">
            <v>MARCELINE</v>
          </cell>
          <cell r="L606" t="str">
            <v>MO</v>
          </cell>
          <cell r="M606" t="str">
            <v>800-577-8858</v>
          </cell>
          <cell r="N606"/>
          <cell r="O606" t="str"/>
          <cell r="P606" t="str"/>
          <cell r="Q606" t="str"/>
          <cell r="R606" t="str"/>
          <cell r="S606" t="str"/>
          <cell r="T606" t="str"/>
          <cell r="U606" t="str"/>
          <cell r="V606" t="str"/>
          <cell r="W606" t="str"/>
          <cell r="X606" t="str"/>
          <cell r="Y606">
            <v>554</v>
          </cell>
          <cell r="Z606">
            <v>2382.1999999999998</v>
          </cell>
          <cell r="AA606">
            <v>554</v>
          </cell>
          <cell r="AB606">
            <v>2382.1999999999998</v>
          </cell>
          <cell r="AC606">
            <v>554</v>
          </cell>
          <cell r="AD606">
            <v>2382.1999999999998</v>
          </cell>
          <cell r="AE606" t="str"/>
          <cell r="AF606"/>
          <cell r="AG606" t="str"/>
          <cell r="AH606" t="str"/>
          <cell r="AI606" t="str"/>
          <cell r="AJ606">
            <v>0.01</v>
          </cell>
          <cell r="AK606" t="str">
            <v>3P</v>
          </cell>
          <cell r="AL606">
            <v>400</v>
          </cell>
          <cell r="AM606">
            <v>226</v>
          </cell>
          <cell r="AN606" t="str">
            <v>08 Inactive Dealer</v>
          </cell>
          <cell r="AO606" t="str">
            <v>Midwest</v>
          </cell>
          <cell r="AP606" t="str">
            <v>Central</v>
          </cell>
          <cell r="AQ606"/>
          <cell r="AR606">
            <v>0</v>
          </cell>
          <cell r="AS606">
            <v>0</v>
          </cell>
        </row>
        <row r="607">
          <cell r="A607">
            <v>12622</v>
          </cell>
          <cell r="B607" t="str">
            <v>MOUSER STEEL</v>
          </cell>
          <cell r="C607" t="str">
            <v>M10292</v>
          </cell>
          <cell r="D607" t="str">
            <v>NET 5, BT+</v>
          </cell>
          <cell r="E607" t="str">
            <v>F1 - Wells Fargo</v>
          </cell>
          <cell r="F607" t="str">
            <v>Yes</v>
          </cell>
          <cell r="G607" t="str">
            <v>TX</v>
          </cell>
          <cell r="H607">
            <v>8</v>
          </cell>
          <cell r="I607">
            <v>0.66500000000000004</v>
          </cell>
          <cell r="J607" t="str">
            <v>Orphaned Acct</v>
          </cell>
          <cell r="K607" t="str">
            <v>PATTON</v>
          </cell>
          <cell r="L607" t="str">
            <v>MO</v>
          </cell>
          <cell r="M607" t="str">
            <v>800-577-8858</v>
          </cell>
          <cell r="N607"/>
          <cell r="O607">
            <v>481</v>
          </cell>
          <cell r="P607">
            <v>2068.2999999999997</v>
          </cell>
          <cell r="Q607">
            <v>635</v>
          </cell>
          <cell r="R607">
            <v>2730.5</v>
          </cell>
          <cell r="S607"/>
          <cell r="T607">
            <v>0</v>
          </cell>
          <cell r="U607">
            <v>586</v>
          </cell>
          <cell r="V607">
            <v>2519.7999999999997</v>
          </cell>
          <cell r="W607">
            <v>561</v>
          </cell>
          <cell r="X607">
            <v>2412.2999999999997</v>
          </cell>
          <cell r="Y607">
            <v>423</v>
          </cell>
          <cell r="Z607">
            <v>1818.8999999999999</v>
          </cell>
          <cell r="AA607">
            <v>423</v>
          </cell>
          <cell r="AB607">
            <v>1818.8999999999999</v>
          </cell>
          <cell r="AC607">
            <v>423</v>
          </cell>
          <cell r="AD607">
            <v>1818.8999999999999</v>
          </cell>
          <cell r="AE607"/>
          <cell r="AF607"/>
          <cell r="AG607"/>
          <cell r="AH607"/>
          <cell r="AI607"/>
          <cell r="AJ607">
            <v>0</v>
          </cell>
          <cell r="AK607" t="str">
            <v>3P</v>
          </cell>
          <cell r="AL607">
            <v>213</v>
          </cell>
          <cell r="AM607">
            <v>66</v>
          </cell>
          <cell r="AN607" t="str">
            <v>01 Existing Dealer</v>
          </cell>
          <cell r="AO607" t="str">
            <v>Midwest</v>
          </cell>
          <cell r="AP607" t="str">
            <v>Central</v>
          </cell>
          <cell r="AQ607"/>
          <cell r="AR607">
            <v>0</v>
          </cell>
          <cell r="AS607">
            <v>0</v>
          </cell>
        </row>
        <row r="608">
          <cell r="A608">
            <v>11405</v>
          </cell>
          <cell r="B608" t="str">
            <v>POPLAR BLUFF FARM EQUIPMENT, INC.</v>
          </cell>
          <cell r="C608" t="str">
            <v>M10334</v>
          </cell>
          <cell r="D608" t="str">
            <v>NET 5, BT+</v>
          </cell>
          <cell r="E608" t="str">
            <v>CO</v>
          </cell>
          <cell r="F608" t="str">
            <v>Yes</v>
          </cell>
          <cell r="G608" t="str">
            <v>TX</v>
          </cell>
          <cell r="H608">
            <v>7</v>
          </cell>
          <cell r="I608">
            <v>0.66500000000000004</v>
          </cell>
          <cell r="J608" t="str">
            <v>Orphaned Acct</v>
          </cell>
          <cell r="K608" t="str">
            <v>POPLAR BLUFF</v>
          </cell>
          <cell r="L608" t="str">
            <v>MO</v>
          </cell>
          <cell r="M608" t="str">
            <v>800-577-8858</v>
          </cell>
          <cell r="N608"/>
          <cell r="O608">
            <v>400</v>
          </cell>
          <cell r="P608">
            <v>1720</v>
          </cell>
          <cell r="Q608"/>
          <cell r="R608">
            <v>0</v>
          </cell>
          <cell r="S608"/>
          <cell r="T608">
            <v>0</v>
          </cell>
          <cell r="U608">
            <v>532</v>
          </cell>
          <cell r="V608">
            <v>2287.6</v>
          </cell>
          <cell r="W608">
            <v>480</v>
          </cell>
          <cell r="X608">
            <v>2064</v>
          </cell>
          <cell r="Y608">
            <v>454</v>
          </cell>
          <cell r="Z608">
            <v>1952.1999999999998</v>
          </cell>
          <cell r="AA608">
            <v>454</v>
          </cell>
          <cell r="AB608">
            <v>1952.1999999999998</v>
          </cell>
          <cell r="AC608">
            <v>454</v>
          </cell>
          <cell r="AD608">
            <v>1952.1999999999998</v>
          </cell>
          <cell r="AE608"/>
          <cell r="AF608"/>
          <cell r="AG608"/>
          <cell r="AH608"/>
          <cell r="AI608"/>
          <cell r="AJ608">
            <v>0</v>
          </cell>
          <cell r="AK608" t="str">
            <v>3P</v>
          </cell>
          <cell r="AL608">
            <v>213</v>
          </cell>
          <cell r="AM608">
            <v>355</v>
          </cell>
          <cell r="AN608" t="str">
            <v>08 Inactive Dealer</v>
          </cell>
          <cell r="AO608" t="str">
            <v>Midwest</v>
          </cell>
          <cell r="AP608" t="str">
            <v>Central</v>
          </cell>
          <cell r="AQ608"/>
          <cell r="AR608">
            <v>0</v>
          </cell>
          <cell r="AS608">
            <v>0</v>
          </cell>
        </row>
        <row r="609">
          <cell r="A609">
            <v>13387</v>
          </cell>
          <cell r="B609" t="str">
            <v>SANCREST</v>
          </cell>
          <cell r="C609" t="str">
            <v>M10390</v>
          </cell>
          <cell r="D609" t="str">
            <v>NET 5, BT+</v>
          </cell>
          <cell r="E609" t="str">
            <v>F1 - Northpoint</v>
          </cell>
          <cell r="F609" t="str">
            <v>Yes</v>
          </cell>
          <cell r="G609" t="str">
            <v>TX</v>
          </cell>
          <cell r="H609">
            <v>8</v>
          </cell>
          <cell r="I609">
            <v>0.66500000000000004</v>
          </cell>
          <cell r="J609" t="str">
            <v>Trent Evans</v>
          </cell>
          <cell r="K609" t="str">
            <v>BILLINGS</v>
          </cell>
          <cell r="L609" t="str">
            <v>MO</v>
          </cell>
          <cell r="M609" t="str">
            <v>800-577-8858</v>
          </cell>
          <cell r="N609"/>
          <cell r="O609">
            <v>355</v>
          </cell>
          <cell r="P609">
            <v>1526.5</v>
          </cell>
          <cell r="Q609"/>
          <cell r="R609">
            <v>0</v>
          </cell>
          <cell r="S609"/>
          <cell r="T609">
            <v>0</v>
          </cell>
          <cell r="U609">
            <v>413</v>
          </cell>
          <cell r="V609">
            <v>1775.8999999999999</v>
          </cell>
          <cell r="W609">
            <v>341</v>
          </cell>
          <cell r="X609">
            <v>1466.3</v>
          </cell>
          <cell r="Y609"/>
          <cell r="Z609">
            <v>0</v>
          </cell>
          <cell r="AA609"/>
          <cell r="AB609">
            <v>0</v>
          </cell>
          <cell r="AC609"/>
          <cell r="AD609">
            <v>0</v>
          </cell>
          <cell r="AE609"/>
          <cell r="AF609"/>
          <cell r="AG609"/>
          <cell r="AH609"/>
          <cell r="AI609"/>
          <cell r="AJ609">
            <v>0.05</v>
          </cell>
          <cell r="AK609" t="str">
            <v>3P</v>
          </cell>
          <cell r="AL609">
            <v>226</v>
          </cell>
          <cell r="AM609">
            <v>428</v>
          </cell>
          <cell r="AN609" t="str">
            <v>01 Existing Dealer</v>
          </cell>
          <cell r="AO609" t="str">
            <v>Midwest</v>
          </cell>
          <cell r="AP609" t="str">
            <v>Central</v>
          </cell>
          <cell r="AQ609"/>
          <cell r="AR609">
            <v>211504</v>
          </cell>
          <cell r="AS609">
            <v>131661</v>
          </cell>
        </row>
        <row r="610">
          <cell r="A610" t="str">
            <v>13387A</v>
          </cell>
          <cell r="B610" t="str">
            <v>SANCREST</v>
          </cell>
          <cell r="C610" t="str">
            <v>M10390</v>
          </cell>
          <cell r="D610" t="str">
            <v>NET 5, BT+</v>
          </cell>
          <cell r="E610" t="str">
            <v>F1 - Northpoint</v>
          </cell>
          <cell r="F610" t="str">
            <v>Yes</v>
          </cell>
          <cell r="G610" t="str">
            <v>TX</v>
          </cell>
          <cell r="H610">
            <v>5</v>
          </cell>
          <cell r="I610">
            <v>0.66500000000000004</v>
          </cell>
          <cell r="J610" t="str">
            <v>Trent Evans</v>
          </cell>
          <cell r="K610" t="str">
            <v>NIXA</v>
          </cell>
          <cell r="L610" t="str">
            <v>MO</v>
          </cell>
          <cell r="M610" t="str">
            <v>800-577-8858</v>
          </cell>
          <cell r="N610"/>
          <cell r="O610">
            <v>398</v>
          </cell>
          <cell r="P610">
            <v>1711.3999999999999</v>
          </cell>
          <cell r="Q610"/>
          <cell r="R610">
            <v>0</v>
          </cell>
          <cell r="S610"/>
          <cell r="T610">
            <v>0</v>
          </cell>
          <cell r="U610">
            <v>356</v>
          </cell>
          <cell r="V610">
            <v>1530.8</v>
          </cell>
          <cell r="W610">
            <v>464</v>
          </cell>
          <cell r="X610">
            <v>1995.1999999999998</v>
          </cell>
          <cell r="Y610">
            <v>620</v>
          </cell>
          <cell r="Z610">
            <v>2666</v>
          </cell>
          <cell r="AA610">
            <v>620</v>
          </cell>
          <cell r="AB610">
            <v>2666</v>
          </cell>
          <cell r="AC610">
            <v>620</v>
          </cell>
          <cell r="AD610">
            <v>2666</v>
          </cell>
          <cell r="AE610"/>
          <cell r="AF610"/>
          <cell r="AG610"/>
          <cell r="AH610"/>
          <cell r="AI610"/>
          <cell r="AJ610">
            <v>0.05</v>
          </cell>
          <cell r="AK610" t="str">
            <v>3P</v>
          </cell>
          <cell r="AL610">
            <v>226</v>
          </cell>
          <cell r="AM610">
            <v>428</v>
          </cell>
          <cell r="AN610" t="str">
            <v>01 Existing Dealer</v>
          </cell>
          <cell r="AO610" t="str">
            <v>Midwest</v>
          </cell>
          <cell r="AP610" t="str">
            <v>Central</v>
          </cell>
          <cell r="AQ610"/>
          <cell r="AR610">
            <v>0</v>
          </cell>
          <cell r="AS610">
            <v>0</v>
          </cell>
        </row>
        <row r="611">
          <cell r="A611" t="str">
            <v>13387B</v>
          </cell>
          <cell r="B611" t="str">
            <v>SANCREST</v>
          </cell>
          <cell r="C611" t="str">
            <v>M10390</v>
          </cell>
          <cell r="D611" t="str">
            <v>NET 5, BT+</v>
          </cell>
          <cell r="E611" t="str">
            <v>F1 - Northpoint</v>
          </cell>
          <cell r="F611" t="str">
            <v>Yes</v>
          </cell>
          <cell r="G611" t="str">
            <v>TX</v>
          </cell>
          <cell r="H611">
            <v>5</v>
          </cell>
          <cell r="I611">
            <v>0.66500000000000004</v>
          </cell>
          <cell r="J611" t="str">
            <v>Trent Evans</v>
          </cell>
          <cell r="K611" t="str">
            <v>DIAMOND</v>
          </cell>
          <cell r="L611" t="str">
            <v>MO</v>
          </cell>
          <cell r="M611" t="str">
            <v>800-577-8858</v>
          </cell>
          <cell r="N611"/>
          <cell r="O611">
            <v>336</v>
          </cell>
          <cell r="P611">
            <v>1444.8</v>
          </cell>
          <cell r="Q611">
            <v>865</v>
          </cell>
          <cell r="R611">
            <v>3719.5</v>
          </cell>
          <cell r="S611"/>
          <cell r="T611">
            <v>0</v>
          </cell>
          <cell r="U611">
            <v>245</v>
          </cell>
          <cell r="V611">
            <v>1053.5</v>
          </cell>
          <cell r="W611">
            <v>312</v>
          </cell>
          <cell r="X611">
            <v>1341.6</v>
          </cell>
          <cell r="Y611"/>
          <cell r="Z611">
            <v>0</v>
          </cell>
          <cell r="AA611">
            <v>655</v>
          </cell>
          <cell r="AB611">
            <v>2816.5</v>
          </cell>
          <cell r="AC611">
            <v>655</v>
          </cell>
          <cell r="AD611">
            <v>2816.5</v>
          </cell>
          <cell r="AE611"/>
          <cell r="AF611"/>
          <cell r="AG611"/>
          <cell r="AH611"/>
          <cell r="AI611"/>
          <cell r="AJ611">
            <v>0.05</v>
          </cell>
          <cell r="AK611" t="str">
            <v>3P</v>
          </cell>
          <cell r="AL611">
            <v>226</v>
          </cell>
          <cell r="AM611">
            <v>220</v>
          </cell>
          <cell r="AN611" t="str">
            <v>01 Existing Dealer</v>
          </cell>
          <cell r="AO611" t="str">
            <v>Midwest</v>
          </cell>
          <cell r="AP611" t="str">
            <v>Central</v>
          </cell>
          <cell r="AQ611"/>
          <cell r="AR611">
            <v>0</v>
          </cell>
          <cell r="AS611">
            <v>0</v>
          </cell>
        </row>
        <row r="612">
          <cell r="A612">
            <v>13397</v>
          </cell>
          <cell r="B612" t="str">
            <v>BCMS / SILVERLINE</v>
          </cell>
          <cell r="C612" t="str">
            <v>M11363</v>
          </cell>
          <cell r="D612" t="str">
            <v>Return Mail, no pink card</v>
          </cell>
          <cell r="E612" t="str">
            <v>F3 - Wells Fargo</v>
          </cell>
          <cell r="F612" t="str">
            <v>Yes</v>
          </cell>
          <cell r="G612" t="str">
            <v>TX</v>
          </cell>
          <cell r="H612">
            <v>8</v>
          </cell>
          <cell r="I612">
            <v>0.66500000000000004</v>
          </cell>
          <cell r="J612" t="str">
            <v>Trent Evans</v>
          </cell>
          <cell r="K612" t="str">
            <v>DEXTER</v>
          </cell>
          <cell r="L612" t="str">
            <v>MO</v>
          </cell>
          <cell r="M612" t="str">
            <v>800-577-8858</v>
          </cell>
          <cell r="N612"/>
          <cell r="O612">
            <v>428</v>
          </cell>
          <cell r="P612">
            <v>1840.3999999999999</v>
          </cell>
          <cell r="Q612"/>
          <cell r="R612">
            <v>0</v>
          </cell>
          <cell r="S612"/>
          <cell r="T612">
            <v>0</v>
          </cell>
          <cell r="U612">
            <v>560</v>
          </cell>
          <cell r="V612">
            <v>2408</v>
          </cell>
          <cell r="W612">
            <v>508</v>
          </cell>
          <cell r="X612">
            <v>2184.4</v>
          </cell>
          <cell r="Y612"/>
          <cell r="Z612">
            <v>0</v>
          </cell>
          <cell r="AA612"/>
          <cell r="AB612">
            <v>0</v>
          </cell>
          <cell r="AC612"/>
          <cell r="AD612">
            <v>0</v>
          </cell>
          <cell r="AE612"/>
          <cell r="AF612"/>
          <cell r="AG612"/>
          <cell r="AH612"/>
          <cell r="AI612"/>
          <cell r="AJ612">
            <v>0.03</v>
          </cell>
          <cell r="AK612" t="str">
            <v>3P</v>
          </cell>
          <cell r="AL612">
            <v>226</v>
          </cell>
          <cell r="AM612">
            <v>355</v>
          </cell>
          <cell r="AN612" t="str">
            <v>01 Existing Dealer</v>
          </cell>
          <cell r="AO612" t="str">
            <v>Midwest</v>
          </cell>
          <cell r="AP612" t="str">
            <v>Central</v>
          </cell>
          <cell r="AQ612"/>
          <cell r="AR612">
            <v>206930</v>
          </cell>
          <cell r="AS612">
            <v>0</v>
          </cell>
        </row>
        <row r="613">
          <cell r="A613" t="str">
            <v>13397A</v>
          </cell>
          <cell r="B613" t="str">
            <v>BCMS / SILVERLINE</v>
          </cell>
          <cell r="C613" t="str">
            <v>M11363</v>
          </cell>
          <cell r="D613" t="str">
            <v>Return Mail, no pink card</v>
          </cell>
          <cell r="E613" t="str">
            <v>F3 - Wells Fargo</v>
          </cell>
          <cell r="F613" t="str">
            <v>Yes</v>
          </cell>
          <cell r="G613" t="str">
            <v>TX</v>
          </cell>
          <cell r="H613">
            <v>8</v>
          </cell>
          <cell r="I613">
            <v>0.66500000000000004</v>
          </cell>
          <cell r="J613" t="str">
            <v>Trent Evans</v>
          </cell>
          <cell r="K613" t="str">
            <v>POPLAR BLUFF</v>
          </cell>
          <cell r="L613" t="str">
            <v>MO</v>
          </cell>
          <cell r="M613" t="str">
            <v>800-577-8858</v>
          </cell>
          <cell r="N613"/>
          <cell r="O613">
            <v>400</v>
          </cell>
          <cell r="P613">
            <v>1720</v>
          </cell>
          <cell r="Q613"/>
          <cell r="R613">
            <v>0</v>
          </cell>
          <cell r="S613"/>
          <cell r="T613">
            <v>0</v>
          </cell>
          <cell r="U613">
            <v>532</v>
          </cell>
          <cell r="V613">
            <v>2287.6</v>
          </cell>
          <cell r="W613">
            <v>480</v>
          </cell>
          <cell r="X613">
            <v>2064</v>
          </cell>
          <cell r="Y613">
            <v>454</v>
          </cell>
          <cell r="Z613">
            <v>1952.1999999999998</v>
          </cell>
          <cell r="AA613">
            <v>454</v>
          </cell>
          <cell r="AB613">
            <v>1952.1999999999998</v>
          </cell>
          <cell r="AC613">
            <v>454</v>
          </cell>
          <cell r="AD613">
            <v>1952.1999999999998</v>
          </cell>
          <cell r="AE613"/>
          <cell r="AF613"/>
          <cell r="AG613"/>
          <cell r="AH613"/>
          <cell r="AI613"/>
          <cell r="AJ613">
            <v>0.03</v>
          </cell>
          <cell r="AK613" t="str">
            <v>3P</v>
          </cell>
          <cell r="AL613">
            <v>226</v>
          </cell>
          <cell r="AM613">
            <v>355</v>
          </cell>
          <cell r="AN613" t="str">
            <v>01 Existing Dealer</v>
          </cell>
          <cell r="AO613" t="str">
            <v>Midwest</v>
          </cell>
          <cell r="AP613" t="str">
            <v>Central</v>
          </cell>
          <cell r="AQ613"/>
          <cell r="AR613">
            <v>0</v>
          </cell>
          <cell r="AS613">
            <v>0</v>
          </cell>
        </row>
        <row r="614">
          <cell r="A614" t="str">
            <v>13397B</v>
          </cell>
          <cell r="B614" t="str">
            <v>BCMS / SILVERLINE</v>
          </cell>
          <cell r="C614" t="str">
            <v>M11363</v>
          </cell>
          <cell r="D614" t="str">
            <v>Return Mail, no pink card</v>
          </cell>
          <cell r="E614" t="str">
            <v>F3 - Wells Fargo</v>
          </cell>
          <cell r="F614" t="str">
            <v>Yes</v>
          </cell>
          <cell r="G614" t="str">
            <v>TX</v>
          </cell>
          <cell r="H614">
            <v>8</v>
          </cell>
          <cell r="I614">
            <v>0.66500000000000004</v>
          </cell>
          <cell r="J614" t="str">
            <v>Trent Evans</v>
          </cell>
          <cell r="K614" t="str">
            <v>FESTUS</v>
          </cell>
          <cell r="L614" t="str">
            <v>MO</v>
          </cell>
          <cell r="M614" t="str">
            <v>800-577-8858</v>
          </cell>
          <cell r="N614"/>
          <cell r="O614">
            <v>515</v>
          </cell>
          <cell r="P614">
            <v>2214.5</v>
          </cell>
          <cell r="Q614">
            <v>673</v>
          </cell>
          <cell r="R614">
            <v>2893.9</v>
          </cell>
          <cell r="S614"/>
          <cell r="T614">
            <v>0</v>
          </cell>
          <cell r="U614">
            <v>560</v>
          </cell>
          <cell r="V614">
            <v>2408</v>
          </cell>
          <cell r="W614">
            <v>595</v>
          </cell>
          <cell r="X614">
            <v>2558.5</v>
          </cell>
          <cell r="Y614"/>
          <cell r="Z614">
            <v>0</v>
          </cell>
          <cell r="AA614"/>
          <cell r="AB614">
            <v>0</v>
          </cell>
          <cell r="AC614"/>
          <cell r="AD614">
            <v>0</v>
          </cell>
          <cell r="AE614"/>
          <cell r="AF614"/>
          <cell r="AG614"/>
          <cell r="AH614"/>
          <cell r="AI614"/>
          <cell r="AJ614">
            <v>0.03</v>
          </cell>
          <cell r="AK614" t="str">
            <v>3P</v>
          </cell>
          <cell r="AL614">
            <v>226</v>
          </cell>
          <cell r="AM614">
            <v>394</v>
          </cell>
          <cell r="AN614" t="str">
            <v>01 Existing Dealer</v>
          </cell>
          <cell r="AO614" t="str">
            <v>Midwest</v>
          </cell>
          <cell r="AP614" t="str">
            <v>Central</v>
          </cell>
          <cell r="AQ614"/>
          <cell r="AR614">
            <v>0</v>
          </cell>
          <cell r="AS614">
            <v>0</v>
          </cell>
          <cell r="AT614"/>
        </row>
        <row r="615">
          <cell r="A615">
            <v>12197</v>
          </cell>
          <cell r="B615" t="str">
            <v>SUTTER</v>
          </cell>
          <cell r="C615" t="str">
            <v>M10390</v>
          </cell>
          <cell r="D615" t="str">
            <v>NET 5, BT+</v>
          </cell>
          <cell r="E615" t="str">
            <v>CF</v>
          </cell>
          <cell r="F615" t="str">
            <v>Yes</v>
          </cell>
          <cell r="G615" t="str">
            <v>TX</v>
          </cell>
          <cell r="H615">
            <v>7</v>
          </cell>
          <cell r="I615">
            <v>0.66500000000000004</v>
          </cell>
          <cell r="J615" t="str">
            <v>Trent Evans</v>
          </cell>
          <cell r="K615" t="str">
            <v>NIXA</v>
          </cell>
          <cell r="L615" t="str">
            <v>MO</v>
          </cell>
          <cell r="M615" t="str">
            <v>800-577-8858</v>
          </cell>
          <cell r="N615"/>
          <cell r="O615">
            <v>398</v>
          </cell>
          <cell r="P615">
            <v>1711.3999999999999</v>
          </cell>
          <cell r="Q615"/>
          <cell r="R615">
            <v>0</v>
          </cell>
          <cell r="S615"/>
          <cell r="T615">
            <v>0</v>
          </cell>
          <cell r="U615">
            <v>356</v>
          </cell>
          <cell r="V615">
            <v>1530.8</v>
          </cell>
          <cell r="W615">
            <v>464</v>
          </cell>
          <cell r="X615">
            <v>1995.1999999999998</v>
          </cell>
          <cell r="Y615"/>
          <cell r="Z615">
            <v>0</v>
          </cell>
          <cell r="AA615"/>
          <cell r="AB615">
            <v>0</v>
          </cell>
          <cell r="AC615"/>
          <cell r="AD615">
            <v>0</v>
          </cell>
          <cell r="AE615"/>
          <cell r="AF615"/>
          <cell r="AG615"/>
          <cell r="AH615"/>
          <cell r="AI615"/>
          <cell r="AJ615">
            <v>0.05</v>
          </cell>
          <cell r="AK615" t="str">
            <v>3P</v>
          </cell>
          <cell r="AL615">
            <v>226</v>
          </cell>
          <cell r="AM615">
            <v>428</v>
          </cell>
          <cell r="AN615" t="str">
            <v>01 Existing Dealer</v>
          </cell>
          <cell r="AO615" t="str">
            <v>Midwest</v>
          </cell>
          <cell r="AP615" t="str">
            <v>Central</v>
          </cell>
          <cell r="AQ615"/>
          <cell r="AR615">
            <v>0</v>
          </cell>
          <cell r="AS615">
            <v>0</v>
          </cell>
          <cell r="AT615"/>
        </row>
        <row r="616">
          <cell r="A616" t="str">
            <v>12197A</v>
          </cell>
          <cell r="B616" t="str">
            <v>SUTTER</v>
          </cell>
          <cell r="C616" t="str">
            <v>M10390</v>
          </cell>
          <cell r="D616" t="str">
            <v>NET 5, BT+</v>
          </cell>
          <cell r="E616" t="str">
            <v>CF</v>
          </cell>
          <cell r="F616" t="str">
            <v>Yes</v>
          </cell>
          <cell r="G616" t="str">
            <v>TX</v>
          </cell>
          <cell r="H616">
            <v>5</v>
          </cell>
          <cell r="I616">
            <v>0.66500000000000004</v>
          </cell>
          <cell r="J616" t="str">
            <v>Trent Evans</v>
          </cell>
          <cell r="K616" t="str">
            <v>STOTTS CITY</v>
          </cell>
          <cell r="L616" t="str">
            <v>MO</v>
          </cell>
          <cell r="M616" t="str">
            <v>800-577-8858</v>
          </cell>
          <cell r="N616"/>
          <cell r="O616">
            <v>357</v>
          </cell>
          <cell r="P616">
            <v>1535.1</v>
          </cell>
          <cell r="Q616"/>
          <cell r="R616">
            <v>0</v>
          </cell>
          <cell r="S616"/>
          <cell r="T616">
            <v>0</v>
          </cell>
          <cell r="U616">
            <v>311</v>
          </cell>
          <cell r="V616">
            <v>1337.3</v>
          </cell>
          <cell r="W616">
            <v>419</v>
          </cell>
          <cell r="X616">
            <v>1801.6999999999998</v>
          </cell>
          <cell r="Y616">
            <v>646</v>
          </cell>
          <cell r="Z616">
            <v>2777.7999999999997</v>
          </cell>
          <cell r="AA616">
            <v>646</v>
          </cell>
          <cell r="AB616">
            <v>2777.7999999999997</v>
          </cell>
          <cell r="AC616">
            <v>646</v>
          </cell>
          <cell r="AD616">
            <v>2777.7999999999997</v>
          </cell>
          <cell r="AE616"/>
          <cell r="AF616"/>
          <cell r="AG616"/>
          <cell r="AH616"/>
          <cell r="AI616"/>
          <cell r="AJ616">
            <v>0.05</v>
          </cell>
          <cell r="AK616" t="str">
            <v>3P</v>
          </cell>
          <cell r="AL616">
            <v>226</v>
          </cell>
          <cell r="AM616">
            <v>428</v>
          </cell>
          <cell r="AN616" t="str">
            <v>01 Existing Dealer</v>
          </cell>
          <cell r="AO616" t="str">
            <v>Midwest</v>
          </cell>
          <cell r="AP616" t="str">
            <v>Central</v>
          </cell>
          <cell r="AQ616"/>
          <cell r="AR616">
            <v>0</v>
          </cell>
          <cell r="AS616">
            <v>0</v>
          </cell>
        </row>
        <row r="617">
          <cell r="A617">
            <v>12198</v>
          </cell>
          <cell r="B617" t="str">
            <v>SUTTER</v>
          </cell>
          <cell r="C617" t="str">
            <v>M10390</v>
          </cell>
          <cell r="D617" t="str">
            <v>Net 90, no pink card</v>
          </cell>
          <cell r="E617">
            <v>90</v>
          </cell>
          <cell r="F617" t="str">
            <v>Yes</v>
          </cell>
          <cell r="G617" t="str">
            <v>TX</v>
          </cell>
          <cell r="H617">
            <v>5</v>
          </cell>
          <cell r="I617">
            <v>0.66500000000000004</v>
          </cell>
          <cell r="J617" t="str">
            <v>House</v>
          </cell>
          <cell r="K617" t="str">
            <v>NIXA</v>
          </cell>
          <cell r="L617" t="str">
            <v>MO</v>
          </cell>
          <cell r="M617" t="str">
            <v>800-577-8858</v>
          </cell>
          <cell r="N617"/>
          <cell r="O617">
            <v>398</v>
          </cell>
          <cell r="P617">
            <v>1711.3999999999999</v>
          </cell>
          <cell r="Q617"/>
          <cell r="R617">
            <v>0</v>
          </cell>
          <cell r="S617"/>
          <cell r="T617">
            <v>0</v>
          </cell>
          <cell r="U617">
            <v>356</v>
          </cell>
          <cell r="V617">
            <v>1530.8</v>
          </cell>
          <cell r="W617">
            <v>464</v>
          </cell>
          <cell r="X617">
            <v>1995.1999999999998</v>
          </cell>
          <cell r="Y617">
            <v>620</v>
          </cell>
          <cell r="Z617">
            <v>2666</v>
          </cell>
          <cell r="AA617">
            <v>620</v>
          </cell>
          <cell r="AB617">
            <v>2666</v>
          </cell>
          <cell r="AC617">
            <v>620</v>
          </cell>
          <cell r="AD617">
            <v>2666</v>
          </cell>
          <cell r="AE617"/>
          <cell r="AF617"/>
          <cell r="AG617"/>
          <cell r="AH617"/>
          <cell r="AI617"/>
          <cell r="AJ617">
            <v>0.05</v>
          </cell>
          <cell r="AK617" t="str">
            <v>3P</v>
          </cell>
          <cell r="AL617">
            <v>400</v>
          </cell>
          <cell r="AM617">
            <v>428</v>
          </cell>
          <cell r="AN617" t="str">
            <v>01 Existing Dealer</v>
          </cell>
          <cell r="AO617" t="str">
            <v>Midwest</v>
          </cell>
          <cell r="AP617" t="str">
            <v>Central</v>
          </cell>
          <cell r="AQ617"/>
          <cell r="AR617">
            <v>0</v>
          </cell>
          <cell r="AS617">
            <v>0</v>
          </cell>
        </row>
        <row r="618">
          <cell r="A618" t="str">
            <v>12198A</v>
          </cell>
          <cell r="B618" t="str">
            <v>SUTTER</v>
          </cell>
          <cell r="C618" t="str">
            <v>M10390</v>
          </cell>
          <cell r="D618" t="str">
            <v>Net 90, no pink card</v>
          </cell>
          <cell r="E618">
            <v>90</v>
          </cell>
          <cell r="F618" t="str">
            <v>Yes</v>
          </cell>
          <cell r="G618" t="str">
            <v>TX</v>
          </cell>
          <cell r="H618">
            <v>5</v>
          </cell>
          <cell r="I618">
            <v>0.66500000000000004</v>
          </cell>
          <cell r="J618" t="str">
            <v>House</v>
          </cell>
          <cell r="K618" t="str">
            <v>STOTTS CITY</v>
          </cell>
          <cell r="L618" t="str">
            <v>MO</v>
          </cell>
          <cell r="M618" t="str">
            <v>800-577-8858</v>
          </cell>
          <cell r="N618"/>
          <cell r="O618">
            <v>357</v>
          </cell>
          <cell r="P618">
            <v>1535.1</v>
          </cell>
          <cell r="Q618"/>
          <cell r="R618">
            <v>0</v>
          </cell>
          <cell r="S618"/>
          <cell r="T618">
            <v>0</v>
          </cell>
          <cell r="U618">
            <v>311</v>
          </cell>
          <cell r="V618">
            <v>1337.3</v>
          </cell>
          <cell r="W618">
            <v>419</v>
          </cell>
          <cell r="X618">
            <v>1801.6999999999998</v>
          </cell>
          <cell r="Y618">
            <v>646</v>
          </cell>
          <cell r="Z618">
            <v>2777.7999999999997</v>
          </cell>
          <cell r="AA618">
            <v>646</v>
          </cell>
          <cell r="AB618">
            <v>2777.7999999999997</v>
          </cell>
          <cell r="AC618">
            <v>646</v>
          </cell>
          <cell r="AD618">
            <v>2777.7999999999997</v>
          </cell>
          <cell r="AE618"/>
          <cell r="AF618"/>
          <cell r="AG618"/>
          <cell r="AH618"/>
          <cell r="AI618"/>
          <cell r="AJ618">
            <v>0.05</v>
          </cell>
          <cell r="AK618" t="str">
            <v>3P</v>
          </cell>
          <cell r="AL618">
            <v>400</v>
          </cell>
          <cell r="AM618">
            <v>428</v>
          </cell>
          <cell r="AN618" t="str">
            <v>01 Existing Dealer</v>
          </cell>
          <cell r="AO618" t="str">
            <v>Midwest</v>
          </cell>
          <cell r="AP618" t="str">
            <v>Central</v>
          </cell>
          <cell r="AQ618"/>
          <cell r="AR618">
            <v>0</v>
          </cell>
          <cell r="AS618">
            <v>0</v>
          </cell>
        </row>
        <row r="619">
          <cell r="A619">
            <v>12402</v>
          </cell>
          <cell r="B619" t="str">
            <v>SUTTER</v>
          </cell>
          <cell r="C619" t="str">
            <v>M10390</v>
          </cell>
          <cell r="D619" t="str">
            <v>NET 5, BT+</v>
          </cell>
          <cell r="E619" t="str">
            <v>S1</v>
          </cell>
          <cell r="F619" t="str">
            <v>Yes</v>
          </cell>
          <cell r="G619" t="str">
            <v>TX</v>
          </cell>
          <cell r="H619">
            <v>9</v>
          </cell>
          <cell r="I619">
            <v>0.66500000000000004</v>
          </cell>
          <cell r="J619" t="str">
            <v>Orphaned Acct</v>
          </cell>
          <cell r="K619" t="str">
            <v>NIXA</v>
          </cell>
          <cell r="L619" t="str">
            <v>MO</v>
          </cell>
          <cell r="M619" t="str">
            <v>800-577-8858</v>
          </cell>
          <cell r="N619"/>
          <cell r="O619">
            <v>398</v>
          </cell>
          <cell r="P619">
            <v>1711.3999999999999</v>
          </cell>
          <cell r="Q619"/>
          <cell r="R619">
            <v>0</v>
          </cell>
          <cell r="S619"/>
          <cell r="T619">
            <v>0</v>
          </cell>
          <cell r="U619">
            <v>356</v>
          </cell>
          <cell r="V619">
            <v>1530.8</v>
          </cell>
          <cell r="W619">
            <v>464</v>
          </cell>
          <cell r="X619">
            <v>1995.1999999999998</v>
          </cell>
          <cell r="Y619">
            <v>620</v>
          </cell>
          <cell r="Z619">
            <v>2666</v>
          </cell>
          <cell r="AA619">
            <v>620</v>
          </cell>
          <cell r="AB619">
            <v>2666</v>
          </cell>
          <cell r="AC619">
            <v>620</v>
          </cell>
          <cell r="AD619">
            <v>2666</v>
          </cell>
          <cell r="AE619"/>
          <cell r="AF619"/>
          <cell r="AG619"/>
          <cell r="AH619"/>
          <cell r="AI619"/>
          <cell r="AJ619">
            <v>0.05</v>
          </cell>
          <cell r="AK619" t="str">
            <v>3P</v>
          </cell>
          <cell r="AL619">
            <v>213</v>
          </cell>
          <cell r="AM619">
            <v>428</v>
          </cell>
          <cell r="AN619" t="str">
            <v>01 Existing Dealer</v>
          </cell>
          <cell r="AO619" t="str">
            <v>Midwest</v>
          </cell>
          <cell r="AP619" t="str">
            <v>Central</v>
          </cell>
          <cell r="AQ619"/>
          <cell r="AR619">
            <v>0</v>
          </cell>
          <cell r="AS619">
            <v>0</v>
          </cell>
        </row>
        <row r="620">
          <cell r="A620" t="str">
            <v>12402A</v>
          </cell>
          <cell r="B620" t="str">
            <v>SUTTER</v>
          </cell>
          <cell r="C620" t="str">
            <v>M10390</v>
          </cell>
          <cell r="D620" t="str">
            <v>NET 5, BT+</v>
          </cell>
          <cell r="E620" t="str">
            <v>S1</v>
          </cell>
          <cell r="F620" t="str">
            <v>Yes</v>
          </cell>
          <cell r="G620" t="str">
            <v>TX</v>
          </cell>
          <cell r="H620">
            <v>9</v>
          </cell>
          <cell r="I620">
            <v>0.66500000000000004</v>
          </cell>
          <cell r="J620" t="str">
            <v>Orphaned Acct</v>
          </cell>
          <cell r="K620" t="str">
            <v>STOTTS CITY</v>
          </cell>
          <cell r="L620" t="str">
            <v>MO</v>
          </cell>
          <cell r="M620" t="str">
            <v>800-577-8858</v>
          </cell>
          <cell r="N620"/>
          <cell r="O620">
            <v>357</v>
          </cell>
          <cell r="P620">
            <v>1535.1</v>
          </cell>
          <cell r="Q620"/>
          <cell r="R620">
            <v>0</v>
          </cell>
          <cell r="S620"/>
          <cell r="T620">
            <v>0</v>
          </cell>
          <cell r="U620">
            <v>311</v>
          </cell>
          <cell r="V620">
            <v>1337.3</v>
          </cell>
          <cell r="W620">
            <v>419</v>
          </cell>
          <cell r="X620">
            <v>1801.6999999999998</v>
          </cell>
          <cell r="Y620">
            <v>646</v>
          </cell>
          <cell r="Z620">
            <v>2777.7999999999997</v>
          </cell>
          <cell r="AA620">
            <v>646</v>
          </cell>
          <cell r="AB620">
            <v>2777.7999999999997</v>
          </cell>
          <cell r="AC620">
            <v>646</v>
          </cell>
          <cell r="AD620">
            <v>2777.7999999999997</v>
          </cell>
          <cell r="AE620"/>
          <cell r="AF620"/>
          <cell r="AG620"/>
          <cell r="AH620"/>
          <cell r="AI620"/>
          <cell r="AJ620">
            <v>0.05</v>
          </cell>
          <cell r="AK620" t="str">
            <v>3P</v>
          </cell>
          <cell r="AL620">
            <v>213</v>
          </cell>
          <cell r="AM620">
            <v>428</v>
          </cell>
          <cell r="AN620" t="str">
            <v>01 Existing Dealer</v>
          </cell>
          <cell r="AO620" t="str">
            <v>Midwest</v>
          </cell>
          <cell r="AP620" t="str">
            <v>Central</v>
          </cell>
          <cell r="AQ620"/>
          <cell r="AR620">
            <v>0</v>
          </cell>
          <cell r="AS620">
            <v>0</v>
          </cell>
        </row>
        <row r="621">
          <cell r="A621">
            <v>12907</v>
          </cell>
          <cell r="B621" t="str">
            <v>SUTTER</v>
          </cell>
          <cell r="C621" t="str">
            <v>M10390</v>
          </cell>
          <cell r="D621" t="str">
            <v>NET 5, BT+</v>
          </cell>
          <cell r="E621" t="str">
            <v>F1 - Northpoint</v>
          </cell>
          <cell r="F621" t="str">
            <v>Yes</v>
          </cell>
          <cell r="G621" t="str">
            <v>TX</v>
          </cell>
          <cell r="H621">
            <v>8</v>
          </cell>
          <cell r="I621">
            <v>0.66500000000000004</v>
          </cell>
          <cell r="J621" t="str">
            <v>Trent Evans</v>
          </cell>
          <cell r="K621" t="str">
            <v>NIXA</v>
          </cell>
          <cell r="L621" t="str">
            <v>MO</v>
          </cell>
          <cell r="M621" t="str">
            <v>800-577-8858</v>
          </cell>
          <cell r="N621"/>
          <cell r="O621">
            <v>398</v>
          </cell>
          <cell r="P621">
            <v>1711.3999999999999</v>
          </cell>
          <cell r="Q621"/>
          <cell r="R621">
            <v>0</v>
          </cell>
          <cell r="S621"/>
          <cell r="T621">
            <v>0</v>
          </cell>
          <cell r="U621">
            <v>356</v>
          </cell>
          <cell r="V621">
            <v>1530.8</v>
          </cell>
          <cell r="W621">
            <v>464</v>
          </cell>
          <cell r="X621">
            <v>1995.1999999999998</v>
          </cell>
          <cell r="Y621">
            <v>620</v>
          </cell>
          <cell r="Z621">
            <v>2666</v>
          </cell>
          <cell r="AA621">
            <v>620</v>
          </cell>
          <cell r="AB621">
            <v>2666</v>
          </cell>
          <cell r="AC621">
            <v>620</v>
          </cell>
          <cell r="AD621">
            <v>2666</v>
          </cell>
          <cell r="AE621"/>
          <cell r="AF621"/>
          <cell r="AG621"/>
          <cell r="AH621"/>
          <cell r="AI621"/>
          <cell r="AJ621">
            <v>0.05</v>
          </cell>
          <cell r="AK621" t="str">
            <v>3P</v>
          </cell>
          <cell r="AL621">
            <v>226</v>
          </cell>
          <cell r="AM621">
            <v>428</v>
          </cell>
          <cell r="AN621" t="str">
            <v>01 Existing Dealer</v>
          </cell>
          <cell r="AO621" t="str">
            <v>Midwest</v>
          </cell>
          <cell r="AP621" t="str">
            <v>Central</v>
          </cell>
          <cell r="AQ621"/>
          <cell r="AR621">
            <v>0</v>
          </cell>
          <cell r="AS621">
            <v>0</v>
          </cell>
        </row>
        <row r="622">
          <cell r="A622" t="str">
            <v>12907A</v>
          </cell>
          <cell r="B622" t="str">
            <v>SUTTER</v>
          </cell>
          <cell r="C622" t="str">
            <v>M10390</v>
          </cell>
          <cell r="D622" t="str">
            <v>NET 5, BT+</v>
          </cell>
          <cell r="E622" t="str">
            <v>F1 - Northpoint</v>
          </cell>
          <cell r="F622" t="str">
            <v>Yes</v>
          </cell>
          <cell r="G622" t="str">
            <v>TX</v>
          </cell>
          <cell r="H622">
            <v>5</v>
          </cell>
          <cell r="I622">
            <v>0.66500000000000004</v>
          </cell>
          <cell r="J622" t="str">
            <v>Trent Evans</v>
          </cell>
          <cell r="K622" t="str">
            <v>STOTTS CITY</v>
          </cell>
          <cell r="L622" t="str">
            <v>MO</v>
          </cell>
          <cell r="M622" t="str">
            <v>800-577-8858</v>
          </cell>
          <cell r="N622"/>
          <cell r="O622">
            <v>357</v>
          </cell>
          <cell r="P622">
            <v>1535.1</v>
          </cell>
          <cell r="Q622"/>
          <cell r="R622">
            <v>0</v>
          </cell>
          <cell r="S622"/>
          <cell r="T622">
            <v>0</v>
          </cell>
          <cell r="U622">
            <v>311</v>
          </cell>
          <cell r="V622">
            <v>1337.3</v>
          </cell>
          <cell r="W622">
            <v>419</v>
          </cell>
          <cell r="X622">
            <v>1801.6999999999998</v>
          </cell>
          <cell r="Y622">
            <v>646</v>
          </cell>
          <cell r="Z622">
            <v>2777.7999999999997</v>
          </cell>
          <cell r="AA622">
            <v>646</v>
          </cell>
          <cell r="AB622">
            <v>2777.7999999999997</v>
          </cell>
          <cell r="AC622">
            <v>646</v>
          </cell>
          <cell r="AD622">
            <v>2777.7999999999997</v>
          </cell>
          <cell r="AE622"/>
          <cell r="AF622"/>
          <cell r="AG622"/>
          <cell r="AH622"/>
          <cell r="AI622"/>
          <cell r="AJ622">
            <v>0.05</v>
          </cell>
          <cell r="AK622" t="str">
            <v>3P</v>
          </cell>
          <cell r="AL622">
            <v>226</v>
          </cell>
          <cell r="AM622">
            <v>428</v>
          </cell>
          <cell r="AN622" t="str">
            <v>01 Existing Dealer</v>
          </cell>
          <cell r="AO622" t="str">
            <v>Midwest</v>
          </cell>
          <cell r="AP622" t="str">
            <v>Central</v>
          </cell>
          <cell r="AQ622"/>
          <cell r="AR622">
            <v>0</v>
          </cell>
          <cell r="AS622">
            <v>0</v>
          </cell>
        </row>
        <row r="623">
          <cell r="A623">
            <v>13067</v>
          </cell>
          <cell r="B623" t="str">
            <v>TW - GRANDVIEW</v>
          </cell>
          <cell r="C623" t="str">
            <v>M10937</v>
          </cell>
          <cell r="D623" t="str">
            <v>Net 30, no pink card</v>
          </cell>
          <cell r="E623">
            <v>30</v>
          </cell>
          <cell r="F623" t="str">
            <v>Yes</v>
          </cell>
          <cell r="G623" t="str">
            <v>TX</v>
          </cell>
          <cell r="H623">
            <v>10</v>
          </cell>
          <cell r="I623">
            <v>0.66500000000000004</v>
          </cell>
          <cell r="J623" t="str">
            <v>Jake McEntee</v>
          </cell>
          <cell r="K623" t="str">
            <v>GRANDVIEW</v>
          </cell>
          <cell r="L623" t="str">
            <v>MO</v>
          </cell>
          <cell r="M623" t="str">
            <v>800-577-8858</v>
          </cell>
          <cell r="N623" t="str">
            <v>All tandem axle trailers must have BRK2</v>
          </cell>
          <cell r="O623">
            <v>467</v>
          </cell>
          <cell r="P623">
            <v>2008.1</v>
          </cell>
          <cell r="Q623">
            <v>946</v>
          </cell>
          <cell r="R623">
            <v>4067.7999999999997</v>
          </cell>
          <cell r="S623"/>
          <cell r="T623">
            <v>0</v>
          </cell>
          <cell r="U623">
            <v>426</v>
          </cell>
          <cell r="V623">
            <v>1831.8</v>
          </cell>
          <cell r="W623">
            <v>497</v>
          </cell>
          <cell r="X623">
            <v>2137.1</v>
          </cell>
          <cell r="Y623">
            <v>637</v>
          </cell>
          <cell r="Z623">
            <v>2739.1</v>
          </cell>
          <cell r="AA623">
            <v>637</v>
          </cell>
          <cell r="AB623">
            <v>2739.1</v>
          </cell>
          <cell r="AC623">
            <v>637</v>
          </cell>
          <cell r="AD623">
            <v>2739.1</v>
          </cell>
          <cell r="AE623">
            <v>3.8399999999999997E-2</v>
          </cell>
          <cell r="AF623"/>
          <cell r="AG623">
            <v>3.9E-2</v>
          </cell>
          <cell r="AH623">
            <v>3.9E-2</v>
          </cell>
          <cell r="AI623">
            <v>3.9E-2</v>
          </cell>
          <cell r="AJ623">
            <v>0.04</v>
          </cell>
          <cell r="AK623" t="str">
            <v>TW</v>
          </cell>
          <cell r="AL623">
            <v>161</v>
          </cell>
          <cell r="AM623">
            <v>226</v>
          </cell>
          <cell r="AN623" t="str">
            <v>04 Co.Store</v>
          </cell>
          <cell r="AO623" t="str">
            <v>Midwest</v>
          </cell>
          <cell r="AP623" t="str">
            <v>Central</v>
          </cell>
          <cell r="AQ623"/>
          <cell r="AR623">
            <v>72922</v>
          </cell>
          <cell r="AS623">
            <v>76282</v>
          </cell>
        </row>
        <row r="624">
          <cell r="A624">
            <v>12878</v>
          </cell>
          <cell r="B624" t="str">
            <v>TW - MARCELINE</v>
          </cell>
          <cell r="C624" t="str">
            <v>M10072</v>
          </cell>
          <cell r="D624" t="str">
            <v>Net 30, no pink card</v>
          </cell>
          <cell r="E624">
            <v>30</v>
          </cell>
          <cell r="F624" t="str">
            <v>Yes</v>
          </cell>
          <cell r="G624" t="str">
            <v>OH</v>
          </cell>
          <cell r="H624">
            <v>10</v>
          </cell>
          <cell r="I624">
            <v>0.66500000000000004</v>
          </cell>
          <cell r="J624" t="str">
            <v>Jake McEntee</v>
          </cell>
          <cell r="K624" t="str">
            <v>MARCELINE</v>
          </cell>
          <cell r="L624" t="str">
            <v>MO</v>
          </cell>
          <cell r="M624" t="str">
            <v>800-577-8858</v>
          </cell>
          <cell r="N624" t="str">
            <v>All tandem axle trailers must have BRK2</v>
          </cell>
          <cell r="O624">
            <v>592</v>
          </cell>
          <cell r="P624">
            <v>2545.6</v>
          </cell>
          <cell r="Q624">
            <v>909</v>
          </cell>
          <cell r="R624">
            <v>3908.7</v>
          </cell>
          <cell r="S624"/>
          <cell r="T624">
            <v>0</v>
          </cell>
          <cell r="U624">
            <v>546</v>
          </cell>
          <cell r="V624">
            <v>2347.7999999999997</v>
          </cell>
          <cell r="W624">
            <v>654</v>
          </cell>
          <cell r="X624">
            <v>2812.2</v>
          </cell>
          <cell r="Y624">
            <v>554</v>
          </cell>
          <cell r="Z624">
            <v>2382.1999999999998</v>
          </cell>
          <cell r="AA624">
            <v>554</v>
          </cell>
          <cell r="AB624">
            <v>2382.1999999999998</v>
          </cell>
          <cell r="AC624">
            <v>554</v>
          </cell>
          <cell r="AD624">
            <v>2382.1999999999998</v>
          </cell>
          <cell r="AE624">
            <v>4.9800000000000004E-2</v>
          </cell>
          <cell r="AF624"/>
          <cell r="AG624">
            <v>5.6469999999999999E-2</v>
          </cell>
          <cell r="AH624">
            <v>5.6469999999999999E-2</v>
          </cell>
          <cell r="AI624">
            <v>5.6469999999999999E-2</v>
          </cell>
          <cell r="AJ624">
            <v>0.04</v>
          </cell>
          <cell r="AK624" t="str">
            <v>TW</v>
          </cell>
          <cell r="AL624">
            <v>161</v>
          </cell>
          <cell r="AM624">
            <v>226</v>
          </cell>
          <cell r="AN624" t="str">
            <v>04 Co.Store</v>
          </cell>
          <cell r="AO624" t="str">
            <v>Midwest</v>
          </cell>
          <cell r="AP624" t="str">
            <v>Central</v>
          </cell>
          <cell r="AQ624"/>
          <cell r="AR624">
            <v>37219</v>
          </cell>
          <cell r="AS624">
            <v>112402</v>
          </cell>
        </row>
        <row r="625">
          <cell r="A625">
            <v>13006</v>
          </cell>
          <cell r="B625" t="str">
            <v>TW - WENTZVILLE</v>
          </cell>
          <cell r="C625" t="str">
            <v>M10859</v>
          </cell>
          <cell r="D625" t="str">
            <v>Net 30, no pink card</v>
          </cell>
          <cell r="E625">
            <v>30</v>
          </cell>
          <cell r="F625" t="str">
            <v>Yes</v>
          </cell>
          <cell r="G625" t="str">
            <v>OH</v>
          </cell>
          <cell r="H625">
            <v>10</v>
          </cell>
          <cell r="I625">
            <v>0.66500000000000004</v>
          </cell>
          <cell r="J625" t="str">
            <v>Jake McEntee</v>
          </cell>
          <cell r="K625" t="str">
            <v>WENTZVILLE</v>
          </cell>
          <cell r="L625" t="str">
            <v>MO</v>
          </cell>
          <cell r="M625" t="str">
            <v>800-577-8858</v>
          </cell>
          <cell r="N625" t="str">
            <v>All tandem axle trailers must have BRK2</v>
          </cell>
          <cell r="O625">
            <v>575</v>
          </cell>
          <cell r="P625">
            <v>2472.5</v>
          </cell>
          <cell r="Q625">
            <v>729</v>
          </cell>
          <cell r="R625">
            <v>3134.7</v>
          </cell>
          <cell r="S625"/>
          <cell r="T625">
            <v>0</v>
          </cell>
          <cell r="U625">
            <v>555</v>
          </cell>
          <cell r="V625">
            <v>2386.5</v>
          </cell>
          <cell r="W625">
            <v>652</v>
          </cell>
          <cell r="X625">
            <v>2803.6</v>
          </cell>
          <cell r="Y625">
            <v>424</v>
          </cell>
          <cell r="Z625">
            <v>1823.1999999999998</v>
          </cell>
          <cell r="AA625">
            <v>424</v>
          </cell>
          <cell r="AB625">
            <v>1823.1999999999998</v>
          </cell>
          <cell r="AC625">
            <v>424</v>
          </cell>
          <cell r="AD625">
            <v>1823.1999999999998</v>
          </cell>
          <cell r="AE625">
            <v>5.5E-2</v>
          </cell>
          <cell r="AF625"/>
          <cell r="AG625">
            <v>4.8800000000000003E-2</v>
          </cell>
          <cell r="AH625">
            <v>4.8800000000000003E-2</v>
          </cell>
          <cell r="AI625">
            <v>4.8800000000000003E-2</v>
          </cell>
          <cell r="AJ625">
            <v>0.04</v>
          </cell>
          <cell r="AK625" t="str">
            <v>TW</v>
          </cell>
          <cell r="AL625">
            <v>161</v>
          </cell>
          <cell r="AM625">
            <v>394</v>
          </cell>
          <cell r="AN625" t="str">
            <v>04 Co.Store</v>
          </cell>
          <cell r="AO625" t="str">
            <v>Midwest</v>
          </cell>
          <cell r="AP625" t="str">
            <v>Central</v>
          </cell>
          <cell r="AQ625"/>
          <cell r="AR625">
            <v>187891</v>
          </cell>
          <cell r="AS625">
            <v>0</v>
          </cell>
        </row>
        <row r="626">
          <cell r="A626">
            <v>12969</v>
          </cell>
          <cell r="B626" t="str">
            <v>ULTIMATE COATINGS dba REDLINE TRAILER SALES</v>
          </cell>
          <cell r="C626" t="str">
            <v>M10791</v>
          </cell>
          <cell r="D626" t="str">
            <v>NET 5, BT+</v>
          </cell>
          <cell r="E626" t="str">
            <v>F1 - Northpoint</v>
          </cell>
          <cell r="F626" t="str">
            <v>Yes</v>
          </cell>
          <cell r="G626" t="str">
            <v>TX</v>
          </cell>
          <cell r="H626">
            <v>8</v>
          </cell>
          <cell r="I626">
            <v>0.66500000000000004</v>
          </cell>
          <cell r="J626" t="str">
            <v>Lane Davis</v>
          </cell>
          <cell r="K626" t="str">
            <v>SAINT JOSEPH</v>
          </cell>
          <cell r="L626" t="str">
            <v>MO</v>
          </cell>
          <cell r="M626" t="str">
            <v>800-577-8858</v>
          </cell>
          <cell r="N626"/>
          <cell r="O626">
            <v>520</v>
          </cell>
          <cell r="P626">
            <v>2236</v>
          </cell>
          <cell r="Q626">
            <v>1002</v>
          </cell>
          <cell r="R626">
            <v>4308.5999999999995</v>
          </cell>
          <cell r="S626"/>
          <cell r="T626">
            <v>0</v>
          </cell>
          <cell r="U626">
            <v>474</v>
          </cell>
          <cell r="V626">
            <v>2038.1999999999998</v>
          </cell>
          <cell r="W626">
            <v>582</v>
          </cell>
          <cell r="X626">
            <v>2502.6</v>
          </cell>
          <cell r="Y626">
            <v>655</v>
          </cell>
          <cell r="Z626">
            <v>2816.5</v>
          </cell>
          <cell r="AA626">
            <v>655</v>
          </cell>
          <cell r="AB626">
            <v>2816.5</v>
          </cell>
          <cell r="AC626">
            <v>655</v>
          </cell>
          <cell r="AD626">
            <v>2816.5</v>
          </cell>
          <cell r="AE626"/>
          <cell r="AF626"/>
          <cell r="AG626"/>
          <cell r="AH626"/>
          <cell r="AI626"/>
          <cell r="AJ626">
            <v>0.04</v>
          </cell>
          <cell r="AK626" t="str">
            <v>3P</v>
          </cell>
          <cell r="AL626">
            <v>275</v>
          </cell>
          <cell r="AM626">
            <v>394</v>
          </cell>
          <cell r="AN626" t="str">
            <v>01 Existing Dealer</v>
          </cell>
          <cell r="AO626" t="str">
            <v>Midwest</v>
          </cell>
          <cell r="AP626" t="str">
            <v>Central</v>
          </cell>
          <cell r="AQ626"/>
          <cell r="AR626">
            <v>0</v>
          </cell>
          <cell r="AS626">
            <v>0</v>
          </cell>
        </row>
        <row r="627">
          <cell r="A627">
            <v>10588</v>
          </cell>
          <cell r="B627" t="str">
            <v>WOLFE TRAILER SALES</v>
          </cell>
          <cell r="C627" t="str">
            <v>M10456</v>
          </cell>
          <cell r="D627" t="str">
            <v>NET 5, BT+</v>
          </cell>
          <cell r="E627" t="str">
            <v>CO</v>
          </cell>
          <cell r="F627" t="str">
            <v>Yes</v>
          </cell>
          <cell r="G627" t="str">
            <v>OH</v>
          </cell>
          <cell r="H627">
            <v>7</v>
          </cell>
          <cell r="I627">
            <v>0.66500000000000004</v>
          </cell>
          <cell r="J627" t="str">
            <v>Orphaned Acct</v>
          </cell>
          <cell r="K627" t="str">
            <v>LINN</v>
          </cell>
          <cell r="L627" t="str">
            <v>MO</v>
          </cell>
          <cell r="M627" t="str">
            <v>800-577-8858</v>
          </cell>
          <cell r="N627"/>
          <cell r="O627">
            <v>523</v>
          </cell>
          <cell r="P627">
            <v>2248.9</v>
          </cell>
          <cell r="Q627"/>
          <cell r="R627">
            <v>0</v>
          </cell>
          <cell r="S627"/>
          <cell r="T627">
            <v>0</v>
          </cell>
          <cell r="U627">
            <v>500</v>
          </cell>
          <cell r="V627">
            <v>2150</v>
          </cell>
          <cell r="W627">
            <v>608</v>
          </cell>
          <cell r="X627">
            <v>2614.4</v>
          </cell>
          <cell r="Y627">
            <v>496</v>
          </cell>
          <cell r="Z627">
            <v>2132.7999999999997</v>
          </cell>
          <cell r="AA627">
            <v>496</v>
          </cell>
          <cell r="AB627">
            <v>2132.7999999999997</v>
          </cell>
          <cell r="AC627">
            <v>496</v>
          </cell>
          <cell r="AD627">
            <v>2132.7999999999997</v>
          </cell>
          <cell r="AE627"/>
          <cell r="AF627"/>
          <cell r="AG627"/>
          <cell r="AH627"/>
          <cell r="AI627"/>
          <cell r="AJ627">
            <v>0</v>
          </cell>
          <cell r="AK627" t="str">
            <v>3P</v>
          </cell>
          <cell r="AL627">
            <v>213</v>
          </cell>
          <cell r="AM627">
            <v>217</v>
          </cell>
          <cell r="AN627" t="str">
            <v>08 Inactive Dealer</v>
          </cell>
          <cell r="AO627" t="str">
            <v>Midwest</v>
          </cell>
          <cell r="AP627" t="str">
            <v>Central</v>
          </cell>
          <cell r="AQ627"/>
          <cell r="AR627">
            <v>0</v>
          </cell>
          <cell r="AS627">
            <v>0</v>
          </cell>
        </row>
        <row r="628">
          <cell r="A628">
            <v>10943</v>
          </cell>
          <cell r="B628" t="str">
            <v>WOLFE TRAILER SALES</v>
          </cell>
          <cell r="C628" t="str">
            <v>M10456</v>
          </cell>
          <cell r="D628" t="str">
            <v>NET 5, BT+</v>
          </cell>
          <cell r="E628" t="str">
            <v>C6</v>
          </cell>
          <cell r="F628" t="str">
            <v>No</v>
          </cell>
          <cell r="G628" t="str">
            <v>OH</v>
          </cell>
          <cell r="H628">
            <v>6</v>
          </cell>
          <cell r="I628">
            <v>0.68200000000000005</v>
          </cell>
          <cell r="J628" t="str">
            <v>House</v>
          </cell>
          <cell r="K628" t="str">
            <v>LINN</v>
          </cell>
          <cell r="L628" t="str">
            <v>MO</v>
          </cell>
          <cell r="M628" t="str">
            <v>800-577-8858</v>
          </cell>
          <cell r="N628"/>
          <cell r="O628">
            <v>523</v>
          </cell>
          <cell r="P628">
            <v>2248.9</v>
          </cell>
          <cell r="Q628"/>
          <cell r="R628">
            <v>0</v>
          </cell>
          <cell r="S628"/>
          <cell r="T628">
            <v>0</v>
          </cell>
          <cell r="U628">
            <v>503</v>
          </cell>
          <cell r="V628">
            <v>2162.9</v>
          </cell>
          <cell r="W628"/>
          <cell r="X628">
            <v>0</v>
          </cell>
          <cell r="Y628">
            <v>496</v>
          </cell>
          <cell r="Z628">
            <v>2132.7999999999997</v>
          </cell>
          <cell r="AA628">
            <v>496</v>
          </cell>
          <cell r="AB628">
            <v>2132.7999999999997</v>
          </cell>
          <cell r="AC628">
            <v>496</v>
          </cell>
          <cell r="AD628">
            <v>2132.7999999999997</v>
          </cell>
          <cell r="AE628"/>
          <cell r="AF628"/>
          <cell r="AG628"/>
          <cell r="AH628"/>
          <cell r="AI628"/>
          <cell r="AJ628">
            <v>0</v>
          </cell>
          <cell r="AK628" t="str">
            <v>3P</v>
          </cell>
          <cell r="AL628">
            <v>400</v>
          </cell>
          <cell r="AM628">
            <v>217</v>
          </cell>
          <cell r="AN628" t="str">
            <v>08 Inactive Dealer</v>
          </cell>
          <cell r="AO628" t="str">
            <v>Midwest</v>
          </cell>
          <cell r="AP628" t="str">
            <v>Central</v>
          </cell>
          <cell r="AQ628"/>
          <cell r="AR628">
            <v>0</v>
          </cell>
          <cell r="AS628">
            <v>0</v>
          </cell>
        </row>
        <row r="629">
          <cell r="A629">
            <v>12680</v>
          </cell>
          <cell r="B629" t="str">
            <v>WOODWORTH MFG.</v>
          </cell>
          <cell r="C629" t="str">
            <v>M10485</v>
          </cell>
          <cell r="D629" t="str">
            <v>NET 5, BT+</v>
          </cell>
          <cell r="E629" t="str">
            <v>CO</v>
          </cell>
          <cell r="F629" t="str">
            <v>Yes</v>
          </cell>
          <cell r="G629" t="str">
            <v>TX</v>
          </cell>
          <cell r="H629">
            <v>7</v>
          </cell>
          <cell r="I629">
            <v>0.66500000000000004</v>
          </cell>
          <cell r="J629" t="str">
            <v>Orphaned Acct</v>
          </cell>
          <cell r="K629" t="str">
            <v>CHILLICOTHE</v>
          </cell>
          <cell r="L629" t="str">
            <v>MO</v>
          </cell>
          <cell r="M629" t="str">
            <v>800-577-8858</v>
          </cell>
          <cell r="N629"/>
          <cell r="O629">
            <v>556</v>
          </cell>
          <cell r="P629">
            <v>2390.7999999999997</v>
          </cell>
          <cell r="Q629"/>
          <cell r="R629">
            <v>0</v>
          </cell>
          <cell r="S629"/>
          <cell r="T629">
            <v>0</v>
          </cell>
          <cell r="U629">
            <v>510</v>
          </cell>
          <cell r="V629">
            <v>2193</v>
          </cell>
          <cell r="W629">
            <v>618</v>
          </cell>
          <cell r="X629">
            <v>2657.4</v>
          </cell>
          <cell r="Y629">
            <v>584</v>
          </cell>
          <cell r="Z629">
            <v>2511.1999999999998</v>
          </cell>
          <cell r="AA629">
            <v>584</v>
          </cell>
          <cell r="AB629">
            <v>2511.1999999999998</v>
          </cell>
          <cell r="AC629">
            <v>584</v>
          </cell>
          <cell r="AD629">
            <v>2511.1999999999998</v>
          </cell>
          <cell r="AE629"/>
          <cell r="AF629"/>
          <cell r="AG629"/>
          <cell r="AH629"/>
          <cell r="AI629"/>
          <cell r="AJ629">
            <v>0</v>
          </cell>
          <cell r="AK629" t="str">
            <v>3P</v>
          </cell>
          <cell r="AL629">
            <v>213</v>
          </cell>
          <cell r="AM629">
            <v>226</v>
          </cell>
          <cell r="AN629" t="str">
            <v>08 Inactive Dealer</v>
          </cell>
          <cell r="AO629" t="str">
            <v>Midwest</v>
          </cell>
          <cell r="AP629" t="str">
            <v>Central</v>
          </cell>
          <cell r="AQ629"/>
          <cell r="AR629">
            <v>0</v>
          </cell>
          <cell r="AS629">
            <v>0</v>
          </cell>
        </row>
        <row r="630">
          <cell r="A630" t="str">
            <v>13397G</v>
          </cell>
          <cell r="B630" t="str">
            <v>BCMS / SILVERLINE</v>
          </cell>
          <cell r="C630" t="str">
            <v>M11363</v>
          </cell>
          <cell r="D630" t="str">
            <v>Return Mail, no pink card</v>
          </cell>
          <cell r="E630" t="str">
            <v>F3 - Wells Fargo</v>
          </cell>
          <cell r="F630" t="str">
            <v>Yes</v>
          </cell>
          <cell r="G630" t="str">
            <v>TX</v>
          </cell>
          <cell r="H630">
            <v>8</v>
          </cell>
          <cell r="I630">
            <v>0.66500000000000004</v>
          </cell>
          <cell r="J630" t="str">
            <v>Trent Evans</v>
          </cell>
          <cell r="K630" t="str">
            <v>PALMYRA</v>
          </cell>
          <cell r="L630" t="str">
            <v>MO</v>
          </cell>
          <cell r="M630" t="str">
            <v>800-577-8858</v>
          </cell>
          <cell r="N630"/>
          <cell r="O630">
            <v>661</v>
          </cell>
          <cell r="P630">
            <v>2842.2999999999997</v>
          </cell>
          <cell r="Q630">
            <v>823</v>
          </cell>
          <cell r="R630">
            <v>3538.8999999999996</v>
          </cell>
          <cell r="S630"/>
          <cell r="T630">
            <v>0</v>
          </cell>
          <cell r="U630">
            <v>594</v>
          </cell>
          <cell r="V630">
            <v>2554.1999999999998</v>
          </cell>
          <cell r="W630">
            <v>667</v>
          </cell>
          <cell r="X630">
            <v>2868.1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/>
          <cell r="AF630"/>
          <cell r="AG630"/>
          <cell r="AH630"/>
          <cell r="AI630"/>
          <cell r="AJ630">
            <v>0.03</v>
          </cell>
          <cell r="AK630" t="str">
            <v>3P</v>
          </cell>
          <cell r="AL630">
            <v>226</v>
          </cell>
          <cell r="AM630">
            <v>367</v>
          </cell>
          <cell r="AN630" t="str">
            <v>01 Existing Dealer</v>
          </cell>
          <cell r="AO630" t="str">
            <v>Midwest</v>
          </cell>
          <cell r="AP630" t="str">
            <v>Central</v>
          </cell>
          <cell r="AQ630"/>
          <cell r="AR630">
            <v>0</v>
          </cell>
          <cell r="AS630">
            <v>0</v>
          </cell>
        </row>
        <row r="631">
          <cell r="A631">
            <v>13148</v>
          </cell>
          <cell r="B631" t="str">
            <v>ABSOLUTE AUTO SALES INC</v>
          </cell>
          <cell r="C631" t="str">
            <v>M11082</v>
          </cell>
          <cell r="D631" t="str">
            <v>NET 5, BT+</v>
          </cell>
          <cell r="E631" t="str">
            <v>FP - Wells Fargo</v>
          </cell>
          <cell r="F631" t="str">
            <v>Yes</v>
          </cell>
          <cell r="G631" t="str">
            <v>TX</v>
          </cell>
          <cell r="H631">
            <v>7</v>
          </cell>
          <cell r="I631">
            <v>0.66500000000000004</v>
          </cell>
          <cell r="J631" t="str">
            <v>Orphaned Acct</v>
          </cell>
          <cell r="K631" t="str">
            <v>CORINTH</v>
          </cell>
          <cell r="L631" t="str">
            <v>MS</v>
          </cell>
          <cell r="M631" t="str">
            <v>800-577-8858</v>
          </cell>
          <cell r="N631"/>
          <cell r="O631">
            <v>431</v>
          </cell>
          <cell r="P631">
            <v>1853.3</v>
          </cell>
          <cell r="Q631">
            <v>467</v>
          </cell>
          <cell r="R631">
            <v>2008.1</v>
          </cell>
          <cell r="S631"/>
          <cell r="T631">
            <v>0</v>
          </cell>
          <cell r="U631">
            <v>528</v>
          </cell>
          <cell r="V631">
            <v>2270.4</v>
          </cell>
          <cell r="W631">
            <v>512</v>
          </cell>
          <cell r="X631">
            <v>2201.6</v>
          </cell>
          <cell r="Y631"/>
          <cell r="Z631">
            <v>0</v>
          </cell>
          <cell r="AA631"/>
          <cell r="AB631">
            <v>0</v>
          </cell>
          <cell r="AC631"/>
          <cell r="AD631">
            <v>0</v>
          </cell>
          <cell r="AE631"/>
          <cell r="AF631"/>
          <cell r="AG631"/>
          <cell r="AH631"/>
          <cell r="AI631"/>
          <cell r="AJ631">
            <v>0</v>
          </cell>
          <cell r="AK631" t="str">
            <v>3P</v>
          </cell>
          <cell r="AL631">
            <v>213</v>
          </cell>
          <cell r="AM631">
            <v>449</v>
          </cell>
          <cell r="AN631" t="str">
            <v>01 Existing Dealer</v>
          </cell>
          <cell r="AO631" t="str">
            <v>South Central</v>
          </cell>
          <cell r="AP631" t="str">
            <v>South</v>
          </cell>
          <cell r="AQ631"/>
          <cell r="AR631">
            <v>0</v>
          </cell>
          <cell r="AS631">
            <v>0</v>
          </cell>
        </row>
        <row r="632">
          <cell r="A632">
            <v>13013</v>
          </cell>
          <cell r="B632" t="str">
            <v>AERIAL TRUCK EQUIPMENT CO INC</v>
          </cell>
          <cell r="C632" t="str">
            <v>M10638</v>
          </cell>
          <cell r="D632" t="str">
            <v>NET 5, BT+</v>
          </cell>
          <cell r="E632" t="str">
            <v>CO</v>
          </cell>
          <cell r="F632" t="str">
            <v>Yes</v>
          </cell>
          <cell r="G632" t="str">
            <v>TX</v>
          </cell>
          <cell r="H632">
            <v>7</v>
          </cell>
          <cell r="I632">
            <v>0.66500000000000004</v>
          </cell>
          <cell r="J632" t="str">
            <v>JL Smith</v>
          </cell>
          <cell r="K632" t="str">
            <v>OLIVE BRANCH</v>
          </cell>
          <cell r="L632" t="str">
            <v>MS</v>
          </cell>
          <cell r="M632" t="str">
            <v>800-577-8858</v>
          </cell>
          <cell r="N632"/>
          <cell r="O632">
            <v>358</v>
          </cell>
          <cell r="P632">
            <v>1539.3999999999999</v>
          </cell>
          <cell r="Q632">
            <v>504</v>
          </cell>
          <cell r="R632">
            <v>2167.1999999999998</v>
          </cell>
          <cell r="S632"/>
          <cell r="T632">
            <v>0</v>
          </cell>
          <cell r="U632">
            <v>454</v>
          </cell>
          <cell r="V632">
            <v>1952.1999999999998</v>
          </cell>
          <cell r="W632">
            <v>438</v>
          </cell>
          <cell r="X632">
            <v>1883.3999999999999</v>
          </cell>
          <cell r="Y632"/>
          <cell r="Z632">
            <v>0</v>
          </cell>
          <cell r="AA632"/>
          <cell r="AB632">
            <v>0</v>
          </cell>
          <cell r="AC632"/>
          <cell r="AD632">
            <v>0</v>
          </cell>
          <cell r="AE632"/>
          <cell r="AF632"/>
          <cell r="AG632"/>
          <cell r="AH632"/>
          <cell r="AI632"/>
          <cell r="AJ632">
            <v>0</v>
          </cell>
          <cell r="AK632" t="str">
            <v>3P</v>
          </cell>
          <cell r="AL632">
            <v>151</v>
          </cell>
          <cell r="AM632">
            <v>290</v>
          </cell>
          <cell r="AN632" t="str">
            <v>01 Existing Dealer</v>
          </cell>
          <cell r="AO632" t="str">
            <v>South Central</v>
          </cell>
          <cell r="AP632" t="str">
            <v>South</v>
          </cell>
          <cell r="AQ632"/>
          <cell r="AR632">
            <v>0</v>
          </cell>
          <cell r="AS632">
            <v>0</v>
          </cell>
        </row>
        <row r="633">
          <cell r="A633">
            <v>13243</v>
          </cell>
          <cell r="B633" t="str">
            <v>CIRCLE C TRACTOR LLC</v>
          </cell>
          <cell r="C633" t="str">
            <v>M11078</v>
          </cell>
          <cell r="D633" t="str">
            <v>NET 5, BT+</v>
          </cell>
          <cell r="E633" t="str">
            <v>F3 - Wells Fargo</v>
          </cell>
          <cell r="F633" t="str">
            <v>Yes</v>
          </cell>
          <cell r="G633" t="str">
            <v>TX</v>
          </cell>
          <cell r="H633">
            <v>8</v>
          </cell>
          <cell r="I633">
            <v>0.66500000000000004</v>
          </cell>
          <cell r="J633" t="str">
            <v>Orphaned Acct</v>
          </cell>
          <cell r="K633" t="str">
            <v>WAYNESBORO</v>
          </cell>
          <cell r="L633" t="str">
            <v>MS</v>
          </cell>
          <cell r="M633" t="str">
            <v>800-577-8858</v>
          </cell>
          <cell r="N633" t="str">
            <v>Override terms to F3 until the end of their initial order</v>
          </cell>
          <cell r="O633">
            <v>436</v>
          </cell>
          <cell r="P633">
            <v>1874.8</v>
          </cell>
          <cell r="Q633">
            <v>362</v>
          </cell>
          <cell r="R633">
            <v>1556.6</v>
          </cell>
          <cell r="S633"/>
          <cell r="T633">
            <v>0</v>
          </cell>
          <cell r="U633">
            <v>593</v>
          </cell>
          <cell r="V633">
            <v>2549.9</v>
          </cell>
          <cell r="W633">
            <v>475</v>
          </cell>
          <cell r="X633">
            <v>2042.5</v>
          </cell>
          <cell r="Y633"/>
          <cell r="Z633">
            <v>0</v>
          </cell>
          <cell r="AA633"/>
          <cell r="AB633">
            <v>0</v>
          </cell>
          <cell r="AC633"/>
          <cell r="AD633">
            <v>0</v>
          </cell>
          <cell r="AE633"/>
          <cell r="AF633"/>
          <cell r="AG633"/>
          <cell r="AH633"/>
          <cell r="AI633"/>
          <cell r="AJ633">
            <v>0</v>
          </cell>
          <cell r="AK633" t="str">
            <v>3P</v>
          </cell>
          <cell r="AL633">
            <v>213</v>
          </cell>
          <cell r="AM633">
            <v>292</v>
          </cell>
          <cell r="AN633" t="str">
            <v>02 Ramping</v>
          </cell>
          <cell r="AO633" t="str">
            <v>South Central</v>
          </cell>
          <cell r="AP633" t="str">
            <v>South</v>
          </cell>
          <cell r="AQ633"/>
          <cell r="AR633">
            <v>0</v>
          </cell>
          <cell r="AS633">
            <v>0</v>
          </cell>
        </row>
        <row r="634">
          <cell r="A634">
            <v>11208</v>
          </cell>
          <cell r="B634" t="str">
            <v>DIXIE TRACTOR SALES &amp; SERVICE</v>
          </cell>
          <cell r="C634" t="str">
            <v>M10182</v>
          </cell>
          <cell r="D634" t="str">
            <v>NET 5, BT+</v>
          </cell>
          <cell r="E634" t="str">
            <v>FP - Wells Fargo</v>
          </cell>
          <cell r="F634" t="str">
            <v>Yes</v>
          </cell>
          <cell r="G634" t="str">
            <v>TX</v>
          </cell>
          <cell r="H634">
            <v>8</v>
          </cell>
          <cell r="I634">
            <v>0.66500000000000004</v>
          </cell>
          <cell r="J634" t="str">
            <v>Orphaned Acct</v>
          </cell>
          <cell r="K634" t="str">
            <v>LAUREL</v>
          </cell>
          <cell r="L634" t="str">
            <v>MS</v>
          </cell>
          <cell r="M634" t="str">
            <v>800-577-8858</v>
          </cell>
          <cell r="N634"/>
          <cell r="O634">
            <v>408</v>
          </cell>
          <cell r="P634">
            <v>1754.3999999999999</v>
          </cell>
          <cell r="Q634">
            <v>396</v>
          </cell>
          <cell r="R634">
            <v>1702.8</v>
          </cell>
          <cell r="S634"/>
          <cell r="T634">
            <v>0</v>
          </cell>
          <cell r="U634">
            <v>571</v>
          </cell>
          <cell r="V634">
            <v>2455.2999999999997</v>
          </cell>
          <cell r="W634">
            <v>447</v>
          </cell>
          <cell r="X634">
            <v>1922.1</v>
          </cell>
          <cell r="Y634"/>
          <cell r="Z634">
            <v>0</v>
          </cell>
          <cell r="AA634"/>
          <cell r="AB634">
            <v>0</v>
          </cell>
          <cell r="AC634"/>
          <cell r="AD634">
            <v>0</v>
          </cell>
          <cell r="AE634"/>
          <cell r="AF634"/>
          <cell r="AG634"/>
          <cell r="AH634"/>
          <cell r="AI634"/>
          <cell r="AJ634">
            <v>0</v>
          </cell>
          <cell r="AK634" t="str">
            <v>3P</v>
          </cell>
          <cell r="AL634">
            <v>213</v>
          </cell>
          <cell r="AM634">
            <v>246</v>
          </cell>
          <cell r="AN634" t="str">
            <v>08 Inactive Dealer</v>
          </cell>
          <cell r="AO634" t="str">
            <v>South Central</v>
          </cell>
          <cell r="AP634" t="str">
            <v>South</v>
          </cell>
          <cell r="AQ634"/>
          <cell r="AR634">
            <v>0</v>
          </cell>
          <cell r="AS634">
            <v>0</v>
          </cell>
        </row>
        <row r="635">
          <cell r="A635">
            <v>13649</v>
          </cell>
          <cell r="B635" t="str">
            <v>H&amp;H CHIEF SALES</v>
          </cell>
          <cell r="C635" t="str">
            <v>M10794</v>
          </cell>
          <cell r="D635" t="str">
            <v>NET 5, BT+</v>
          </cell>
          <cell r="E635" t="str">
            <v>F1 - Northpoint</v>
          </cell>
          <cell r="F635" t="str">
            <v>Yes</v>
          </cell>
          <cell r="G635" t="str">
            <v>TX</v>
          </cell>
          <cell r="H635">
            <v>8</v>
          </cell>
          <cell r="I635">
            <v>0.66500000000000004</v>
          </cell>
          <cell r="J635" t="str">
            <v>Dakota Nation</v>
          </cell>
          <cell r="K635" t="str">
            <v>CARTHAGE</v>
          </cell>
          <cell r="L635" t="str">
            <v>MS</v>
          </cell>
          <cell r="M635" t="str">
            <v>800-577-8858</v>
          </cell>
          <cell r="N635"/>
          <cell r="O635">
            <v>383</v>
          </cell>
          <cell r="P635">
            <v>1646.8999999999999</v>
          </cell>
          <cell r="Q635">
            <v>417</v>
          </cell>
          <cell r="R635">
            <v>1793.1</v>
          </cell>
          <cell r="S635"/>
          <cell r="T635">
            <v>0</v>
          </cell>
          <cell r="U635">
            <v>537</v>
          </cell>
          <cell r="V635">
            <v>2309.1</v>
          </cell>
          <cell r="W635">
            <v>416</v>
          </cell>
          <cell r="X635">
            <v>1788.8</v>
          </cell>
          <cell r="Y635"/>
          <cell r="Z635">
            <v>0</v>
          </cell>
          <cell r="AA635">
            <v>669</v>
          </cell>
          <cell r="AB635">
            <v>2876.7</v>
          </cell>
          <cell r="AC635">
            <v>669</v>
          </cell>
          <cell r="AD635">
            <v>2876.7</v>
          </cell>
          <cell r="AE635"/>
          <cell r="AF635"/>
          <cell r="AG635"/>
          <cell r="AH635"/>
          <cell r="AI635"/>
          <cell r="AJ635">
            <v>0</v>
          </cell>
          <cell r="AK635" t="str">
            <v>3P</v>
          </cell>
          <cell r="AL635">
            <v>223</v>
          </cell>
          <cell r="AM635">
            <v>210</v>
          </cell>
          <cell r="AN635" t="str">
            <v>03 New Dealer</v>
          </cell>
          <cell r="AO635" t="str">
            <v>South Central</v>
          </cell>
          <cell r="AP635" t="str">
            <v>South</v>
          </cell>
          <cell r="AQ635"/>
          <cell r="AR635">
            <v>0</v>
          </cell>
          <cell r="AS635">
            <v>0</v>
          </cell>
          <cell r="AT635"/>
        </row>
        <row r="636">
          <cell r="A636" t="str">
            <v>11977A</v>
          </cell>
          <cell r="B636" t="str">
            <v>LEWIS</v>
          </cell>
          <cell r="C636" t="str">
            <v>M10263</v>
          </cell>
          <cell r="D636" t="str">
            <v>Return Mail, no pink card</v>
          </cell>
          <cell r="E636" t="str">
            <v>F1 - Northpoint</v>
          </cell>
          <cell r="F636" t="str">
            <v>Yes</v>
          </cell>
          <cell r="G636" t="str">
            <v>TX</v>
          </cell>
          <cell r="H636">
            <v>8</v>
          </cell>
          <cell r="I636">
            <v>0.66500000000000004</v>
          </cell>
          <cell r="J636" t="str">
            <v>Trent Evans</v>
          </cell>
          <cell r="K636" t="str">
            <v>SAUCIER</v>
          </cell>
          <cell r="L636" t="str">
            <v>MS</v>
          </cell>
          <cell r="M636" t="str">
            <v>800-577-8858</v>
          </cell>
          <cell r="N636"/>
          <cell r="O636">
            <v>459</v>
          </cell>
          <cell r="P636">
            <v>1973.6999999999998</v>
          </cell>
          <cell r="Q636">
            <v>424</v>
          </cell>
          <cell r="R636">
            <v>1823.1999999999998</v>
          </cell>
          <cell r="S636"/>
          <cell r="T636">
            <v>0</v>
          </cell>
          <cell r="U636">
            <v>622</v>
          </cell>
          <cell r="V636">
            <v>2674.6</v>
          </cell>
          <cell r="W636">
            <v>498</v>
          </cell>
          <cell r="X636">
            <v>2141.4</v>
          </cell>
          <cell r="Y636"/>
          <cell r="Z636">
            <v>0</v>
          </cell>
          <cell r="AA636"/>
          <cell r="AB636">
            <v>0</v>
          </cell>
          <cell r="AC636"/>
          <cell r="AD636">
            <v>0</v>
          </cell>
          <cell r="AE636"/>
          <cell r="AF636"/>
          <cell r="AG636"/>
          <cell r="AH636"/>
          <cell r="AI636"/>
          <cell r="AJ636">
            <v>0.03</v>
          </cell>
          <cell r="AK636" t="str">
            <v>3P</v>
          </cell>
          <cell r="AL636">
            <v>226</v>
          </cell>
          <cell r="AM636">
            <v>42</v>
          </cell>
          <cell r="AN636" t="str">
            <v>01 Existing Dealer</v>
          </cell>
          <cell r="AO636" t="str">
            <v>South Central</v>
          </cell>
          <cell r="AP636" t="str">
            <v>South</v>
          </cell>
          <cell r="AQ636"/>
          <cell r="AR636">
            <v>0</v>
          </cell>
          <cell r="AS636">
            <v>0</v>
          </cell>
        </row>
        <row r="637">
          <cell r="A637" t="str">
            <v>11988A</v>
          </cell>
          <cell r="B637" t="str">
            <v>LEWIS</v>
          </cell>
          <cell r="C637" t="str">
            <v>M10263</v>
          </cell>
          <cell r="D637" t="str">
            <v>Return Mail, no pink card</v>
          </cell>
          <cell r="E637" t="str">
            <v>On Hold</v>
          </cell>
          <cell r="F637" t="str">
            <v>Yes</v>
          </cell>
          <cell r="G637" t="str">
            <v>TX</v>
          </cell>
          <cell r="H637">
            <v>9</v>
          </cell>
          <cell r="I637">
            <v>0.68200000000000005</v>
          </cell>
          <cell r="J637" t="str">
            <v>Orphaned Acct</v>
          </cell>
          <cell r="K637" t="str">
            <v>SAUCIER</v>
          </cell>
          <cell r="L637" t="str">
            <v>MS</v>
          </cell>
          <cell r="M637" t="str">
            <v>800-577-8858</v>
          </cell>
          <cell r="N637"/>
          <cell r="O637">
            <v>459</v>
          </cell>
          <cell r="P637">
            <v>1973.6999999999998</v>
          </cell>
          <cell r="Q637">
            <v>424</v>
          </cell>
          <cell r="R637">
            <v>1823.1999999999998</v>
          </cell>
          <cell r="S637"/>
          <cell r="T637">
            <v>0</v>
          </cell>
          <cell r="U637">
            <v>622</v>
          </cell>
          <cell r="V637">
            <v>2674.6</v>
          </cell>
          <cell r="W637">
            <v>498</v>
          </cell>
          <cell r="X637">
            <v>2141.4</v>
          </cell>
          <cell r="Y637"/>
          <cell r="Z637">
            <v>0</v>
          </cell>
          <cell r="AA637"/>
          <cell r="AB637">
            <v>0</v>
          </cell>
          <cell r="AC637"/>
          <cell r="AD637">
            <v>0</v>
          </cell>
          <cell r="AE637"/>
          <cell r="AF637"/>
          <cell r="AG637"/>
          <cell r="AH637"/>
          <cell r="AI637"/>
          <cell r="AJ637">
            <v>0.03</v>
          </cell>
          <cell r="AK637" t="str">
            <v>3P</v>
          </cell>
          <cell r="AL637">
            <v>213</v>
          </cell>
          <cell r="AM637">
            <v>42</v>
          </cell>
          <cell r="AN637" t="str">
            <v>01 Existing Dealer</v>
          </cell>
          <cell r="AO637" t="str">
            <v>South Central</v>
          </cell>
          <cell r="AP637" t="str">
            <v>South</v>
          </cell>
          <cell r="AQ637"/>
          <cell r="AR637">
            <v>0</v>
          </cell>
          <cell r="AS637">
            <v>0</v>
          </cell>
        </row>
        <row r="638">
          <cell r="A638" t="str">
            <v>12919A</v>
          </cell>
          <cell r="B638" t="str">
            <v>LEWIS</v>
          </cell>
          <cell r="C638" t="str">
            <v>M10263</v>
          </cell>
          <cell r="D638" t="str">
            <v>Return Mail, no pink card</v>
          </cell>
          <cell r="E638" t="str">
            <v>X</v>
          </cell>
          <cell r="F638" t="str">
            <v>Yes</v>
          </cell>
          <cell r="G638" t="str">
            <v>TX</v>
          </cell>
          <cell r="H638">
            <v>5</v>
          </cell>
          <cell r="I638">
            <v>0.66500000000000004</v>
          </cell>
          <cell r="J638" t="str">
            <v>Trent Evans</v>
          </cell>
          <cell r="K638" t="str">
            <v>SAUCIER</v>
          </cell>
          <cell r="L638" t="str">
            <v>MS</v>
          </cell>
          <cell r="M638" t="str">
            <v>800-577-8858</v>
          </cell>
          <cell r="N638"/>
          <cell r="O638">
            <v>459</v>
          </cell>
          <cell r="P638">
            <v>1973.6999999999998</v>
          </cell>
          <cell r="Q638">
            <v>424</v>
          </cell>
          <cell r="R638">
            <v>1823.1999999999998</v>
          </cell>
          <cell r="S638"/>
          <cell r="T638">
            <v>0</v>
          </cell>
          <cell r="U638">
            <v>622</v>
          </cell>
          <cell r="V638">
            <v>2674.6</v>
          </cell>
          <cell r="W638">
            <v>498</v>
          </cell>
          <cell r="X638">
            <v>2141.4</v>
          </cell>
          <cell r="Y638"/>
          <cell r="Z638">
            <v>0</v>
          </cell>
          <cell r="AA638"/>
          <cell r="AB638">
            <v>0</v>
          </cell>
          <cell r="AC638"/>
          <cell r="AD638">
            <v>0</v>
          </cell>
          <cell r="AE638"/>
          <cell r="AF638"/>
          <cell r="AG638"/>
          <cell r="AH638"/>
          <cell r="AI638"/>
          <cell r="AJ638">
            <v>0.03</v>
          </cell>
          <cell r="AK638" t="str">
            <v>3P</v>
          </cell>
          <cell r="AL638">
            <v>226</v>
          </cell>
          <cell r="AM638">
            <v>42</v>
          </cell>
          <cell r="AN638" t="str">
            <v>01 Existing Dealer</v>
          </cell>
          <cell r="AO638" t="str">
            <v>South Central</v>
          </cell>
          <cell r="AP638" t="str">
            <v>South</v>
          </cell>
          <cell r="AQ638"/>
          <cell r="AR638">
            <v>0</v>
          </cell>
          <cell r="AS638">
            <v>0</v>
          </cell>
          <cell r="AT638"/>
        </row>
        <row r="639">
          <cell r="A639">
            <v>11977</v>
          </cell>
          <cell r="B639" t="str">
            <v>LEWIS</v>
          </cell>
          <cell r="C639" t="str">
            <v>M10263</v>
          </cell>
          <cell r="D639" t="str">
            <v>Return Mail, no pink card</v>
          </cell>
          <cell r="E639" t="str">
            <v>F1 - Northpoint</v>
          </cell>
          <cell r="F639" t="str">
            <v>Yes</v>
          </cell>
          <cell r="G639" t="str">
            <v>TX</v>
          </cell>
          <cell r="H639">
            <v>8</v>
          </cell>
          <cell r="I639">
            <v>0.66500000000000004</v>
          </cell>
          <cell r="J639" t="str">
            <v>Trent Evans</v>
          </cell>
          <cell r="K639" t="str">
            <v>TERRY</v>
          </cell>
          <cell r="L639" t="str">
            <v>MS</v>
          </cell>
          <cell r="M639" t="str">
            <v>800-577-8858</v>
          </cell>
          <cell r="N639"/>
          <cell r="O639">
            <v>333</v>
          </cell>
          <cell r="P639">
            <v>1431.8999999999999</v>
          </cell>
          <cell r="Q639">
            <v>441</v>
          </cell>
          <cell r="R639">
            <v>1896.3</v>
          </cell>
          <cell r="S639"/>
          <cell r="T639">
            <v>0</v>
          </cell>
          <cell r="U639">
            <v>496</v>
          </cell>
          <cell r="V639">
            <v>2132.7999999999997</v>
          </cell>
          <cell r="W639">
            <v>372</v>
          </cell>
          <cell r="X639">
            <v>1599.6</v>
          </cell>
          <cell r="Y639"/>
          <cell r="Z639">
            <v>0</v>
          </cell>
          <cell r="AA639"/>
          <cell r="AB639">
            <v>0</v>
          </cell>
          <cell r="AC639"/>
          <cell r="AD639">
            <v>0</v>
          </cell>
          <cell r="AE639"/>
          <cell r="AF639"/>
          <cell r="AG639"/>
          <cell r="AH639"/>
          <cell r="AI639"/>
          <cell r="AJ639">
            <v>0.03</v>
          </cell>
          <cell r="AK639" t="str">
            <v>3P</v>
          </cell>
          <cell r="AL639">
            <v>226</v>
          </cell>
          <cell r="AM639">
            <v>210</v>
          </cell>
          <cell r="AN639" t="str">
            <v>01 Existing Dealer</v>
          </cell>
          <cell r="AO639" t="str">
            <v>South Central</v>
          </cell>
          <cell r="AP639" t="str">
            <v>South</v>
          </cell>
          <cell r="AQ639"/>
          <cell r="AR639">
            <v>163825</v>
          </cell>
          <cell r="AS639">
            <v>134593</v>
          </cell>
          <cell r="AT639"/>
        </row>
        <row r="640">
          <cell r="A640">
            <v>11988</v>
          </cell>
          <cell r="B640" t="str">
            <v>LEWIS</v>
          </cell>
          <cell r="C640" t="str">
            <v>M10263</v>
          </cell>
          <cell r="D640" t="str">
            <v>Return Mail, no pink card</v>
          </cell>
          <cell r="E640" t="str">
            <v>On Hold</v>
          </cell>
          <cell r="F640" t="str">
            <v>Yes</v>
          </cell>
          <cell r="G640" t="str">
            <v>TX</v>
          </cell>
          <cell r="H640">
            <v>9</v>
          </cell>
          <cell r="I640">
            <v>0.68200000000000005</v>
          </cell>
          <cell r="J640" t="str">
            <v>Orphaned Acct</v>
          </cell>
          <cell r="K640" t="str">
            <v>TERRY</v>
          </cell>
          <cell r="L640" t="str">
            <v>MS</v>
          </cell>
          <cell r="M640" t="str">
            <v>800-577-8858</v>
          </cell>
          <cell r="N640"/>
          <cell r="O640">
            <v>333</v>
          </cell>
          <cell r="P640">
            <v>1431.8999999999999</v>
          </cell>
          <cell r="Q640">
            <v>441</v>
          </cell>
          <cell r="R640">
            <v>1896.3</v>
          </cell>
          <cell r="S640"/>
          <cell r="T640">
            <v>0</v>
          </cell>
          <cell r="U640">
            <v>496</v>
          </cell>
          <cell r="V640">
            <v>2132.7999999999997</v>
          </cell>
          <cell r="W640">
            <v>372</v>
          </cell>
          <cell r="X640">
            <v>1599.6</v>
          </cell>
          <cell r="Y640"/>
          <cell r="Z640">
            <v>0</v>
          </cell>
          <cell r="AA640"/>
          <cell r="AB640">
            <v>0</v>
          </cell>
          <cell r="AC640"/>
          <cell r="AD640">
            <v>0</v>
          </cell>
          <cell r="AE640"/>
          <cell r="AF640"/>
          <cell r="AG640"/>
          <cell r="AH640"/>
          <cell r="AI640"/>
          <cell r="AJ640">
            <v>0.03</v>
          </cell>
          <cell r="AK640" t="str">
            <v>3P</v>
          </cell>
          <cell r="AL640">
            <v>213</v>
          </cell>
          <cell r="AM640">
            <v>210</v>
          </cell>
          <cell r="AN640" t="str">
            <v>01 Existing Dealer</v>
          </cell>
          <cell r="AO640" t="str">
            <v>South Central</v>
          </cell>
          <cell r="AP640" t="str">
            <v>South</v>
          </cell>
          <cell r="AQ640"/>
          <cell r="AR640">
            <v>0</v>
          </cell>
          <cell r="AS640">
            <v>0</v>
          </cell>
          <cell r="AT640"/>
        </row>
        <row r="641">
          <cell r="A641">
            <v>12919</v>
          </cell>
          <cell r="B641" t="str">
            <v>LEWIS</v>
          </cell>
          <cell r="C641" t="str">
            <v>M10263</v>
          </cell>
          <cell r="D641" t="str">
            <v>Return Mail, no pink card</v>
          </cell>
          <cell r="E641" t="str">
            <v>X</v>
          </cell>
          <cell r="F641" t="str">
            <v>Yes</v>
          </cell>
          <cell r="G641" t="str">
            <v>TX</v>
          </cell>
          <cell r="H641">
            <v>5</v>
          </cell>
          <cell r="I641">
            <v>0.66500000000000004</v>
          </cell>
          <cell r="J641" t="str">
            <v>Trent Evans</v>
          </cell>
          <cell r="K641" t="str">
            <v>TERRY</v>
          </cell>
          <cell r="L641" t="str">
            <v>MS</v>
          </cell>
          <cell r="M641" t="str">
            <v>800-577-8858</v>
          </cell>
          <cell r="N641"/>
          <cell r="O641">
            <v>333</v>
          </cell>
          <cell r="P641">
            <v>1431.8999999999999</v>
          </cell>
          <cell r="Q641">
            <v>441</v>
          </cell>
          <cell r="R641">
            <v>1896.3</v>
          </cell>
          <cell r="S641"/>
          <cell r="T641">
            <v>0</v>
          </cell>
          <cell r="U641">
            <v>496</v>
          </cell>
          <cell r="V641">
            <v>2132.7999999999997</v>
          </cell>
          <cell r="W641">
            <v>372</v>
          </cell>
          <cell r="X641">
            <v>1599.6</v>
          </cell>
          <cell r="Y641"/>
          <cell r="Z641">
            <v>0</v>
          </cell>
          <cell r="AA641"/>
          <cell r="AB641">
            <v>0</v>
          </cell>
          <cell r="AC641"/>
          <cell r="AD641">
            <v>0</v>
          </cell>
          <cell r="AE641"/>
          <cell r="AF641"/>
          <cell r="AG641"/>
          <cell r="AH641"/>
          <cell r="AI641"/>
          <cell r="AJ641">
            <v>0.03</v>
          </cell>
          <cell r="AK641" t="str">
            <v>3P</v>
          </cell>
          <cell r="AL641">
            <v>226</v>
          </cell>
          <cell r="AM641">
            <v>210</v>
          </cell>
          <cell r="AN641" t="str">
            <v>01 Existing Dealer</v>
          </cell>
          <cell r="AO641" t="str">
            <v>South Central</v>
          </cell>
          <cell r="AP641" t="str">
            <v>South</v>
          </cell>
          <cell r="AQ641"/>
          <cell r="AR641">
            <v>0</v>
          </cell>
          <cell r="AS641">
            <v>0</v>
          </cell>
        </row>
        <row r="642">
          <cell r="A642">
            <v>13117</v>
          </cell>
          <cell r="B642" t="str">
            <v>MC TRAILER SALES, LLC</v>
          </cell>
          <cell r="C642" t="str">
            <v>M11025</v>
          </cell>
          <cell r="D642" t="str">
            <v>NET 5, BT+</v>
          </cell>
          <cell r="E642" t="str">
            <v>F4 - Wells Fargo</v>
          </cell>
          <cell r="F642" t="str">
            <v>Yes</v>
          </cell>
          <cell r="G642" t="str">
            <v>TX</v>
          </cell>
          <cell r="H642">
            <v>8</v>
          </cell>
          <cell r="I642">
            <v>0.66500000000000004</v>
          </cell>
          <cell r="J642" t="str">
            <v>Lane Davis</v>
          </cell>
          <cell r="K642" t="str">
            <v>BRANDON</v>
          </cell>
          <cell r="L642" t="str">
            <v>MS</v>
          </cell>
          <cell r="M642" t="str">
            <v>800-577-8858</v>
          </cell>
          <cell r="N642"/>
          <cell r="O642">
            <v>334</v>
          </cell>
          <cell r="P642">
            <v>1436.2</v>
          </cell>
          <cell r="Q642"/>
          <cell r="R642">
            <v>0</v>
          </cell>
          <cell r="S642"/>
          <cell r="T642">
            <v>0</v>
          </cell>
          <cell r="U642">
            <v>497</v>
          </cell>
          <cell r="V642">
            <v>2137.1</v>
          </cell>
          <cell r="W642">
            <v>373</v>
          </cell>
          <cell r="X642">
            <v>1603.8999999999999</v>
          </cell>
          <cell r="Y642"/>
          <cell r="Z642">
            <v>0</v>
          </cell>
          <cell r="AA642"/>
          <cell r="AB642">
            <v>0</v>
          </cell>
          <cell r="AC642"/>
          <cell r="AD642">
            <v>0</v>
          </cell>
          <cell r="AE642"/>
          <cell r="AF642"/>
          <cell r="AG642"/>
          <cell r="AH642"/>
          <cell r="AI642"/>
          <cell r="AJ642">
            <v>0</v>
          </cell>
          <cell r="AK642" t="str">
            <v>3P</v>
          </cell>
          <cell r="AL642">
            <v>275</v>
          </cell>
          <cell r="AM642">
            <v>210</v>
          </cell>
          <cell r="AN642" t="str">
            <v>01 Existing Dealer</v>
          </cell>
          <cell r="AO642" t="str">
            <v>South Central</v>
          </cell>
          <cell r="AP642" t="str">
            <v>South</v>
          </cell>
          <cell r="AQ642"/>
          <cell r="AR642">
            <v>0</v>
          </cell>
          <cell r="AS642">
            <v>0</v>
          </cell>
        </row>
        <row r="643">
          <cell r="A643">
            <v>11378</v>
          </cell>
          <cell r="B643" t="str">
            <v>MISSISSIPPI AGRICULTURE</v>
          </cell>
          <cell r="C643" t="str">
            <v>M10289</v>
          </cell>
          <cell r="D643" t="str">
            <v>NET 5, BT+</v>
          </cell>
          <cell r="E643" t="str">
            <v>CO</v>
          </cell>
          <cell r="F643" t="str">
            <v>Yes</v>
          </cell>
          <cell r="G643" t="str">
            <v>TX</v>
          </cell>
          <cell r="H643">
            <v>7</v>
          </cell>
          <cell r="I643">
            <v>0.66500000000000004</v>
          </cell>
          <cell r="J643" t="str">
            <v>Orphaned Acct</v>
          </cell>
          <cell r="K643" t="str">
            <v>YAZOO CITY</v>
          </cell>
          <cell r="L643" t="str">
            <v>MS</v>
          </cell>
          <cell r="M643" t="str">
            <v>800-577-8858</v>
          </cell>
          <cell r="N643"/>
          <cell r="O643">
            <v>326</v>
          </cell>
          <cell r="P643">
            <v>1401.8</v>
          </cell>
          <cell r="Q643">
            <v>474</v>
          </cell>
          <cell r="R643">
            <v>2038.1999999999998</v>
          </cell>
          <cell r="S643"/>
          <cell r="T643">
            <v>0</v>
          </cell>
          <cell r="U643">
            <v>489</v>
          </cell>
          <cell r="V643">
            <v>2102.6999999999998</v>
          </cell>
          <cell r="W643">
            <v>365</v>
          </cell>
          <cell r="X643">
            <v>1569.5</v>
          </cell>
          <cell r="Y643"/>
          <cell r="Z643">
            <v>0</v>
          </cell>
          <cell r="AA643"/>
          <cell r="AB643">
            <v>0</v>
          </cell>
          <cell r="AC643"/>
          <cell r="AD643">
            <v>0</v>
          </cell>
          <cell r="AE643"/>
          <cell r="AF643"/>
          <cell r="AG643"/>
          <cell r="AH643"/>
          <cell r="AI643"/>
          <cell r="AJ643">
            <v>0</v>
          </cell>
          <cell r="AK643" t="str">
            <v>3P</v>
          </cell>
          <cell r="AL643">
            <v>213</v>
          </cell>
          <cell r="AM643">
            <v>210</v>
          </cell>
          <cell r="AN643" t="str">
            <v>08 Inactive Dealer</v>
          </cell>
          <cell r="AO643" t="str">
            <v>South Central</v>
          </cell>
          <cell r="AP643" t="str">
            <v>South</v>
          </cell>
          <cell r="AQ643"/>
          <cell r="AR643">
            <v>0</v>
          </cell>
          <cell r="AS643">
            <v>0</v>
          </cell>
        </row>
        <row r="644">
          <cell r="A644">
            <v>11574</v>
          </cell>
          <cell r="B644" t="str">
            <v>TAGGART, STANLEY EUGENE</v>
          </cell>
          <cell r="C644" t="str">
            <v>M10395</v>
          </cell>
          <cell r="D644" t="str">
            <v>Net 30, no pink card</v>
          </cell>
          <cell r="E644" t="str">
            <v>FP - Northpoint</v>
          </cell>
          <cell r="F644" t="str">
            <v>Yes</v>
          </cell>
          <cell r="G644" t="str">
            <v>TX</v>
          </cell>
          <cell r="H644">
            <v>5</v>
          </cell>
          <cell r="I644">
            <v>0.66500000000000004</v>
          </cell>
          <cell r="J644" t="str">
            <v>Orphaned Acct</v>
          </cell>
          <cell r="K644" t="str">
            <v>COLUMBUS</v>
          </cell>
          <cell r="L644" t="str">
            <v>MS</v>
          </cell>
          <cell r="M644" t="str">
            <v>800-577-8858</v>
          </cell>
          <cell r="N644" t="str">
            <v>Must have 3 days notice before delivery</v>
          </cell>
          <cell r="O644">
            <v>427</v>
          </cell>
          <cell r="P644">
            <v>1836.1</v>
          </cell>
          <cell r="Q644">
            <v>345</v>
          </cell>
          <cell r="R644">
            <v>1483.5</v>
          </cell>
          <cell r="S644"/>
          <cell r="T644">
            <v>0</v>
          </cell>
          <cell r="U644">
            <v>604</v>
          </cell>
          <cell r="V644">
            <v>2597.1999999999998</v>
          </cell>
          <cell r="W644">
            <v>512</v>
          </cell>
          <cell r="X644">
            <v>2201.6</v>
          </cell>
          <cell r="Y644"/>
          <cell r="Z644">
            <v>0</v>
          </cell>
          <cell r="AA644"/>
          <cell r="AB644">
            <v>0</v>
          </cell>
          <cell r="AC644"/>
          <cell r="AD644">
            <v>0</v>
          </cell>
          <cell r="AE644"/>
          <cell r="AF644"/>
          <cell r="AG644"/>
          <cell r="AH644"/>
          <cell r="AI644"/>
          <cell r="AJ644">
            <v>0</v>
          </cell>
          <cell r="AK644" t="str">
            <v>3P</v>
          </cell>
          <cell r="AL644">
            <v>213</v>
          </cell>
          <cell r="AM644">
            <v>94</v>
          </cell>
          <cell r="AN644" t="str">
            <v>01 Existing Dealer</v>
          </cell>
          <cell r="AO644" t="str">
            <v>South Central</v>
          </cell>
          <cell r="AP644" t="str">
            <v>South</v>
          </cell>
          <cell r="AQ644"/>
          <cell r="AR644">
            <v>0</v>
          </cell>
          <cell r="AS644">
            <v>0</v>
          </cell>
        </row>
        <row r="645">
          <cell r="A645">
            <v>10479</v>
          </cell>
          <cell r="B645" t="str">
            <v>TAYLOR &amp; SONS, INC.</v>
          </cell>
          <cell r="C645" t="str">
            <v>M10397</v>
          </cell>
          <cell r="D645" t="str">
            <v>NET 5, BT+</v>
          </cell>
          <cell r="E645" t="str">
            <v>FP - Wells Fargo</v>
          </cell>
          <cell r="F645" t="str">
            <v>Yes</v>
          </cell>
          <cell r="G645" t="str">
            <v>TX</v>
          </cell>
          <cell r="H645">
            <v>8</v>
          </cell>
          <cell r="I645">
            <v>0.66500000000000004</v>
          </cell>
          <cell r="J645" t="str">
            <v>Orphaned Acct</v>
          </cell>
          <cell r="K645" t="str">
            <v>MERIDIAN</v>
          </cell>
          <cell r="L645" t="str">
            <v>MS</v>
          </cell>
          <cell r="M645" t="str">
            <v>800-577-8858</v>
          </cell>
          <cell r="N645"/>
          <cell r="O645">
            <v>410</v>
          </cell>
          <cell r="P645">
            <v>1763</v>
          </cell>
          <cell r="Q645">
            <v>337</v>
          </cell>
          <cell r="R645">
            <v>1449.1</v>
          </cell>
          <cell r="S645"/>
          <cell r="T645">
            <v>0</v>
          </cell>
          <cell r="U645">
            <v>573</v>
          </cell>
          <cell r="V645">
            <v>2463.9</v>
          </cell>
          <cell r="W645">
            <v>449</v>
          </cell>
          <cell r="X645">
            <v>1930.6999999999998</v>
          </cell>
          <cell r="Y645"/>
          <cell r="Z645">
            <v>0</v>
          </cell>
          <cell r="AA645"/>
          <cell r="AB645">
            <v>0</v>
          </cell>
          <cell r="AC645"/>
          <cell r="AD645">
            <v>0</v>
          </cell>
          <cell r="AE645"/>
          <cell r="AF645"/>
          <cell r="AG645"/>
          <cell r="AH645"/>
          <cell r="AI645"/>
          <cell r="AJ645">
            <v>0</v>
          </cell>
          <cell r="AK645" t="str">
            <v>3P</v>
          </cell>
          <cell r="AL645">
            <v>213</v>
          </cell>
          <cell r="AM645">
            <v>292</v>
          </cell>
          <cell r="AN645" t="str">
            <v>01 Existing Dealer</v>
          </cell>
          <cell r="AO645" t="str">
            <v>South Central</v>
          </cell>
          <cell r="AP645" t="str">
            <v>South</v>
          </cell>
          <cell r="AQ645"/>
          <cell r="AR645">
            <v>0</v>
          </cell>
          <cell r="AS645">
            <v>0</v>
          </cell>
        </row>
        <row r="646">
          <cell r="A646">
            <v>10478</v>
          </cell>
          <cell r="B646" t="str">
            <v>TAYLOR &amp; SONS, INC.</v>
          </cell>
          <cell r="C646" t="str">
            <v>M10397</v>
          </cell>
          <cell r="D646" t="str">
            <v>NET 5, BT+</v>
          </cell>
          <cell r="E646" t="str">
            <v>C6</v>
          </cell>
          <cell r="F646" t="str">
            <v>Copies</v>
          </cell>
          <cell r="G646" t="str">
            <v>TX</v>
          </cell>
          <cell r="H646">
            <v>9</v>
          </cell>
          <cell r="I646">
            <v>0.66500000000000004</v>
          </cell>
          <cell r="J646" t="str">
            <v>Orphaned Acct</v>
          </cell>
          <cell r="K646" t="str">
            <v>MERIDIAN</v>
          </cell>
          <cell r="L646" t="str">
            <v>MS</v>
          </cell>
          <cell r="M646" t="str">
            <v>800-577-8858</v>
          </cell>
          <cell r="N646"/>
          <cell r="O646">
            <v>410</v>
          </cell>
          <cell r="P646">
            <v>1763</v>
          </cell>
          <cell r="Q646">
            <v>337</v>
          </cell>
          <cell r="R646">
            <v>1449.1</v>
          </cell>
          <cell r="S646"/>
          <cell r="T646">
            <v>0</v>
          </cell>
          <cell r="U646">
            <v>573</v>
          </cell>
          <cell r="V646">
            <v>2463.9</v>
          </cell>
          <cell r="W646">
            <v>449</v>
          </cell>
          <cell r="X646">
            <v>1930.6999999999998</v>
          </cell>
          <cell r="Y646"/>
          <cell r="Z646">
            <v>0</v>
          </cell>
          <cell r="AA646"/>
          <cell r="AB646">
            <v>0</v>
          </cell>
          <cell r="AC646"/>
          <cell r="AD646">
            <v>0</v>
          </cell>
          <cell r="AE646"/>
          <cell r="AF646"/>
          <cell r="AG646"/>
          <cell r="AH646"/>
          <cell r="AI646"/>
          <cell r="AJ646">
            <v>0</v>
          </cell>
          <cell r="AK646" t="str">
            <v>3P</v>
          </cell>
          <cell r="AL646">
            <v>213</v>
          </cell>
          <cell r="AM646">
            <v>292</v>
          </cell>
          <cell r="AN646" t="str">
            <v>01 Existing Dealer</v>
          </cell>
          <cell r="AO646" t="str">
            <v>South Central</v>
          </cell>
          <cell r="AP646" t="str">
            <v>South</v>
          </cell>
          <cell r="AQ646"/>
          <cell r="AR646">
            <v>0</v>
          </cell>
          <cell r="AS646">
            <v>0</v>
          </cell>
        </row>
        <row r="647">
          <cell r="A647">
            <v>13028</v>
          </cell>
          <cell r="B647" t="str">
            <v>THE CO-OP LLC</v>
          </cell>
          <cell r="C647" t="str">
            <v>M10888</v>
          </cell>
          <cell r="D647" t="str">
            <v>NET 5, BT+</v>
          </cell>
          <cell r="E647" t="str">
            <v>CO</v>
          </cell>
          <cell r="F647" t="str">
            <v>Yes</v>
          </cell>
          <cell r="G647" t="str">
            <v>TX</v>
          </cell>
          <cell r="H647">
            <v>7</v>
          </cell>
          <cell r="I647">
            <v>0.66500000000000004</v>
          </cell>
          <cell r="J647" t="str">
            <v>Dakota Nation</v>
          </cell>
          <cell r="K647" t="str">
            <v>BATESVILLE</v>
          </cell>
          <cell r="L647" t="str">
            <v>MS</v>
          </cell>
          <cell r="M647" t="str">
            <v>800-577-8858</v>
          </cell>
          <cell r="N647"/>
          <cell r="O647">
            <v>398</v>
          </cell>
          <cell r="P647">
            <v>1711.3999999999999</v>
          </cell>
          <cell r="Q647">
            <v>497</v>
          </cell>
          <cell r="R647">
            <v>2137.1</v>
          </cell>
          <cell r="S647"/>
          <cell r="T647">
            <v>0</v>
          </cell>
          <cell r="U647">
            <v>494</v>
          </cell>
          <cell r="V647">
            <v>2124.1999999999998</v>
          </cell>
          <cell r="W647">
            <v>478</v>
          </cell>
          <cell r="X647">
            <v>2055.4</v>
          </cell>
          <cell r="Y647">
            <v>577</v>
          </cell>
          <cell r="Z647">
            <v>2481.1</v>
          </cell>
          <cell r="AA647">
            <v>577</v>
          </cell>
          <cell r="AB647">
            <v>2481.1</v>
          </cell>
          <cell r="AC647">
            <v>577</v>
          </cell>
          <cell r="AD647">
            <v>2481.1</v>
          </cell>
          <cell r="AE647"/>
          <cell r="AF647"/>
          <cell r="AG647"/>
          <cell r="AH647"/>
          <cell r="AI647"/>
          <cell r="AJ647">
            <v>0</v>
          </cell>
          <cell r="AK647" t="str">
            <v>3P</v>
          </cell>
          <cell r="AL647">
            <v>223</v>
          </cell>
          <cell r="AM647">
            <v>290</v>
          </cell>
          <cell r="AN647" t="str">
            <v>01 Existing Dealer</v>
          </cell>
          <cell r="AO647" t="str">
            <v>South Central</v>
          </cell>
          <cell r="AP647" t="str">
            <v>South</v>
          </cell>
          <cell r="AQ647"/>
          <cell r="AR647">
            <v>0</v>
          </cell>
          <cell r="AS647">
            <v>0</v>
          </cell>
        </row>
        <row r="648">
          <cell r="A648">
            <v>13160</v>
          </cell>
          <cell r="B648" t="str">
            <v>THE CO-OP LLC</v>
          </cell>
          <cell r="C648" t="str">
            <v>M10888</v>
          </cell>
          <cell r="D648" t="str">
            <v>NET 5, BT+</v>
          </cell>
          <cell r="E648" t="str">
            <v>F3 - Northpoint</v>
          </cell>
          <cell r="F648" t="str">
            <v>Yes</v>
          </cell>
          <cell r="G648" t="str">
            <v>TX</v>
          </cell>
          <cell r="H648">
            <v>7</v>
          </cell>
          <cell r="I648">
            <v>0.66500000000000004</v>
          </cell>
          <cell r="J648" t="str">
            <v>Dakota Nation</v>
          </cell>
          <cell r="K648" t="str">
            <v>BATESVILLE</v>
          </cell>
          <cell r="L648" t="str">
            <v>MS</v>
          </cell>
          <cell r="M648" t="str">
            <v>800-577-8858</v>
          </cell>
          <cell r="N648"/>
          <cell r="O648">
            <v>398</v>
          </cell>
          <cell r="P648">
            <v>1711.3999999999999</v>
          </cell>
          <cell r="Q648">
            <v>497</v>
          </cell>
          <cell r="R648">
            <v>2137.1</v>
          </cell>
          <cell r="S648"/>
          <cell r="T648">
            <v>0</v>
          </cell>
          <cell r="U648">
            <v>494</v>
          </cell>
          <cell r="V648">
            <v>2124.1999999999998</v>
          </cell>
          <cell r="W648">
            <v>478</v>
          </cell>
          <cell r="X648">
            <v>2055.4</v>
          </cell>
          <cell r="Y648">
            <v>577</v>
          </cell>
          <cell r="Z648">
            <v>2481.1</v>
          </cell>
          <cell r="AA648">
            <v>577</v>
          </cell>
          <cell r="AB648">
            <v>2481.1</v>
          </cell>
          <cell r="AC648">
            <v>577</v>
          </cell>
          <cell r="AD648">
            <v>2481.1</v>
          </cell>
          <cell r="AE648"/>
          <cell r="AF648"/>
          <cell r="AG648"/>
          <cell r="AH648"/>
          <cell r="AI648"/>
          <cell r="AJ648">
            <v>0</v>
          </cell>
          <cell r="AK648" t="str">
            <v>3P</v>
          </cell>
          <cell r="AL648">
            <v>223</v>
          </cell>
          <cell r="AM648">
            <v>290</v>
          </cell>
          <cell r="AN648" t="str">
            <v>01 Existing Dealer</v>
          </cell>
          <cell r="AO648" t="str">
            <v>South Central</v>
          </cell>
          <cell r="AP648" t="str">
            <v>South</v>
          </cell>
          <cell r="AQ648"/>
          <cell r="AR648">
            <v>40640</v>
          </cell>
          <cell r="AS648">
            <v>0</v>
          </cell>
        </row>
        <row r="649">
          <cell r="A649">
            <v>13640</v>
          </cell>
          <cell r="B649" t="str">
            <v>TRUCKERS SUPPLY dba RED HOT</v>
          </cell>
          <cell r="C649" t="str">
            <v>M11618</v>
          </cell>
          <cell r="D649" t="str">
            <v>NET 5, BT+</v>
          </cell>
          <cell r="E649" t="str">
            <v>CO</v>
          </cell>
          <cell r="F649" t="str">
            <v>Yes</v>
          </cell>
          <cell r="G649" t="str">
            <v>TX</v>
          </cell>
          <cell r="H649">
            <v>7</v>
          </cell>
          <cell r="I649">
            <v>0.66500000000000004</v>
          </cell>
          <cell r="J649" t="str">
            <v>Dakota Nation</v>
          </cell>
          <cell r="K649" t="str">
            <v>MERIDIAN</v>
          </cell>
          <cell r="L649" t="str">
            <v>MS</v>
          </cell>
          <cell r="M649" t="str">
            <v>800-577-8858</v>
          </cell>
          <cell r="N649"/>
          <cell r="O649">
            <v>408</v>
          </cell>
          <cell r="P649">
            <v>1754.3999999999999</v>
          </cell>
          <cell r="Q649">
            <v>330</v>
          </cell>
          <cell r="R649">
            <v>1419</v>
          </cell>
          <cell r="S649"/>
          <cell r="T649">
            <v>0</v>
          </cell>
          <cell r="U649">
            <v>572</v>
          </cell>
          <cell r="V649">
            <v>2459.6</v>
          </cell>
          <cell r="W649">
            <v>445</v>
          </cell>
          <cell r="X649">
            <v>1913.5</v>
          </cell>
          <cell r="Y649"/>
          <cell r="Z649">
            <v>0</v>
          </cell>
          <cell r="AA649">
            <v>630</v>
          </cell>
          <cell r="AB649">
            <v>2709</v>
          </cell>
          <cell r="AC649">
            <v>630</v>
          </cell>
          <cell r="AD649">
            <v>2709</v>
          </cell>
          <cell r="AE649"/>
          <cell r="AF649"/>
          <cell r="AG649"/>
          <cell r="AH649"/>
          <cell r="AI649"/>
          <cell r="AJ649">
            <v>0</v>
          </cell>
          <cell r="AK649" t="str">
            <v>3P</v>
          </cell>
          <cell r="AL649">
            <v>223</v>
          </cell>
          <cell r="AM649">
            <v>292</v>
          </cell>
          <cell r="AN649" t="str">
            <v>03 New Dealer</v>
          </cell>
          <cell r="AO649" t="str">
            <v>South Central</v>
          </cell>
          <cell r="AP649" t="str">
            <v>South</v>
          </cell>
          <cell r="AQ649"/>
          <cell r="AR649">
            <v>0</v>
          </cell>
          <cell r="AS649">
            <v>56680</v>
          </cell>
        </row>
        <row r="650">
          <cell r="A650" t="str">
            <v>13407B</v>
          </cell>
          <cell r="B650" t="str">
            <v>UNION CITY FORKLIFT</v>
          </cell>
          <cell r="C650" t="str">
            <v>M11337</v>
          </cell>
          <cell r="D650" t="str">
            <v>Return Mail, no pink card</v>
          </cell>
          <cell r="E650" t="str">
            <v>FP - Northpoint</v>
          </cell>
          <cell r="F650" t="str">
            <v>Yes</v>
          </cell>
          <cell r="G650" t="str">
            <v>TX</v>
          </cell>
          <cell r="H650">
            <v>7</v>
          </cell>
          <cell r="I650">
            <v>0.66500000000000004</v>
          </cell>
          <cell r="J650" t="str">
            <v>Lane Davis</v>
          </cell>
          <cell r="K650" t="str">
            <v>BOONEVILLE</v>
          </cell>
          <cell r="L650" t="str">
            <v>MS</v>
          </cell>
          <cell r="M650" t="str">
            <v>800-577-8858</v>
          </cell>
          <cell r="N650"/>
          <cell r="O650">
            <v>449</v>
          </cell>
          <cell r="P650">
            <v>1930.6999999999998</v>
          </cell>
          <cell r="Q650">
            <v>448</v>
          </cell>
          <cell r="R650">
            <v>1926.3999999999999</v>
          </cell>
          <cell r="S650"/>
          <cell r="T650">
            <v>0</v>
          </cell>
          <cell r="U650">
            <v>546</v>
          </cell>
          <cell r="V650">
            <v>2347.7999999999997</v>
          </cell>
          <cell r="W650">
            <v>530</v>
          </cell>
          <cell r="X650">
            <v>2279</v>
          </cell>
          <cell r="Y650"/>
          <cell r="Z650">
            <v>0</v>
          </cell>
          <cell r="AA650"/>
          <cell r="AB650">
            <v>0</v>
          </cell>
          <cell r="AC650"/>
          <cell r="AD650">
            <v>0</v>
          </cell>
          <cell r="AE650"/>
          <cell r="AF650"/>
          <cell r="AG650"/>
          <cell r="AH650"/>
          <cell r="AI650"/>
          <cell r="AJ650">
            <v>0</v>
          </cell>
          <cell r="AK650" t="str">
            <v>3P</v>
          </cell>
          <cell r="AL650">
            <v>275</v>
          </cell>
          <cell r="AM650">
            <v>290</v>
          </cell>
          <cell r="AN650" t="str">
            <v>01 Existing Dealer</v>
          </cell>
          <cell r="AO650" t="str">
            <v>Southeast</v>
          </cell>
          <cell r="AP650" t="str">
            <v>South</v>
          </cell>
          <cell r="AQ650"/>
          <cell r="AR650">
            <v>0</v>
          </cell>
          <cell r="AS650">
            <v>0</v>
          </cell>
        </row>
        <row r="651">
          <cell r="A651">
            <v>12438</v>
          </cell>
          <cell r="B651" t="str">
            <v>WOODALL dba QUALITY PRO LAWN &amp; TRACTOR</v>
          </cell>
          <cell r="C651" t="str">
            <v>M10484</v>
          </cell>
          <cell r="D651" t="str">
            <v>NET 5, BT+</v>
          </cell>
          <cell r="E651" t="str">
            <v>FP - Wells Fargo</v>
          </cell>
          <cell r="F651" t="str">
            <v>Yes</v>
          </cell>
          <cell r="G651" t="str">
            <v>TX</v>
          </cell>
          <cell r="H651">
            <v>8</v>
          </cell>
          <cell r="I651">
            <v>0.66500000000000004</v>
          </cell>
          <cell r="J651" t="str">
            <v>Orphaned Acct</v>
          </cell>
          <cell r="K651" t="str">
            <v>FERNWOOD</v>
          </cell>
          <cell r="L651" t="str">
            <v>MS</v>
          </cell>
          <cell r="M651" t="str">
            <v>800-577-8858</v>
          </cell>
          <cell r="N651"/>
          <cell r="O651">
            <v>399</v>
          </cell>
          <cell r="P651">
            <v>1715.6999999999998</v>
          </cell>
          <cell r="Q651">
            <v>497</v>
          </cell>
          <cell r="R651">
            <v>2137.1</v>
          </cell>
          <cell r="S651"/>
          <cell r="T651">
            <v>0</v>
          </cell>
          <cell r="U651">
            <v>562</v>
          </cell>
          <cell r="V651">
            <v>2416.6</v>
          </cell>
          <cell r="W651">
            <v>438</v>
          </cell>
          <cell r="X651">
            <v>1883.3999999999999</v>
          </cell>
          <cell r="Y651"/>
          <cell r="Z651">
            <v>0</v>
          </cell>
          <cell r="AA651"/>
          <cell r="AB651">
            <v>0</v>
          </cell>
          <cell r="AC651"/>
          <cell r="AD651">
            <v>0</v>
          </cell>
          <cell r="AE651"/>
          <cell r="AF651"/>
          <cell r="AG651"/>
          <cell r="AH651"/>
          <cell r="AI651"/>
          <cell r="AJ651">
            <v>0</v>
          </cell>
          <cell r="AK651" t="str">
            <v>3P</v>
          </cell>
          <cell r="AL651">
            <v>213</v>
          </cell>
          <cell r="AM651">
            <v>269</v>
          </cell>
          <cell r="AN651" t="str">
            <v>08 Inactive Dealer</v>
          </cell>
          <cell r="AO651" t="str">
            <v>South Central</v>
          </cell>
          <cell r="AP651" t="str">
            <v>South</v>
          </cell>
          <cell r="AQ651"/>
          <cell r="AR651">
            <v>0</v>
          </cell>
          <cell r="AS651">
            <v>0</v>
          </cell>
        </row>
        <row r="652">
          <cell r="A652" t="str">
            <v>13233F</v>
          </cell>
          <cell r="B652" t="str">
            <v>PREMIER TRUCK</v>
          </cell>
          <cell r="C652" t="str">
            <v>M10874</v>
          </cell>
          <cell r="D652" t="str">
            <v>Net 30, no pink card</v>
          </cell>
          <cell r="E652">
            <v>30</v>
          </cell>
          <cell r="F652" t="str">
            <v>Yes</v>
          </cell>
          <cell r="G652" t="str">
            <v>TX</v>
          </cell>
          <cell r="H652">
            <v>5</v>
          </cell>
          <cell r="I652">
            <v>0.66500000000000004</v>
          </cell>
          <cell r="J652" t="str">
            <v>Dakota Nation</v>
          </cell>
          <cell r="K652" t="str">
            <v>PEARL</v>
          </cell>
          <cell r="L652" t="str">
            <v>MS</v>
          </cell>
          <cell r="M652" t="str">
            <v>800-577-8858</v>
          </cell>
          <cell r="N652" t="str">
            <v>MSO's must read and Fedex to Ft. Wayne, IN. Driver gets BOL only</v>
          </cell>
          <cell r="O652">
            <v>326</v>
          </cell>
          <cell r="P652">
            <v>1401.8</v>
          </cell>
          <cell r="Q652"/>
          <cell r="R652">
            <v>0</v>
          </cell>
          <cell r="S652"/>
          <cell r="T652">
            <v>0</v>
          </cell>
          <cell r="U652">
            <v>490</v>
          </cell>
          <cell r="V652">
            <v>2107</v>
          </cell>
          <cell r="W652">
            <v>365</v>
          </cell>
          <cell r="X652">
            <v>1569.5</v>
          </cell>
          <cell r="Y652"/>
          <cell r="Z652">
            <v>0</v>
          </cell>
          <cell r="AA652"/>
          <cell r="AB652">
            <v>0</v>
          </cell>
          <cell r="AC652"/>
          <cell r="AD652">
            <v>0</v>
          </cell>
          <cell r="AE652"/>
          <cell r="AF652"/>
          <cell r="AG652"/>
          <cell r="AH652"/>
          <cell r="AI652"/>
          <cell r="AJ652">
            <v>0</v>
          </cell>
          <cell r="AK652" t="str">
            <v>3P</v>
          </cell>
          <cell r="AL652">
            <v>223</v>
          </cell>
          <cell r="AM652">
            <v>210</v>
          </cell>
          <cell r="AN652" t="str">
            <v>11 National</v>
          </cell>
          <cell r="AO652" t="str">
            <v>Southwest</v>
          </cell>
          <cell r="AP652" t="str">
            <v>South</v>
          </cell>
          <cell r="AQ652"/>
          <cell r="AR652">
            <v>0</v>
          </cell>
          <cell r="AS652">
            <v>0</v>
          </cell>
        </row>
        <row r="653">
          <cell r="A653">
            <v>13127</v>
          </cell>
          <cell r="B653" t="str">
            <v>BIG EQUIPMENT COMPANY</v>
          </cell>
          <cell r="C653" t="str">
            <v>M11050</v>
          </cell>
          <cell r="D653" t="str">
            <v>NET 5, BT+</v>
          </cell>
          <cell r="E653" t="str">
            <v>FP - Northpoint</v>
          </cell>
          <cell r="F653" t="str">
            <v>Yes</v>
          </cell>
          <cell r="G653" t="str">
            <v>ID</v>
          </cell>
          <cell r="H653">
            <v>7</v>
          </cell>
          <cell r="I653">
            <v>0.7</v>
          </cell>
          <cell r="J653" t="str">
            <v>Orphaned Acct</v>
          </cell>
          <cell r="K653" t="str">
            <v>HAVRE</v>
          </cell>
          <cell r="L653" t="str">
            <v>MT</v>
          </cell>
          <cell r="M653" t="str">
            <v>800-577-8858</v>
          </cell>
          <cell r="N653"/>
          <cell r="O653">
            <v>1668</v>
          </cell>
          <cell r="P653">
            <v>7172.4</v>
          </cell>
          <cell r="Q653"/>
          <cell r="R653">
            <v>0</v>
          </cell>
          <cell r="S653">
            <v>775</v>
          </cell>
          <cell r="T653">
            <v>3332.5</v>
          </cell>
          <cell r="U653">
            <v>1583</v>
          </cell>
          <cell r="V653">
            <v>6806.9</v>
          </cell>
          <cell r="W653">
            <v>1620</v>
          </cell>
          <cell r="X653">
            <v>6966</v>
          </cell>
          <cell r="Y653"/>
          <cell r="Z653">
            <v>0</v>
          </cell>
          <cell r="AA653"/>
          <cell r="AB653">
            <v>0</v>
          </cell>
          <cell r="AC653"/>
          <cell r="AD653">
            <v>0</v>
          </cell>
          <cell r="AE653"/>
          <cell r="AF653"/>
          <cell r="AG653"/>
          <cell r="AH653"/>
          <cell r="AI653"/>
          <cell r="AJ653">
            <v>0</v>
          </cell>
          <cell r="AK653" t="str">
            <v>3P</v>
          </cell>
          <cell r="AL653">
            <v>213</v>
          </cell>
          <cell r="AM653">
            <v>171</v>
          </cell>
          <cell r="AN653" t="str">
            <v>08 Inactive Dealer</v>
          </cell>
          <cell r="AO653" t="str">
            <v>Northwest</v>
          </cell>
          <cell r="AP653" t="str">
            <v>West</v>
          </cell>
          <cell r="AQ653"/>
          <cell r="AR653">
            <v>0</v>
          </cell>
          <cell r="AS653">
            <v>0</v>
          </cell>
        </row>
        <row r="654">
          <cell r="A654">
            <v>13275</v>
          </cell>
          <cell r="B654" t="str">
            <v>BISH'S RV, INC</v>
          </cell>
          <cell r="C654" t="str">
            <v>M10200</v>
          </cell>
          <cell r="D654" t="str">
            <v>Return Mail, no pink card</v>
          </cell>
          <cell r="E654" t="str">
            <v>RM</v>
          </cell>
          <cell r="F654" t="str">
            <v>Yes</v>
          </cell>
          <cell r="G654" t="str">
            <v>ID</v>
          </cell>
          <cell r="H654">
            <v>5</v>
          </cell>
          <cell r="I654">
            <v>0.7</v>
          </cell>
          <cell r="J654" t="str">
            <v>Nate Erickson</v>
          </cell>
          <cell r="K654" t="str">
            <v>KALISPELL</v>
          </cell>
          <cell r="L654" t="str">
            <v>MT</v>
          </cell>
          <cell r="M654" t="str">
            <v>208-459-0106</v>
          </cell>
          <cell r="N654"/>
          <cell r="O654">
            <v>1887</v>
          </cell>
          <cell r="P654">
            <v>8114.0999999999995</v>
          </cell>
          <cell r="Q654"/>
          <cell r="R654">
            <v>0</v>
          </cell>
          <cell r="S654">
            <v>493</v>
          </cell>
          <cell r="T654">
            <v>2119.9</v>
          </cell>
          <cell r="U654">
            <v>1804</v>
          </cell>
          <cell r="V654">
            <v>7757.2</v>
          </cell>
          <cell r="W654">
            <v>1839</v>
          </cell>
          <cell r="X654">
            <v>7907.7</v>
          </cell>
          <cell r="Y654"/>
          <cell r="Z654">
            <v>0</v>
          </cell>
          <cell r="AA654"/>
          <cell r="AB654">
            <v>0</v>
          </cell>
          <cell r="AC654"/>
          <cell r="AD654">
            <v>0</v>
          </cell>
          <cell r="AE654"/>
          <cell r="AF654"/>
          <cell r="AG654"/>
          <cell r="AH654"/>
          <cell r="AI654"/>
          <cell r="AJ654">
            <v>0</v>
          </cell>
          <cell r="AK654" t="str">
            <v>3P</v>
          </cell>
          <cell r="AL654">
            <v>187</v>
          </cell>
          <cell r="AM654">
            <v>224</v>
          </cell>
          <cell r="AN654" t="str">
            <v>01 Existing Dealer</v>
          </cell>
          <cell r="AO654" t="str">
            <v>Northwest</v>
          </cell>
          <cell r="AP654" t="str">
            <v>West</v>
          </cell>
          <cell r="AQ654"/>
          <cell r="AR654">
            <v>0</v>
          </cell>
          <cell r="AS654">
            <v>0</v>
          </cell>
        </row>
        <row r="655">
          <cell r="A655">
            <v>11801</v>
          </cell>
          <cell r="B655" t="str">
            <v>D &amp; D TRAILER SALES</v>
          </cell>
          <cell r="C655" t="str">
            <v>M10173</v>
          </cell>
          <cell r="D655" t="str">
            <v>NET 5, BT+</v>
          </cell>
          <cell r="E655" t="str">
            <v>CO</v>
          </cell>
          <cell r="F655" t="str">
            <v>Yes</v>
          </cell>
          <cell r="G655" t="str">
            <v>ID</v>
          </cell>
          <cell r="H655">
            <v>7</v>
          </cell>
          <cell r="I655">
            <v>0.7</v>
          </cell>
          <cell r="J655" t="str">
            <v>Orphaned Acct</v>
          </cell>
          <cell r="K655" t="str">
            <v>HAVRE</v>
          </cell>
          <cell r="L655" t="str">
            <v>MT</v>
          </cell>
          <cell r="M655" t="str">
            <v>800-577-8858</v>
          </cell>
          <cell r="N655"/>
          <cell r="O655">
            <v>1713</v>
          </cell>
          <cell r="P655">
            <v>7365.9</v>
          </cell>
          <cell r="Q655"/>
          <cell r="R655">
            <v>0</v>
          </cell>
          <cell r="S655">
            <v>777</v>
          </cell>
          <cell r="T655">
            <v>3341.1</v>
          </cell>
          <cell r="U655">
            <v>1583</v>
          </cell>
          <cell r="V655">
            <v>6806.9</v>
          </cell>
          <cell r="W655"/>
          <cell r="X655">
            <v>0</v>
          </cell>
          <cell r="Y655"/>
          <cell r="Z655">
            <v>0</v>
          </cell>
          <cell r="AA655"/>
          <cell r="AB655">
            <v>0</v>
          </cell>
          <cell r="AC655"/>
          <cell r="AD655">
            <v>0</v>
          </cell>
          <cell r="AE655"/>
          <cell r="AF655"/>
          <cell r="AG655"/>
          <cell r="AH655"/>
          <cell r="AI655"/>
          <cell r="AJ655">
            <v>0</v>
          </cell>
          <cell r="AK655" t="str">
            <v>3P</v>
          </cell>
          <cell r="AL655">
            <v>213</v>
          </cell>
          <cell r="AM655">
            <v>171</v>
          </cell>
          <cell r="AN655" t="str">
            <v>08 Inactive Dealer</v>
          </cell>
          <cell r="AO655" t="str">
            <v>Northwest</v>
          </cell>
          <cell r="AP655" t="str">
            <v>West</v>
          </cell>
          <cell r="AQ655"/>
          <cell r="AR655">
            <v>0</v>
          </cell>
          <cell r="AS655">
            <v>0</v>
          </cell>
        </row>
        <row r="656">
          <cell r="A656">
            <v>10226</v>
          </cell>
          <cell r="B656" t="str">
            <v>GARDNER'S RV</v>
          </cell>
          <cell r="C656" t="str">
            <v>M10200</v>
          </cell>
          <cell r="D656" t="str">
            <v>NET 5, BT+</v>
          </cell>
          <cell r="E656" t="str">
            <v>CO</v>
          </cell>
          <cell r="F656" t="str">
            <v>Yes</v>
          </cell>
          <cell r="G656" t="str">
            <v>ID</v>
          </cell>
          <cell r="H656">
            <v>7</v>
          </cell>
          <cell r="I656">
            <v>0.7</v>
          </cell>
          <cell r="J656" t="str">
            <v>House</v>
          </cell>
          <cell r="K656" t="str">
            <v>KALISPELL</v>
          </cell>
          <cell r="L656" t="str">
            <v>MT</v>
          </cell>
          <cell r="M656" t="str">
            <v>208-459-0106</v>
          </cell>
          <cell r="N656"/>
          <cell r="O656">
            <v>1887</v>
          </cell>
          <cell r="P656">
            <v>8114.0999999999995</v>
          </cell>
          <cell r="Q656"/>
          <cell r="R656">
            <v>0</v>
          </cell>
          <cell r="S656">
            <v>493</v>
          </cell>
          <cell r="T656">
            <v>2119.9</v>
          </cell>
          <cell r="U656">
            <v>1804</v>
          </cell>
          <cell r="V656">
            <v>7757.2</v>
          </cell>
          <cell r="W656">
            <v>1839</v>
          </cell>
          <cell r="X656">
            <v>7907.7</v>
          </cell>
          <cell r="Y656"/>
          <cell r="Z656">
            <v>0</v>
          </cell>
          <cell r="AA656"/>
          <cell r="AB656">
            <v>0</v>
          </cell>
          <cell r="AC656"/>
          <cell r="AD656">
            <v>0</v>
          </cell>
          <cell r="AE656"/>
          <cell r="AF656"/>
          <cell r="AG656"/>
          <cell r="AH656"/>
          <cell r="AI656"/>
          <cell r="AJ656">
            <v>0</v>
          </cell>
          <cell r="AK656" t="str">
            <v>3P</v>
          </cell>
          <cell r="AL656">
            <v>400</v>
          </cell>
          <cell r="AM656">
            <v>224</v>
          </cell>
          <cell r="AN656" t="str">
            <v>08 Inactive Dealer</v>
          </cell>
          <cell r="AO656" t="str">
            <v>Northwest</v>
          </cell>
          <cell r="AP656" t="str">
            <v>West</v>
          </cell>
          <cell r="AQ656"/>
          <cell r="AR656">
            <v>0</v>
          </cell>
          <cell r="AS656">
            <v>0</v>
          </cell>
        </row>
        <row r="657">
          <cell r="A657" t="str">
            <v>10226A</v>
          </cell>
          <cell r="B657" t="str">
            <v>GARDNER'S RV</v>
          </cell>
          <cell r="C657" t="str">
            <v>M10200</v>
          </cell>
          <cell r="D657" t="str">
            <v>NET 5, BT+</v>
          </cell>
          <cell r="E657" t="str">
            <v>CO</v>
          </cell>
          <cell r="F657" t="str">
            <v>Yes</v>
          </cell>
          <cell r="G657" t="str">
            <v>ID</v>
          </cell>
          <cell r="H657">
            <v>7</v>
          </cell>
          <cell r="I657">
            <v>0.7</v>
          </cell>
          <cell r="J657" t="str">
            <v>House</v>
          </cell>
          <cell r="K657" t="str">
            <v>GREAT FALLS</v>
          </cell>
          <cell r="L657" t="str">
            <v>MT</v>
          </cell>
          <cell r="M657" t="str">
            <v>208-459-0106</v>
          </cell>
          <cell r="N657"/>
          <cell r="O657">
            <v>1645</v>
          </cell>
          <cell r="P657">
            <v>7073.5</v>
          </cell>
          <cell r="Q657"/>
          <cell r="R657">
            <v>0</v>
          </cell>
          <cell r="S657">
            <v>661</v>
          </cell>
          <cell r="T657">
            <v>2842.2999999999997</v>
          </cell>
          <cell r="U657">
            <v>1560</v>
          </cell>
          <cell r="V657">
            <v>6708</v>
          </cell>
          <cell r="W657">
            <v>1597</v>
          </cell>
          <cell r="X657">
            <v>6867.0999999999995</v>
          </cell>
          <cell r="Y657"/>
          <cell r="Z657">
            <v>0</v>
          </cell>
          <cell r="AA657"/>
          <cell r="AB657">
            <v>0</v>
          </cell>
          <cell r="AC657"/>
          <cell r="AD657">
            <v>0</v>
          </cell>
          <cell r="AE657"/>
          <cell r="AF657"/>
          <cell r="AG657"/>
          <cell r="AH657"/>
          <cell r="AI657"/>
          <cell r="AJ657">
            <v>0</v>
          </cell>
          <cell r="AK657" t="str">
            <v>3P</v>
          </cell>
          <cell r="AL657">
            <v>400</v>
          </cell>
          <cell r="AM657">
            <v>171</v>
          </cell>
          <cell r="AN657" t="str">
            <v>08 Inactive Dealer</v>
          </cell>
          <cell r="AO657" t="str">
            <v>Northwest</v>
          </cell>
          <cell r="AP657" t="str">
            <v>West</v>
          </cell>
          <cell r="AQ657"/>
          <cell r="AR657">
            <v>0</v>
          </cell>
          <cell r="AS657">
            <v>0</v>
          </cell>
        </row>
        <row r="658">
          <cell r="A658">
            <v>12950</v>
          </cell>
          <cell r="B658" t="str">
            <v>H &amp; H CY-CORP</v>
          </cell>
          <cell r="C658" t="str">
            <v>M10463</v>
          </cell>
          <cell r="D658" t="str">
            <v>NET 5, BT+</v>
          </cell>
          <cell r="E658" t="str">
            <v>CO</v>
          </cell>
          <cell r="F658" t="str">
            <v>Yes</v>
          </cell>
          <cell r="G658" t="str">
            <v>ID</v>
          </cell>
          <cell r="H658">
            <v>7</v>
          </cell>
          <cell r="I658">
            <v>0.7</v>
          </cell>
          <cell r="J658" t="str">
            <v>Orphaned Acct</v>
          </cell>
          <cell r="K658" t="str">
            <v>BILLINGS</v>
          </cell>
          <cell r="L658" t="str">
            <v>MT</v>
          </cell>
          <cell r="M658" t="str">
            <v>208-459-0106</v>
          </cell>
          <cell r="N658"/>
          <cell r="O658">
            <v>1423</v>
          </cell>
          <cell r="P658">
            <v>6118.9</v>
          </cell>
          <cell r="Q658"/>
          <cell r="R658">
            <v>0</v>
          </cell>
          <cell r="S658">
            <v>642</v>
          </cell>
          <cell r="T658">
            <v>2760.6</v>
          </cell>
          <cell r="U658">
            <v>1339</v>
          </cell>
          <cell r="V658">
            <v>5757.7</v>
          </cell>
          <cell r="W658">
            <v>1375</v>
          </cell>
          <cell r="X658">
            <v>5912.5</v>
          </cell>
          <cell r="Y658"/>
          <cell r="Z658">
            <v>0</v>
          </cell>
          <cell r="AA658"/>
          <cell r="AB658">
            <v>0</v>
          </cell>
          <cell r="AC658"/>
          <cell r="AD658">
            <v>0</v>
          </cell>
          <cell r="AE658"/>
          <cell r="AF658"/>
          <cell r="AG658"/>
          <cell r="AH658"/>
          <cell r="AI658"/>
          <cell r="AJ658">
            <v>0</v>
          </cell>
          <cell r="AK658" t="str">
            <v>3P</v>
          </cell>
          <cell r="AL658">
            <v>213</v>
          </cell>
          <cell r="AM658">
            <v>41</v>
          </cell>
          <cell r="AN658" t="str">
            <v>01 Existing Dealer</v>
          </cell>
          <cell r="AO658" t="str">
            <v>Northwest</v>
          </cell>
          <cell r="AP658" t="str">
            <v>West</v>
          </cell>
          <cell r="AQ658"/>
          <cell r="AR658">
            <v>0</v>
          </cell>
          <cell r="AS658">
            <v>0</v>
          </cell>
        </row>
        <row r="659">
          <cell r="A659">
            <v>12956</v>
          </cell>
          <cell r="B659" t="str">
            <v>H &amp; H CY-CORP</v>
          </cell>
          <cell r="C659" t="str">
            <v>M10463</v>
          </cell>
          <cell r="D659" t="str">
            <v>NET 5, BT+</v>
          </cell>
          <cell r="E659" t="str">
            <v>F3 - Northpoint</v>
          </cell>
          <cell r="F659" t="str">
            <v>Yes</v>
          </cell>
          <cell r="G659" t="str">
            <v>ID</v>
          </cell>
          <cell r="H659">
            <v>8</v>
          </cell>
          <cell r="I659">
            <v>0.7</v>
          </cell>
          <cell r="J659" t="str">
            <v>Orphaned Acct</v>
          </cell>
          <cell r="K659" t="str">
            <v>BILLINGS</v>
          </cell>
          <cell r="L659" t="str">
            <v>MT</v>
          </cell>
          <cell r="M659" t="str">
            <v>208-459-0106</v>
          </cell>
          <cell r="N659"/>
          <cell r="O659">
            <v>1423</v>
          </cell>
          <cell r="P659">
            <v>6118.9</v>
          </cell>
          <cell r="Q659"/>
          <cell r="R659">
            <v>0</v>
          </cell>
          <cell r="S659">
            <v>642</v>
          </cell>
          <cell r="T659">
            <v>2760.6</v>
          </cell>
          <cell r="U659">
            <v>1339</v>
          </cell>
          <cell r="V659">
            <v>5757.7</v>
          </cell>
          <cell r="W659">
            <v>1375</v>
          </cell>
          <cell r="X659">
            <v>5912.5</v>
          </cell>
          <cell r="Y659"/>
          <cell r="Z659">
            <v>0</v>
          </cell>
          <cell r="AA659"/>
          <cell r="AB659">
            <v>0</v>
          </cell>
          <cell r="AC659"/>
          <cell r="AD659">
            <v>0</v>
          </cell>
          <cell r="AE659"/>
          <cell r="AF659"/>
          <cell r="AG659"/>
          <cell r="AH659"/>
          <cell r="AI659"/>
          <cell r="AJ659">
            <v>0</v>
          </cell>
          <cell r="AK659" t="str">
            <v>3P</v>
          </cell>
          <cell r="AL659">
            <v>213</v>
          </cell>
          <cell r="AM659">
            <v>41</v>
          </cell>
          <cell r="AN659" t="str">
            <v>01 Existing Dealer</v>
          </cell>
          <cell r="AO659" t="str">
            <v>Northwest</v>
          </cell>
          <cell r="AP659" t="str">
            <v>West</v>
          </cell>
          <cell r="AQ659"/>
          <cell r="AR659">
            <v>0</v>
          </cell>
          <cell r="AS659">
            <v>0</v>
          </cell>
        </row>
        <row r="660">
          <cell r="A660">
            <v>12610</v>
          </cell>
          <cell r="B660" t="str">
            <v>NOTBOHM MOTORS INC</v>
          </cell>
          <cell r="C660" t="str">
            <v>M10305</v>
          </cell>
          <cell r="D660" t="str">
            <v>NET 5, BT+</v>
          </cell>
          <cell r="E660" t="str">
            <v>CO</v>
          </cell>
          <cell r="F660" t="str">
            <v>Yes</v>
          </cell>
          <cell r="G660" t="str">
            <v>ID</v>
          </cell>
          <cell r="H660">
            <v>7</v>
          </cell>
          <cell r="I660">
            <v>0.7</v>
          </cell>
          <cell r="J660" t="str">
            <v>Orphaned Acct</v>
          </cell>
          <cell r="K660" t="str">
            <v>MILES CITY</v>
          </cell>
          <cell r="L660" t="str">
            <v>MT</v>
          </cell>
          <cell r="M660" t="str">
            <v>208-459-0106</v>
          </cell>
          <cell r="N660"/>
          <cell r="O660">
            <v>1495</v>
          </cell>
          <cell r="P660">
            <v>6428.5</v>
          </cell>
          <cell r="Q660"/>
          <cell r="R660">
            <v>0</v>
          </cell>
          <cell r="S660">
            <v>787</v>
          </cell>
          <cell r="T660">
            <v>3384.1</v>
          </cell>
          <cell r="U660">
            <v>1221</v>
          </cell>
          <cell r="V660">
            <v>5250.3</v>
          </cell>
          <cell r="W660">
            <v>1446</v>
          </cell>
          <cell r="X660">
            <v>6217.8</v>
          </cell>
          <cell r="Y660"/>
          <cell r="Z660">
            <v>0</v>
          </cell>
          <cell r="AA660"/>
          <cell r="AB660">
            <v>0</v>
          </cell>
          <cell r="AC660"/>
          <cell r="AD660">
            <v>0</v>
          </cell>
          <cell r="AE660"/>
          <cell r="AF660"/>
          <cell r="AG660"/>
          <cell r="AH660"/>
          <cell r="AI660"/>
          <cell r="AJ660">
            <v>0</v>
          </cell>
          <cell r="AK660" t="str">
            <v>3P</v>
          </cell>
          <cell r="AL660">
            <v>213</v>
          </cell>
          <cell r="AM660">
            <v>41</v>
          </cell>
          <cell r="AN660" t="str">
            <v>08 Inactive Dealer</v>
          </cell>
          <cell r="AO660" t="str">
            <v>Northwest</v>
          </cell>
          <cell r="AP660" t="str">
            <v>West</v>
          </cell>
          <cell r="AQ660"/>
          <cell r="AR660">
            <v>0</v>
          </cell>
          <cell r="AS660">
            <v>0</v>
          </cell>
        </row>
        <row r="661">
          <cell r="A661">
            <v>11519</v>
          </cell>
          <cell r="B661" t="str">
            <v>SPORT LAND, INC.</v>
          </cell>
          <cell r="C661" t="str">
            <v>M10383</v>
          </cell>
          <cell r="D661" t="str">
            <v>NET 5, BT+</v>
          </cell>
          <cell r="E661" t="str">
            <v>CF</v>
          </cell>
          <cell r="F661" t="str">
            <v>Yes</v>
          </cell>
          <cell r="G661" t="str">
            <v>ID</v>
          </cell>
          <cell r="H661">
            <v>7</v>
          </cell>
          <cell r="I661">
            <v>0.7</v>
          </cell>
          <cell r="J661" t="str">
            <v>Nate Erickson</v>
          </cell>
          <cell r="K661" t="str">
            <v>LOLO</v>
          </cell>
          <cell r="L661" t="str">
            <v>MT</v>
          </cell>
          <cell r="M661" t="str">
            <v>208-459-0106</v>
          </cell>
          <cell r="N661"/>
          <cell r="O661">
            <v>1775</v>
          </cell>
          <cell r="P661">
            <v>7632.5</v>
          </cell>
          <cell r="Q661"/>
          <cell r="R661">
            <v>0</v>
          </cell>
          <cell r="S661">
            <v>361</v>
          </cell>
          <cell r="T661">
            <v>1552.3</v>
          </cell>
          <cell r="U661">
            <v>1692</v>
          </cell>
          <cell r="V661">
            <v>7275.5999999999995</v>
          </cell>
          <cell r="W661">
            <v>1727</v>
          </cell>
          <cell r="X661">
            <v>7426.0999999999995</v>
          </cell>
          <cell r="Y661"/>
          <cell r="Z661">
            <v>0</v>
          </cell>
          <cell r="AA661"/>
          <cell r="AB661">
            <v>0</v>
          </cell>
          <cell r="AC661"/>
          <cell r="AD661">
            <v>0</v>
          </cell>
          <cell r="AE661"/>
          <cell r="AF661"/>
          <cell r="AG661"/>
          <cell r="AH661"/>
          <cell r="AI661"/>
          <cell r="AJ661">
            <v>0</v>
          </cell>
          <cell r="AK661" t="str">
            <v>3P</v>
          </cell>
          <cell r="AL661">
            <v>187</v>
          </cell>
          <cell r="AM661">
            <v>300</v>
          </cell>
          <cell r="AN661" t="str">
            <v>01 Existing Dealer</v>
          </cell>
          <cell r="AO661" t="str">
            <v>Northwest</v>
          </cell>
          <cell r="AP661" t="str">
            <v>West</v>
          </cell>
          <cell r="AQ661"/>
          <cell r="AR661">
            <v>0</v>
          </cell>
          <cell r="AS661">
            <v>0</v>
          </cell>
        </row>
        <row r="662">
          <cell r="A662" t="str">
            <v>11519A</v>
          </cell>
          <cell r="B662" t="str">
            <v>SPORT LAND, INC.</v>
          </cell>
          <cell r="C662" t="str">
            <v>M10383</v>
          </cell>
          <cell r="D662" t="str">
            <v>NET 5, BT+</v>
          </cell>
          <cell r="E662" t="str">
            <v>CF</v>
          </cell>
          <cell r="F662" t="str">
            <v>Yes</v>
          </cell>
          <cell r="G662" t="str">
            <v>ID</v>
          </cell>
          <cell r="H662">
            <v>7</v>
          </cell>
          <cell r="I662">
            <v>0.7</v>
          </cell>
          <cell r="J662" t="str">
            <v>Nate Erickson</v>
          </cell>
          <cell r="K662" t="str">
            <v>KALISPELL</v>
          </cell>
          <cell r="L662" t="str">
            <v>MT</v>
          </cell>
          <cell r="M662" t="str">
            <v>208-459-0106</v>
          </cell>
          <cell r="N662"/>
          <cell r="O662">
            <v>1887</v>
          </cell>
          <cell r="P662">
            <v>8114.0999999999995</v>
          </cell>
          <cell r="Q662"/>
          <cell r="R662">
            <v>0</v>
          </cell>
          <cell r="S662">
            <v>493</v>
          </cell>
          <cell r="T662">
            <v>2119.9</v>
          </cell>
          <cell r="U662">
            <v>1804</v>
          </cell>
          <cell r="V662">
            <v>7757.2</v>
          </cell>
          <cell r="W662">
            <v>1839</v>
          </cell>
          <cell r="X662">
            <v>7907.7</v>
          </cell>
          <cell r="Y662"/>
          <cell r="Z662">
            <v>0</v>
          </cell>
          <cell r="AA662"/>
          <cell r="AB662">
            <v>0</v>
          </cell>
          <cell r="AC662"/>
          <cell r="AD662">
            <v>0</v>
          </cell>
          <cell r="AE662"/>
          <cell r="AF662"/>
          <cell r="AG662"/>
          <cell r="AH662"/>
          <cell r="AI662"/>
          <cell r="AJ662">
            <v>0</v>
          </cell>
          <cell r="AK662" t="str">
            <v>3P</v>
          </cell>
          <cell r="AL662">
            <v>187</v>
          </cell>
          <cell r="AM662">
            <v>224</v>
          </cell>
          <cell r="AN662" t="str">
            <v>01 Existing Dealer</v>
          </cell>
          <cell r="AO662" t="str">
            <v>Northwest</v>
          </cell>
          <cell r="AP662" t="str">
            <v>West</v>
          </cell>
          <cell r="AQ662"/>
          <cell r="AR662">
            <v>0</v>
          </cell>
          <cell r="AS662">
            <v>0</v>
          </cell>
        </row>
        <row r="663">
          <cell r="A663" t="str">
            <v>11519B</v>
          </cell>
          <cell r="B663" t="str">
            <v>SPORT LAND, INC.</v>
          </cell>
          <cell r="C663" t="str">
            <v>M10383</v>
          </cell>
          <cell r="D663" t="str">
            <v>NET 5, BT+</v>
          </cell>
          <cell r="E663" t="str">
            <v>CF</v>
          </cell>
          <cell r="F663" t="str">
            <v>Yes</v>
          </cell>
          <cell r="G663" t="str">
            <v>ID</v>
          </cell>
          <cell r="H663">
            <v>7</v>
          </cell>
          <cell r="I663">
            <v>0.7</v>
          </cell>
          <cell r="J663" t="str">
            <v>Nate Erickson</v>
          </cell>
          <cell r="K663" t="str">
            <v>MANHATTAN</v>
          </cell>
          <cell r="L663" t="str">
            <v>MT</v>
          </cell>
          <cell r="M663" t="str">
            <v>208-459-0106</v>
          </cell>
          <cell r="N663"/>
          <cell r="O663">
            <v>1582</v>
          </cell>
          <cell r="P663">
            <v>6802.5999999999995</v>
          </cell>
          <cell r="Q663"/>
          <cell r="R663">
            <v>0</v>
          </cell>
          <cell r="S663">
            <v>509</v>
          </cell>
          <cell r="T663">
            <v>2188.6999999999998</v>
          </cell>
          <cell r="U663">
            <v>1499</v>
          </cell>
          <cell r="V663">
            <v>6445.7</v>
          </cell>
          <cell r="W663">
            <v>1534</v>
          </cell>
          <cell r="X663">
            <v>6596.2</v>
          </cell>
          <cell r="Y663"/>
          <cell r="Z663">
            <v>0</v>
          </cell>
          <cell r="AA663"/>
          <cell r="AB663">
            <v>0</v>
          </cell>
          <cell r="AC663"/>
          <cell r="AD663">
            <v>0</v>
          </cell>
          <cell r="AE663"/>
          <cell r="AF663"/>
          <cell r="AG663"/>
          <cell r="AH663"/>
          <cell r="AI663"/>
          <cell r="AJ663">
            <v>0</v>
          </cell>
          <cell r="AK663" t="str">
            <v>3P</v>
          </cell>
          <cell r="AL663">
            <v>187</v>
          </cell>
          <cell r="AM663">
            <v>53</v>
          </cell>
          <cell r="AN663" t="str">
            <v>01 Existing Dealer</v>
          </cell>
          <cell r="AO663" t="str">
            <v>Northwest</v>
          </cell>
          <cell r="AP663" t="str">
            <v>West</v>
          </cell>
          <cell r="AQ663"/>
          <cell r="AR663">
            <v>0</v>
          </cell>
          <cell r="AS663">
            <v>0</v>
          </cell>
        </row>
        <row r="664">
          <cell r="A664">
            <v>11619</v>
          </cell>
          <cell r="B664" t="str">
            <v>SPORT LAND, INC.</v>
          </cell>
          <cell r="C664" t="str">
            <v>M10383</v>
          </cell>
          <cell r="D664" t="str">
            <v>NET 5, BT+</v>
          </cell>
          <cell r="E664" t="str">
            <v>FP - Wells Fargo</v>
          </cell>
          <cell r="F664" t="str">
            <v>Yes</v>
          </cell>
          <cell r="G664" t="str">
            <v>ID</v>
          </cell>
          <cell r="H664">
            <v>8</v>
          </cell>
          <cell r="I664">
            <v>0.7</v>
          </cell>
          <cell r="J664" t="str">
            <v>Nate Erickson</v>
          </cell>
          <cell r="K664" t="str">
            <v>LOLO</v>
          </cell>
          <cell r="L664" t="str">
            <v>MT</v>
          </cell>
          <cell r="M664" t="str">
            <v>208-459-0106</v>
          </cell>
          <cell r="N664"/>
          <cell r="O664">
            <v>1775</v>
          </cell>
          <cell r="P664">
            <v>7632.5</v>
          </cell>
          <cell r="Q664"/>
          <cell r="R664">
            <v>0</v>
          </cell>
          <cell r="S664">
            <v>361</v>
          </cell>
          <cell r="T664">
            <v>1552.3</v>
          </cell>
          <cell r="U664">
            <v>1692</v>
          </cell>
          <cell r="V664">
            <v>7275.5999999999995</v>
          </cell>
          <cell r="W664">
            <v>1727</v>
          </cell>
          <cell r="X664">
            <v>7426.0999999999995</v>
          </cell>
          <cell r="Y664"/>
          <cell r="Z664">
            <v>0</v>
          </cell>
          <cell r="AA664"/>
          <cell r="AB664">
            <v>0</v>
          </cell>
          <cell r="AC664"/>
          <cell r="AD664">
            <v>0</v>
          </cell>
          <cell r="AE664"/>
          <cell r="AF664"/>
          <cell r="AG664"/>
          <cell r="AH664"/>
          <cell r="AI664"/>
          <cell r="AJ664">
            <v>0</v>
          </cell>
          <cell r="AK664" t="str">
            <v>3P</v>
          </cell>
          <cell r="AL664">
            <v>187</v>
          </cell>
          <cell r="AM664">
            <v>300</v>
          </cell>
          <cell r="AN664" t="str">
            <v>01 Existing Dealer</v>
          </cell>
          <cell r="AO664" t="str">
            <v>Northwest</v>
          </cell>
          <cell r="AP664" t="str">
            <v>West</v>
          </cell>
          <cell r="AQ664"/>
          <cell r="AR664">
            <v>0</v>
          </cell>
          <cell r="AS664">
            <v>0</v>
          </cell>
        </row>
        <row r="665">
          <cell r="A665" t="str">
            <v>11619A</v>
          </cell>
          <cell r="B665" t="str">
            <v>SPORT LAND, INC.</v>
          </cell>
          <cell r="C665" t="str">
            <v>M10383</v>
          </cell>
          <cell r="D665" t="str">
            <v>NET 5, BT+</v>
          </cell>
          <cell r="E665" t="str">
            <v>FP - Wells Fargo</v>
          </cell>
          <cell r="F665" t="str">
            <v>Yes</v>
          </cell>
          <cell r="G665" t="str">
            <v>ID</v>
          </cell>
          <cell r="H665">
            <v>8</v>
          </cell>
          <cell r="I665">
            <v>0.7</v>
          </cell>
          <cell r="J665" t="str">
            <v>Nate Erickson</v>
          </cell>
          <cell r="K665" t="str">
            <v>KALISPELL</v>
          </cell>
          <cell r="L665" t="str">
            <v>MT</v>
          </cell>
          <cell r="M665" t="str">
            <v>208-459-0106</v>
          </cell>
          <cell r="N665"/>
          <cell r="O665">
            <v>1887</v>
          </cell>
          <cell r="P665">
            <v>8114.0999999999995</v>
          </cell>
          <cell r="Q665"/>
          <cell r="R665">
            <v>0</v>
          </cell>
          <cell r="S665">
            <v>493</v>
          </cell>
          <cell r="T665">
            <v>2119.9</v>
          </cell>
          <cell r="U665">
            <v>1804</v>
          </cell>
          <cell r="V665">
            <v>7757.2</v>
          </cell>
          <cell r="W665">
            <v>1839</v>
          </cell>
          <cell r="X665">
            <v>7907.7</v>
          </cell>
          <cell r="Y665"/>
          <cell r="Z665">
            <v>0</v>
          </cell>
          <cell r="AA665"/>
          <cell r="AB665">
            <v>0</v>
          </cell>
          <cell r="AC665"/>
          <cell r="AD665">
            <v>0</v>
          </cell>
          <cell r="AE665"/>
          <cell r="AF665"/>
          <cell r="AG665"/>
          <cell r="AH665"/>
          <cell r="AI665"/>
          <cell r="AJ665">
            <v>0</v>
          </cell>
          <cell r="AK665" t="str">
            <v>3P</v>
          </cell>
          <cell r="AL665">
            <v>187</v>
          </cell>
          <cell r="AM665">
            <v>224</v>
          </cell>
          <cell r="AN665" t="str">
            <v>01 Existing Dealer</v>
          </cell>
          <cell r="AO665" t="str">
            <v>Northwest</v>
          </cell>
          <cell r="AP665" t="str">
            <v>West</v>
          </cell>
          <cell r="AQ665"/>
          <cell r="AR665">
            <v>0</v>
          </cell>
          <cell r="AS665">
            <v>0</v>
          </cell>
        </row>
        <row r="666">
          <cell r="A666" t="str">
            <v>11619B</v>
          </cell>
          <cell r="B666" t="str">
            <v>SPORT LAND, INC.</v>
          </cell>
          <cell r="C666" t="str">
            <v>M10383</v>
          </cell>
          <cell r="D666" t="str">
            <v>NET 5, BT+</v>
          </cell>
          <cell r="E666" t="str">
            <v>FP - Wells Fargo</v>
          </cell>
          <cell r="F666" t="str">
            <v>Yes</v>
          </cell>
          <cell r="G666" t="str">
            <v>ID</v>
          </cell>
          <cell r="H666">
            <v>8</v>
          </cell>
          <cell r="I666">
            <v>0.7</v>
          </cell>
          <cell r="J666" t="str">
            <v>Nate Erickson</v>
          </cell>
          <cell r="K666" t="str">
            <v>MANHATTAN</v>
          </cell>
          <cell r="L666" t="str">
            <v>MT</v>
          </cell>
          <cell r="M666" t="str">
            <v>208-459-0106</v>
          </cell>
          <cell r="N666"/>
          <cell r="O666">
            <v>1582</v>
          </cell>
          <cell r="P666">
            <v>6802.5999999999995</v>
          </cell>
          <cell r="Q666"/>
          <cell r="R666">
            <v>0</v>
          </cell>
          <cell r="S666">
            <v>509</v>
          </cell>
          <cell r="T666">
            <v>2188.6999999999998</v>
          </cell>
          <cell r="U666">
            <v>1499</v>
          </cell>
          <cell r="V666">
            <v>6445.7</v>
          </cell>
          <cell r="W666">
            <v>1534</v>
          </cell>
          <cell r="X666">
            <v>6596.2</v>
          </cell>
          <cell r="Y666"/>
          <cell r="Z666">
            <v>0</v>
          </cell>
          <cell r="AA666"/>
          <cell r="AB666">
            <v>0</v>
          </cell>
          <cell r="AC666"/>
          <cell r="AD666">
            <v>0</v>
          </cell>
          <cell r="AE666"/>
          <cell r="AF666"/>
          <cell r="AG666"/>
          <cell r="AH666"/>
          <cell r="AI666"/>
          <cell r="AJ666">
            <v>0</v>
          </cell>
          <cell r="AK666" t="str">
            <v>3P</v>
          </cell>
          <cell r="AL666">
            <v>187</v>
          </cell>
          <cell r="AM666">
            <v>53</v>
          </cell>
          <cell r="AN666" t="str">
            <v>01 Existing Dealer</v>
          </cell>
          <cell r="AO666" t="str">
            <v>Northwest</v>
          </cell>
          <cell r="AP666" t="str">
            <v>West</v>
          </cell>
          <cell r="AQ666"/>
          <cell r="AR666">
            <v>0</v>
          </cell>
          <cell r="AS666">
            <v>0</v>
          </cell>
        </row>
        <row r="667">
          <cell r="A667">
            <v>12800</v>
          </cell>
          <cell r="B667" t="str">
            <v>SPORT LAND, INC.</v>
          </cell>
          <cell r="C667" t="str">
            <v>M10383</v>
          </cell>
          <cell r="D667" t="str">
            <v>NET 5, BT+</v>
          </cell>
          <cell r="E667" t="str">
            <v>FP - Northpoint</v>
          </cell>
          <cell r="F667" t="str">
            <v>Yes</v>
          </cell>
          <cell r="G667" t="str">
            <v>ID</v>
          </cell>
          <cell r="H667">
            <v>8</v>
          </cell>
          <cell r="I667">
            <v>0.7</v>
          </cell>
          <cell r="J667" t="str">
            <v>Nate Erickson</v>
          </cell>
          <cell r="K667" t="str">
            <v>LOLO</v>
          </cell>
          <cell r="L667" t="str">
            <v>MT</v>
          </cell>
          <cell r="M667" t="str">
            <v>208-459-0106</v>
          </cell>
          <cell r="N667"/>
          <cell r="O667">
            <v>1775</v>
          </cell>
          <cell r="P667">
            <v>7632.5</v>
          </cell>
          <cell r="Q667"/>
          <cell r="R667">
            <v>0</v>
          </cell>
          <cell r="S667">
            <v>361</v>
          </cell>
          <cell r="T667">
            <v>1552.3</v>
          </cell>
          <cell r="U667">
            <v>1692</v>
          </cell>
          <cell r="V667">
            <v>7275.5999999999995</v>
          </cell>
          <cell r="W667">
            <v>1724</v>
          </cell>
          <cell r="X667">
            <v>7413.2</v>
          </cell>
          <cell r="Y667"/>
          <cell r="Z667">
            <v>0</v>
          </cell>
          <cell r="AA667"/>
          <cell r="AB667">
            <v>0</v>
          </cell>
          <cell r="AC667"/>
          <cell r="AD667">
            <v>0</v>
          </cell>
          <cell r="AE667"/>
          <cell r="AF667"/>
          <cell r="AG667"/>
          <cell r="AH667"/>
          <cell r="AI667"/>
          <cell r="AJ667">
            <v>0</v>
          </cell>
          <cell r="AK667" t="str">
            <v>3P</v>
          </cell>
          <cell r="AL667">
            <v>187</v>
          </cell>
          <cell r="AM667">
            <v>300</v>
          </cell>
          <cell r="AN667" t="str">
            <v>01 Existing Dealer</v>
          </cell>
          <cell r="AO667" t="str">
            <v>Northwest</v>
          </cell>
          <cell r="AP667" t="str">
            <v>West</v>
          </cell>
          <cell r="AQ667"/>
          <cell r="AR667">
            <v>0</v>
          </cell>
          <cell r="AS667">
            <v>0</v>
          </cell>
        </row>
        <row r="668">
          <cell r="A668">
            <v>13524</v>
          </cell>
          <cell r="B668" t="str">
            <v>STEER IN, LBE</v>
          </cell>
          <cell r="C668" t="str">
            <v>M10386</v>
          </cell>
          <cell r="D668" t="str">
            <v>NET 5, BT+</v>
          </cell>
          <cell r="E668">
            <v>30</v>
          </cell>
          <cell r="F668" t="str">
            <v>Yes</v>
          </cell>
          <cell r="G668" t="str">
            <v>ID</v>
          </cell>
          <cell r="H668">
            <v>5</v>
          </cell>
          <cell r="I668">
            <v>0.66500000000000004</v>
          </cell>
          <cell r="J668" t="str">
            <v>JL Smith</v>
          </cell>
          <cell r="K668" t="str">
            <v>THREE FORKS</v>
          </cell>
          <cell r="L668" t="str">
            <v>MT</v>
          </cell>
          <cell r="M668" t="str">
            <v>208-459-0106</v>
          </cell>
          <cell r="N668" t="str">
            <v>All MSO's must read main location in Three Forks, MT</v>
          </cell>
          <cell r="O668">
            <v>1606</v>
          </cell>
          <cell r="P668">
            <v>6905.7999999999993</v>
          </cell>
          <cell r="Q668"/>
          <cell r="R668">
            <v>0</v>
          </cell>
          <cell r="S668">
            <v>464</v>
          </cell>
          <cell r="T668">
            <v>4650</v>
          </cell>
          <cell r="U668">
            <v>1511</v>
          </cell>
          <cell r="V668">
            <v>6497.3</v>
          </cell>
          <cell r="W668">
            <v>1568</v>
          </cell>
          <cell r="X668">
            <v>6742.4</v>
          </cell>
          <cell r="Y668"/>
          <cell r="Z668">
            <v>0</v>
          </cell>
          <cell r="AA668">
            <v>1715</v>
          </cell>
          <cell r="AB668">
            <v>7374.5</v>
          </cell>
          <cell r="AC668">
            <v>1725</v>
          </cell>
          <cell r="AD668">
            <v>7417.5</v>
          </cell>
          <cell r="AE668"/>
          <cell r="AF668"/>
          <cell r="AG668"/>
          <cell r="AH668"/>
          <cell r="AI668"/>
          <cell r="AJ668">
            <v>1.4999999999999999E-2</v>
          </cell>
          <cell r="AK668" t="str">
            <v>3P</v>
          </cell>
          <cell r="AL668">
            <v>151</v>
          </cell>
          <cell r="AM668">
            <v>53</v>
          </cell>
          <cell r="AN668" t="str">
            <v>01 Existing Dealer</v>
          </cell>
          <cell r="AO668" t="str">
            <v>Northwest</v>
          </cell>
          <cell r="AP668" t="str">
            <v>West</v>
          </cell>
          <cell r="AQ668"/>
          <cell r="AR668">
            <v>71267</v>
          </cell>
          <cell r="AS668">
            <v>42942</v>
          </cell>
        </row>
        <row r="669">
          <cell r="A669" t="str">
            <v>13524A</v>
          </cell>
          <cell r="B669" t="str">
            <v>STEER IN, LBE</v>
          </cell>
          <cell r="C669" t="str">
            <v>M10386</v>
          </cell>
          <cell r="D669" t="str">
            <v>NET 5, BT+</v>
          </cell>
          <cell r="E669">
            <v>30</v>
          </cell>
          <cell r="F669" t="str">
            <v>Yes</v>
          </cell>
          <cell r="G669" t="str">
            <v>ID</v>
          </cell>
          <cell r="H669">
            <v>5</v>
          </cell>
          <cell r="I669">
            <v>0.66500000000000004</v>
          </cell>
          <cell r="J669" t="str">
            <v>JL Smith</v>
          </cell>
          <cell r="K669" t="str">
            <v>KALISPELL</v>
          </cell>
          <cell r="L669" t="str">
            <v>MT</v>
          </cell>
          <cell r="M669" t="str">
            <v>208-459-0106</v>
          </cell>
          <cell r="N669" t="str">
            <v>All MSO's must read main location in Three Forks, MT</v>
          </cell>
          <cell r="O669">
            <v>1864</v>
          </cell>
          <cell r="P669">
            <v>8015.2</v>
          </cell>
          <cell r="Q669">
            <v>2393</v>
          </cell>
          <cell r="R669">
            <v>10289.9</v>
          </cell>
          <cell r="S669">
            <v>483</v>
          </cell>
          <cell r="T669">
            <v>4800</v>
          </cell>
          <cell r="U669">
            <v>1773</v>
          </cell>
          <cell r="V669">
            <v>7623.9</v>
          </cell>
          <cell r="W669">
            <v>1822</v>
          </cell>
          <cell r="X669">
            <v>7834.5999999999995</v>
          </cell>
          <cell r="Y669"/>
          <cell r="Z669">
            <v>0</v>
          </cell>
          <cell r="AA669">
            <v>1919</v>
          </cell>
          <cell r="AB669">
            <v>8251.6999999999989</v>
          </cell>
          <cell r="AC669">
            <v>1919</v>
          </cell>
          <cell r="AD669">
            <v>8251.6999999999989</v>
          </cell>
          <cell r="AE669"/>
          <cell r="AF669"/>
          <cell r="AG669"/>
          <cell r="AH669"/>
          <cell r="AI669"/>
          <cell r="AJ669">
            <v>1.4999999999999999E-2</v>
          </cell>
          <cell r="AK669" t="str">
            <v>3P</v>
          </cell>
          <cell r="AL669">
            <v>151</v>
          </cell>
          <cell r="AM669">
            <v>224</v>
          </cell>
          <cell r="AN669" t="str">
            <v>01 Existing Dealer</v>
          </cell>
          <cell r="AO669" t="str">
            <v>Northwest</v>
          </cell>
          <cell r="AP669" t="str">
            <v>West</v>
          </cell>
          <cell r="AQ669"/>
          <cell r="AR669">
            <v>0</v>
          </cell>
          <cell r="AS669">
            <v>0</v>
          </cell>
        </row>
        <row r="670">
          <cell r="A670">
            <v>11908</v>
          </cell>
          <cell r="B670" t="str">
            <v>STEER IN TRAILER SALES</v>
          </cell>
          <cell r="C670" t="str">
            <v>M10386</v>
          </cell>
          <cell r="D670" t="str">
            <v>NET 5, BT+</v>
          </cell>
          <cell r="E670" t="str">
            <v>CO</v>
          </cell>
          <cell r="F670" t="str">
            <v>Yes</v>
          </cell>
          <cell r="G670" t="str">
            <v>ID</v>
          </cell>
          <cell r="H670">
            <v>7</v>
          </cell>
          <cell r="I670">
            <v>0.7</v>
          </cell>
          <cell r="J670" t="str">
            <v>JL Smith</v>
          </cell>
          <cell r="K670" t="str">
            <v>THREE FORKS</v>
          </cell>
          <cell r="L670" t="str">
            <v>MT</v>
          </cell>
          <cell r="M670" t="str">
            <v>208-459-0106</v>
          </cell>
          <cell r="N670" t="str">
            <v>Dealer wants brakes on both axles on all tandem</v>
          </cell>
          <cell r="O670"/>
          <cell r="P670">
            <v>0</v>
          </cell>
          <cell r="Q670"/>
          <cell r="R670">
            <v>0</v>
          </cell>
          <cell r="S670">
            <v>464</v>
          </cell>
          <cell r="T670">
            <v>4650</v>
          </cell>
          <cell r="U670"/>
          <cell r="V670">
            <v>0</v>
          </cell>
          <cell r="W670"/>
          <cell r="X670">
            <v>0</v>
          </cell>
          <cell r="Y670"/>
          <cell r="Z670">
            <v>0</v>
          </cell>
          <cell r="AA670"/>
          <cell r="AB670">
            <v>0</v>
          </cell>
          <cell r="AC670"/>
          <cell r="AD670">
            <v>0</v>
          </cell>
          <cell r="AE670"/>
          <cell r="AF670"/>
          <cell r="AG670"/>
          <cell r="AH670"/>
          <cell r="AI670"/>
          <cell r="AJ670">
            <v>2.5000000000000001E-2</v>
          </cell>
          <cell r="AK670" t="str">
            <v>3P</v>
          </cell>
          <cell r="AL670">
            <v>151</v>
          </cell>
          <cell r="AM670">
            <v>53</v>
          </cell>
          <cell r="AN670" t="str">
            <v>01 Existing Dealer</v>
          </cell>
          <cell r="AO670" t="str">
            <v>Northwest</v>
          </cell>
          <cell r="AP670" t="str">
            <v>West</v>
          </cell>
          <cell r="AQ670"/>
          <cell r="AR670">
            <v>0</v>
          </cell>
          <cell r="AS670">
            <v>0</v>
          </cell>
          <cell r="AT670"/>
        </row>
        <row r="671">
          <cell r="A671" t="str">
            <v>11908A</v>
          </cell>
          <cell r="B671" t="str">
            <v>STEER IN TRAILER SALES</v>
          </cell>
          <cell r="C671" t="str">
            <v>M10386</v>
          </cell>
          <cell r="D671" t="str">
            <v>NET 5, BT+</v>
          </cell>
          <cell r="E671" t="str">
            <v>CO</v>
          </cell>
          <cell r="F671" t="str">
            <v>Yes</v>
          </cell>
          <cell r="G671" t="str">
            <v>ID</v>
          </cell>
          <cell r="H671">
            <v>7</v>
          </cell>
          <cell r="I671">
            <v>0.7</v>
          </cell>
          <cell r="J671" t="str">
            <v>JL Smith</v>
          </cell>
          <cell r="K671" t="str">
            <v>GREAT FALLS</v>
          </cell>
          <cell r="L671" t="str">
            <v>MT</v>
          </cell>
          <cell r="M671" t="str">
            <v>208-459-0106</v>
          </cell>
          <cell r="N671" t="str">
            <v>Dealer wants brakes on both axles on all tandem</v>
          </cell>
          <cell r="O671"/>
          <cell r="P671">
            <v>0</v>
          </cell>
          <cell r="Q671"/>
          <cell r="R671">
            <v>0</v>
          </cell>
          <cell r="S671"/>
          <cell r="T671">
            <v>0</v>
          </cell>
          <cell r="U671">
            <v>1670</v>
          </cell>
          <cell r="V671">
            <v>7181</v>
          </cell>
          <cell r="W671"/>
          <cell r="X671">
            <v>0</v>
          </cell>
          <cell r="Y671"/>
          <cell r="Z671">
            <v>0</v>
          </cell>
          <cell r="AA671"/>
          <cell r="AB671">
            <v>0</v>
          </cell>
          <cell r="AC671"/>
          <cell r="AD671">
            <v>0</v>
          </cell>
          <cell r="AE671"/>
          <cell r="AF671"/>
          <cell r="AG671"/>
          <cell r="AH671"/>
          <cell r="AI671"/>
          <cell r="AJ671">
            <v>2.5000000000000001E-2</v>
          </cell>
          <cell r="AK671" t="str">
            <v>3P</v>
          </cell>
          <cell r="AL671">
            <v>151</v>
          </cell>
          <cell r="AM671">
            <v>171</v>
          </cell>
          <cell r="AN671" t="str">
            <v>01 Existing Dealer</v>
          </cell>
          <cell r="AO671" t="str">
            <v>Northwest</v>
          </cell>
          <cell r="AP671" t="str">
            <v>West</v>
          </cell>
          <cell r="AQ671"/>
          <cell r="AR671">
            <v>0</v>
          </cell>
          <cell r="AS671">
            <v>0</v>
          </cell>
          <cell r="AT671"/>
        </row>
        <row r="672">
          <cell r="A672">
            <v>13069</v>
          </cell>
          <cell r="B672" t="str">
            <v>A &amp; W SALES</v>
          </cell>
          <cell r="C672" t="str">
            <v>M10005</v>
          </cell>
          <cell r="D672" t="str">
            <v>Return Mail, no pink card</v>
          </cell>
          <cell r="E672" t="str">
            <v>F3 - Northpoint</v>
          </cell>
          <cell r="F672" t="str">
            <v>Yes</v>
          </cell>
          <cell r="G672" t="str">
            <v>GA</v>
          </cell>
          <cell r="H672">
            <v>7</v>
          </cell>
          <cell r="I672">
            <v>0.66500000000000004</v>
          </cell>
          <cell r="J672" t="str">
            <v>JL Smith</v>
          </cell>
          <cell r="K672" t="str">
            <v>PINETOWN</v>
          </cell>
          <cell r="L672" t="str">
            <v>NC</v>
          </cell>
          <cell r="M672" t="str">
            <v>800-577-8858</v>
          </cell>
          <cell r="N672"/>
          <cell r="O672">
            <v>1207</v>
          </cell>
          <cell r="P672">
            <v>5190.0999999999995</v>
          </cell>
          <cell r="Q672">
            <v>569</v>
          </cell>
          <cell r="R672">
            <v>2446.6999999999998</v>
          </cell>
          <cell r="S672"/>
          <cell r="T672">
            <v>0</v>
          </cell>
          <cell r="U672">
            <v>1304</v>
          </cell>
          <cell r="V672">
            <v>5607.2</v>
          </cell>
          <cell r="W672">
            <v>1268</v>
          </cell>
          <cell r="X672">
            <v>5452.4</v>
          </cell>
          <cell r="Y672">
            <v>617</v>
          </cell>
          <cell r="Z672">
            <v>2653.1</v>
          </cell>
          <cell r="AA672">
            <v>617</v>
          </cell>
          <cell r="AB672">
            <v>2653.1</v>
          </cell>
          <cell r="AC672">
            <v>617</v>
          </cell>
          <cell r="AD672">
            <v>2653.1</v>
          </cell>
          <cell r="AE672"/>
          <cell r="AF672"/>
          <cell r="AG672"/>
          <cell r="AH672"/>
          <cell r="AI672"/>
          <cell r="AJ672">
            <v>0.01</v>
          </cell>
          <cell r="AK672" t="str">
            <v>3P</v>
          </cell>
          <cell r="AL672">
            <v>151</v>
          </cell>
          <cell r="AM672">
            <v>171</v>
          </cell>
          <cell r="AN672" t="str">
            <v>01 Existing Dealer</v>
          </cell>
          <cell r="AO672" t="str">
            <v>Southeast</v>
          </cell>
          <cell r="AP672" t="str">
            <v>South</v>
          </cell>
          <cell r="AQ672"/>
          <cell r="AR672">
            <v>0</v>
          </cell>
          <cell r="AS672">
            <v>43762</v>
          </cell>
        </row>
        <row r="673">
          <cell r="A673" t="str">
            <v>13069A</v>
          </cell>
          <cell r="B673" t="str">
            <v>A &amp; W SALES</v>
          </cell>
          <cell r="C673" t="str">
            <v>M10005</v>
          </cell>
          <cell r="D673" t="str">
            <v>Return Mail, no pink card</v>
          </cell>
          <cell r="E673" t="str">
            <v>F3 - Northpoint</v>
          </cell>
          <cell r="F673" t="str">
            <v>Yes</v>
          </cell>
          <cell r="G673" t="str">
            <v>GA</v>
          </cell>
          <cell r="H673">
            <v>7</v>
          </cell>
          <cell r="I673">
            <v>0.66500000000000004</v>
          </cell>
          <cell r="J673" t="str">
            <v>JL Smith</v>
          </cell>
          <cell r="K673" t="str">
            <v>PINETOWN</v>
          </cell>
          <cell r="L673" t="str">
            <v>NC</v>
          </cell>
          <cell r="M673" t="str">
            <v>800-577-8858</v>
          </cell>
          <cell r="N673"/>
          <cell r="O673">
            <v>1207</v>
          </cell>
          <cell r="P673">
            <v>5190.0999999999995</v>
          </cell>
          <cell r="Q673">
            <v>569</v>
          </cell>
          <cell r="R673">
            <v>2446.6999999999998</v>
          </cell>
          <cell r="S673"/>
          <cell r="T673">
            <v>0</v>
          </cell>
          <cell r="U673">
            <v>1304</v>
          </cell>
          <cell r="V673">
            <v>5607.2</v>
          </cell>
          <cell r="W673">
            <v>1268</v>
          </cell>
          <cell r="X673">
            <v>5452.4</v>
          </cell>
          <cell r="Y673">
            <v>617</v>
          </cell>
          <cell r="Z673">
            <v>2653.1</v>
          </cell>
          <cell r="AA673">
            <v>617</v>
          </cell>
          <cell r="AB673">
            <v>2653.1</v>
          </cell>
          <cell r="AC673">
            <v>617</v>
          </cell>
          <cell r="AD673">
            <v>2653.1</v>
          </cell>
          <cell r="AE673"/>
          <cell r="AF673"/>
          <cell r="AG673"/>
          <cell r="AH673"/>
          <cell r="AI673"/>
          <cell r="AJ673">
            <v>0.01</v>
          </cell>
          <cell r="AK673" t="str">
            <v>3P</v>
          </cell>
          <cell r="AL673">
            <v>151</v>
          </cell>
          <cell r="AM673">
            <v>171</v>
          </cell>
          <cell r="AN673" t="str">
            <v>01 Existing Dealer</v>
          </cell>
          <cell r="AO673" t="str">
            <v>Southeast</v>
          </cell>
          <cell r="AP673" t="str">
            <v>South</v>
          </cell>
          <cell r="AQ673"/>
          <cell r="AR673">
            <v>0</v>
          </cell>
          <cell r="AS673">
            <v>0</v>
          </cell>
          <cell r="AT673"/>
        </row>
        <row r="674">
          <cell r="A674">
            <v>12765</v>
          </cell>
          <cell r="B674" t="str">
            <v>A &amp; W SALES</v>
          </cell>
          <cell r="C674" t="str">
            <v>M10005</v>
          </cell>
          <cell r="D674" t="str">
            <v>Return Mail, no pink card</v>
          </cell>
          <cell r="E674" t="str">
            <v>CO</v>
          </cell>
          <cell r="F674" t="str">
            <v>Yes</v>
          </cell>
          <cell r="G674" t="str">
            <v>GA</v>
          </cell>
          <cell r="H674">
            <v>7</v>
          </cell>
          <cell r="I674">
            <v>0.66500000000000004</v>
          </cell>
          <cell r="J674" t="str">
            <v>JL Smith</v>
          </cell>
          <cell r="K674" t="str">
            <v>PINETOWN</v>
          </cell>
          <cell r="L674" t="str">
            <v>NC</v>
          </cell>
          <cell r="M674" t="str">
            <v>800-577-8858</v>
          </cell>
          <cell r="N674"/>
          <cell r="O674">
            <v>1207</v>
          </cell>
          <cell r="P674">
            <v>5190.0999999999995</v>
          </cell>
          <cell r="Q674">
            <v>569</v>
          </cell>
          <cell r="R674">
            <v>2446.6999999999998</v>
          </cell>
          <cell r="S674"/>
          <cell r="T674">
            <v>0</v>
          </cell>
          <cell r="U674">
            <v>1304</v>
          </cell>
          <cell r="V674">
            <v>5607.2</v>
          </cell>
          <cell r="W674">
            <v>1268</v>
          </cell>
          <cell r="X674">
            <v>5452.4</v>
          </cell>
          <cell r="Y674"/>
          <cell r="Z674">
            <v>0</v>
          </cell>
          <cell r="AA674"/>
          <cell r="AB674">
            <v>0</v>
          </cell>
          <cell r="AC674"/>
          <cell r="AD674">
            <v>0</v>
          </cell>
          <cell r="AE674"/>
          <cell r="AF674"/>
          <cell r="AG674"/>
          <cell r="AH674"/>
          <cell r="AI674"/>
          <cell r="AJ674">
            <v>0.01</v>
          </cell>
          <cell r="AK674" t="str">
            <v>3P</v>
          </cell>
          <cell r="AL674">
            <v>151</v>
          </cell>
          <cell r="AM674">
            <v>171</v>
          </cell>
          <cell r="AN674" t="str">
            <v>01 Existing Dealer</v>
          </cell>
          <cell r="AO674" t="str">
            <v>Southeast</v>
          </cell>
          <cell r="AP674" t="str">
            <v>South</v>
          </cell>
          <cell r="AQ674"/>
          <cell r="AR674">
            <v>0</v>
          </cell>
          <cell r="AS674">
            <v>0</v>
          </cell>
        </row>
        <row r="675">
          <cell r="A675" t="str">
            <v>12765A</v>
          </cell>
          <cell r="B675" t="str">
            <v>A &amp; W SALES</v>
          </cell>
          <cell r="C675" t="str">
            <v>M10005</v>
          </cell>
          <cell r="D675" t="str">
            <v>Return Mail, no pink card</v>
          </cell>
          <cell r="E675" t="str">
            <v>CO</v>
          </cell>
          <cell r="F675" t="str">
            <v>Yes</v>
          </cell>
          <cell r="G675" t="str">
            <v>GA</v>
          </cell>
          <cell r="H675">
            <v>7</v>
          </cell>
          <cell r="I675">
            <v>0.66500000000000004</v>
          </cell>
          <cell r="J675" t="str">
            <v>JL Smith</v>
          </cell>
          <cell r="K675" t="str">
            <v>PINETOWN</v>
          </cell>
          <cell r="L675" t="str">
            <v>NC</v>
          </cell>
          <cell r="M675" t="str">
            <v>800-577-8858</v>
          </cell>
          <cell r="N675"/>
          <cell r="O675">
            <v>1207</v>
          </cell>
          <cell r="P675">
            <v>5190.0999999999995</v>
          </cell>
          <cell r="Q675">
            <v>569</v>
          </cell>
          <cell r="R675">
            <v>2446.6999999999998</v>
          </cell>
          <cell r="S675"/>
          <cell r="T675">
            <v>0</v>
          </cell>
          <cell r="U675">
            <v>1304</v>
          </cell>
          <cell r="V675">
            <v>5607.2</v>
          </cell>
          <cell r="W675">
            <v>1268</v>
          </cell>
          <cell r="X675">
            <v>5452.4</v>
          </cell>
          <cell r="Y675"/>
          <cell r="Z675">
            <v>0</v>
          </cell>
          <cell r="AA675"/>
          <cell r="AB675">
            <v>0</v>
          </cell>
          <cell r="AC675"/>
          <cell r="AD675">
            <v>0</v>
          </cell>
          <cell r="AE675"/>
          <cell r="AF675"/>
          <cell r="AG675"/>
          <cell r="AH675"/>
          <cell r="AI675"/>
          <cell r="AJ675">
            <v>0.01</v>
          </cell>
          <cell r="AK675" t="str">
            <v>3P</v>
          </cell>
          <cell r="AL675">
            <v>151</v>
          </cell>
          <cell r="AM675">
            <v>171</v>
          </cell>
          <cell r="AN675" t="str">
            <v>01 Existing Dealer</v>
          </cell>
          <cell r="AO675" t="str">
            <v>Southeast</v>
          </cell>
          <cell r="AP675" t="str">
            <v>South</v>
          </cell>
          <cell r="AQ675"/>
          <cell r="AR675">
            <v>0</v>
          </cell>
          <cell r="AS675">
            <v>0</v>
          </cell>
        </row>
        <row r="676">
          <cell r="A676">
            <v>13162</v>
          </cell>
          <cell r="B676" t="str">
            <v>BEST OF CLINTON, INC</v>
          </cell>
          <cell r="C676" t="str">
            <v>M11096</v>
          </cell>
          <cell r="D676" t="str">
            <v>NET 5, BT+</v>
          </cell>
          <cell r="E676" t="str">
            <v>CO</v>
          </cell>
          <cell r="F676" t="str">
            <v>Yes</v>
          </cell>
          <cell r="G676" t="str">
            <v>GA</v>
          </cell>
          <cell r="H676">
            <v>7</v>
          </cell>
          <cell r="I676">
            <v>0.66500000000000004</v>
          </cell>
          <cell r="J676" t="str">
            <v>JL Smith</v>
          </cell>
          <cell r="K676" t="str">
            <v>CLINTON</v>
          </cell>
          <cell r="L676" t="str">
            <v>NC</v>
          </cell>
          <cell r="M676" t="str">
            <v>800-577-8858</v>
          </cell>
          <cell r="N676"/>
          <cell r="O676">
            <v>1132</v>
          </cell>
          <cell r="P676">
            <v>4867.5999999999995</v>
          </cell>
          <cell r="Q676">
            <v>456</v>
          </cell>
          <cell r="R676">
            <v>1960.8</v>
          </cell>
          <cell r="S676"/>
          <cell r="T676">
            <v>0</v>
          </cell>
          <cell r="U676">
            <v>1229</v>
          </cell>
          <cell r="V676">
            <v>5284.7</v>
          </cell>
          <cell r="W676">
            <v>1153</v>
          </cell>
          <cell r="X676">
            <v>4957.8999999999996</v>
          </cell>
          <cell r="Y676">
            <v>560</v>
          </cell>
          <cell r="Z676">
            <v>2408</v>
          </cell>
          <cell r="AA676">
            <v>560</v>
          </cell>
          <cell r="AB676">
            <v>2408</v>
          </cell>
          <cell r="AC676">
            <v>560</v>
          </cell>
          <cell r="AD676">
            <v>2408</v>
          </cell>
          <cell r="AE676"/>
          <cell r="AF676"/>
          <cell r="AG676"/>
          <cell r="AH676"/>
          <cell r="AI676"/>
          <cell r="AJ676">
            <v>0</v>
          </cell>
          <cell r="AK676" t="str">
            <v>3P</v>
          </cell>
          <cell r="AL676">
            <v>151</v>
          </cell>
          <cell r="AM676">
            <v>141</v>
          </cell>
          <cell r="AN676" t="str">
            <v>01 Existing Dealer</v>
          </cell>
          <cell r="AO676" t="str">
            <v>Southeast</v>
          </cell>
          <cell r="AP676" t="str">
            <v>South</v>
          </cell>
          <cell r="AQ676"/>
          <cell r="AR676">
            <v>0</v>
          </cell>
          <cell r="AS676">
            <v>0</v>
          </cell>
          <cell r="AT676"/>
        </row>
        <row r="677">
          <cell r="A677">
            <v>13022</v>
          </cell>
          <cell r="B677" t="str">
            <v>BRUTON TRAILER SALES</v>
          </cell>
          <cell r="C677" t="str">
            <v>M10882</v>
          </cell>
          <cell r="D677" t="str">
            <v>NET 5, BT+</v>
          </cell>
          <cell r="E677" t="str">
            <v>CO</v>
          </cell>
          <cell r="F677" t="str">
            <v>Yes</v>
          </cell>
          <cell r="G677" t="str">
            <v>GA</v>
          </cell>
          <cell r="H677">
            <v>7</v>
          </cell>
          <cell r="I677">
            <v>0.66500000000000004</v>
          </cell>
          <cell r="J677" t="str">
            <v>Orphaned Acct</v>
          </cell>
          <cell r="K677" t="str">
            <v>LUMBERTON</v>
          </cell>
          <cell r="L677" t="str">
            <v>NC</v>
          </cell>
          <cell r="M677" t="str">
            <v>800-577-8858</v>
          </cell>
          <cell r="N677" t="str">
            <v>Must have 48 hours notice before delivery</v>
          </cell>
          <cell r="O677">
            <v>1074</v>
          </cell>
          <cell r="P677">
            <v>4618.2</v>
          </cell>
          <cell r="Q677">
            <v>398</v>
          </cell>
          <cell r="R677">
            <v>1711.3999999999999</v>
          </cell>
          <cell r="S677" t="str"/>
          <cell r="T677" t="str"/>
          <cell r="U677">
            <v>1170</v>
          </cell>
          <cell r="V677">
            <v>5031</v>
          </cell>
          <cell r="W677">
            <v>1094</v>
          </cell>
          <cell r="X677">
            <v>4704.2</v>
          </cell>
          <cell r="Y677"/>
          <cell r="Z677">
            <v>0</v>
          </cell>
          <cell r="AA677"/>
          <cell r="AB677">
            <v>0</v>
          </cell>
          <cell r="AC677"/>
          <cell r="AD677">
            <v>0</v>
          </cell>
          <cell r="AE677" t="str"/>
          <cell r="AF677"/>
          <cell r="AG677" t="str"/>
          <cell r="AH677" t="str"/>
          <cell r="AI677" t="str"/>
          <cell r="AJ677">
            <v>0</v>
          </cell>
          <cell r="AK677" t="str">
            <v>3P</v>
          </cell>
          <cell r="AL677">
            <v>213</v>
          </cell>
          <cell r="AM677">
            <v>141</v>
          </cell>
          <cell r="AN677" t="str">
            <v>08 Inactive Dealer</v>
          </cell>
          <cell r="AO677" t="str">
            <v>Southeast</v>
          </cell>
          <cell r="AP677" t="str">
            <v>South</v>
          </cell>
          <cell r="AQ677"/>
          <cell r="AR677">
            <v>0</v>
          </cell>
          <cell r="AS677">
            <v>0</v>
          </cell>
        </row>
        <row r="678">
          <cell r="A678">
            <v>12849</v>
          </cell>
          <cell r="B678" t="str">
            <v>CAPPS TRAILERS.COM</v>
          </cell>
          <cell r="C678" t="str">
            <v>M10131</v>
          </cell>
          <cell r="D678" t="str">
            <v>NET 5, BT+</v>
          </cell>
          <cell r="E678" t="str">
            <v>FP - Northpoint</v>
          </cell>
          <cell r="F678" t="str">
            <v>Yes</v>
          </cell>
          <cell r="G678" t="str">
            <v>GA</v>
          </cell>
          <cell r="H678">
            <v>8</v>
          </cell>
          <cell r="I678">
            <v>0.66500000000000004</v>
          </cell>
          <cell r="J678" t="str">
            <v>Orphaned Acct</v>
          </cell>
          <cell r="K678" t="str">
            <v>DOVER</v>
          </cell>
          <cell r="L678" t="str">
            <v>NC</v>
          </cell>
          <cell r="M678" t="str">
            <v>800-577-8858</v>
          </cell>
          <cell r="N678" t="str">
            <v>Must have 24 hours notice before delivery</v>
          </cell>
          <cell r="O678">
            <v>1176</v>
          </cell>
          <cell r="P678">
            <v>5056.8</v>
          </cell>
          <cell r="Q678">
            <v>528</v>
          </cell>
          <cell r="R678">
            <v>2270.4</v>
          </cell>
          <cell r="S678"/>
          <cell r="T678">
            <v>0</v>
          </cell>
          <cell r="U678">
            <v>1272</v>
          </cell>
          <cell r="V678">
            <v>5469.5999999999995</v>
          </cell>
          <cell r="W678">
            <v>1224</v>
          </cell>
          <cell r="X678">
            <v>5263.2</v>
          </cell>
          <cell r="Y678"/>
          <cell r="Z678">
            <v>0</v>
          </cell>
          <cell r="AA678"/>
          <cell r="AB678">
            <v>0</v>
          </cell>
          <cell r="AC678"/>
          <cell r="AD678">
            <v>0</v>
          </cell>
          <cell r="AE678"/>
          <cell r="AF678"/>
          <cell r="AG678"/>
          <cell r="AH678"/>
          <cell r="AI678"/>
          <cell r="AJ678">
            <v>0</v>
          </cell>
          <cell r="AK678" t="str">
            <v>3P</v>
          </cell>
          <cell r="AL678">
            <v>213</v>
          </cell>
          <cell r="AM678">
            <v>316</v>
          </cell>
          <cell r="AN678" t="str">
            <v>08 Inactive Dealer</v>
          </cell>
          <cell r="AO678" t="str">
            <v>Southeast</v>
          </cell>
          <cell r="AP678" t="str">
            <v>South</v>
          </cell>
          <cell r="AQ678"/>
          <cell r="AR678">
            <v>0</v>
          </cell>
          <cell r="AS678">
            <v>0</v>
          </cell>
          <cell r="AT678"/>
        </row>
        <row r="679">
          <cell r="A679">
            <v>13289</v>
          </cell>
          <cell r="B679" t="str">
            <v>CENTRAL CAROLINA POWER</v>
          </cell>
          <cell r="C679" t="str">
            <v>M11247</v>
          </cell>
          <cell r="D679" t="str">
            <v>Net 30, no pink card</v>
          </cell>
          <cell r="E679">
            <v>30</v>
          </cell>
          <cell r="F679" t="str">
            <v>Yes</v>
          </cell>
          <cell r="G679" t="str">
            <v>GA</v>
          </cell>
          <cell r="H679">
            <v>5</v>
          </cell>
          <cell r="I679">
            <v>0.66500000000000004</v>
          </cell>
          <cell r="J679" t="str">
            <v>JL Smith</v>
          </cell>
          <cell r="K679" t="str">
            <v>SANFORD</v>
          </cell>
          <cell r="L679" t="str">
            <v>NC</v>
          </cell>
          <cell r="M679" t="str">
            <v>800-577-8858</v>
          </cell>
          <cell r="N679"/>
          <cell r="O679">
            <v>1074</v>
          </cell>
          <cell r="P679">
            <v>4618.2</v>
          </cell>
          <cell r="Q679">
            <v>461</v>
          </cell>
          <cell r="R679">
            <v>1982.3</v>
          </cell>
          <cell r="S679"/>
          <cell r="T679">
            <v>0</v>
          </cell>
          <cell r="U679">
            <v>1171</v>
          </cell>
          <cell r="V679">
            <v>5035.3</v>
          </cell>
          <cell r="W679">
            <v>1120</v>
          </cell>
          <cell r="X679">
            <v>4816</v>
          </cell>
          <cell r="Y679">
            <v>487</v>
          </cell>
          <cell r="Z679">
            <v>2094.1</v>
          </cell>
          <cell r="AA679">
            <v>487</v>
          </cell>
          <cell r="AB679">
            <v>2094.1</v>
          </cell>
          <cell r="AC679">
            <v>487</v>
          </cell>
          <cell r="AD679">
            <v>2094.1</v>
          </cell>
          <cell r="AE679"/>
          <cell r="AF679"/>
          <cell r="AG679"/>
          <cell r="AH679"/>
          <cell r="AI679"/>
          <cell r="AJ679">
            <v>0</v>
          </cell>
          <cell r="AK679" t="str">
            <v>3P</v>
          </cell>
          <cell r="AL679">
            <v>151</v>
          </cell>
          <cell r="AM679">
            <v>368</v>
          </cell>
          <cell r="AN679" t="str">
            <v>03 New Dealer</v>
          </cell>
          <cell r="AO679" t="str">
            <v>Southeast</v>
          </cell>
          <cell r="AP679" t="str">
            <v>South</v>
          </cell>
          <cell r="AQ679"/>
          <cell r="AR679">
            <v>0</v>
          </cell>
          <cell r="AS679">
            <v>0</v>
          </cell>
          <cell r="AT679"/>
        </row>
        <row r="680">
          <cell r="A680">
            <v>12896</v>
          </cell>
          <cell r="B680" t="str">
            <v>EAST COAST</v>
          </cell>
          <cell r="C680" t="str">
            <v>M10187</v>
          </cell>
          <cell r="D680" t="str">
            <v>CF</v>
          </cell>
          <cell r="E680" t="str">
            <v>CF</v>
          </cell>
          <cell r="F680" t="str">
            <v>Yes</v>
          </cell>
          <cell r="G680" t="str">
            <v>GA</v>
          </cell>
          <cell r="H680">
            <v>7</v>
          </cell>
          <cell r="I680">
            <v>0.66500000000000004</v>
          </cell>
          <cell r="J680" t="str">
            <v>Dakota Nation</v>
          </cell>
          <cell r="K680" t="str">
            <v>RALEIGH</v>
          </cell>
          <cell r="L680" t="str">
            <v>NC</v>
          </cell>
          <cell r="M680" t="str">
            <v>800-577-8858</v>
          </cell>
          <cell r="N680" t="str">
            <v>MSO's must read the Delaware address. All items ship to Raleigh, NC</v>
          </cell>
          <cell r="O680">
            <v>1088</v>
          </cell>
          <cell r="P680">
            <v>4678.3999999999996</v>
          </cell>
          <cell r="Q680">
            <v>487</v>
          </cell>
          <cell r="R680">
            <v>2094.1</v>
          </cell>
          <cell r="S680"/>
          <cell r="T680">
            <v>0</v>
          </cell>
          <cell r="U680">
            <v>1184</v>
          </cell>
          <cell r="V680">
            <v>5091.2</v>
          </cell>
          <cell r="W680">
            <v>1148</v>
          </cell>
          <cell r="X680">
            <v>4936.3999999999996</v>
          </cell>
          <cell r="Y680">
            <v>499</v>
          </cell>
          <cell r="Z680">
            <v>2145.6999999999998</v>
          </cell>
          <cell r="AA680">
            <v>499</v>
          </cell>
          <cell r="AB680">
            <v>2145.6999999999998</v>
          </cell>
          <cell r="AC680">
            <v>499</v>
          </cell>
          <cell r="AD680">
            <v>2145.6999999999998</v>
          </cell>
          <cell r="AE680"/>
          <cell r="AF680"/>
          <cell r="AG680"/>
          <cell r="AH680"/>
          <cell r="AI680"/>
          <cell r="AJ680">
            <v>0.01</v>
          </cell>
          <cell r="AK680" t="str">
            <v>3P</v>
          </cell>
          <cell r="AL680">
            <v>223</v>
          </cell>
          <cell r="AM680">
            <v>368</v>
          </cell>
          <cell r="AN680" t="str">
            <v>01 Existing Dealer</v>
          </cell>
          <cell r="AO680" t="str">
            <v>Southeast</v>
          </cell>
          <cell r="AP680" t="str">
            <v>South</v>
          </cell>
          <cell r="AQ680"/>
          <cell r="AR680">
            <v>0</v>
          </cell>
          <cell r="AS680">
            <v>0</v>
          </cell>
          <cell r="AT680"/>
        </row>
        <row r="681">
          <cell r="A681">
            <v>12733</v>
          </cell>
          <cell r="B681" t="str">
            <v>EAST COAST</v>
          </cell>
          <cell r="C681" t="str">
            <v>M10187</v>
          </cell>
          <cell r="D681" t="str">
            <v>NET 5, BT+</v>
          </cell>
          <cell r="E681" t="str">
            <v>ON HOLD -C6</v>
          </cell>
          <cell r="F681" t="str">
            <v>Copies</v>
          </cell>
          <cell r="G681" t="str">
            <v>GA</v>
          </cell>
          <cell r="H681">
            <v>9</v>
          </cell>
          <cell r="I681">
            <v>0.66500000000000004</v>
          </cell>
          <cell r="J681" t="str">
            <v>Orphaned Acct</v>
          </cell>
          <cell r="K681" t="str">
            <v>RALEIGH</v>
          </cell>
          <cell r="L681" t="str">
            <v>NC</v>
          </cell>
          <cell r="M681" t="str">
            <v>800-577-8858</v>
          </cell>
          <cell r="N681" t="str">
            <v>MSO's must read the Delaware address. All items ship to Raleigh, NC</v>
          </cell>
          <cell r="O681">
            <v>1088</v>
          </cell>
          <cell r="P681">
            <v>4678.3999999999996</v>
          </cell>
          <cell r="Q681">
            <v>487</v>
          </cell>
          <cell r="R681">
            <v>2094.1</v>
          </cell>
          <cell r="S681"/>
          <cell r="T681">
            <v>0</v>
          </cell>
          <cell r="U681">
            <v>1184</v>
          </cell>
          <cell r="V681">
            <v>5091.2</v>
          </cell>
          <cell r="W681">
            <v>1148</v>
          </cell>
          <cell r="X681">
            <v>4936.3999999999996</v>
          </cell>
          <cell r="Y681">
            <v>499</v>
          </cell>
          <cell r="Z681">
            <v>2145.6999999999998</v>
          </cell>
          <cell r="AA681">
            <v>499</v>
          </cell>
          <cell r="AB681">
            <v>2145.6999999999998</v>
          </cell>
          <cell r="AC681">
            <v>499</v>
          </cell>
          <cell r="AD681">
            <v>2145.6999999999998</v>
          </cell>
          <cell r="AE681"/>
          <cell r="AF681"/>
          <cell r="AG681"/>
          <cell r="AH681"/>
          <cell r="AI681"/>
          <cell r="AJ681">
            <v>0.01</v>
          </cell>
          <cell r="AK681" t="str">
            <v>3P</v>
          </cell>
          <cell r="AL681">
            <v>213</v>
          </cell>
          <cell r="AM681">
            <v>368</v>
          </cell>
          <cell r="AN681" t="str">
            <v>01 Existing Dealer</v>
          </cell>
          <cell r="AO681" t="str">
            <v>Southeast</v>
          </cell>
          <cell r="AP681" t="str">
            <v>South</v>
          </cell>
          <cell r="AQ681"/>
          <cell r="AR681">
            <v>0</v>
          </cell>
          <cell r="AS681">
            <v>0</v>
          </cell>
          <cell r="AT681"/>
        </row>
        <row r="682">
          <cell r="A682">
            <v>12802</v>
          </cell>
          <cell r="B682" t="str">
            <v>GPL, INC dba REESE TRAILER SALES</v>
          </cell>
          <cell r="C682" t="str">
            <v>M10205</v>
          </cell>
          <cell r="D682" t="str">
            <v>NET 5, BT+</v>
          </cell>
          <cell r="E682" t="str">
            <v>FP - Wells Fargo</v>
          </cell>
          <cell r="F682" t="str">
            <v>Yes</v>
          </cell>
          <cell r="G682" t="str">
            <v>GA</v>
          </cell>
          <cell r="H682">
            <v>8</v>
          </cell>
          <cell r="I682">
            <v>0.66500000000000004</v>
          </cell>
          <cell r="J682" t="str">
            <v>Orphaned Acct</v>
          </cell>
          <cell r="K682" t="str">
            <v>MILLS RIVER</v>
          </cell>
          <cell r="L682" t="str">
            <v>NC</v>
          </cell>
          <cell r="M682" t="str">
            <v>800-577-8858</v>
          </cell>
          <cell r="N682"/>
          <cell r="O682">
            <v>851</v>
          </cell>
          <cell r="P682">
            <v>3659.2999999999997</v>
          </cell>
          <cell r="Q682">
            <v>328</v>
          </cell>
          <cell r="R682">
            <v>1410.3999999999999</v>
          </cell>
          <cell r="S682"/>
          <cell r="T682">
            <v>0</v>
          </cell>
          <cell r="U682">
            <v>947</v>
          </cell>
          <cell r="V682">
            <v>4072.1</v>
          </cell>
          <cell r="W682">
            <v>932</v>
          </cell>
          <cell r="X682">
            <v>4007.6</v>
          </cell>
          <cell r="Y682"/>
          <cell r="Z682">
            <v>0</v>
          </cell>
          <cell r="AA682"/>
          <cell r="AB682">
            <v>0</v>
          </cell>
          <cell r="AC682"/>
          <cell r="AD682">
            <v>0</v>
          </cell>
          <cell r="AE682"/>
          <cell r="AF682"/>
          <cell r="AG682"/>
          <cell r="AH682"/>
          <cell r="AI682"/>
          <cell r="AJ682">
            <v>0</v>
          </cell>
          <cell r="AK682" t="str">
            <v>3P</v>
          </cell>
          <cell r="AL682">
            <v>213</v>
          </cell>
          <cell r="AM682">
            <v>20</v>
          </cell>
          <cell r="AN682" t="str">
            <v>01 Existing Dealer</v>
          </cell>
          <cell r="AO682" t="str">
            <v>Southeast</v>
          </cell>
          <cell r="AP682" t="str">
            <v>South</v>
          </cell>
          <cell r="AQ682"/>
          <cell r="AR682">
            <v>0</v>
          </cell>
          <cell r="AS682">
            <v>0</v>
          </cell>
          <cell r="AT682"/>
        </row>
        <row r="683">
          <cell r="A683">
            <v>13588</v>
          </cell>
          <cell r="B683" t="str">
            <v>GW TRAILER SALES</v>
          </cell>
          <cell r="C683" t="str">
            <v>M11559</v>
          </cell>
          <cell r="D683" t="str">
            <v>NET 5, BT+</v>
          </cell>
          <cell r="E683" t="str">
            <v>F3-Northpoint</v>
          </cell>
          <cell r="F683" t="str">
            <v>Yes</v>
          </cell>
          <cell r="G683" t="str">
            <v>GA</v>
          </cell>
          <cell r="H683">
            <v>8</v>
          </cell>
          <cell r="I683">
            <v>0.66500000000000004</v>
          </cell>
          <cell r="J683" t="str">
            <v>Lane Davis</v>
          </cell>
          <cell r="K683" t="str">
            <v>ASHEBORO</v>
          </cell>
          <cell r="L683" t="str">
            <v>NC</v>
          </cell>
          <cell r="M683" t="str">
            <v>800-577-8858</v>
          </cell>
          <cell r="N683"/>
          <cell r="O683">
            <v>1012</v>
          </cell>
          <cell r="P683">
            <v>4351.5999999999995</v>
          </cell>
          <cell r="Q683">
            <v>398</v>
          </cell>
          <cell r="R683">
            <v>1711.3999999999999</v>
          </cell>
          <cell r="S683"/>
          <cell r="T683">
            <v>0</v>
          </cell>
          <cell r="U683">
            <v>1163</v>
          </cell>
          <cell r="V683">
            <v>5000.8999999999996</v>
          </cell>
          <cell r="W683">
            <v>1051</v>
          </cell>
          <cell r="X683">
            <v>4519.3</v>
          </cell>
          <cell r="Y683">
            <v>446</v>
          </cell>
          <cell r="Z683">
            <v>1917.8</v>
          </cell>
          <cell r="AA683">
            <v>446</v>
          </cell>
          <cell r="AB683">
            <v>1917.8</v>
          </cell>
          <cell r="AC683">
            <v>446</v>
          </cell>
          <cell r="AD683">
            <v>1917.8</v>
          </cell>
          <cell r="AE683"/>
          <cell r="AF683"/>
          <cell r="AG683"/>
          <cell r="AH683"/>
          <cell r="AI683"/>
          <cell r="AJ683">
            <v>0</v>
          </cell>
          <cell r="AK683" t="str">
            <v>3P</v>
          </cell>
          <cell r="AL683">
            <v>275</v>
          </cell>
          <cell r="AM683"/>
          <cell r="AN683" t="str">
            <v>03 New Dealer</v>
          </cell>
          <cell r="AO683" t="str">
            <v>Southeast</v>
          </cell>
          <cell r="AP683" t="str">
            <v>South</v>
          </cell>
          <cell r="AQ683"/>
          <cell r="AR683">
            <v>0</v>
          </cell>
          <cell r="AS683">
            <v>0</v>
          </cell>
          <cell r="AT683"/>
        </row>
        <row r="684">
          <cell r="A684">
            <v>12064</v>
          </cell>
          <cell r="B684" t="str">
            <v>HAYESVILLE TRAILER SALES</v>
          </cell>
          <cell r="C684" t="str">
            <v>M10215</v>
          </cell>
          <cell r="D684" t="str">
            <v>Net 30, no pink card</v>
          </cell>
          <cell r="E684">
            <v>30</v>
          </cell>
          <cell r="F684" t="str">
            <v>Yes</v>
          </cell>
          <cell r="G684" t="str">
            <v>GA</v>
          </cell>
          <cell r="H684">
            <v>7</v>
          </cell>
          <cell r="I684">
            <v>0.66500000000000004</v>
          </cell>
          <cell r="J684" t="str">
            <v>Orphaned Acct</v>
          </cell>
          <cell r="K684" t="str">
            <v>HAYESVILLE</v>
          </cell>
          <cell r="L684" t="str">
            <v>NC</v>
          </cell>
          <cell r="M684" t="str">
            <v>800-577-8858</v>
          </cell>
          <cell r="N684" t="str">
            <v>MSO's must read ship to "JACKY JONES IMPORTS"</v>
          </cell>
          <cell r="O684">
            <v>776</v>
          </cell>
          <cell r="P684">
            <v>3336.7999999999997</v>
          </cell>
          <cell r="Q684">
            <v>255</v>
          </cell>
          <cell r="R684">
            <v>1096.5</v>
          </cell>
          <cell r="S684"/>
          <cell r="T684">
            <v>0</v>
          </cell>
          <cell r="U684">
            <v>873</v>
          </cell>
          <cell r="V684">
            <v>3753.8999999999996</v>
          </cell>
          <cell r="W684">
            <v>843</v>
          </cell>
          <cell r="X684">
            <v>3624.8999999999996</v>
          </cell>
          <cell r="Y684"/>
          <cell r="Z684">
            <v>0</v>
          </cell>
          <cell r="AA684"/>
          <cell r="AB684">
            <v>0</v>
          </cell>
          <cell r="AC684"/>
          <cell r="AD684">
            <v>0</v>
          </cell>
          <cell r="AE684"/>
          <cell r="AF684"/>
          <cell r="AG684"/>
          <cell r="AH684"/>
          <cell r="AI684"/>
          <cell r="AJ684">
            <v>0</v>
          </cell>
          <cell r="AK684" t="str">
            <v>3P</v>
          </cell>
          <cell r="AL684">
            <v>213</v>
          </cell>
          <cell r="AM684">
            <v>20</v>
          </cell>
          <cell r="AN684" t="str">
            <v>01 Existing Dealer</v>
          </cell>
          <cell r="AO684" t="str">
            <v>Southeast</v>
          </cell>
          <cell r="AP684" t="str">
            <v>South</v>
          </cell>
          <cell r="AQ684"/>
          <cell r="AR684">
            <v>0</v>
          </cell>
          <cell r="AS684">
            <v>0</v>
          </cell>
        </row>
        <row r="685">
          <cell r="A685">
            <v>12787</v>
          </cell>
          <cell r="B685" t="str">
            <v>EAST COAST AUTOS &amp; TRLS</v>
          </cell>
          <cell r="C685" t="str">
            <v>M10227</v>
          </cell>
          <cell r="D685" t="str">
            <v>NET 5, BT+</v>
          </cell>
          <cell r="E685" t="str">
            <v>F1 - Northpoint</v>
          </cell>
          <cell r="F685" t="str">
            <v>Yes</v>
          </cell>
          <cell r="G685" t="str">
            <v>GA</v>
          </cell>
          <cell r="H685">
            <v>8</v>
          </cell>
          <cell r="I685">
            <v>0.66500000000000004</v>
          </cell>
          <cell r="J685" t="str">
            <v>Dakota Nation</v>
          </cell>
          <cell r="K685" t="str">
            <v>WILMINGTON</v>
          </cell>
          <cell r="L685" t="str">
            <v>NC</v>
          </cell>
          <cell r="M685" t="str">
            <v>800-577-8858</v>
          </cell>
          <cell r="N685" t="str">
            <v>USE "A" SHIP TO.  DO NOT USE THIS ADDRESS</v>
          </cell>
          <cell r="O685">
            <v>1133</v>
          </cell>
          <cell r="P685">
            <v>4871.8999999999996</v>
          </cell>
          <cell r="Q685">
            <v>457</v>
          </cell>
          <cell r="R685">
            <v>1965.1</v>
          </cell>
          <cell r="S685"/>
          <cell r="T685">
            <v>0</v>
          </cell>
          <cell r="U685">
            <v>1229</v>
          </cell>
          <cell r="V685">
            <v>5284.7</v>
          </cell>
          <cell r="W685">
            <v>1153</v>
          </cell>
          <cell r="X685">
            <v>4957.8999999999996</v>
          </cell>
          <cell r="Y685">
            <v>625</v>
          </cell>
          <cell r="Z685">
            <v>2687.5</v>
          </cell>
          <cell r="AA685">
            <v>625</v>
          </cell>
          <cell r="AB685">
            <v>2687.5</v>
          </cell>
          <cell r="AC685">
            <v>625</v>
          </cell>
          <cell r="AD685">
            <v>2687.5</v>
          </cell>
          <cell r="AE685"/>
          <cell r="AF685"/>
          <cell r="AG685"/>
          <cell r="AH685"/>
          <cell r="AI685"/>
          <cell r="AJ685">
            <v>0.02</v>
          </cell>
          <cell r="AK685" t="str">
            <v>3P</v>
          </cell>
          <cell r="AL685">
            <v>223</v>
          </cell>
          <cell r="AM685">
            <v>478</v>
          </cell>
          <cell r="AN685" t="str">
            <v>01 Existing Dealer</v>
          </cell>
          <cell r="AO685" t="str">
            <v>Southeast</v>
          </cell>
          <cell r="AP685" t="str">
            <v>South</v>
          </cell>
          <cell r="AQ685"/>
          <cell r="AR685">
            <v>53771</v>
          </cell>
          <cell r="AS685">
            <v>0</v>
          </cell>
        </row>
        <row r="686">
          <cell r="A686" t="str">
            <v>12787A</v>
          </cell>
          <cell r="B686" t="str">
            <v>EAST COAST AUTOS &amp; TRLS</v>
          </cell>
          <cell r="C686" t="str">
            <v>M10227</v>
          </cell>
          <cell r="D686" t="str">
            <v>NET 5, BT+</v>
          </cell>
          <cell r="E686" t="str">
            <v>F1 - Northpoint</v>
          </cell>
          <cell r="F686" t="str">
            <v>Yes</v>
          </cell>
          <cell r="G686" t="str">
            <v>GA</v>
          </cell>
          <cell r="H686">
            <v>8</v>
          </cell>
          <cell r="I686">
            <v>0.66500000000000004</v>
          </cell>
          <cell r="J686" t="str">
            <v>Dakota Nation</v>
          </cell>
          <cell r="K686" t="str">
            <v>WILMINGTON</v>
          </cell>
          <cell r="L686" t="str">
            <v>NC</v>
          </cell>
          <cell r="M686" t="str">
            <v>800-577-8858</v>
          </cell>
          <cell r="N686" t="str">
            <v>SPARES ON ALL TRAILERS. Must have 24 hours notice before delivery</v>
          </cell>
          <cell r="O686">
            <v>1133</v>
          </cell>
          <cell r="P686">
            <v>4871.8999999999996</v>
          </cell>
          <cell r="Q686">
            <v>457</v>
          </cell>
          <cell r="R686">
            <v>1965.1</v>
          </cell>
          <cell r="S686"/>
          <cell r="T686">
            <v>0</v>
          </cell>
          <cell r="U686">
            <v>1229</v>
          </cell>
          <cell r="V686">
            <v>5284.7</v>
          </cell>
          <cell r="W686">
            <v>1153</v>
          </cell>
          <cell r="X686">
            <v>4957.8999999999996</v>
          </cell>
          <cell r="Y686">
            <v>625</v>
          </cell>
          <cell r="Z686">
            <v>2687.5</v>
          </cell>
          <cell r="AA686">
            <v>625</v>
          </cell>
          <cell r="AB686">
            <v>2687.5</v>
          </cell>
          <cell r="AC686">
            <v>625</v>
          </cell>
          <cell r="AD686">
            <v>2687.5</v>
          </cell>
          <cell r="AE686"/>
          <cell r="AF686"/>
          <cell r="AG686"/>
          <cell r="AH686"/>
          <cell r="AI686"/>
          <cell r="AJ686">
            <v>0.02</v>
          </cell>
          <cell r="AK686" t="str">
            <v>3P</v>
          </cell>
          <cell r="AL686">
            <v>223</v>
          </cell>
          <cell r="AM686">
            <v>478</v>
          </cell>
          <cell r="AN686" t="str">
            <v>01 Existing Dealer</v>
          </cell>
          <cell r="AO686" t="str">
            <v>Southeast</v>
          </cell>
          <cell r="AP686" t="str">
            <v>South</v>
          </cell>
          <cell r="AQ686"/>
          <cell r="AR686">
            <v>0</v>
          </cell>
          <cell r="AS686">
            <v>0</v>
          </cell>
        </row>
        <row r="687">
          <cell r="A687">
            <v>11925</v>
          </cell>
          <cell r="B687" t="str">
            <v>JIM CAMPEN TRAILER SALES, INC.</v>
          </cell>
          <cell r="C687" t="str">
            <v>M10241</v>
          </cell>
          <cell r="D687" t="str">
            <v>NET 5, BT+</v>
          </cell>
          <cell r="E687" t="str">
            <v>CO</v>
          </cell>
          <cell r="F687" t="str">
            <v>Yes</v>
          </cell>
          <cell r="G687" t="str">
            <v>GA</v>
          </cell>
          <cell r="H687">
            <v>7</v>
          </cell>
          <cell r="I687">
            <v>0.66500000000000004</v>
          </cell>
          <cell r="J687" t="str">
            <v>JL Smith</v>
          </cell>
          <cell r="K687" t="str">
            <v>FLETCHER</v>
          </cell>
          <cell r="L687" t="str">
            <v>NC</v>
          </cell>
          <cell r="M687" t="str">
            <v>800-577-8858</v>
          </cell>
          <cell r="N687"/>
          <cell r="O687">
            <v>849</v>
          </cell>
          <cell r="P687">
            <v>3650.7</v>
          </cell>
          <cell r="Q687">
            <v>330</v>
          </cell>
          <cell r="R687">
            <v>1419</v>
          </cell>
          <cell r="S687"/>
          <cell r="T687">
            <v>0</v>
          </cell>
          <cell r="U687">
            <v>945</v>
          </cell>
          <cell r="V687">
            <v>4063.5</v>
          </cell>
          <cell r="W687">
            <v>933</v>
          </cell>
          <cell r="X687">
            <v>4011.8999999999996</v>
          </cell>
          <cell r="Y687"/>
          <cell r="Z687">
            <v>0</v>
          </cell>
          <cell r="AA687"/>
          <cell r="AB687">
            <v>0</v>
          </cell>
          <cell r="AC687"/>
          <cell r="AD687">
            <v>0</v>
          </cell>
          <cell r="AE687"/>
          <cell r="AF687"/>
          <cell r="AG687"/>
          <cell r="AH687"/>
          <cell r="AI687"/>
          <cell r="AJ687">
            <v>0</v>
          </cell>
          <cell r="AK687" t="str">
            <v>3P</v>
          </cell>
          <cell r="AL687">
            <v>151</v>
          </cell>
          <cell r="AM687">
            <v>20</v>
          </cell>
          <cell r="AN687" t="str">
            <v>01 Existing Dealer</v>
          </cell>
          <cell r="AO687" t="str">
            <v>Southeast</v>
          </cell>
          <cell r="AP687" t="str">
            <v>South</v>
          </cell>
          <cell r="AQ687"/>
          <cell r="AR687">
            <v>0</v>
          </cell>
          <cell r="AS687">
            <v>0</v>
          </cell>
        </row>
        <row r="688">
          <cell r="A688">
            <v>10272</v>
          </cell>
          <cell r="B688" t="str">
            <v>JIM CAMPEN TRAILER SALES, INC.</v>
          </cell>
          <cell r="C688" t="str">
            <v>M10241</v>
          </cell>
          <cell r="D688" t="str">
            <v>NET 5, BT+</v>
          </cell>
          <cell r="E688" t="str">
            <v>FP - Wells Fargo</v>
          </cell>
          <cell r="F688" t="str">
            <v>Yes</v>
          </cell>
          <cell r="G688" t="str">
            <v>GA</v>
          </cell>
          <cell r="H688">
            <v>8</v>
          </cell>
          <cell r="I688">
            <v>0.66500000000000004</v>
          </cell>
          <cell r="J688" t="str">
            <v>JL Smith</v>
          </cell>
          <cell r="K688" t="str">
            <v>FLETCHER</v>
          </cell>
          <cell r="L688" t="str">
            <v>NC</v>
          </cell>
          <cell r="M688" t="str">
            <v>800-577-8858</v>
          </cell>
          <cell r="N688"/>
          <cell r="O688">
            <v>858</v>
          </cell>
          <cell r="P688">
            <v>3689.3999999999996</v>
          </cell>
          <cell r="Q688">
            <v>361</v>
          </cell>
          <cell r="R688">
            <v>1552.3</v>
          </cell>
          <cell r="S688"/>
          <cell r="T688">
            <v>0</v>
          </cell>
          <cell r="U688">
            <v>987</v>
          </cell>
          <cell r="V688">
            <v>4244.0999999999995</v>
          </cell>
          <cell r="W688"/>
          <cell r="X688">
            <v>0</v>
          </cell>
          <cell r="Y688"/>
          <cell r="Z688">
            <v>0</v>
          </cell>
          <cell r="AA688"/>
          <cell r="AB688">
            <v>0</v>
          </cell>
          <cell r="AC688"/>
          <cell r="AD688">
            <v>0</v>
          </cell>
          <cell r="AE688"/>
          <cell r="AF688"/>
          <cell r="AG688"/>
          <cell r="AH688"/>
          <cell r="AI688"/>
          <cell r="AJ688">
            <v>0</v>
          </cell>
          <cell r="AK688" t="str">
            <v>3P</v>
          </cell>
          <cell r="AL688">
            <v>151</v>
          </cell>
          <cell r="AM688">
            <v>20</v>
          </cell>
          <cell r="AN688" t="str">
            <v>01 Existing Dealer</v>
          </cell>
          <cell r="AO688" t="str">
            <v>Southeast</v>
          </cell>
          <cell r="AP688" t="str">
            <v>South</v>
          </cell>
          <cell r="AQ688"/>
          <cell r="AR688">
            <v>0</v>
          </cell>
          <cell r="AS688">
            <v>0</v>
          </cell>
        </row>
        <row r="689">
          <cell r="A689">
            <v>12398</v>
          </cell>
          <cell r="B689" t="str">
            <v>JYMCO DEVELOPMENT dba JYMCO TRAILER SALES</v>
          </cell>
          <cell r="C689" t="str">
            <v>M10247</v>
          </cell>
          <cell r="D689" t="str">
            <v>NET 5, BT+</v>
          </cell>
          <cell r="E689" t="str">
            <v>FP - Wells Fargo</v>
          </cell>
          <cell r="F689" t="str">
            <v>Yes</v>
          </cell>
          <cell r="G689" t="str">
            <v>GA</v>
          </cell>
          <cell r="H689">
            <v>8</v>
          </cell>
          <cell r="I689">
            <v>0.66500000000000004</v>
          </cell>
          <cell r="J689" t="str">
            <v>Orphaned Acct</v>
          </cell>
          <cell r="K689" t="str">
            <v>SMITHFIELD</v>
          </cell>
          <cell r="L689" t="str">
            <v>NC</v>
          </cell>
          <cell r="M689" t="str">
            <v>800-577-8858</v>
          </cell>
          <cell r="N689"/>
          <cell r="O689">
            <v>1117</v>
          </cell>
          <cell r="P689">
            <v>4803.0999999999995</v>
          </cell>
          <cell r="Q689">
            <v>470</v>
          </cell>
          <cell r="R689">
            <v>2021</v>
          </cell>
          <cell r="S689"/>
          <cell r="T689">
            <v>0</v>
          </cell>
          <cell r="U689">
            <v>1213</v>
          </cell>
          <cell r="V689">
            <v>5215.8999999999996</v>
          </cell>
          <cell r="W689">
            <v>1166</v>
          </cell>
          <cell r="X689">
            <v>5013.8</v>
          </cell>
          <cell r="Y689"/>
          <cell r="Z689">
            <v>0</v>
          </cell>
          <cell r="AA689"/>
          <cell r="AB689">
            <v>0</v>
          </cell>
          <cell r="AC689"/>
          <cell r="AD689">
            <v>0</v>
          </cell>
          <cell r="AE689"/>
          <cell r="AF689"/>
          <cell r="AG689"/>
          <cell r="AH689"/>
          <cell r="AI689"/>
          <cell r="AJ689">
            <v>0</v>
          </cell>
          <cell r="AK689" t="str">
            <v>3P</v>
          </cell>
          <cell r="AL689">
            <v>213</v>
          </cell>
          <cell r="AM689">
            <v>368</v>
          </cell>
          <cell r="AN689" t="str">
            <v>08 Inactive Dealer</v>
          </cell>
          <cell r="AO689" t="str">
            <v>Southeast</v>
          </cell>
          <cell r="AP689" t="str">
            <v>South</v>
          </cell>
          <cell r="AQ689"/>
          <cell r="AR689">
            <v>0</v>
          </cell>
          <cell r="AS689">
            <v>0</v>
          </cell>
        </row>
        <row r="690">
          <cell r="A690">
            <v>12942</v>
          </cell>
          <cell r="B690" t="str">
            <v>KOSTER EQUIPMENT SALES &amp; RENTAL LLC</v>
          </cell>
          <cell r="C690" t="str">
            <v>M10257</v>
          </cell>
          <cell r="D690" t="str">
            <v>NET 5, BT+</v>
          </cell>
          <cell r="E690" t="str">
            <v>F3 - Wells Fargo</v>
          </cell>
          <cell r="F690" t="str">
            <v>Yes</v>
          </cell>
          <cell r="G690" t="str">
            <v>GA</v>
          </cell>
          <cell r="H690">
            <v>8</v>
          </cell>
          <cell r="I690">
            <v>0.66500000000000004</v>
          </cell>
          <cell r="J690" t="str">
            <v>Orphaned Acct</v>
          </cell>
          <cell r="K690" t="str">
            <v>FRANKLIN</v>
          </cell>
          <cell r="L690" t="str">
            <v>NC</v>
          </cell>
          <cell r="M690" t="str">
            <v>800-577-8858</v>
          </cell>
          <cell r="N690"/>
          <cell r="O690">
            <v>811</v>
          </cell>
          <cell r="P690">
            <v>3487.2999999999997</v>
          </cell>
          <cell r="Q690">
            <v>267</v>
          </cell>
          <cell r="R690">
            <v>1148.0999999999999</v>
          </cell>
          <cell r="S690"/>
          <cell r="T690">
            <v>0</v>
          </cell>
          <cell r="U690">
            <v>908</v>
          </cell>
          <cell r="V690">
            <v>3904.3999999999996</v>
          </cell>
          <cell r="W690">
            <v>870</v>
          </cell>
          <cell r="X690">
            <v>3741</v>
          </cell>
          <cell r="Y690"/>
          <cell r="Z690">
            <v>0</v>
          </cell>
          <cell r="AA690"/>
          <cell r="AB690">
            <v>0</v>
          </cell>
          <cell r="AC690"/>
          <cell r="AD690">
            <v>0</v>
          </cell>
          <cell r="AE690"/>
          <cell r="AF690"/>
          <cell r="AG690"/>
          <cell r="AH690"/>
          <cell r="AI690"/>
          <cell r="AJ690">
            <v>0</v>
          </cell>
          <cell r="AK690" t="str">
            <v>3P</v>
          </cell>
          <cell r="AL690">
            <v>213</v>
          </cell>
          <cell r="AM690">
            <v>20</v>
          </cell>
          <cell r="AN690" t="str">
            <v>01 Existing Dealer</v>
          </cell>
          <cell r="AO690" t="str">
            <v>Southeast</v>
          </cell>
          <cell r="AP690" t="str">
            <v>South</v>
          </cell>
          <cell r="AQ690"/>
          <cell r="AR690">
            <v>0</v>
          </cell>
          <cell r="AS690">
            <v>0</v>
          </cell>
        </row>
        <row r="691">
          <cell r="A691">
            <v>11365</v>
          </cell>
          <cell r="B691" t="str">
            <v>L.B.'S USED CARS &amp; TRAILERS</v>
          </cell>
          <cell r="C691" t="str">
            <v>M10261</v>
          </cell>
          <cell r="D691" t="str">
            <v>NET 5, BT+</v>
          </cell>
          <cell r="E691" t="str">
            <v>CO</v>
          </cell>
          <cell r="F691" t="str">
            <v>Yes</v>
          </cell>
          <cell r="G691" t="str">
            <v>GA</v>
          </cell>
          <cell r="H691">
            <v>7</v>
          </cell>
          <cell r="I691">
            <v>0.66500000000000004</v>
          </cell>
          <cell r="J691" t="str">
            <v>House</v>
          </cell>
          <cell r="K691" t="str">
            <v>HARMONY</v>
          </cell>
          <cell r="L691" t="str">
            <v>NC</v>
          </cell>
          <cell r="M691" t="str">
            <v>800-577-8858</v>
          </cell>
          <cell r="N691"/>
          <cell r="O691">
            <v>956</v>
          </cell>
          <cell r="P691">
            <v>4110.8</v>
          </cell>
          <cell r="Q691">
            <v>385</v>
          </cell>
          <cell r="R691">
            <v>1655.5</v>
          </cell>
          <cell r="S691"/>
          <cell r="T691">
            <v>0</v>
          </cell>
          <cell r="U691">
            <v>1085</v>
          </cell>
          <cell r="V691">
            <v>4665.5</v>
          </cell>
          <cell r="W691"/>
          <cell r="X691">
            <v>0</v>
          </cell>
          <cell r="Y691"/>
          <cell r="Z691">
            <v>0</v>
          </cell>
          <cell r="AA691"/>
          <cell r="AB691">
            <v>0</v>
          </cell>
          <cell r="AC691"/>
          <cell r="AD691">
            <v>0</v>
          </cell>
          <cell r="AE691"/>
          <cell r="AF691"/>
          <cell r="AG691"/>
          <cell r="AH691"/>
          <cell r="AI691"/>
          <cell r="AJ691">
            <v>0</v>
          </cell>
          <cell r="AK691" t="str">
            <v>3P</v>
          </cell>
          <cell r="AL691">
            <v>400</v>
          </cell>
          <cell r="AM691">
            <v>74</v>
          </cell>
          <cell r="AN691" t="str">
            <v>08 Inactive Dealer</v>
          </cell>
          <cell r="AO691" t="str">
            <v>Southeast</v>
          </cell>
          <cell r="AP691" t="str">
            <v>South</v>
          </cell>
          <cell r="AQ691"/>
          <cell r="AR691">
            <v>0</v>
          </cell>
          <cell r="AS691">
            <v>0</v>
          </cell>
        </row>
        <row r="692">
          <cell r="A692">
            <v>13652</v>
          </cell>
          <cell r="B692" t="str">
            <v>MOTION TRAILER - GREENSBORO</v>
          </cell>
          <cell r="C692" t="str">
            <v>M11150</v>
          </cell>
          <cell r="D692" t="str">
            <v>Net 30, no pink card</v>
          </cell>
          <cell r="E692" t="str">
            <v>F3 - Northpoint</v>
          </cell>
          <cell r="F692" t="str">
            <v>Yes</v>
          </cell>
          <cell r="G692" t="str">
            <v>OH</v>
          </cell>
          <cell r="H692">
            <v>5</v>
          </cell>
          <cell r="I692">
            <v>0.66500000000000004</v>
          </cell>
          <cell r="J692" t="str">
            <v>Lane Davis</v>
          </cell>
          <cell r="K692" t="str">
            <v>GREENSBORO</v>
          </cell>
          <cell r="L692" t="str">
            <v>NC</v>
          </cell>
          <cell r="M692" t="str">
            <v>800-577-8858</v>
          </cell>
          <cell r="N692" t="str">
            <v>All tandem axle trailers must have BRK2</v>
          </cell>
          <cell r="O692">
            <v>1011</v>
          </cell>
          <cell r="P692">
            <v>4347.3</v>
          </cell>
          <cell r="Q692">
            <v>443</v>
          </cell>
          <cell r="R692">
            <v>1904.8999999999999</v>
          </cell>
          <cell r="S692"/>
          <cell r="T692">
            <v>0</v>
          </cell>
          <cell r="U692">
            <v>1108</v>
          </cell>
          <cell r="V692">
            <v>4764.3999999999996</v>
          </cell>
          <cell r="W692">
            <v>1070</v>
          </cell>
          <cell r="X692">
            <v>4601</v>
          </cell>
          <cell r="Y692">
            <v>425</v>
          </cell>
          <cell r="Z692">
            <v>1827.5</v>
          </cell>
          <cell r="AA692">
            <v>425</v>
          </cell>
          <cell r="AB692">
            <v>1827.5</v>
          </cell>
          <cell r="AC692">
            <v>425</v>
          </cell>
          <cell r="AD692">
            <v>1827.5</v>
          </cell>
          <cell r="AE692"/>
          <cell r="AF692"/>
          <cell r="AG692"/>
          <cell r="AH692"/>
          <cell r="AI692"/>
          <cell r="AJ692">
            <v>4.4999999999999998E-2</v>
          </cell>
          <cell r="AK692" t="str">
            <v>3P</v>
          </cell>
          <cell r="AL692">
            <v>275</v>
          </cell>
          <cell r="AM692">
            <v>174</v>
          </cell>
          <cell r="AN692" t="str">
            <v>01 Existing Dealer</v>
          </cell>
          <cell r="AO692" t="str">
            <v>Southeast</v>
          </cell>
          <cell r="AP692" t="str">
            <v>South</v>
          </cell>
          <cell r="AQ692"/>
          <cell r="AR692">
            <v>0</v>
          </cell>
          <cell r="AS692">
            <v>38829</v>
          </cell>
        </row>
        <row r="693">
          <cell r="A693">
            <v>12454</v>
          </cell>
          <cell r="B693" t="str">
            <v>MUSGRAVE AUCTION CO. INC</v>
          </cell>
          <cell r="C693" t="str">
            <v>M10294</v>
          </cell>
          <cell r="D693" t="str">
            <v>NET 5, BT+</v>
          </cell>
          <cell r="E693" t="str">
            <v>CO</v>
          </cell>
          <cell r="F693" t="str">
            <v>Yes</v>
          </cell>
          <cell r="G693" t="str">
            <v>GA</v>
          </cell>
          <cell r="H693">
            <v>7</v>
          </cell>
          <cell r="I693">
            <v>0.66500000000000004</v>
          </cell>
          <cell r="J693" t="str">
            <v>Orphaned Acct</v>
          </cell>
          <cell r="K693" t="str">
            <v>GOLDSBORO</v>
          </cell>
          <cell r="L693" t="str">
            <v>NC</v>
          </cell>
          <cell r="M693" t="str">
            <v>800-577-8858</v>
          </cell>
          <cell r="N693"/>
          <cell r="O693">
            <v>1139</v>
          </cell>
          <cell r="P693">
            <v>4897.7</v>
          </cell>
          <cell r="Q693">
            <v>484</v>
          </cell>
          <cell r="R693">
            <v>2081.1999999999998</v>
          </cell>
          <cell r="S693"/>
          <cell r="T693">
            <v>0</v>
          </cell>
          <cell r="U693">
            <v>1236</v>
          </cell>
          <cell r="V693">
            <v>5314.8</v>
          </cell>
          <cell r="W693">
            <v>1180</v>
          </cell>
          <cell r="X693">
            <v>5074</v>
          </cell>
          <cell r="Y693"/>
          <cell r="Z693">
            <v>0</v>
          </cell>
          <cell r="AA693"/>
          <cell r="AB693">
            <v>0</v>
          </cell>
          <cell r="AC693"/>
          <cell r="AD693">
            <v>0</v>
          </cell>
          <cell r="AE693"/>
          <cell r="AF693"/>
          <cell r="AG693"/>
          <cell r="AH693"/>
          <cell r="AI693"/>
          <cell r="AJ693">
            <v>0</v>
          </cell>
          <cell r="AK693"/>
          <cell r="AL693">
            <v>213</v>
          </cell>
          <cell r="AM693">
            <v>165</v>
          </cell>
          <cell r="AN693" t="str">
            <v>01 Existing Dealer</v>
          </cell>
          <cell r="AO693" t="str">
            <v>Southeast</v>
          </cell>
          <cell r="AP693" t="str">
            <v>South</v>
          </cell>
          <cell r="AQ693"/>
          <cell r="AR693">
            <v>0</v>
          </cell>
          <cell r="AS693">
            <v>0</v>
          </cell>
        </row>
        <row r="694">
          <cell r="A694">
            <v>10357</v>
          </cell>
          <cell r="B694" t="str">
            <v>N. CAROLINA</v>
          </cell>
          <cell r="C694" t="str">
            <v>M10302</v>
          </cell>
          <cell r="D694" t="str">
            <v>NET 5, BT+</v>
          </cell>
          <cell r="E694" t="str">
            <v>F3 - Wells Fargo</v>
          </cell>
          <cell r="F694" t="str">
            <v>Yes</v>
          </cell>
          <cell r="G694" t="str">
            <v>OH</v>
          </cell>
          <cell r="H694">
            <v>8</v>
          </cell>
          <cell r="I694">
            <v>0.66500000000000004</v>
          </cell>
          <cell r="J694" t="str">
            <v>Dakota Nation</v>
          </cell>
          <cell r="K694" t="str">
            <v>THOMASVILLE</v>
          </cell>
          <cell r="L694" t="str">
            <v>NC</v>
          </cell>
          <cell r="M694" t="str">
            <v>800-577-8858</v>
          </cell>
          <cell r="N694"/>
          <cell r="O694">
            <v>993</v>
          </cell>
          <cell r="P694">
            <v>4269.8999999999996</v>
          </cell>
          <cell r="Q694">
            <v>423</v>
          </cell>
          <cell r="R694">
            <v>1818.8999999999999</v>
          </cell>
          <cell r="S694"/>
          <cell r="T694">
            <v>0</v>
          </cell>
          <cell r="U694">
            <v>1090</v>
          </cell>
          <cell r="V694">
            <v>4687</v>
          </cell>
          <cell r="W694">
            <v>1050</v>
          </cell>
          <cell r="X694">
            <v>4515</v>
          </cell>
          <cell r="Y694">
            <v>415</v>
          </cell>
          <cell r="Z694">
            <v>1784.5</v>
          </cell>
          <cell r="AA694">
            <v>415</v>
          </cell>
          <cell r="AB694">
            <v>1784.5</v>
          </cell>
          <cell r="AC694">
            <v>415</v>
          </cell>
          <cell r="AD694">
            <v>1784.5</v>
          </cell>
          <cell r="AE694"/>
          <cell r="AF694"/>
          <cell r="AG694"/>
          <cell r="AH694"/>
          <cell r="AI694"/>
          <cell r="AJ694">
            <v>0.01</v>
          </cell>
          <cell r="AK694" t="str">
            <v>3P</v>
          </cell>
          <cell r="AL694">
            <v>223</v>
          </cell>
          <cell r="AM694">
            <v>174</v>
          </cell>
          <cell r="AN694" t="str">
            <v>01 Existing Dealer</v>
          </cell>
          <cell r="AO694" t="str">
            <v>Southeast</v>
          </cell>
          <cell r="AP694" t="str">
            <v>South</v>
          </cell>
          <cell r="AQ694"/>
          <cell r="AR694">
            <v>0</v>
          </cell>
          <cell r="AS694">
            <v>0</v>
          </cell>
        </row>
        <row r="695">
          <cell r="A695">
            <v>13140</v>
          </cell>
          <cell r="B695" t="str">
            <v>RIVER CITY MOTOR COMPANY</v>
          </cell>
          <cell r="C695" t="str">
            <v>M11071</v>
          </cell>
          <cell r="D695" t="str">
            <v>NET 5, BT+</v>
          </cell>
          <cell r="E695" t="str">
            <v>CO</v>
          </cell>
          <cell r="F695" t="str">
            <v>Yes</v>
          </cell>
          <cell r="G695" t="str">
            <v>GA</v>
          </cell>
          <cell r="H695">
            <v>7</v>
          </cell>
          <cell r="I695">
            <v>0.66500000000000004</v>
          </cell>
          <cell r="J695" t="str">
            <v>Orphaned Acct</v>
          </cell>
          <cell r="K695" t="str">
            <v>GASTON</v>
          </cell>
          <cell r="L695" t="str">
            <v>NC</v>
          </cell>
          <cell r="M695" t="str">
            <v>800-577-8858</v>
          </cell>
          <cell r="N695"/>
          <cell r="O695">
            <v>1151</v>
          </cell>
          <cell r="P695">
            <v>4949.3</v>
          </cell>
          <cell r="Q695">
            <v>554</v>
          </cell>
          <cell r="R695">
            <v>2382.1999999999998</v>
          </cell>
          <cell r="S695"/>
          <cell r="T695">
            <v>0</v>
          </cell>
          <cell r="U695">
            <v>1247</v>
          </cell>
          <cell r="V695">
            <v>5362.0999999999995</v>
          </cell>
          <cell r="W695">
            <v>1211</v>
          </cell>
          <cell r="X695">
            <v>5207.3</v>
          </cell>
          <cell r="Y695"/>
          <cell r="Z695">
            <v>0</v>
          </cell>
          <cell r="AA695"/>
          <cell r="AB695">
            <v>0</v>
          </cell>
          <cell r="AC695"/>
          <cell r="AD695">
            <v>0</v>
          </cell>
          <cell r="AE695"/>
          <cell r="AF695"/>
          <cell r="AG695"/>
          <cell r="AH695"/>
          <cell r="AI695"/>
          <cell r="AJ695">
            <v>0</v>
          </cell>
          <cell r="AK695" t="str">
            <v>3P</v>
          </cell>
          <cell r="AL695">
            <v>213</v>
          </cell>
          <cell r="AM695">
            <v>74</v>
          </cell>
          <cell r="AN695" t="str">
            <v>08 Inactive Dealer</v>
          </cell>
          <cell r="AO695" t="str">
            <v>Southeast</v>
          </cell>
          <cell r="AP695" t="str">
            <v>South</v>
          </cell>
          <cell r="AQ695"/>
          <cell r="AR695">
            <v>0</v>
          </cell>
          <cell r="AS695">
            <v>0</v>
          </cell>
        </row>
        <row r="696">
          <cell r="A696">
            <v>13000</v>
          </cell>
          <cell r="B696" t="str">
            <v>SELECT AUTO SALES</v>
          </cell>
          <cell r="C696" t="str">
            <v>M10837</v>
          </cell>
          <cell r="D696" t="str">
            <v>NET 5, BT+</v>
          </cell>
          <cell r="E696" t="str">
            <v>FP - ON HOLD</v>
          </cell>
          <cell r="F696" t="str">
            <v>Yes</v>
          </cell>
          <cell r="G696" t="str">
            <v>GA</v>
          </cell>
          <cell r="H696">
            <v>8</v>
          </cell>
          <cell r="I696">
            <v>0.66500000000000004</v>
          </cell>
          <cell r="J696" t="str">
            <v>Orphaned Acct</v>
          </cell>
          <cell r="K696" t="str">
            <v>ROANOKE RAPIDS</v>
          </cell>
          <cell r="L696" t="str">
            <v>NC</v>
          </cell>
          <cell r="M696" t="str">
            <v>800-577-8858</v>
          </cell>
          <cell r="N696"/>
          <cell r="O696">
            <v>1148</v>
          </cell>
          <cell r="P696">
            <v>4936.3999999999996</v>
          </cell>
          <cell r="Q696">
            <v>552</v>
          </cell>
          <cell r="R696">
            <v>2373.6</v>
          </cell>
          <cell r="S696"/>
          <cell r="T696">
            <v>0</v>
          </cell>
          <cell r="U696">
            <v>1244</v>
          </cell>
          <cell r="V696">
            <v>5349.2</v>
          </cell>
          <cell r="W696">
            <v>1208</v>
          </cell>
          <cell r="X696">
            <v>5194.3999999999996</v>
          </cell>
          <cell r="Y696"/>
          <cell r="Z696">
            <v>0</v>
          </cell>
          <cell r="AA696"/>
          <cell r="AB696">
            <v>0</v>
          </cell>
          <cell r="AC696"/>
          <cell r="AD696">
            <v>0</v>
          </cell>
          <cell r="AE696"/>
          <cell r="AF696"/>
          <cell r="AG696"/>
          <cell r="AH696"/>
          <cell r="AI696"/>
          <cell r="AJ696">
            <v>0</v>
          </cell>
          <cell r="AK696" t="str">
            <v>3P</v>
          </cell>
          <cell r="AL696">
            <v>213</v>
          </cell>
          <cell r="AM696">
            <v>377</v>
          </cell>
          <cell r="AN696" t="str">
            <v>08 Inactive Dealer</v>
          </cell>
          <cell r="AO696" t="str">
            <v>Southeast</v>
          </cell>
          <cell r="AP696" t="str">
            <v>South</v>
          </cell>
          <cell r="AQ696"/>
          <cell r="AR696">
            <v>0</v>
          </cell>
          <cell r="AS696">
            <v>0</v>
          </cell>
        </row>
        <row r="697">
          <cell r="A697">
            <v>12435</v>
          </cell>
          <cell r="B697" t="str">
            <v>THE TRUCK ACCESSORY CENTER INC</v>
          </cell>
          <cell r="C697" t="str">
            <v>M10406</v>
          </cell>
          <cell r="D697" t="str">
            <v>NET 5, BT+</v>
          </cell>
          <cell r="E697" t="str">
            <v>F1 - Wells Fargo</v>
          </cell>
          <cell r="F697" t="str">
            <v>Yes</v>
          </cell>
          <cell r="G697" t="str">
            <v>GA</v>
          </cell>
          <cell r="H697">
            <v>7</v>
          </cell>
          <cell r="I697">
            <v>0.66500000000000004</v>
          </cell>
          <cell r="J697" t="str">
            <v>House</v>
          </cell>
          <cell r="K697" t="str">
            <v>MOYOCK</v>
          </cell>
          <cell r="L697" t="str">
            <v>NC</v>
          </cell>
          <cell r="M697" t="str">
            <v>800-577-8858</v>
          </cell>
          <cell r="N697"/>
          <cell r="O697">
            <v>1282</v>
          </cell>
          <cell r="P697">
            <v>5512.5999999999995</v>
          </cell>
          <cell r="Q697">
            <v>650</v>
          </cell>
          <cell r="R697">
            <v>2795</v>
          </cell>
          <cell r="S697"/>
          <cell r="T697">
            <v>0</v>
          </cell>
          <cell r="U697">
            <v>1411</v>
          </cell>
          <cell r="V697">
            <v>6067.3</v>
          </cell>
          <cell r="W697"/>
          <cell r="X697">
            <v>0</v>
          </cell>
          <cell r="Y697"/>
          <cell r="Z697">
            <v>0</v>
          </cell>
          <cell r="AA697"/>
          <cell r="AB697">
            <v>0</v>
          </cell>
          <cell r="AC697"/>
          <cell r="AD697">
            <v>0</v>
          </cell>
          <cell r="AE697"/>
          <cell r="AF697"/>
          <cell r="AG697"/>
          <cell r="AH697"/>
          <cell r="AI697"/>
          <cell r="AJ697">
            <v>0</v>
          </cell>
          <cell r="AK697" t="str">
            <v>3P</v>
          </cell>
          <cell r="AL697">
            <v>400</v>
          </cell>
          <cell r="AM697">
            <v>324</v>
          </cell>
          <cell r="AN697" t="str">
            <v>08 Inactive Dealer</v>
          </cell>
          <cell r="AO697" t="str">
            <v>Southeast</v>
          </cell>
          <cell r="AP697" t="str">
            <v>South</v>
          </cell>
          <cell r="AQ697"/>
          <cell r="AR697">
            <v>0</v>
          </cell>
          <cell r="AS697">
            <v>0</v>
          </cell>
          <cell r="AT697"/>
        </row>
        <row r="698">
          <cell r="A698">
            <v>13573</v>
          </cell>
          <cell r="B698" t="str">
            <v>TW CONCORD</v>
          </cell>
          <cell r="C698" t="str">
            <v>M11429</v>
          </cell>
          <cell r="D698" t="str">
            <v>Net 30, no pink card</v>
          </cell>
          <cell r="E698">
            <v>30</v>
          </cell>
          <cell r="F698" t="str">
            <v>Yes</v>
          </cell>
          <cell r="G698" t="str">
            <v>GA</v>
          </cell>
          <cell r="H698">
            <v>10</v>
          </cell>
          <cell r="I698">
            <v>0.66500000000000004</v>
          </cell>
          <cell r="J698" t="str">
            <v>Jake McEntee</v>
          </cell>
          <cell r="K698" t="str">
            <v>CONCORD</v>
          </cell>
          <cell r="L698" t="str">
            <v>NC</v>
          </cell>
          <cell r="M698" t="str">
            <v>800-577-8858</v>
          </cell>
          <cell r="N698" t="str">
            <v>All tandem axle trailers must have BRK2</v>
          </cell>
          <cell r="O698">
            <v>961</v>
          </cell>
          <cell r="P698">
            <v>4132.3</v>
          </cell>
          <cell r="Q698">
            <v>350</v>
          </cell>
          <cell r="R698">
            <v>1505</v>
          </cell>
          <cell r="S698"/>
          <cell r="T698">
            <v>0</v>
          </cell>
          <cell r="U698">
            <v>1125</v>
          </cell>
          <cell r="V698">
            <v>4837.5</v>
          </cell>
          <cell r="W698">
            <v>1003</v>
          </cell>
          <cell r="X698">
            <v>4312.8999999999996</v>
          </cell>
          <cell r="Y698">
            <v>522</v>
          </cell>
          <cell r="Z698">
            <v>2244.6</v>
          </cell>
          <cell r="AA698">
            <v>522</v>
          </cell>
          <cell r="AB698">
            <v>2244.6</v>
          </cell>
          <cell r="AC698">
            <v>522</v>
          </cell>
          <cell r="AD698">
            <v>2244.6</v>
          </cell>
          <cell r="AE698"/>
          <cell r="AF698"/>
          <cell r="AG698"/>
          <cell r="AH698"/>
          <cell r="AI698"/>
          <cell r="AJ698">
            <v>0.04</v>
          </cell>
          <cell r="AK698" t="str">
            <v>TW</v>
          </cell>
          <cell r="AL698">
            <v>161</v>
          </cell>
          <cell r="AM698">
            <v>74</v>
          </cell>
          <cell r="AN698" t="str">
            <v>04 Co.Store</v>
          </cell>
          <cell r="AO698" t="str">
            <v>Southeast</v>
          </cell>
          <cell r="AP698" t="str">
            <v>South</v>
          </cell>
          <cell r="AQ698"/>
          <cell r="AR698">
            <v>137635</v>
          </cell>
          <cell r="AS698">
            <v>51029</v>
          </cell>
        </row>
        <row r="699">
          <cell r="A699">
            <v>13571</v>
          </cell>
          <cell r="B699" t="str">
            <v>TW CHARLOTTE</v>
          </cell>
          <cell r="C699" t="str">
            <v>M11428</v>
          </cell>
          <cell r="D699" t="str">
            <v>Net 30, no pink card</v>
          </cell>
          <cell r="E699">
            <v>30</v>
          </cell>
          <cell r="F699" t="str">
            <v>Yes</v>
          </cell>
          <cell r="G699" t="str">
            <v>GA</v>
          </cell>
          <cell r="H699">
            <v>10</v>
          </cell>
          <cell r="I699">
            <v>0.66500000000000004</v>
          </cell>
          <cell r="J699" t="str">
            <v>Jake McEntee</v>
          </cell>
          <cell r="K699" t="str">
            <v>CHARLOTTE</v>
          </cell>
          <cell r="L699" t="str">
            <v>NC</v>
          </cell>
          <cell r="M699" t="str">
            <v>800-577-8858</v>
          </cell>
          <cell r="N699" t="str">
            <v>All tandem axle trailers must have BRK2</v>
          </cell>
          <cell r="O699">
            <v>945</v>
          </cell>
          <cell r="P699">
            <v>4063.5</v>
          </cell>
          <cell r="Q699">
            <v>330</v>
          </cell>
          <cell r="R699">
            <v>1419</v>
          </cell>
          <cell r="S699"/>
          <cell r="T699">
            <v>0</v>
          </cell>
          <cell r="U699">
            <v>1105</v>
          </cell>
          <cell r="V699">
            <v>4751.5</v>
          </cell>
          <cell r="W699">
            <v>985</v>
          </cell>
          <cell r="X699">
            <v>4235.5</v>
          </cell>
          <cell r="Y699">
            <v>440</v>
          </cell>
          <cell r="Z699">
            <v>1892</v>
          </cell>
          <cell r="AA699">
            <v>440</v>
          </cell>
          <cell r="AB699">
            <v>1892</v>
          </cell>
          <cell r="AC699">
            <v>440</v>
          </cell>
          <cell r="AD699">
            <v>1892</v>
          </cell>
          <cell r="AE699"/>
          <cell r="AF699"/>
          <cell r="AG699"/>
          <cell r="AH699"/>
          <cell r="AI699"/>
          <cell r="AJ699">
            <v>0.04</v>
          </cell>
          <cell r="AK699" t="str">
            <v>TW</v>
          </cell>
          <cell r="AL699">
            <v>161</v>
          </cell>
          <cell r="AM699">
            <v>74</v>
          </cell>
          <cell r="AN699" t="str">
            <v>04 Co.Store</v>
          </cell>
          <cell r="AO699" t="str">
            <v>Southeast</v>
          </cell>
          <cell r="AP699" t="str">
            <v>South</v>
          </cell>
          <cell r="AQ699"/>
          <cell r="AR699">
            <v>109046</v>
          </cell>
          <cell r="AS699">
            <v>118001</v>
          </cell>
        </row>
        <row r="700">
          <cell r="A700">
            <v>12905</v>
          </cell>
          <cell r="B700" t="str">
            <v>TW GREENSBORO</v>
          </cell>
          <cell r="C700" t="str">
            <v>M10075</v>
          </cell>
          <cell r="D700" t="str">
            <v>Net 30, no pink card</v>
          </cell>
          <cell r="E700">
            <v>30</v>
          </cell>
          <cell r="F700" t="str">
            <v>Yes</v>
          </cell>
          <cell r="G700" t="str">
            <v>OH</v>
          </cell>
          <cell r="H700">
            <v>10</v>
          </cell>
          <cell r="I700">
            <v>0.66500000000000004</v>
          </cell>
          <cell r="J700" t="str">
            <v>Jake McEntee</v>
          </cell>
          <cell r="K700" t="str">
            <v>GREENSBORO</v>
          </cell>
          <cell r="L700" t="str">
            <v>NC</v>
          </cell>
          <cell r="M700" t="str">
            <v>800-577-8858</v>
          </cell>
          <cell r="N700" t="str">
            <v>All tandem axle trailers must have BRK2</v>
          </cell>
          <cell r="O700">
            <v>1011</v>
          </cell>
          <cell r="P700">
            <v>4347.3</v>
          </cell>
          <cell r="Q700">
            <v>443</v>
          </cell>
          <cell r="R700">
            <v>1904.8999999999999</v>
          </cell>
          <cell r="S700"/>
          <cell r="T700">
            <v>0</v>
          </cell>
          <cell r="U700">
            <v>1108</v>
          </cell>
          <cell r="V700">
            <v>4764.3999999999996</v>
          </cell>
          <cell r="W700">
            <v>1070</v>
          </cell>
          <cell r="X700">
            <v>4601</v>
          </cell>
          <cell r="Y700">
            <v>425</v>
          </cell>
          <cell r="Z700">
            <v>1827.5</v>
          </cell>
          <cell r="AA700">
            <v>425</v>
          </cell>
          <cell r="AB700">
            <v>1827.5</v>
          </cell>
          <cell r="AC700">
            <v>425</v>
          </cell>
          <cell r="AD700">
            <v>1827.5</v>
          </cell>
          <cell r="AE700">
            <v>4.4299999999999999E-2</v>
          </cell>
          <cell r="AF700"/>
          <cell r="AG700">
            <v>7.689E-2</v>
          </cell>
          <cell r="AH700">
            <v>7.689E-2</v>
          </cell>
          <cell r="AI700">
            <v>7.689E-2</v>
          </cell>
          <cell r="AJ700">
            <v>0.04</v>
          </cell>
          <cell r="AK700" t="str">
            <v>TW</v>
          </cell>
          <cell r="AL700">
            <v>161</v>
          </cell>
          <cell r="AM700">
            <v>174</v>
          </cell>
          <cell r="AN700" t="str">
            <v>04 Co.Store</v>
          </cell>
          <cell r="AO700" t="str">
            <v>Southeast</v>
          </cell>
          <cell r="AP700" t="str">
            <v>South</v>
          </cell>
          <cell r="AQ700"/>
          <cell r="AR700">
            <v>174902</v>
          </cell>
          <cell r="AS700">
            <v>0</v>
          </cell>
        </row>
        <row r="701">
          <cell r="A701">
            <v>13562</v>
          </cell>
          <cell r="B701" t="str">
            <v>TW RALEIGH</v>
          </cell>
          <cell r="C701" t="str">
            <v>M11489</v>
          </cell>
          <cell r="D701" t="str">
            <v>Net 30, no pink card</v>
          </cell>
          <cell r="E701">
            <v>30</v>
          </cell>
          <cell r="F701" t="str">
            <v>Yes</v>
          </cell>
          <cell r="G701" t="str">
            <v>GA</v>
          </cell>
          <cell r="H701">
            <v>10</v>
          </cell>
          <cell r="I701">
            <v>0.66500000000000004</v>
          </cell>
          <cell r="J701" t="str">
            <v>Jake McEntee</v>
          </cell>
          <cell r="K701" t="str">
            <v>GARNER</v>
          </cell>
          <cell r="L701" t="str">
            <v>NC</v>
          </cell>
          <cell r="M701" t="str">
            <v>800-577-8858</v>
          </cell>
          <cell r="N701" t="str">
            <v>All tandem axle trailers must have BRK2</v>
          </cell>
          <cell r="O701">
            <v>1088</v>
          </cell>
          <cell r="P701">
            <v>4678.3999999999996</v>
          </cell>
          <cell r="Q701">
            <v>452</v>
          </cell>
          <cell r="R701">
            <v>1943.6</v>
          </cell>
          <cell r="S701"/>
          <cell r="T701">
            <v>0</v>
          </cell>
          <cell r="U701">
            <v>1196</v>
          </cell>
          <cell r="V701">
            <v>5142.8</v>
          </cell>
          <cell r="W701">
            <v>1148</v>
          </cell>
          <cell r="X701">
            <v>4936.3999999999996</v>
          </cell>
          <cell r="Y701">
            <v>500</v>
          </cell>
          <cell r="Z701">
            <v>2150</v>
          </cell>
          <cell r="AA701">
            <v>500</v>
          </cell>
          <cell r="AB701">
            <v>2150</v>
          </cell>
          <cell r="AC701">
            <v>500</v>
          </cell>
          <cell r="AD701">
            <v>2150</v>
          </cell>
          <cell r="AE701"/>
          <cell r="AF701"/>
          <cell r="AG701"/>
          <cell r="AH701"/>
          <cell r="AI701"/>
          <cell r="AJ701">
            <v>0.04</v>
          </cell>
          <cell r="AK701" t="str">
            <v>TW</v>
          </cell>
          <cell r="AL701">
            <v>161</v>
          </cell>
          <cell r="AM701">
            <v>368</v>
          </cell>
          <cell r="AN701" t="str">
            <v>04 Co.Store</v>
          </cell>
          <cell r="AO701" t="str">
            <v>Southeast</v>
          </cell>
          <cell r="AP701" t="str">
            <v>South</v>
          </cell>
          <cell r="AQ701"/>
          <cell r="AR701">
            <v>192086</v>
          </cell>
          <cell r="AS701">
            <v>82385</v>
          </cell>
          <cell r="AT701"/>
        </row>
        <row r="702">
          <cell r="A702">
            <v>13005</v>
          </cell>
          <cell r="B702" t="str">
            <v>TW STALLINGS</v>
          </cell>
          <cell r="C702" t="str">
            <v>M10858</v>
          </cell>
          <cell r="D702" t="str">
            <v>Net 30, no pink card</v>
          </cell>
          <cell r="E702">
            <v>30</v>
          </cell>
          <cell r="F702" t="str">
            <v>Yes</v>
          </cell>
          <cell r="G702" t="str">
            <v>GA</v>
          </cell>
          <cell r="H702">
            <v>10</v>
          </cell>
          <cell r="I702">
            <v>0.66500000000000004</v>
          </cell>
          <cell r="J702" t="str">
            <v>Jake McEntee</v>
          </cell>
          <cell r="K702" t="str">
            <v>MATHEWS</v>
          </cell>
          <cell r="L702" t="str">
            <v>NC</v>
          </cell>
          <cell r="M702" t="str">
            <v>800-577-8858</v>
          </cell>
          <cell r="N702" t="str">
            <v>All tandem axle trailers must have BRK2</v>
          </cell>
          <cell r="O702">
            <v>960</v>
          </cell>
          <cell r="P702">
            <v>4128</v>
          </cell>
          <cell r="Q702">
            <v>331</v>
          </cell>
          <cell r="R702">
            <v>1423.3</v>
          </cell>
          <cell r="S702"/>
          <cell r="T702">
            <v>0</v>
          </cell>
          <cell r="U702">
            <v>1144</v>
          </cell>
          <cell r="V702">
            <v>4919.2</v>
          </cell>
          <cell r="W702">
            <v>997</v>
          </cell>
          <cell r="X702">
            <v>4287.0999999999995</v>
          </cell>
          <cell r="Y702">
            <v>465</v>
          </cell>
          <cell r="Z702">
            <v>1999.5</v>
          </cell>
          <cell r="AA702">
            <v>465</v>
          </cell>
          <cell r="AB702">
            <v>1999.5</v>
          </cell>
          <cell r="AC702">
            <v>465</v>
          </cell>
          <cell r="AD702">
            <v>1999.5</v>
          </cell>
          <cell r="AE702">
            <v>3.3099999999999997E-2</v>
          </cell>
          <cell r="AF702"/>
          <cell r="AG702">
            <v>8.1500000000000003E-2</v>
          </cell>
          <cell r="AH702">
            <v>8.1500000000000003E-2</v>
          </cell>
          <cell r="AI702">
            <v>8.1500000000000003E-2</v>
          </cell>
          <cell r="AJ702">
            <v>0.04</v>
          </cell>
          <cell r="AK702" t="str">
            <v>TW</v>
          </cell>
          <cell r="AL702">
            <v>161</v>
          </cell>
          <cell r="AM702">
            <v>74</v>
          </cell>
          <cell r="AN702" t="str">
            <v>04 Co.Store</v>
          </cell>
          <cell r="AO702" t="str">
            <v>Southeast</v>
          </cell>
          <cell r="AP702" t="str">
            <v>South</v>
          </cell>
          <cell r="AQ702"/>
          <cell r="AR702">
            <v>188386</v>
          </cell>
          <cell r="AS702">
            <v>197088</v>
          </cell>
        </row>
        <row r="703">
          <cell r="A703">
            <v>12777</v>
          </cell>
          <cell r="B703" t="str">
            <v>WEST END</v>
          </cell>
          <cell r="C703" t="str">
            <v>M10451</v>
          </cell>
          <cell r="D703" t="str">
            <v>NET 5, BT+</v>
          </cell>
          <cell r="E703" t="str">
            <v>F1 - Wells Fargo</v>
          </cell>
          <cell r="F703" t="str">
            <v>Yes</v>
          </cell>
          <cell r="G703" t="str">
            <v>GA</v>
          </cell>
          <cell r="H703">
            <v>8</v>
          </cell>
          <cell r="I703">
            <v>0.66500000000000004</v>
          </cell>
          <cell r="J703" t="str">
            <v>Trent Evans</v>
          </cell>
          <cell r="K703" t="str">
            <v>VALE</v>
          </cell>
          <cell r="L703" t="str">
            <v>NC</v>
          </cell>
          <cell r="M703" t="str">
            <v>800-577-8858</v>
          </cell>
          <cell r="N703"/>
          <cell r="O703">
            <v>923</v>
          </cell>
          <cell r="P703">
            <v>3968.8999999999996</v>
          </cell>
          <cell r="Q703">
            <v>382</v>
          </cell>
          <cell r="R703">
            <v>1642.6</v>
          </cell>
          <cell r="S703"/>
          <cell r="T703">
            <v>0</v>
          </cell>
          <cell r="U703">
            <v>1052</v>
          </cell>
          <cell r="V703">
            <v>4523.5999999999995</v>
          </cell>
          <cell r="W703">
            <v>979</v>
          </cell>
          <cell r="X703">
            <v>4209.7</v>
          </cell>
          <cell r="Y703">
            <v>470</v>
          </cell>
          <cell r="Z703">
            <v>2021</v>
          </cell>
          <cell r="AA703">
            <v>470</v>
          </cell>
          <cell r="AB703">
            <v>2021</v>
          </cell>
          <cell r="AC703">
            <v>470</v>
          </cell>
          <cell r="AD703">
            <v>2021</v>
          </cell>
          <cell r="AE703"/>
          <cell r="AF703"/>
          <cell r="AG703"/>
          <cell r="AH703"/>
          <cell r="AI703"/>
          <cell r="AJ703">
            <v>1.4999999999999999E-2</v>
          </cell>
          <cell r="AK703" t="str">
            <v>3P</v>
          </cell>
          <cell r="AL703">
            <v>226</v>
          </cell>
          <cell r="AM703">
            <v>74</v>
          </cell>
          <cell r="AN703" t="str">
            <v>01 Existing Dealer</v>
          </cell>
          <cell r="AO703" t="str">
            <v>Southeast</v>
          </cell>
          <cell r="AP703" t="str">
            <v>South</v>
          </cell>
          <cell r="AQ703"/>
          <cell r="AR703">
            <v>77520</v>
          </cell>
          <cell r="AS703">
            <v>52287</v>
          </cell>
        </row>
        <row r="704">
          <cell r="A704">
            <v>12432</v>
          </cell>
          <cell r="B704" t="str">
            <v>5 STAR SALES</v>
          </cell>
          <cell r="C704" t="str">
            <v>M10002</v>
          </cell>
          <cell r="D704" t="str">
            <v>NET 5, BT+</v>
          </cell>
          <cell r="E704" t="str">
            <v>CO</v>
          </cell>
          <cell r="F704" t="str">
            <v>Yes</v>
          </cell>
          <cell r="G704" t="str">
            <v>TX</v>
          </cell>
          <cell r="H704">
            <v>7</v>
          </cell>
          <cell r="I704">
            <v>0.66500000000000004</v>
          </cell>
          <cell r="J704" t="str">
            <v>Orphaned Acct</v>
          </cell>
          <cell r="K704" t="str">
            <v>BOWMAN</v>
          </cell>
          <cell r="L704" t="str">
            <v>ND</v>
          </cell>
          <cell r="M704" t="str">
            <v>800-577-8858</v>
          </cell>
          <cell r="N704"/>
          <cell r="O704">
            <v>1329</v>
          </cell>
          <cell r="P704">
            <v>5714.7</v>
          </cell>
          <cell r="Q704"/>
          <cell r="R704">
            <v>0</v>
          </cell>
          <cell r="S704">
            <v>910</v>
          </cell>
          <cell r="T704">
            <v>3913</v>
          </cell>
          <cell r="U704">
            <v>1151</v>
          </cell>
          <cell r="V704">
            <v>4949.3</v>
          </cell>
          <cell r="W704">
            <v>1281</v>
          </cell>
          <cell r="X704">
            <v>5508.3</v>
          </cell>
          <cell r="Y704"/>
          <cell r="Z704">
            <v>0</v>
          </cell>
          <cell r="AA704"/>
          <cell r="AB704">
            <v>0</v>
          </cell>
          <cell r="AC704"/>
          <cell r="AD704">
            <v>0</v>
          </cell>
          <cell r="AE704"/>
          <cell r="AF704"/>
          <cell r="AG704"/>
          <cell r="AH704"/>
          <cell r="AI704"/>
          <cell r="AJ704">
            <v>0</v>
          </cell>
          <cell r="AK704" t="str">
            <v>3P</v>
          </cell>
          <cell r="AL704">
            <v>213</v>
          </cell>
          <cell r="AM704">
            <v>113</v>
          </cell>
          <cell r="AN704" t="str">
            <v>08 Inactive Dealer</v>
          </cell>
          <cell r="AO704" t="str">
            <v>Northwest</v>
          </cell>
          <cell r="AP704" t="str">
            <v>Central</v>
          </cell>
          <cell r="AQ704"/>
          <cell r="AR704">
            <v>0</v>
          </cell>
          <cell r="AS704">
            <v>0</v>
          </cell>
        </row>
        <row r="705">
          <cell r="A705">
            <v>12657</v>
          </cell>
          <cell r="B705" t="str">
            <v>5 STAR SALES</v>
          </cell>
          <cell r="C705" t="str">
            <v>M10002</v>
          </cell>
          <cell r="D705" t="str">
            <v>NET 5, BT+</v>
          </cell>
          <cell r="E705" t="str">
            <v>F1 - Wells Fargo</v>
          </cell>
          <cell r="F705" t="str">
            <v>Yes</v>
          </cell>
          <cell r="G705" t="str">
            <v>TX</v>
          </cell>
          <cell r="H705">
            <v>8</v>
          </cell>
          <cell r="I705">
            <v>0.66500000000000004</v>
          </cell>
          <cell r="J705" t="str">
            <v>Orphaned Acct</v>
          </cell>
          <cell r="K705" t="str">
            <v>BOWMAN</v>
          </cell>
          <cell r="L705" t="str">
            <v>ND</v>
          </cell>
          <cell r="M705" t="str">
            <v>800-577-8858</v>
          </cell>
          <cell r="N705"/>
          <cell r="O705">
            <v>1329</v>
          </cell>
          <cell r="P705">
            <v>5714.7</v>
          </cell>
          <cell r="Q705"/>
          <cell r="R705">
            <v>0</v>
          </cell>
          <cell r="S705">
            <v>910</v>
          </cell>
          <cell r="T705">
            <v>3913</v>
          </cell>
          <cell r="U705">
            <v>1151</v>
          </cell>
          <cell r="V705">
            <v>4949.3</v>
          </cell>
          <cell r="W705">
            <v>1281</v>
          </cell>
          <cell r="X705">
            <v>5508.3</v>
          </cell>
          <cell r="Y705"/>
          <cell r="Z705">
            <v>0</v>
          </cell>
          <cell r="AA705"/>
          <cell r="AB705">
            <v>0</v>
          </cell>
          <cell r="AC705"/>
          <cell r="AD705">
            <v>0</v>
          </cell>
          <cell r="AE705"/>
          <cell r="AF705"/>
          <cell r="AG705"/>
          <cell r="AH705"/>
          <cell r="AI705"/>
          <cell r="AJ705">
            <v>0</v>
          </cell>
          <cell r="AK705" t="str">
            <v>3P</v>
          </cell>
          <cell r="AL705">
            <v>213</v>
          </cell>
          <cell r="AM705">
            <v>113</v>
          </cell>
          <cell r="AN705" t="str">
            <v>08 Inactive Dealer</v>
          </cell>
          <cell r="AO705" t="str">
            <v>Northwest</v>
          </cell>
          <cell r="AP705" t="str">
            <v>Central</v>
          </cell>
          <cell r="AQ705"/>
          <cell r="AR705">
            <v>0</v>
          </cell>
          <cell r="AS705">
            <v>0</v>
          </cell>
        </row>
        <row r="706">
          <cell r="A706">
            <v>12129</v>
          </cell>
          <cell r="B706" t="str">
            <v>BLOOMFIELD ENTERPRISES INC</v>
          </cell>
          <cell r="C706" t="str">
            <v>M10105</v>
          </cell>
          <cell r="D706" t="str">
            <v>NET 5, BT+</v>
          </cell>
          <cell r="E706" t="str">
            <v>CO</v>
          </cell>
          <cell r="F706" t="str">
            <v>Yes</v>
          </cell>
          <cell r="G706" t="str">
            <v>TX</v>
          </cell>
          <cell r="H706">
            <v>7</v>
          </cell>
          <cell r="I706">
            <v>0.66500000000000004</v>
          </cell>
          <cell r="J706" t="str">
            <v>Trent Evans</v>
          </cell>
          <cell r="K706" t="str">
            <v>HILLSBORO</v>
          </cell>
          <cell r="L706" t="str">
            <v>ND</v>
          </cell>
          <cell r="M706" t="str">
            <v>208-459-0106</v>
          </cell>
          <cell r="N706"/>
          <cell r="O706">
            <v>1102</v>
          </cell>
          <cell r="P706">
            <v>4738.5999999999995</v>
          </cell>
          <cell r="Q706"/>
          <cell r="R706">
            <v>0</v>
          </cell>
          <cell r="S706">
            <v>1283</v>
          </cell>
          <cell r="T706">
            <v>5516.9</v>
          </cell>
          <cell r="U706">
            <v>1033</v>
          </cell>
          <cell r="V706">
            <v>4441.8999999999996</v>
          </cell>
          <cell r="W706">
            <v>1162</v>
          </cell>
          <cell r="X706">
            <v>4996.5999999999995</v>
          </cell>
          <cell r="Y706"/>
          <cell r="Z706">
            <v>0</v>
          </cell>
          <cell r="AA706"/>
          <cell r="AB706">
            <v>0</v>
          </cell>
          <cell r="AC706"/>
          <cell r="AD706">
            <v>0</v>
          </cell>
          <cell r="AE706"/>
          <cell r="AF706"/>
          <cell r="AG706"/>
          <cell r="AH706"/>
          <cell r="AI706"/>
          <cell r="AJ706">
            <v>0</v>
          </cell>
          <cell r="AK706" t="str">
            <v>3P</v>
          </cell>
          <cell r="AL706">
            <v>226</v>
          </cell>
          <cell r="AM706">
            <v>138</v>
          </cell>
          <cell r="AN706" t="str">
            <v>01 Existing Dealer</v>
          </cell>
          <cell r="AO706" t="str">
            <v>Northwest</v>
          </cell>
          <cell r="AP706" t="str">
            <v>Central</v>
          </cell>
          <cell r="AQ706"/>
          <cell r="AR706">
            <v>0</v>
          </cell>
          <cell r="AS706">
            <v>0</v>
          </cell>
        </row>
        <row r="707">
          <cell r="A707">
            <v>12564</v>
          </cell>
          <cell r="B707" t="str">
            <v>BLOOMFIELD ENTERPRISES INC</v>
          </cell>
          <cell r="C707" t="str">
            <v>M10105</v>
          </cell>
          <cell r="D707" t="str">
            <v>NET 5, BT+</v>
          </cell>
          <cell r="E707" t="str">
            <v>FP - Wells Fargo</v>
          </cell>
          <cell r="F707" t="str">
            <v>Yes</v>
          </cell>
          <cell r="G707" t="str">
            <v>TX</v>
          </cell>
          <cell r="H707">
            <v>8</v>
          </cell>
          <cell r="I707">
            <v>0.66500000000000004</v>
          </cell>
          <cell r="J707" t="str">
            <v>Trent Evans</v>
          </cell>
          <cell r="K707" t="str">
            <v>HILLSBORO</v>
          </cell>
          <cell r="L707" t="str">
            <v>ND</v>
          </cell>
          <cell r="M707" t="str">
            <v>208-459-0106</v>
          </cell>
          <cell r="N707"/>
          <cell r="O707">
            <v>1102</v>
          </cell>
          <cell r="P707">
            <v>4738.5999999999995</v>
          </cell>
          <cell r="Q707"/>
          <cell r="R707">
            <v>0</v>
          </cell>
          <cell r="S707">
            <v>12833</v>
          </cell>
          <cell r="T707">
            <v>55181.899999999994</v>
          </cell>
          <cell r="U707">
            <v>1033</v>
          </cell>
          <cell r="V707">
            <v>4441.8999999999996</v>
          </cell>
          <cell r="W707">
            <v>1162</v>
          </cell>
          <cell r="X707">
            <v>4996.5999999999995</v>
          </cell>
          <cell r="Y707"/>
          <cell r="Z707">
            <v>0</v>
          </cell>
          <cell r="AA707"/>
          <cell r="AB707">
            <v>0</v>
          </cell>
          <cell r="AC707"/>
          <cell r="AD707">
            <v>0</v>
          </cell>
          <cell r="AE707"/>
          <cell r="AF707"/>
          <cell r="AG707"/>
          <cell r="AH707"/>
          <cell r="AI707"/>
          <cell r="AJ707">
            <v>0</v>
          </cell>
          <cell r="AK707" t="str">
            <v>3P</v>
          </cell>
          <cell r="AL707">
            <v>226</v>
          </cell>
          <cell r="AM707">
            <v>138</v>
          </cell>
          <cell r="AN707" t="str">
            <v>01 Existing Dealer</v>
          </cell>
          <cell r="AO707" t="str">
            <v>Northwest</v>
          </cell>
          <cell r="AP707" t="str">
            <v>Central</v>
          </cell>
          <cell r="AQ707"/>
          <cell r="AR707">
            <v>0</v>
          </cell>
          <cell r="AS707">
            <v>0</v>
          </cell>
        </row>
        <row r="708">
          <cell r="A708">
            <v>12210</v>
          </cell>
          <cell r="B708" t="str">
            <v>BLOOMFIELD ENTERPRISES INC</v>
          </cell>
          <cell r="C708" t="str">
            <v>M10105</v>
          </cell>
          <cell r="D708" t="str">
            <v>Net 90, no pink card</v>
          </cell>
          <cell r="E708">
            <v>90</v>
          </cell>
          <cell r="F708" t="str">
            <v>Yes</v>
          </cell>
          <cell r="G708" t="str">
            <v>TX</v>
          </cell>
          <cell r="H708">
            <v>5</v>
          </cell>
          <cell r="I708">
            <v>0.66500000000000004</v>
          </cell>
          <cell r="J708" t="str">
            <v>Orphaned Acct</v>
          </cell>
          <cell r="K708" t="str">
            <v>HILLSBORO</v>
          </cell>
          <cell r="L708" t="str">
            <v>ND</v>
          </cell>
          <cell r="M708" t="str">
            <v>208-459-0106</v>
          </cell>
          <cell r="N708"/>
          <cell r="O708">
            <v>1102</v>
          </cell>
          <cell r="P708">
            <v>4738.5999999999995</v>
          </cell>
          <cell r="Q708"/>
          <cell r="R708">
            <v>0</v>
          </cell>
          <cell r="S708">
            <v>1283</v>
          </cell>
          <cell r="T708">
            <v>5516.9</v>
          </cell>
          <cell r="U708">
            <v>1033</v>
          </cell>
          <cell r="V708">
            <v>4441.8999999999996</v>
          </cell>
          <cell r="W708">
            <v>1162</v>
          </cell>
          <cell r="X708">
            <v>4996.5999999999995</v>
          </cell>
          <cell r="Y708"/>
          <cell r="Z708">
            <v>0</v>
          </cell>
          <cell r="AA708"/>
          <cell r="AB708">
            <v>0</v>
          </cell>
          <cell r="AC708"/>
          <cell r="AD708">
            <v>0</v>
          </cell>
          <cell r="AE708"/>
          <cell r="AF708"/>
          <cell r="AG708"/>
          <cell r="AH708"/>
          <cell r="AI708"/>
          <cell r="AJ708">
            <v>0</v>
          </cell>
          <cell r="AK708" t="str">
            <v>3P</v>
          </cell>
          <cell r="AL708">
            <v>213</v>
          </cell>
          <cell r="AM708">
            <v>138</v>
          </cell>
          <cell r="AN708" t="str">
            <v>01 Existing Dealer</v>
          </cell>
          <cell r="AO708" t="str">
            <v>Northwest</v>
          </cell>
          <cell r="AP708" t="str">
            <v>Central</v>
          </cell>
          <cell r="AQ708"/>
          <cell r="AR708">
            <v>0</v>
          </cell>
          <cell r="AS708">
            <v>0</v>
          </cell>
        </row>
        <row r="709">
          <cell r="A709">
            <v>12211</v>
          </cell>
          <cell r="B709" t="str">
            <v>BLOOMFIELD ENTERPRISES INC</v>
          </cell>
          <cell r="C709" t="str">
            <v>M10105</v>
          </cell>
          <cell r="D709" t="str">
            <v>NET 5, BT+</v>
          </cell>
          <cell r="E709" t="str">
            <v>C6</v>
          </cell>
          <cell r="F709" t="str">
            <v>No</v>
          </cell>
          <cell r="G709" t="str">
            <v>TX</v>
          </cell>
          <cell r="H709">
            <v>9</v>
          </cell>
          <cell r="I709">
            <v>0.66500000000000004</v>
          </cell>
          <cell r="J709" t="str">
            <v>Orphaned Acct</v>
          </cell>
          <cell r="K709" t="str">
            <v>HILLSBORO</v>
          </cell>
          <cell r="L709" t="str">
            <v>ND</v>
          </cell>
          <cell r="M709" t="str">
            <v>208-459-0106</v>
          </cell>
          <cell r="N709"/>
          <cell r="O709">
            <v>1102</v>
          </cell>
          <cell r="P709">
            <v>4738.5999999999995</v>
          </cell>
          <cell r="Q709"/>
          <cell r="R709">
            <v>0</v>
          </cell>
          <cell r="S709">
            <v>1283</v>
          </cell>
          <cell r="T709">
            <v>5516.9</v>
          </cell>
          <cell r="U709">
            <v>1033</v>
          </cell>
          <cell r="V709">
            <v>4441.8999999999996</v>
          </cell>
          <cell r="W709">
            <v>1162</v>
          </cell>
          <cell r="X709">
            <v>4996.5999999999995</v>
          </cell>
          <cell r="Y709"/>
          <cell r="Z709">
            <v>0</v>
          </cell>
          <cell r="AA709"/>
          <cell r="AB709">
            <v>0</v>
          </cell>
          <cell r="AC709"/>
          <cell r="AD709">
            <v>0</v>
          </cell>
          <cell r="AE709"/>
          <cell r="AF709"/>
          <cell r="AG709"/>
          <cell r="AH709"/>
          <cell r="AI709"/>
          <cell r="AJ709">
            <v>0</v>
          </cell>
          <cell r="AK709" t="str">
            <v>3P</v>
          </cell>
          <cell r="AL709">
            <v>213</v>
          </cell>
          <cell r="AM709">
            <v>138</v>
          </cell>
          <cell r="AN709" t="str">
            <v>08 Inactive Dealer</v>
          </cell>
          <cell r="AO709" t="str">
            <v>Northwest</v>
          </cell>
          <cell r="AP709" t="str">
            <v>Central</v>
          </cell>
          <cell r="AQ709"/>
          <cell r="AR709">
            <v>0</v>
          </cell>
          <cell r="AS709">
            <v>0</v>
          </cell>
        </row>
        <row r="710">
          <cell r="A710">
            <v>12699</v>
          </cell>
          <cell r="B710" t="str">
            <v>BOESPFLUG TRAILERS &amp; FEED, INC.</v>
          </cell>
          <cell r="C710" t="str">
            <v>M10106</v>
          </cell>
          <cell r="D710" t="str">
            <v>NET 5, BT+</v>
          </cell>
          <cell r="E710" t="str">
            <v>RM</v>
          </cell>
          <cell r="F710" t="str">
            <v>Yes</v>
          </cell>
          <cell r="G710" t="str">
            <v>TX</v>
          </cell>
          <cell r="H710">
            <v>7</v>
          </cell>
          <cell r="I710">
            <v>0.66500000000000004</v>
          </cell>
          <cell r="J710" t="str">
            <v>Orphaned Acct</v>
          </cell>
          <cell r="K710" t="str">
            <v>DICKINSON</v>
          </cell>
          <cell r="L710" t="str">
            <v>ND</v>
          </cell>
          <cell r="M710" t="str">
            <v>208-459-0106</v>
          </cell>
          <cell r="N710"/>
          <cell r="O710">
            <v>1348</v>
          </cell>
          <cell r="P710">
            <v>5796.4</v>
          </cell>
          <cell r="Q710"/>
          <cell r="R710">
            <v>0</v>
          </cell>
          <cell r="S710">
            <v>958</v>
          </cell>
          <cell r="T710">
            <v>4119.3999999999996</v>
          </cell>
          <cell r="U710">
            <v>1279</v>
          </cell>
          <cell r="V710">
            <v>5499.7</v>
          </cell>
          <cell r="W710">
            <v>1408</v>
          </cell>
          <cell r="X710">
            <v>6054.4</v>
          </cell>
          <cell r="Y710"/>
          <cell r="Z710">
            <v>0</v>
          </cell>
          <cell r="AA710"/>
          <cell r="AB710">
            <v>0</v>
          </cell>
          <cell r="AC710"/>
          <cell r="AD710">
            <v>0</v>
          </cell>
          <cell r="AE710"/>
          <cell r="AF710"/>
          <cell r="AG710"/>
          <cell r="AH710"/>
          <cell r="AI710"/>
          <cell r="AJ710">
            <v>0</v>
          </cell>
          <cell r="AK710" t="str">
            <v>3P</v>
          </cell>
          <cell r="AL710">
            <v>213</v>
          </cell>
          <cell r="AM710">
            <v>113</v>
          </cell>
          <cell r="AN710" t="str">
            <v>08 Inactive Dealer</v>
          </cell>
          <cell r="AO710" t="str">
            <v>Northwest</v>
          </cell>
          <cell r="AP710" t="str">
            <v>Central</v>
          </cell>
          <cell r="AQ710"/>
          <cell r="AR710">
            <v>0</v>
          </cell>
          <cell r="AS710">
            <v>0</v>
          </cell>
        </row>
        <row r="711">
          <cell r="A711">
            <v>12985</v>
          </cell>
          <cell r="B711" t="str">
            <v>DTF TRUCK &amp; FARM SERVICE INC</v>
          </cell>
          <cell r="C711" t="str">
            <v>M10820</v>
          </cell>
          <cell r="D711" t="str">
            <v>NET 5, BT+</v>
          </cell>
          <cell r="E711" t="str">
            <v>CO</v>
          </cell>
          <cell r="F711" t="str">
            <v>Yes</v>
          </cell>
          <cell r="G711" t="str">
            <v>TX</v>
          </cell>
          <cell r="H711">
            <v>7</v>
          </cell>
          <cell r="I711">
            <v>0.66500000000000004</v>
          </cell>
          <cell r="J711" t="str">
            <v>Orphaned Acct</v>
          </cell>
          <cell r="K711" t="str">
            <v>MINOT</v>
          </cell>
          <cell r="L711" t="str">
            <v>ND</v>
          </cell>
          <cell r="M711" t="str">
            <v>800-577-8858</v>
          </cell>
          <cell r="N711"/>
          <cell r="O711">
            <v>1507</v>
          </cell>
          <cell r="P711">
            <v>6480.0999999999995</v>
          </cell>
          <cell r="Q711"/>
          <cell r="R711">
            <v>0</v>
          </cell>
          <cell r="S711">
            <v>1139</v>
          </cell>
          <cell r="T711">
            <v>4897.7</v>
          </cell>
          <cell r="U711">
            <v>1256</v>
          </cell>
          <cell r="V711">
            <v>5400.8</v>
          </cell>
          <cell r="W711">
            <v>1459</v>
          </cell>
          <cell r="X711">
            <v>6273.7</v>
          </cell>
          <cell r="Y711"/>
          <cell r="Z711">
            <v>0</v>
          </cell>
          <cell r="AA711"/>
          <cell r="AB711">
            <v>0</v>
          </cell>
          <cell r="AC711"/>
          <cell r="AD711">
            <v>0</v>
          </cell>
          <cell r="AE711"/>
          <cell r="AF711"/>
          <cell r="AG711"/>
          <cell r="AH711"/>
          <cell r="AI711"/>
          <cell r="AJ711">
            <v>0</v>
          </cell>
          <cell r="AK711" t="str">
            <v>3P</v>
          </cell>
          <cell r="AL711">
            <v>213</v>
          </cell>
          <cell r="AM711">
            <v>299</v>
          </cell>
          <cell r="AN711" t="str">
            <v>01 Existing Dealer</v>
          </cell>
          <cell r="AO711" t="str">
            <v>Northwest</v>
          </cell>
          <cell r="AP711" t="str">
            <v>Central</v>
          </cell>
          <cell r="AQ711"/>
          <cell r="AR711">
            <v>0</v>
          </cell>
          <cell r="AS711">
            <v>0</v>
          </cell>
        </row>
        <row r="712">
          <cell r="A712">
            <v>13257</v>
          </cell>
          <cell r="B712" t="str">
            <v>EXTREME</v>
          </cell>
          <cell r="C712" t="str">
            <v>M10932</v>
          </cell>
          <cell r="D712" t="str">
            <v>NET 5, BT+</v>
          </cell>
          <cell r="E712" t="str">
            <v>F1 - Northpoint</v>
          </cell>
          <cell r="F712" t="str">
            <v>Yes</v>
          </cell>
          <cell r="G712" t="str">
            <v>TX</v>
          </cell>
          <cell r="H712">
            <v>8</v>
          </cell>
          <cell r="I712">
            <v>0.66500000000000004</v>
          </cell>
          <cell r="J712" t="str">
            <v>Dakota Nation</v>
          </cell>
          <cell r="K712" t="str">
            <v>MANDAN</v>
          </cell>
          <cell r="L712" t="str">
            <v>ND</v>
          </cell>
          <cell r="M712" t="str">
            <v>800-577-8858</v>
          </cell>
          <cell r="N712"/>
          <cell r="O712">
            <v>1257</v>
          </cell>
          <cell r="P712">
            <v>5405.0999999999995</v>
          </cell>
          <cell r="Q712"/>
          <cell r="R712">
            <v>0</v>
          </cell>
          <cell r="S712">
            <v>1050</v>
          </cell>
          <cell r="T712">
            <v>4515</v>
          </cell>
          <cell r="U712">
            <v>1188</v>
          </cell>
          <cell r="V712">
            <v>5108.3999999999996</v>
          </cell>
          <cell r="W712">
            <v>1317</v>
          </cell>
          <cell r="X712">
            <v>5663.0999999999995</v>
          </cell>
          <cell r="Y712"/>
          <cell r="Z712">
            <v>0</v>
          </cell>
          <cell r="AA712"/>
          <cell r="AB712">
            <v>0</v>
          </cell>
          <cell r="AC712"/>
          <cell r="AD712">
            <v>0</v>
          </cell>
          <cell r="AE712">
            <v>0.10390000000000001</v>
          </cell>
          <cell r="AF712"/>
          <cell r="AG712">
            <v>0.10725</v>
          </cell>
          <cell r="AH712">
            <v>0.10725</v>
          </cell>
          <cell r="AI712">
            <v>0.10725</v>
          </cell>
          <cell r="AJ712">
            <v>0.04</v>
          </cell>
          <cell r="AK712" t="str">
            <v>3P</v>
          </cell>
          <cell r="AL712">
            <v>223</v>
          </cell>
          <cell r="AM712">
            <v>45</v>
          </cell>
          <cell r="AN712" t="str">
            <v>02 Ramping</v>
          </cell>
          <cell r="AO712" t="str">
            <v>Northwest</v>
          </cell>
          <cell r="AP712" t="str">
            <v>Central</v>
          </cell>
          <cell r="AQ712"/>
          <cell r="AR712">
            <v>30662</v>
          </cell>
          <cell r="AS712">
            <v>72623</v>
          </cell>
        </row>
        <row r="713">
          <cell r="A713">
            <v>12457</v>
          </cell>
          <cell r="B713" t="str">
            <v>ONE STOP TRAILERZ</v>
          </cell>
          <cell r="C713" t="str">
            <v>M10308</v>
          </cell>
          <cell r="D713" t="str">
            <v>NET 5, BT+</v>
          </cell>
          <cell r="E713" t="str">
            <v>CO</v>
          </cell>
          <cell r="F713" t="str">
            <v>Yes</v>
          </cell>
          <cell r="G713" t="str">
            <v>TX</v>
          </cell>
          <cell r="H713">
            <v>7</v>
          </cell>
          <cell r="I713">
            <v>0.66500000000000004</v>
          </cell>
          <cell r="J713" t="str">
            <v>Orphaned Acct</v>
          </cell>
          <cell r="K713" t="str">
            <v>WILLISTON</v>
          </cell>
          <cell r="L713" t="str">
            <v>ND</v>
          </cell>
          <cell r="M713" t="str">
            <v>800-577-8858</v>
          </cell>
          <cell r="N713"/>
          <cell r="O713">
            <v>1479</v>
          </cell>
          <cell r="P713">
            <v>6359.7</v>
          </cell>
          <cell r="Q713"/>
          <cell r="R713">
            <v>0</v>
          </cell>
          <cell r="S713">
            <v>966</v>
          </cell>
          <cell r="T713">
            <v>4153.8</v>
          </cell>
          <cell r="U713">
            <v>1410</v>
          </cell>
          <cell r="V713">
            <v>6063</v>
          </cell>
          <cell r="W713">
            <v>1540</v>
          </cell>
          <cell r="X713">
            <v>6622</v>
          </cell>
          <cell r="Y713"/>
          <cell r="Z713">
            <v>0</v>
          </cell>
          <cell r="AA713"/>
          <cell r="AB713">
            <v>0</v>
          </cell>
          <cell r="AC713"/>
          <cell r="AD713">
            <v>0</v>
          </cell>
          <cell r="AE713"/>
          <cell r="AF713"/>
          <cell r="AG713"/>
          <cell r="AH713"/>
          <cell r="AI713"/>
          <cell r="AJ713">
            <v>0</v>
          </cell>
          <cell r="AK713" t="str">
            <v>3P</v>
          </cell>
          <cell r="AL713">
            <v>213</v>
          </cell>
          <cell r="AM713">
            <v>476</v>
          </cell>
          <cell r="AN713" t="str">
            <v>08 Inactive Dealer</v>
          </cell>
          <cell r="AO713" t="str">
            <v>Northwest</v>
          </cell>
          <cell r="AP713" t="str">
            <v>Central</v>
          </cell>
          <cell r="AQ713"/>
          <cell r="AR713">
            <v>0</v>
          </cell>
          <cell r="AS713">
            <v>0</v>
          </cell>
        </row>
        <row r="714">
          <cell r="A714">
            <v>12465</v>
          </cell>
          <cell r="B714" t="str">
            <v>ONE STOP TRAILERZ</v>
          </cell>
          <cell r="C714" t="str">
            <v>M10308</v>
          </cell>
          <cell r="D714" t="str">
            <v>NET 5, BT+</v>
          </cell>
          <cell r="E714" t="str">
            <v>C6</v>
          </cell>
          <cell r="F714" t="str">
            <v>Copies</v>
          </cell>
          <cell r="G714" t="str">
            <v>TX</v>
          </cell>
          <cell r="H714">
            <v>9</v>
          </cell>
          <cell r="I714">
            <v>0.66500000000000004</v>
          </cell>
          <cell r="J714" t="str">
            <v>Orphaned Acct</v>
          </cell>
          <cell r="K714" t="str">
            <v>WILLISTON</v>
          </cell>
          <cell r="L714" t="str">
            <v>ND</v>
          </cell>
          <cell r="M714" t="str">
            <v>800-577-8858</v>
          </cell>
          <cell r="N714"/>
          <cell r="O714">
            <v>1479</v>
          </cell>
          <cell r="P714">
            <v>6359.7</v>
          </cell>
          <cell r="Q714"/>
          <cell r="R714">
            <v>0</v>
          </cell>
          <cell r="S714">
            <v>966</v>
          </cell>
          <cell r="T714">
            <v>4153.8</v>
          </cell>
          <cell r="U714">
            <v>1410</v>
          </cell>
          <cell r="V714">
            <v>6063</v>
          </cell>
          <cell r="W714">
            <v>1540</v>
          </cell>
          <cell r="X714">
            <v>6622</v>
          </cell>
          <cell r="Y714"/>
          <cell r="Z714">
            <v>0</v>
          </cell>
          <cell r="AA714"/>
          <cell r="AB714">
            <v>0</v>
          </cell>
          <cell r="AC714"/>
          <cell r="AD714">
            <v>0</v>
          </cell>
          <cell r="AE714"/>
          <cell r="AF714"/>
          <cell r="AG714"/>
          <cell r="AH714"/>
          <cell r="AI714"/>
          <cell r="AJ714">
            <v>0</v>
          </cell>
          <cell r="AK714" t="str">
            <v>3P</v>
          </cell>
          <cell r="AL714">
            <v>213</v>
          </cell>
          <cell r="AM714">
            <v>476</v>
          </cell>
          <cell r="AN714" t="str">
            <v>08 Inactive Dealer</v>
          </cell>
          <cell r="AO714" t="str">
            <v>Northwest</v>
          </cell>
          <cell r="AP714" t="str">
            <v>Central</v>
          </cell>
          <cell r="AQ714"/>
          <cell r="AR714">
            <v>0</v>
          </cell>
          <cell r="AS714">
            <v>0</v>
          </cell>
        </row>
        <row r="715">
          <cell r="A715">
            <v>12836</v>
          </cell>
          <cell r="B715" t="str">
            <v>TRAILER &amp; TRUCK</v>
          </cell>
          <cell r="C715" t="str">
            <v>M10414</v>
          </cell>
          <cell r="D715" t="str">
            <v>NET 5, BT+</v>
          </cell>
          <cell r="E715" t="str">
            <v>F1 - Wells Fargo</v>
          </cell>
          <cell r="F715" t="str">
            <v>Yes</v>
          </cell>
          <cell r="G715" t="str">
            <v>TX</v>
          </cell>
          <cell r="H715">
            <v>8</v>
          </cell>
          <cell r="I715">
            <v>0.66500000000000004</v>
          </cell>
          <cell r="J715" t="str">
            <v>JL Smith</v>
          </cell>
          <cell r="K715" t="str">
            <v>WILLISTON</v>
          </cell>
          <cell r="L715" t="str">
            <v>ND</v>
          </cell>
          <cell r="M715" t="str">
            <v>208-459-0106</v>
          </cell>
          <cell r="N715"/>
          <cell r="O715">
            <v>1487</v>
          </cell>
          <cell r="P715">
            <v>6394.0999999999995</v>
          </cell>
          <cell r="Q715"/>
          <cell r="R715">
            <v>0</v>
          </cell>
          <cell r="S715">
            <v>969</v>
          </cell>
          <cell r="T715">
            <v>4166.7</v>
          </cell>
          <cell r="U715">
            <v>1410</v>
          </cell>
          <cell r="V715">
            <v>6063</v>
          </cell>
          <cell r="W715">
            <v>1410</v>
          </cell>
          <cell r="X715">
            <v>6063</v>
          </cell>
          <cell r="Y715"/>
          <cell r="Z715">
            <v>0</v>
          </cell>
          <cell r="AA715">
            <v>1355</v>
          </cell>
          <cell r="AB715">
            <v>5826.5</v>
          </cell>
          <cell r="AC715">
            <v>1365</v>
          </cell>
          <cell r="AD715">
            <v>5869.5</v>
          </cell>
          <cell r="AE715"/>
          <cell r="AF715"/>
          <cell r="AG715"/>
          <cell r="AH715"/>
          <cell r="AI715"/>
          <cell r="AJ715">
            <v>0.02</v>
          </cell>
          <cell r="AK715" t="str">
            <v>3P</v>
          </cell>
          <cell r="AL715">
            <v>151</v>
          </cell>
          <cell r="AM715">
            <v>476</v>
          </cell>
          <cell r="AN715" t="str">
            <v>01 Existing Dealer</v>
          </cell>
          <cell r="AO715" t="str">
            <v>Northwest</v>
          </cell>
          <cell r="AP715" t="str">
            <v>Central</v>
          </cell>
          <cell r="AQ715"/>
          <cell r="AR715">
            <v>111157</v>
          </cell>
          <cell r="AS715">
            <v>40842</v>
          </cell>
        </row>
        <row r="716">
          <cell r="A716" t="str">
            <v>12836A</v>
          </cell>
          <cell r="B716" t="str">
            <v>TRAILER &amp; TRUCK</v>
          </cell>
          <cell r="C716" t="str">
            <v>M10414</v>
          </cell>
          <cell r="D716" t="str">
            <v>NET 5, BT+</v>
          </cell>
          <cell r="E716" t="str">
            <v>F1 - Wells Fargo</v>
          </cell>
          <cell r="F716" t="str">
            <v>Yes</v>
          </cell>
          <cell r="G716" t="str">
            <v>TX</v>
          </cell>
          <cell r="H716">
            <v>8</v>
          </cell>
          <cell r="I716">
            <v>0.66500000000000004</v>
          </cell>
          <cell r="J716" t="str">
            <v>JL Smith</v>
          </cell>
          <cell r="K716" t="str">
            <v>MINOT</v>
          </cell>
          <cell r="L716" t="str">
            <v>ND</v>
          </cell>
          <cell r="M716" t="str">
            <v>208-459-0106</v>
          </cell>
          <cell r="N716"/>
          <cell r="O716">
            <v>1305</v>
          </cell>
          <cell r="P716">
            <v>5611.5</v>
          </cell>
          <cell r="Q716"/>
          <cell r="R716">
            <v>0</v>
          </cell>
          <cell r="S716">
            <v>1084</v>
          </cell>
          <cell r="T716">
            <v>4661.2</v>
          </cell>
          <cell r="U716">
            <v>1150</v>
          </cell>
          <cell r="V716">
            <v>4945</v>
          </cell>
          <cell r="W716">
            <v>1285</v>
          </cell>
          <cell r="X716">
            <v>5525.5</v>
          </cell>
          <cell r="Y716"/>
          <cell r="Z716">
            <v>0</v>
          </cell>
          <cell r="AA716">
            <v>1235</v>
          </cell>
          <cell r="AB716">
            <v>5310.5</v>
          </cell>
          <cell r="AC716">
            <v>1245</v>
          </cell>
          <cell r="AD716">
            <v>5353.5</v>
          </cell>
          <cell r="AE716"/>
          <cell r="AF716"/>
          <cell r="AG716"/>
          <cell r="AH716"/>
          <cell r="AI716"/>
          <cell r="AJ716">
            <v>0.02</v>
          </cell>
          <cell r="AK716" t="str">
            <v>3P</v>
          </cell>
          <cell r="AL716">
            <v>151</v>
          </cell>
          <cell r="AM716">
            <v>299</v>
          </cell>
          <cell r="AN716" t="str">
            <v>01 Existing Dealer</v>
          </cell>
          <cell r="AO716" t="str">
            <v>Northwest</v>
          </cell>
          <cell r="AP716" t="str">
            <v>Central</v>
          </cell>
          <cell r="AQ716"/>
          <cell r="AR716">
            <v>0</v>
          </cell>
          <cell r="AS716">
            <v>0</v>
          </cell>
        </row>
        <row r="717">
          <cell r="A717">
            <v>12722</v>
          </cell>
          <cell r="B717" t="str">
            <v>TW MANDAN</v>
          </cell>
          <cell r="C717" t="str">
            <v>M10062</v>
          </cell>
          <cell r="D717" t="str">
            <v>Net 30, no pink card</v>
          </cell>
          <cell r="E717">
            <v>30</v>
          </cell>
          <cell r="F717" t="str">
            <v>Yes</v>
          </cell>
          <cell r="G717" t="str">
            <v>TX</v>
          </cell>
          <cell r="H717">
            <v>10</v>
          </cell>
          <cell r="I717">
            <v>0.66500000000000004</v>
          </cell>
          <cell r="J717" t="str">
            <v>Orphaned Acct</v>
          </cell>
          <cell r="K717" t="str">
            <v>MANDAN</v>
          </cell>
          <cell r="L717" t="str">
            <v>ND</v>
          </cell>
          <cell r="M717" t="str">
            <v>800-577-8858</v>
          </cell>
          <cell r="N717"/>
          <cell r="O717">
            <v>1257</v>
          </cell>
          <cell r="P717">
            <v>5405.0999999999995</v>
          </cell>
          <cell r="Q717"/>
          <cell r="R717">
            <v>0</v>
          </cell>
          <cell r="S717">
            <v>1050</v>
          </cell>
          <cell r="T717">
            <v>4515</v>
          </cell>
          <cell r="U717">
            <v>1188</v>
          </cell>
          <cell r="V717">
            <v>5108.3999999999996</v>
          </cell>
          <cell r="W717">
            <v>1317</v>
          </cell>
          <cell r="X717">
            <v>5663.0999999999995</v>
          </cell>
          <cell r="Y717"/>
          <cell r="Z717">
            <v>0</v>
          </cell>
          <cell r="AA717"/>
          <cell r="AB717">
            <v>0</v>
          </cell>
          <cell r="AC717"/>
          <cell r="AD717">
            <v>0</v>
          </cell>
          <cell r="AE717">
            <v>0.10390000000000001</v>
          </cell>
          <cell r="AF717"/>
          <cell r="AG717">
            <v>0.10725</v>
          </cell>
          <cell r="AH717">
            <v>0.10725</v>
          </cell>
          <cell r="AI717">
            <v>0.10725</v>
          </cell>
          <cell r="AJ717">
            <v>0.04</v>
          </cell>
          <cell r="AK717" t="str">
            <v>TW</v>
          </cell>
          <cell r="AL717">
            <v>213</v>
          </cell>
          <cell r="AM717">
            <v>45</v>
          </cell>
          <cell r="AN717" t="str">
            <v>09 Inactive Co Store</v>
          </cell>
          <cell r="AO717" t="str">
            <v>Northwest</v>
          </cell>
          <cell r="AP717" t="str">
            <v>Central</v>
          </cell>
          <cell r="AQ717"/>
          <cell r="AR717">
            <v>0</v>
          </cell>
          <cell r="AS717">
            <v>0</v>
          </cell>
        </row>
        <row r="718">
          <cell r="A718">
            <v>12735</v>
          </cell>
          <cell r="B718" t="str">
            <v>TWEED COUNTRY AG, INC</v>
          </cell>
          <cell r="C718" t="str">
            <v>M10430</v>
          </cell>
          <cell r="D718" t="str">
            <v>NET 5, BT+</v>
          </cell>
          <cell r="E718" t="str">
            <v>CO</v>
          </cell>
          <cell r="F718" t="str">
            <v>Yes</v>
          </cell>
          <cell r="G718" t="str">
            <v>TX</v>
          </cell>
          <cell r="H718">
            <v>8</v>
          </cell>
          <cell r="I718">
            <v>0.66500000000000004</v>
          </cell>
          <cell r="J718" t="str">
            <v>Orphaned Acct</v>
          </cell>
          <cell r="K718" t="str">
            <v>BOTTINEAU</v>
          </cell>
          <cell r="L718" t="str">
            <v>ND</v>
          </cell>
          <cell r="M718" t="str">
            <v>208-459-0106</v>
          </cell>
          <cell r="N718"/>
          <cell r="O718">
            <v>1328</v>
          </cell>
          <cell r="P718">
            <v>5710.4</v>
          </cell>
          <cell r="Q718">
            <v>1778</v>
          </cell>
          <cell r="R718">
            <v>7645.4</v>
          </cell>
          <cell r="S718">
            <v>1167</v>
          </cell>
          <cell r="T718">
            <v>5018.0999999999995</v>
          </cell>
          <cell r="U718">
            <v>1259</v>
          </cell>
          <cell r="V718">
            <v>5413.7</v>
          </cell>
          <cell r="W718">
            <v>1389</v>
          </cell>
          <cell r="X718">
            <v>5972.7</v>
          </cell>
          <cell r="Y718"/>
          <cell r="Z718">
            <v>0</v>
          </cell>
          <cell r="AA718"/>
          <cell r="AB718">
            <v>0</v>
          </cell>
          <cell r="AC718"/>
          <cell r="AD718">
            <v>0</v>
          </cell>
          <cell r="AE718"/>
          <cell r="AF718"/>
          <cell r="AG718"/>
          <cell r="AH718"/>
          <cell r="AI718"/>
          <cell r="AJ718">
            <v>0</v>
          </cell>
          <cell r="AK718" t="str">
            <v>3P</v>
          </cell>
          <cell r="AL718">
            <v>213</v>
          </cell>
          <cell r="AM718">
            <v>299</v>
          </cell>
          <cell r="AN718" t="str">
            <v>08 Inactive Dealer</v>
          </cell>
          <cell r="AO718" t="str">
            <v>Northwest</v>
          </cell>
          <cell r="AP718" t="str">
            <v>Central</v>
          </cell>
          <cell r="AQ718"/>
          <cell r="AR718">
            <v>0</v>
          </cell>
          <cell r="AS718">
            <v>0</v>
          </cell>
        </row>
        <row r="719">
          <cell r="A719">
            <v>12933</v>
          </cell>
          <cell r="B719" t="str">
            <v>ULTIMATE TRANSPORTATION</v>
          </cell>
          <cell r="C719" t="str">
            <v>M10434</v>
          </cell>
          <cell r="D719" t="str">
            <v>NET 5, BT+</v>
          </cell>
          <cell r="E719" t="str">
            <v>CF</v>
          </cell>
          <cell r="F719" t="str">
            <v>Yes</v>
          </cell>
          <cell r="G719" t="str">
            <v>TX</v>
          </cell>
          <cell r="H719">
            <v>6</v>
          </cell>
          <cell r="I719">
            <v>0.66500000000000004</v>
          </cell>
          <cell r="J719" t="str">
            <v>House</v>
          </cell>
          <cell r="K719" t="str">
            <v>FARGO</v>
          </cell>
          <cell r="L719" t="str">
            <v>ND</v>
          </cell>
          <cell r="M719" t="str">
            <v>800-577-8858</v>
          </cell>
          <cell r="N719"/>
          <cell r="O719">
            <v>1531</v>
          </cell>
          <cell r="P719">
            <v>6583.3</v>
          </cell>
          <cell r="Q719"/>
          <cell r="R719">
            <v>0</v>
          </cell>
          <cell r="S719">
            <v>1242</v>
          </cell>
          <cell r="T719">
            <v>5340.5999999999995</v>
          </cell>
          <cell r="U719">
            <v>995</v>
          </cell>
          <cell r="V719">
            <v>4278.5</v>
          </cell>
          <cell r="W719">
            <v>1483</v>
          </cell>
          <cell r="X719">
            <v>6376.9</v>
          </cell>
          <cell r="Y719"/>
          <cell r="Z719">
            <v>0</v>
          </cell>
          <cell r="AA719"/>
          <cell r="AB719">
            <v>0</v>
          </cell>
          <cell r="AC719"/>
          <cell r="AD719">
            <v>0</v>
          </cell>
          <cell r="AE719"/>
          <cell r="AF719"/>
          <cell r="AG719"/>
          <cell r="AH719"/>
          <cell r="AI719"/>
          <cell r="AJ719">
            <v>0</v>
          </cell>
          <cell r="AK719" t="str">
            <v>3P</v>
          </cell>
          <cell r="AL719">
            <v>400</v>
          </cell>
          <cell r="AM719">
            <v>138</v>
          </cell>
          <cell r="AN719" t="str">
            <v>08 Inactive Dealer</v>
          </cell>
          <cell r="AO719" t="str">
            <v>Northwest</v>
          </cell>
          <cell r="AP719" t="str">
            <v>Central</v>
          </cell>
          <cell r="AQ719"/>
          <cell r="AR719">
            <v>0</v>
          </cell>
          <cell r="AS719">
            <v>0</v>
          </cell>
        </row>
        <row r="720">
          <cell r="A720">
            <v>12185</v>
          </cell>
          <cell r="B720" t="str">
            <v>VISTO'S TRAILER</v>
          </cell>
          <cell r="C720" t="str">
            <v>M10919</v>
          </cell>
          <cell r="D720" t="str">
            <v>Net 30, no pink card</v>
          </cell>
          <cell r="E720">
            <v>30</v>
          </cell>
          <cell r="F720" t="str">
            <v>Yes</v>
          </cell>
          <cell r="G720" t="str">
            <v>TX</v>
          </cell>
          <cell r="H720">
            <v>5</v>
          </cell>
          <cell r="I720">
            <v>0.66500000000000004</v>
          </cell>
          <cell r="J720" t="str">
            <v>JL Smith</v>
          </cell>
          <cell r="K720" t="str">
            <v>WEST FARGO</v>
          </cell>
          <cell r="L720" t="str">
            <v>ND</v>
          </cell>
          <cell r="M720" t="str">
            <v>800-577-8858</v>
          </cell>
          <cell r="N720"/>
          <cell r="O720">
            <v>1065</v>
          </cell>
          <cell r="P720">
            <v>4579.5</v>
          </cell>
          <cell r="Q720"/>
          <cell r="R720">
            <v>0</v>
          </cell>
          <cell r="S720">
            <v>1241</v>
          </cell>
          <cell r="T720">
            <v>5336.3</v>
          </cell>
          <cell r="U720">
            <v>997</v>
          </cell>
          <cell r="V720">
            <v>4287.0999999999995</v>
          </cell>
          <cell r="W720">
            <v>1126</v>
          </cell>
          <cell r="X720">
            <v>4841.8</v>
          </cell>
          <cell r="Y720"/>
          <cell r="Z720">
            <v>0</v>
          </cell>
          <cell r="AA720"/>
          <cell r="AB720">
            <v>0</v>
          </cell>
          <cell r="AC720"/>
          <cell r="AD720">
            <v>0</v>
          </cell>
          <cell r="AE720"/>
          <cell r="AF720"/>
          <cell r="AG720"/>
          <cell r="AH720"/>
          <cell r="AI720"/>
          <cell r="AJ720">
            <v>0</v>
          </cell>
          <cell r="AK720" t="str">
            <v>3P</v>
          </cell>
          <cell r="AL720">
            <v>151</v>
          </cell>
          <cell r="AM720">
            <v>138</v>
          </cell>
          <cell r="AN720" t="str">
            <v>01 Existing Dealer</v>
          </cell>
          <cell r="AO720" t="str">
            <v>Midwest</v>
          </cell>
          <cell r="AP720" t="str">
            <v>Central</v>
          </cell>
          <cell r="AQ720"/>
          <cell r="AR720">
            <v>0</v>
          </cell>
          <cell r="AS720">
            <v>0</v>
          </cell>
        </row>
        <row r="721">
          <cell r="A721" t="str">
            <v>12185A</v>
          </cell>
          <cell r="B721" t="str">
            <v>VISTO'S TRAILER</v>
          </cell>
          <cell r="C721" t="str">
            <v>M10919</v>
          </cell>
          <cell r="D721" t="str">
            <v>Net 30, no pink card</v>
          </cell>
          <cell r="E721">
            <v>30</v>
          </cell>
          <cell r="F721" t="str">
            <v>Yes</v>
          </cell>
          <cell r="G721" t="str">
            <v>TX</v>
          </cell>
          <cell r="H721">
            <v>5</v>
          </cell>
          <cell r="I721">
            <v>0.66500000000000004</v>
          </cell>
          <cell r="J721" t="str">
            <v>JL Smith</v>
          </cell>
          <cell r="K721" t="str">
            <v>MOORHEAD</v>
          </cell>
          <cell r="L721" t="str">
            <v>ND</v>
          </cell>
          <cell r="M721" t="str">
            <v>800-577-8858</v>
          </cell>
          <cell r="N721"/>
          <cell r="O721">
            <v>1068</v>
          </cell>
          <cell r="P721">
            <v>4592.3999999999996</v>
          </cell>
          <cell r="Q721"/>
          <cell r="R721">
            <v>0</v>
          </cell>
          <cell r="S721">
            <v>1249</v>
          </cell>
          <cell r="T721">
            <v>5370.7</v>
          </cell>
          <cell r="U721">
            <v>999</v>
          </cell>
          <cell r="V721">
            <v>4295.7</v>
          </cell>
          <cell r="W721">
            <v>1128</v>
          </cell>
          <cell r="X721">
            <v>4850.3999999999996</v>
          </cell>
          <cell r="Y721"/>
          <cell r="Z721">
            <v>0</v>
          </cell>
          <cell r="AA721"/>
          <cell r="AB721">
            <v>0</v>
          </cell>
          <cell r="AC721"/>
          <cell r="AD721">
            <v>0</v>
          </cell>
          <cell r="AE721"/>
          <cell r="AF721"/>
          <cell r="AG721"/>
          <cell r="AH721"/>
          <cell r="AI721"/>
          <cell r="AJ721">
            <v>0</v>
          </cell>
          <cell r="AK721" t="str">
            <v>3P</v>
          </cell>
          <cell r="AL721">
            <v>151</v>
          </cell>
          <cell r="AM721">
            <v>138</v>
          </cell>
          <cell r="AN721" t="str">
            <v>01 Existing Dealer</v>
          </cell>
          <cell r="AO721" t="str">
            <v>Midwest</v>
          </cell>
          <cell r="AP721" t="str">
            <v>Central</v>
          </cell>
          <cell r="AQ721"/>
          <cell r="AR721">
            <v>0</v>
          </cell>
          <cell r="AS721">
            <v>0</v>
          </cell>
        </row>
        <row r="722">
          <cell r="A722">
            <v>12914</v>
          </cell>
          <cell r="B722" t="str">
            <v>ALL STAR TRAILERS, LLC</v>
          </cell>
          <cell r="C722" t="str">
            <v>M10022</v>
          </cell>
          <cell r="D722" t="str">
            <v>NET 5, BT+</v>
          </cell>
          <cell r="E722" t="str">
            <v>CO</v>
          </cell>
          <cell r="F722" t="str">
            <v>Yes</v>
          </cell>
          <cell r="G722" t="str">
            <v>TX</v>
          </cell>
          <cell r="H722">
            <v>7</v>
          </cell>
          <cell r="I722">
            <v>0.66500000000000004</v>
          </cell>
          <cell r="J722" t="str">
            <v>Orphaned Acct</v>
          </cell>
          <cell r="K722" t="str">
            <v>NORFOLK</v>
          </cell>
          <cell r="L722" t="str">
            <v>NE</v>
          </cell>
          <cell r="M722" t="str">
            <v>800-577-8858</v>
          </cell>
          <cell r="N722"/>
          <cell r="O722">
            <v>1112</v>
          </cell>
          <cell r="P722">
            <v>4781.5999999999995</v>
          </cell>
          <cell r="Q722"/>
          <cell r="R722">
            <v>0</v>
          </cell>
          <cell r="S722"/>
          <cell r="T722">
            <v>0</v>
          </cell>
          <cell r="U722">
            <v>605</v>
          </cell>
          <cell r="V722">
            <v>2601.5</v>
          </cell>
          <cell r="W722">
            <v>1064</v>
          </cell>
          <cell r="X722">
            <v>4575.2</v>
          </cell>
          <cell r="Y722">
            <v>856</v>
          </cell>
          <cell r="Z722">
            <v>3680.7999999999997</v>
          </cell>
          <cell r="AA722">
            <v>856</v>
          </cell>
          <cell r="AB722">
            <v>3680.7999999999997</v>
          </cell>
          <cell r="AC722">
            <v>856</v>
          </cell>
          <cell r="AD722">
            <v>3680.7999999999997</v>
          </cell>
          <cell r="AE722"/>
          <cell r="AF722"/>
          <cell r="AG722"/>
          <cell r="AH722"/>
          <cell r="AI722"/>
          <cell r="AJ722">
            <v>0</v>
          </cell>
          <cell r="AK722" t="str">
            <v>3P</v>
          </cell>
          <cell r="AL722">
            <v>213</v>
          </cell>
          <cell r="AM722">
            <v>323</v>
          </cell>
          <cell r="AN722" t="str">
            <v>08 Inactive Dealer</v>
          </cell>
          <cell r="AO722" t="str">
            <v>Midwest</v>
          </cell>
          <cell r="AP722" t="str">
            <v>Central</v>
          </cell>
          <cell r="AQ722"/>
          <cell r="AR722">
            <v>0</v>
          </cell>
          <cell r="AS722">
            <v>0</v>
          </cell>
        </row>
        <row r="723">
          <cell r="A723">
            <v>12888</v>
          </cell>
          <cell r="B723" t="str">
            <v>BROWN'S FARM AND RANCH SERVICES &amp; SALES</v>
          </cell>
          <cell r="C723" t="str">
            <v>M10116</v>
          </cell>
          <cell r="D723" t="str">
            <v>NET 5, BT+</v>
          </cell>
          <cell r="E723" t="str">
            <v>F1 - Wells Fargo</v>
          </cell>
          <cell r="F723" t="str">
            <v>Yes</v>
          </cell>
          <cell r="G723" t="str">
            <v>TX</v>
          </cell>
          <cell r="H723">
            <v>8</v>
          </cell>
          <cell r="I723">
            <v>0.66500000000000004</v>
          </cell>
          <cell r="J723" t="str">
            <v>Orphaned Acct</v>
          </cell>
          <cell r="K723" t="str">
            <v>KEARNEY</v>
          </cell>
          <cell r="L723" t="str">
            <v>NE</v>
          </cell>
          <cell r="M723" t="str">
            <v>800-577-8858</v>
          </cell>
          <cell r="N723"/>
          <cell r="O723">
            <v>718</v>
          </cell>
          <cell r="P723">
            <v>3087.4</v>
          </cell>
          <cell r="Q723"/>
          <cell r="R723">
            <v>0</v>
          </cell>
          <cell r="S723"/>
          <cell r="T723">
            <v>0</v>
          </cell>
          <cell r="U723">
            <v>589</v>
          </cell>
          <cell r="V723">
            <v>2532.6999999999998</v>
          </cell>
          <cell r="W723">
            <v>718</v>
          </cell>
          <cell r="X723">
            <v>3087.4</v>
          </cell>
          <cell r="Y723">
            <v>943</v>
          </cell>
          <cell r="Z723">
            <v>4054.8999999999996</v>
          </cell>
          <cell r="AA723">
            <v>943</v>
          </cell>
          <cell r="AB723">
            <v>4054.8999999999996</v>
          </cell>
          <cell r="AC723">
            <v>943</v>
          </cell>
          <cell r="AD723">
            <v>4054.8999999999996</v>
          </cell>
          <cell r="AE723"/>
          <cell r="AF723"/>
          <cell r="AG723"/>
          <cell r="AH723"/>
          <cell r="AI723"/>
          <cell r="AJ723">
            <v>0</v>
          </cell>
          <cell r="AK723" t="str">
            <v>3P</v>
          </cell>
          <cell r="AL723">
            <v>213</v>
          </cell>
          <cell r="AM723">
            <v>167</v>
          </cell>
          <cell r="AN723" t="str">
            <v>08 Inactive Dealer</v>
          </cell>
          <cell r="AO723" t="str">
            <v>Midwest</v>
          </cell>
          <cell r="AP723" t="str">
            <v>Central</v>
          </cell>
          <cell r="AQ723"/>
          <cell r="AR723">
            <v>0</v>
          </cell>
          <cell r="AS723">
            <v>0</v>
          </cell>
        </row>
        <row r="724">
          <cell r="A724">
            <v>12709</v>
          </cell>
          <cell r="B724" t="str">
            <v>COUNTRY LOAD</v>
          </cell>
          <cell r="C724" t="str">
            <v>M10162</v>
          </cell>
          <cell r="D724" t="str">
            <v>NET 5, BT+</v>
          </cell>
          <cell r="E724" t="str">
            <v>COD</v>
          </cell>
          <cell r="F724" t="str">
            <v>Yes</v>
          </cell>
          <cell r="G724" t="str">
            <v>TX</v>
          </cell>
          <cell r="H724">
            <v>7</v>
          </cell>
          <cell r="I724">
            <v>0.66500000000000004</v>
          </cell>
          <cell r="J724" t="str">
            <v>Orphaned Acct</v>
          </cell>
          <cell r="K724" t="str">
            <v>MADRID</v>
          </cell>
          <cell r="L724" t="str">
            <v>NE</v>
          </cell>
          <cell r="M724" t="str">
            <v>800-577-8858</v>
          </cell>
          <cell r="N724"/>
          <cell r="O724">
            <v>827</v>
          </cell>
          <cell r="P724">
            <v>3556.1</v>
          </cell>
          <cell r="Q724"/>
          <cell r="R724">
            <v>0</v>
          </cell>
          <cell r="S724"/>
          <cell r="T724">
            <v>0</v>
          </cell>
          <cell r="U724">
            <v>693</v>
          </cell>
          <cell r="V724">
            <v>2979.9</v>
          </cell>
          <cell r="W724">
            <v>827</v>
          </cell>
          <cell r="X724">
            <v>3556.1</v>
          </cell>
          <cell r="Y724">
            <v>1098</v>
          </cell>
          <cell r="Z724">
            <v>4721.3999999999996</v>
          </cell>
          <cell r="AA724">
            <v>1098</v>
          </cell>
          <cell r="AB724">
            <v>4721.3999999999996</v>
          </cell>
          <cell r="AC724">
            <v>1098</v>
          </cell>
          <cell r="AD724">
            <v>4721.3999999999996</v>
          </cell>
          <cell r="AE724"/>
          <cell r="AF724"/>
          <cell r="AG724"/>
          <cell r="AH724"/>
          <cell r="AI724"/>
          <cell r="AJ724">
            <v>0</v>
          </cell>
          <cell r="AK724" t="str">
            <v>3P</v>
          </cell>
          <cell r="AL724">
            <v>213</v>
          </cell>
          <cell r="AM724">
            <v>325</v>
          </cell>
          <cell r="AN724" t="str">
            <v>01 Existing Dealer</v>
          </cell>
          <cell r="AO724" t="str">
            <v>Midwest</v>
          </cell>
          <cell r="AP724" t="str">
            <v>Central</v>
          </cell>
          <cell r="AQ724"/>
          <cell r="AR724">
            <v>0</v>
          </cell>
          <cell r="AS724">
            <v>0</v>
          </cell>
        </row>
        <row r="725">
          <cell r="A725">
            <v>13242</v>
          </cell>
          <cell r="B725" t="str">
            <v>J AND J SALES &amp; SERVICE LLC</v>
          </cell>
          <cell r="C725" t="str">
            <v>M10163</v>
          </cell>
          <cell r="D725" t="str">
            <v>NET 5, BT+</v>
          </cell>
          <cell r="E725" t="str">
            <v>CF</v>
          </cell>
          <cell r="F725" t="str">
            <v>Yes</v>
          </cell>
          <cell r="G725" t="str">
            <v>TX</v>
          </cell>
          <cell r="H725">
            <v>7</v>
          </cell>
          <cell r="I725">
            <v>0.66500000000000004</v>
          </cell>
          <cell r="J725" t="str">
            <v>JL Smith</v>
          </cell>
          <cell r="K725" t="str">
            <v>HYANNIS</v>
          </cell>
          <cell r="L725" t="str">
            <v>NE</v>
          </cell>
          <cell r="M725" t="str">
            <v>800-577-8858</v>
          </cell>
          <cell r="N725"/>
          <cell r="O725">
            <v>920</v>
          </cell>
          <cell r="P725">
            <v>3956</v>
          </cell>
          <cell r="Q725"/>
          <cell r="R725">
            <v>0</v>
          </cell>
          <cell r="S725">
            <v>997</v>
          </cell>
          <cell r="T725">
            <v>4287.0999999999995</v>
          </cell>
          <cell r="U725">
            <v>790</v>
          </cell>
          <cell r="V725">
            <v>3397</v>
          </cell>
          <cell r="W725">
            <v>920</v>
          </cell>
          <cell r="X725">
            <v>3956</v>
          </cell>
          <cell r="Y725"/>
          <cell r="Z725">
            <v>0</v>
          </cell>
          <cell r="AA725"/>
          <cell r="AB725">
            <v>0</v>
          </cell>
          <cell r="AC725"/>
          <cell r="AD725">
            <v>0</v>
          </cell>
          <cell r="AE725"/>
          <cell r="AF725"/>
          <cell r="AG725"/>
          <cell r="AH725"/>
          <cell r="AI725"/>
          <cell r="AJ725">
            <v>0</v>
          </cell>
          <cell r="AK725" t="str">
            <v>3P</v>
          </cell>
          <cell r="AL725">
            <v>151</v>
          </cell>
          <cell r="AM725">
            <v>411</v>
          </cell>
          <cell r="AN725" t="str">
            <v>01 Existing Dealer</v>
          </cell>
          <cell r="AO725" t="str">
            <v>Midwest</v>
          </cell>
          <cell r="AP725" t="str">
            <v>Central</v>
          </cell>
          <cell r="AQ725"/>
          <cell r="AR725">
            <v>0</v>
          </cell>
          <cell r="AS725">
            <v>0</v>
          </cell>
        </row>
        <row r="726">
          <cell r="A726">
            <v>12689</v>
          </cell>
          <cell r="B726" t="str">
            <v>COW COUNTRY SALES &amp; SERVICE, LLC</v>
          </cell>
          <cell r="C726" t="str">
            <v>M10163</v>
          </cell>
          <cell r="D726" t="str">
            <v>Return Mail, no pink card</v>
          </cell>
          <cell r="E726" t="str">
            <v>RM</v>
          </cell>
          <cell r="F726" t="str">
            <v>Yes</v>
          </cell>
          <cell r="G726" t="str">
            <v>TX</v>
          </cell>
          <cell r="H726">
            <v>7</v>
          </cell>
          <cell r="I726">
            <v>0.66500000000000004</v>
          </cell>
          <cell r="J726" t="str">
            <v>Orphaned Acct</v>
          </cell>
          <cell r="K726" t="str">
            <v>HYANNIS</v>
          </cell>
          <cell r="L726" t="str">
            <v>NE</v>
          </cell>
          <cell r="M726" t="str">
            <v>800-577-8858</v>
          </cell>
          <cell r="N726"/>
          <cell r="O726">
            <v>920</v>
          </cell>
          <cell r="P726">
            <v>3956</v>
          </cell>
          <cell r="Q726"/>
          <cell r="R726">
            <v>0</v>
          </cell>
          <cell r="S726"/>
          <cell r="T726">
            <v>0</v>
          </cell>
          <cell r="U726">
            <v>790</v>
          </cell>
          <cell r="V726">
            <v>3397</v>
          </cell>
          <cell r="W726">
            <v>920</v>
          </cell>
          <cell r="X726">
            <v>3956</v>
          </cell>
          <cell r="Y726">
            <v>1084</v>
          </cell>
          <cell r="Z726">
            <v>4661.2</v>
          </cell>
          <cell r="AA726">
            <v>1084</v>
          </cell>
          <cell r="AB726">
            <v>4661.2</v>
          </cell>
          <cell r="AC726">
            <v>1084</v>
          </cell>
          <cell r="AD726">
            <v>4661.2</v>
          </cell>
          <cell r="AE726"/>
          <cell r="AF726"/>
          <cell r="AG726"/>
          <cell r="AH726"/>
          <cell r="AI726"/>
          <cell r="AJ726">
            <v>0</v>
          </cell>
          <cell r="AK726" t="str">
            <v>3P</v>
          </cell>
          <cell r="AL726">
            <v>213</v>
          </cell>
          <cell r="AM726">
            <v>411</v>
          </cell>
          <cell r="AN726" t="str">
            <v>01 Existing Dealer</v>
          </cell>
          <cell r="AO726" t="str">
            <v>Midwest</v>
          </cell>
          <cell r="AP726" t="str">
            <v>Central</v>
          </cell>
          <cell r="AQ726"/>
          <cell r="AR726">
            <v>0</v>
          </cell>
          <cell r="AS726">
            <v>0</v>
          </cell>
        </row>
        <row r="727">
          <cell r="A727">
            <v>13552</v>
          </cell>
          <cell r="B727" t="str">
            <v>HI-LINE MOTORS LLC</v>
          </cell>
          <cell r="C727" t="str">
            <v>M11221</v>
          </cell>
          <cell r="D727" t="str">
            <v>NET 5, BT+</v>
          </cell>
          <cell r="E727" t="str">
            <v>F8 - Northpoint</v>
          </cell>
          <cell r="F727" t="str">
            <v>Yes</v>
          </cell>
          <cell r="G727" t="str">
            <v>TX</v>
          </cell>
          <cell r="H727">
            <v>7</v>
          </cell>
          <cell r="I727">
            <v>0.66500000000000004</v>
          </cell>
          <cell r="J727" t="str">
            <v>Dakota Nation</v>
          </cell>
          <cell r="K727" t="str">
            <v>KENESAW</v>
          </cell>
          <cell r="L727" t="str">
            <v>NE</v>
          </cell>
          <cell r="M727" t="str">
            <v>800-577-8858</v>
          </cell>
          <cell r="N727" t="str">
            <v>Add SPARES to all trailers</v>
          </cell>
          <cell r="O727">
            <v>684</v>
          </cell>
          <cell r="P727">
            <v>2941.2</v>
          </cell>
          <cell r="Q727"/>
          <cell r="R727">
            <v>0</v>
          </cell>
          <cell r="S727"/>
          <cell r="T727">
            <v>0</v>
          </cell>
          <cell r="U727">
            <v>555</v>
          </cell>
          <cell r="V727">
            <v>2386.5</v>
          </cell>
          <cell r="W727">
            <v>684</v>
          </cell>
          <cell r="X727">
            <v>2941.2</v>
          </cell>
          <cell r="Y727"/>
          <cell r="Z727">
            <v>0</v>
          </cell>
          <cell r="AA727"/>
          <cell r="AB727">
            <v>0</v>
          </cell>
          <cell r="AC727"/>
          <cell r="AD727">
            <v>0</v>
          </cell>
          <cell r="AE727"/>
          <cell r="AF727"/>
          <cell r="AG727"/>
          <cell r="AH727"/>
          <cell r="AI727"/>
          <cell r="AJ727">
            <v>1.4999999999999999E-2</v>
          </cell>
          <cell r="AK727" t="str">
            <v>3P</v>
          </cell>
          <cell r="AL727">
            <v>223</v>
          </cell>
          <cell r="AM727">
            <v>185</v>
          </cell>
          <cell r="AN727" t="str">
            <v>02 Ramping</v>
          </cell>
          <cell r="AO727" t="str">
            <v>Midwest</v>
          </cell>
          <cell r="AP727" t="str">
            <v>Central</v>
          </cell>
          <cell r="AQ727"/>
          <cell r="AR727">
            <v>80271</v>
          </cell>
          <cell r="AS727">
            <v>0</v>
          </cell>
        </row>
        <row r="728">
          <cell r="A728">
            <v>13272</v>
          </cell>
          <cell r="B728" t="str">
            <v>HI-LINE MOTORS LLC</v>
          </cell>
          <cell r="C728" t="str">
            <v>M11221</v>
          </cell>
          <cell r="D728" t="str">
            <v>NET 5, BT+</v>
          </cell>
          <cell r="E728" t="str">
            <v>COD</v>
          </cell>
          <cell r="F728" t="str">
            <v>Yes</v>
          </cell>
          <cell r="G728" t="str">
            <v>TX</v>
          </cell>
          <cell r="H728">
            <v>7</v>
          </cell>
          <cell r="I728">
            <v>0.66500000000000004</v>
          </cell>
          <cell r="J728" t="str">
            <v>Dakota Nation</v>
          </cell>
          <cell r="K728" t="str">
            <v>KENESAW</v>
          </cell>
          <cell r="L728" t="str">
            <v>NE</v>
          </cell>
          <cell r="M728" t="str">
            <v>800-577-8858</v>
          </cell>
          <cell r="N728" t="str">
            <v>Add SPARES to all trailers</v>
          </cell>
          <cell r="O728">
            <v>684</v>
          </cell>
          <cell r="P728">
            <v>2941.2</v>
          </cell>
          <cell r="Q728"/>
          <cell r="R728">
            <v>0</v>
          </cell>
          <cell r="S728"/>
          <cell r="T728">
            <v>0</v>
          </cell>
          <cell r="U728">
            <v>555</v>
          </cell>
          <cell r="V728">
            <v>2386.5</v>
          </cell>
          <cell r="W728">
            <v>684</v>
          </cell>
          <cell r="X728">
            <v>2941.2</v>
          </cell>
          <cell r="Y728"/>
          <cell r="Z728">
            <v>0</v>
          </cell>
          <cell r="AA728"/>
          <cell r="AB728">
            <v>0</v>
          </cell>
          <cell r="AC728"/>
          <cell r="AD728">
            <v>0</v>
          </cell>
          <cell r="AE728"/>
          <cell r="AF728"/>
          <cell r="AG728"/>
          <cell r="AH728"/>
          <cell r="AI728"/>
          <cell r="AJ728">
            <v>1.4999999999999999E-2</v>
          </cell>
          <cell r="AK728" t="str">
            <v>3P</v>
          </cell>
          <cell r="AL728">
            <v>223</v>
          </cell>
          <cell r="AM728">
            <v>185</v>
          </cell>
          <cell r="AN728" t="str">
            <v>02 Ramping</v>
          </cell>
          <cell r="AO728" t="str">
            <v>Midwest</v>
          </cell>
          <cell r="AP728" t="str">
            <v>Central</v>
          </cell>
          <cell r="AQ728"/>
          <cell r="AR728">
            <v>0</v>
          </cell>
          <cell r="AS728">
            <v>0</v>
          </cell>
        </row>
        <row r="729">
          <cell r="A729">
            <v>13026</v>
          </cell>
          <cell r="B729" t="str">
            <v>FRANK POWERSPORTS</v>
          </cell>
          <cell r="C729" t="str">
            <v>M10217</v>
          </cell>
          <cell r="D729" t="str">
            <v>NET 5, BT+</v>
          </cell>
          <cell r="E729" t="str">
            <v>CO</v>
          </cell>
          <cell r="F729" t="str">
            <v>Yes</v>
          </cell>
          <cell r="G729" t="str">
            <v>TX</v>
          </cell>
          <cell r="H729">
            <v>7</v>
          </cell>
          <cell r="I729">
            <v>0.66500000000000004</v>
          </cell>
          <cell r="J729" t="str">
            <v>JL Smith</v>
          </cell>
          <cell r="K729" t="str">
            <v>SCOTTSBLUFF</v>
          </cell>
          <cell r="L729" t="str">
            <v>NE</v>
          </cell>
          <cell r="M729" t="str">
            <v>800-577-8858</v>
          </cell>
          <cell r="N729"/>
          <cell r="O729">
            <v>971</v>
          </cell>
          <cell r="P729">
            <v>4175.3</v>
          </cell>
          <cell r="Q729"/>
          <cell r="R729">
            <v>0</v>
          </cell>
          <cell r="S729">
            <v>858</v>
          </cell>
          <cell r="T729">
            <v>3689.3999999999996</v>
          </cell>
          <cell r="U729">
            <v>841</v>
          </cell>
          <cell r="V729">
            <v>3616.2999999999997</v>
          </cell>
          <cell r="W729">
            <v>987</v>
          </cell>
          <cell r="X729">
            <v>4244.0999999999995</v>
          </cell>
          <cell r="Y729">
            <v>1212</v>
          </cell>
          <cell r="Z729">
            <v>5211.5999999999995</v>
          </cell>
          <cell r="AA729">
            <v>1212</v>
          </cell>
          <cell r="AB729">
            <v>5211.5999999999995</v>
          </cell>
          <cell r="AC729">
            <v>1212</v>
          </cell>
          <cell r="AD729">
            <v>5211.5999999999995</v>
          </cell>
          <cell r="AE729"/>
          <cell r="AF729"/>
          <cell r="AG729"/>
          <cell r="AH729"/>
          <cell r="AI729"/>
          <cell r="AJ729">
            <v>0</v>
          </cell>
          <cell r="AK729" t="str">
            <v>3P</v>
          </cell>
          <cell r="AL729">
            <v>151</v>
          </cell>
          <cell r="AM729">
            <v>411</v>
          </cell>
          <cell r="AN729" t="str">
            <v>01 Existing Dealer</v>
          </cell>
          <cell r="AO729" t="str">
            <v>Midwest</v>
          </cell>
          <cell r="AP729" t="str">
            <v>Central</v>
          </cell>
          <cell r="AQ729"/>
          <cell r="AR729">
            <v>0</v>
          </cell>
          <cell r="AS729">
            <v>0</v>
          </cell>
        </row>
        <row r="730">
          <cell r="A730">
            <v>12745</v>
          </cell>
          <cell r="B730" t="str">
            <v>HEILBRUN'S, INC dba HEILBRUN'S POWERSPORTS</v>
          </cell>
          <cell r="C730" t="str">
            <v>M10217</v>
          </cell>
          <cell r="D730" t="str">
            <v>NET 5, BT+</v>
          </cell>
          <cell r="E730" t="str">
            <v>CO</v>
          </cell>
          <cell r="F730" t="str">
            <v>Yes</v>
          </cell>
          <cell r="G730" t="str">
            <v>TX</v>
          </cell>
          <cell r="H730">
            <v>7</v>
          </cell>
          <cell r="I730">
            <v>0.66500000000000004</v>
          </cell>
          <cell r="J730" t="str">
            <v>Orphaned Acct</v>
          </cell>
          <cell r="K730" t="str">
            <v>SCOTTSBLUFF</v>
          </cell>
          <cell r="L730" t="str">
            <v>NE</v>
          </cell>
          <cell r="M730" t="str">
            <v>800-577-8858</v>
          </cell>
          <cell r="N730"/>
          <cell r="O730">
            <v>971</v>
          </cell>
          <cell r="P730">
            <v>4175.3</v>
          </cell>
          <cell r="Q730"/>
          <cell r="R730">
            <v>0</v>
          </cell>
          <cell r="S730">
            <v>858</v>
          </cell>
          <cell r="T730">
            <v>3689.3999999999996</v>
          </cell>
          <cell r="U730">
            <v>841</v>
          </cell>
          <cell r="V730">
            <v>3616.2999999999997</v>
          </cell>
          <cell r="W730">
            <v>987</v>
          </cell>
          <cell r="X730">
            <v>4244.0999999999995</v>
          </cell>
          <cell r="Y730">
            <v>1212</v>
          </cell>
          <cell r="Z730">
            <v>5211.5999999999995</v>
          </cell>
          <cell r="AA730">
            <v>1212</v>
          </cell>
          <cell r="AB730">
            <v>5211.5999999999995</v>
          </cell>
          <cell r="AC730">
            <v>1212</v>
          </cell>
          <cell r="AD730">
            <v>5211.5999999999995</v>
          </cell>
          <cell r="AE730"/>
          <cell r="AF730"/>
          <cell r="AG730"/>
          <cell r="AH730"/>
          <cell r="AI730"/>
          <cell r="AJ730">
            <v>0</v>
          </cell>
          <cell r="AK730" t="str">
            <v>3P</v>
          </cell>
          <cell r="AL730">
            <v>213</v>
          </cell>
          <cell r="AM730">
            <v>411</v>
          </cell>
          <cell r="AN730" t="str">
            <v>08 Inactive Dealer</v>
          </cell>
          <cell r="AO730" t="str">
            <v>Midwest</v>
          </cell>
          <cell r="AP730" t="str">
            <v>Central</v>
          </cell>
          <cell r="AQ730"/>
          <cell r="AR730">
            <v>0</v>
          </cell>
          <cell r="AS730">
            <v>0</v>
          </cell>
        </row>
        <row r="731">
          <cell r="A731">
            <v>12887</v>
          </cell>
          <cell r="B731" t="str">
            <v>HEILBRUN'S, INC dba HEILBRUN'S POWERSPORTS</v>
          </cell>
          <cell r="C731" t="str">
            <v>M10217</v>
          </cell>
          <cell r="D731" t="str">
            <v>NET 5, BT+</v>
          </cell>
          <cell r="E731" t="str">
            <v>FP - Wells Fargo</v>
          </cell>
          <cell r="F731" t="str">
            <v>Yes</v>
          </cell>
          <cell r="G731" t="str">
            <v>TX</v>
          </cell>
          <cell r="H731">
            <v>8</v>
          </cell>
          <cell r="I731">
            <v>0.66500000000000004</v>
          </cell>
          <cell r="J731" t="str">
            <v>Orphaned Acct</v>
          </cell>
          <cell r="K731" t="str">
            <v>SCOTTSBLUFF</v>
          </cell>
          <cell r="L731" t="str">
            <v>NE</v>
          </cell>
          <cell r="M731" t="str">
            <v>800-577-8858</v>
          </cell>
          <cell r="N731"/>
          <cell r="O731">
            <v>971</v>
          </cell>
          <cell r="P731">
            <v>4175.3</v>
          </cell>
          <cell r="Q731"/>
          <cell r="R731">
            <v>0</v>
          </cell>
          <cell r="S731">
            <v>858</v>
          </cell>
          <cell r="T731">
            <v>3689.3999999999996</v>
          </cell>
          <cell r="U731">
            <v>841</v>
          </cell>
          <cell r="V731">
            <v>3616.2999999999997</v>
          </cell>
          <cell r="W731">
            <v>987</v>
          </cell>
          <cell r="X731">
            <v>4244.0999999999995</v>
          </cell>
          <cell r="Y731">
            <v>1212</v>
          </cell>
          <cell r="Z731">
            <v>5211.5999999999995</v>
          </cell>
          <cell r="AA731">
            <v>1212</v>
          </cell>
          <cell r="AB731">
            <v>5211.5999999999995</v>
          </cell>
          <cell r="AC731">
            <v>1212</v>
          </cell>
          <cell r="AD731">
            <v>5211.5999999999995</v>
          </cell>
          <cell r="AE731"/>
          <cell r="AF731"/>
          <cell r="AG731"/>
          <cell r="AH731"/>
          <cell r="AI731"/>
          <cell r="AJ731">
            <v>0</v>
          </cell>
          <cell r="AK731" t="str">
            <v>3P</v>
          </cell>
          <cell r="AL731">
            <v>213</v>
          </cell>
          <cell r="AM731">
            <v>411</v>
          </cell>
          <cell r="AN731" t="str">
            <v>08 Inactive Dealer</v>
          </cell>
          <cell r="AO731" t="str">
            <v>Midwest</v>
          </cell>
          <cell r="AP731" t="str">
            <v>Central</v>
          </cell>
          <cell r="AQ731"/>
          <cell r="AR731">
            <v>0</v>
          </cell>
          <cell r="AS731">
            <v>0</v>
          </cell>
        </row>
        <row r="732">
          <cell r="A732">
            <v>13114</v>
          </cell>
          <cell r="B732" t="str">
            <v>M&amp;M TRAILER SALES INC</v>
          </cell>
          <cell r="C732" t="str">
            <v>M11017</v>
          </cell>
          <cell r="D732" t="str">
            <v>NET 5, BT+</v>
          </cell>
          <cell r="E732" t="str">
            <v>CO</v>
          </cell>
          <cell r="F732" t="str">
            <v>Yes</v>
          </cell>
          <cell r="G732" t="str">
            <v>TX</v>
          </cell>
          <cell r="H732">
            <v>8</v>
          </cell>
          <cell r="I732">
            <v>0.66500000000000004</v>
          </cell>
          <cell r="J732" t="str">
            <v>Orphaned Acct</v>
          </cell>
          <cell r="K732" t="str">
            <v>PALMYRA</v>
          </cell>
          <cell r="L732" t="str">
            <v>NE</v>
          </cell>
          <cell r="M732" t="str">
            <v>800-577-8858</v>
          </cell>
          <cell r="N732" t="str">
            <v>MUST HAVE BRAKES ON BOTH AXLES</v>
          </cell>
          <cell r="O732">
            <v>600</v>
          </cell>
          <cell r="P732">
            <v>2580</v>
          </cell>
          <cell r="Q732"/>
          <cell r="R732">
            <v>0</v>
          </cell>
          <cell r="S732"/>
          <cell r="T732">
            <v>0</v>
          </cell>
          <cell r="U732">
            <v>559</v>
          </cell>
          <cell r="V732">
            <v>2403.6999999999998</v>
          </cell>
          <cell r="W732">
            <v>688</v>
          </cell>
          <cell r="X732">
            <v>2958.4</v>
          </cell>
          <cell r="Y732">
            <v>773</v>
          </cell>
          <cell r="Z732">
            <v>3323.8999999999996</v>
          </cell>
          <cell r="AA732">
            <v>773</v>
          </cell>
          <cell r="AB732">
            <v>3323.8999999999996</v>
          </cell>
          <cell r="AC732">
            <v>773</v>
          </cell>
          <cell r="AD732">
            <v>3323.8999999999996</v>
          </cell>
          <cell r="AE732"/>
          <cell r="AF732"/>
          <cell r="AG732"/>
          <cell r="AH732"/>
          <cell r="AI732"/>
          <cell r="AJ732">
            <v>0</v>
          </cell>
          <cell r="AK732" t="str">
            <v>3P</v>
          </cell>
          <cell r="AL732">
            <v>213</v>
          </cell>
          <cell r="AM732">
            <v>332</v>
          </cell>
          <cell r="AN732" t="str">
            <v>01 Existing Dealer</v>
          </cell>
          <cell r="AO732" t="str">
            <v>Midwest</v>
          </cell>
          <cell r="AP732" t="str">
            <v>Central</v>
          </cell>
          <cell r="AQ732"/>
          <cell r="AR732">
            <v>0</v>
          </cell>
          <cell r="AS732">
            <v>0</v>
          </cell>
        </row>
        <row r="733">
          <cell r="A733">
            <v>12303</v>
          </cell>
          <cell r="B733" t="str">
            <v>REED TRAILER</v>
          </cell>
          <cell r="C733" t="str">
            <v>M10346</v>
          </cell>
          <cell r="D733" t="str">
            <v>NET 5, BT+</v>
          </cell>
          <cell r="E733" t="str">
            <v>FP - Wells Fargo</v>
          </cell>
          <cell r="F733" t="str">
            <v>Yes</v>
          </cell>
          <cell r="G733" t="str">
            <v>TX</v>
          </cell>
          <cell r="H733">
            <v>8</v>
          </cell>
          <cell r="I733">
            <v>0.66500000000000004</v>
          </cell>
          <cell r="J733" t="str">
            <v>Orphaned Acct</v>
          </cell>
          <cell r="K733" t="str">
            <v>OMAHA</v>
          </cell>
          <cell r="L733" t="str">
            <v>NE</v>
          </cell>
          <cell r="M733" t="str">
            <v>800-577-8858</v>
          </cell>
          <cell r="N733"/>
          <cell r="O733">
            <v>657</v>
          </cell>
          <cell r="P733">
            <v>2825.1</v>
          </cell>
          <cell r="Q733"/>
          <cell r="R733">
            <v>0</v>
          </cell>
          <cell r="S733"/>
          <cell r="T733">
            <v>0</v>
          </cell>
          <cell r="U733">
            <v>588</v>
          </cell>
          <cell r="V733">
            <v>2528.4</v>
          </cell>
          <cell r="W733">
            <v>717</v>
          </cell>
          <cell r="X733">
            <v>3083.1</v>
          </cell>
          <cell r="Y733">
            <v>761</v>
          </cell>
          <cell r="Z733">
            <v>3272.2999999999997</v>
          </cell>
          <cell r="AA733">
            <v>761</v>
          </cell>
          <cell r="AB733">
            <v>3272.2999999999997</v>
          </cell>
          <cell r="AC733">
            <v>761</v>
          </cell>
          <cell r="AD733">
            <v>3272.2999999999997</v>
          </cell>
          <cell r="AE733"/>
          <cell r="AF733"/>
          <cell r="AG733"/>
          <cell r="AH733"/>
          <cell r="AI733"/>
          <cell r="AJ733">
            <v>0</v>
          </cell>
          <cell r="AK733" t="str">
            <v>3P</v>
          </cell>
          <cell r="AL733">
            <v>213</v>
          </cell>
          <cell r="AM733">
            <v>332</v>
          </cell>
          <cell r="AN733" t="str">
            <v>01 Existing Dealer</v>
          </cell>
          <cell r="AO733" t="str">
            <v>Midwest</v>
          </cell>
          <cell r="AP733" t="str">
            <v>Central</v>
          </cell>
          <cell r="AQ733"/>
          <cell r="AR733">
            <v>0</v>
          </cell>
          <cell r="AS733">
            <v>0</v>
          </cell>
          <cell r="AT733"/>
        </row>
        <row r="734">
          <cell r="A734" t="str">
            <v>12303A</v>
          </cell>
          <cell r="B734" t="str">
            <v>REED TRAILER</v>
          </cell>
          <cell r="C734" t="str">
            <v>M10346</v>
          </cell>
          <cell r="D734" t="str">
            <v>NET 5, BT+</v>
          </cell>
          <cell r="E734" t="str">
            <v>FP - Wells Fargo</v>
          </cell>
          <cell r="F734" t="str">
            <v>Yes</v>
          </cell>
          <cell r="G734" t="str">
            <v>TX</v>
          </cell>
          <cell r="H734">
            <v>8</v>
          </cell>
          <cell r="I734">
            <v>0.66500000000000004</v>
          </cell>
          <cell r="J734" t="str">
            <v>Orphaned Acct</v>
          </cell>
          <cell r="K734" t="str">
            <v>LINCOLN</v>
          </cell>
          <cell r="L734" t="str">
            <v>NE</v>
          </cell>
          <cell r="M734" t="str">
            <v>800-577-8858</v>
          </cell>
          <cell r="N734"/>
          <cell r="O734">
            <v>622</v>
          </cell>
          <cell r="P734">
            <v>2674.6</v>
          </cell>
          <cell r="Q734"/>
          <cell r="R734">
            <v>0</v>
          </cell>
          <cell r="S734"/>
          <cell r="T734">
            <v>0</v>
          </cell>
          <cell r="U734">
            <v>553</v>
          </cell>
          <cell r="V734">
            <v>2377.9</v>
          </cell>
          <cell r="W734">
            <v>683</v>
          </cell>
          <cell r="X734">
            <v>2936.9</v>
          </cell>
          <cell r="Y734">
            <v>794</v>
          </cell>
          <cell r="Z734">
            <v>3414.2</v>
          </cell>
          <cell r="AA734">
            <v>794</v>
          </cell>
          <cell r="AB734">
            <v>3414.2</v>
          </cell>
          <cell r="AC734">
            <v>794</v>
          </cell>
          <cell r="AD734">
            <v>3414.2</v>
          </cell>
          <cell r="AE734"/>
          <cell r="AF734"/>
          <cell r="AG734"/>
          <cell r="AH734"/>
          <cell r="AI734"/>
          <cell r="AJ734">
            <v>0</v>
          </cell>
          <cell r="AK734" t="str">
            <v>3P</v>
          </cell>
          <cell r="AL734">
            <v>213</v>
          </cell>
          <cell r="AM734">
            <v>256</v>
          </cell>
          <cell r="AN734" t="str">
            <v>01 Existing Dealer</v>
          </cell>
          <cell r="AO734" t="str">
            <v>Midwest</v>
          </cell>
          <cell r="AP734" t="str">
            <v>Central</v>
          </cell>
          <cell r="AQ734"/>
          <cell r="AR734">
            <v>0</v>
          </cell>
          <cell r="AS734">
            <v>0</v>
          </cell>
          <cell r="AT734"/>
        </row>
        <row r="735">
          <cell r="A735" t="str">
            <v>12303B</v>
          </cell>
          <cell r="B735" t="str">
            <v>REED TRAILER</v>
          </cell>
          <cell r="C735" t="str">
            <v>M10346</v>
          </cell>
          <cell r="D735" t="str">
            <v>NET 5, BT+</v>
          </cell>
          <cell r="E735" t="str">
            <v>FP - Wells Fargo</v>
          </cell>
          <cell r="F735" t="str">
            <v>Yes</v>
          </cell>
          <cell r="G735" t="str">
            <v>TX</v>
          </cell>
          <cell r="H735">
            <v>8</v>
          </cell>
          <cell r="I735">
            <v>0.66500000000000004</v>
          </cell>
          <cell r="J735" t="str">
            <v>Orphaned Acct</v>
          </cell>
          <cell r="K735" t="str">
            <v>OMAHA</v>
          </cell>
          <cell r="L735" t="str">
            <v>NE</v>
          </cell>
          <cell r="M735" t="str">
            <v>800-577-8858</v>
          </cell>
          <cell r="N735"/>
          <cell r="O735">
            <v>657</v>
          </cell>
          <cell r="P735">
            <v>2825.1</v>
          </cell>
          <cell r="Q735"/>
          <cell r="R735">
            <v>0</v>
          </cell>
          <cell r="S735"/>
          <cell r="T735">
            <v>0</v>
          </cell>
          <cell r="U735">
            <v>588</v>
          </cell>
          <cell r="V735">
            <v>2528.4</v>
          </cell>
          <cell r="W735">
            <v>717</v>
          </cell>
          <cell r="X735">
            <v>3083.1</v>
          </cell>
          <cell r="Y735">
            <v>761</v>
          </cell>
          <cell r="Z735">
            <v>3272.2999999999997</v>
          </cell>
          <cell r="AA735">
            <v>761</v>
          </cell>
          <cell r="AB735">
            <v>3272.2999999999997</v>
          </cell>
          <cell r="AC735">
            <v>761</v>
          </cell>
          <cell r="AD735">
            <v>3272.2999999999997</v>
          </cell>
          <cell r="AE735"/>
          <cell r="AF735"/>
          <cell r="AG735"/>
          <cell r="AH735"/>
          <cell r="AI735"/>
          <cell r="AJ735">
            <v>0</v>
          </cell>
          <cell r="AK735" t="str">
            <v>3P</v>
          </cell>
          <cell r="AL735">
            <v>213</v>
          </cell>
          <cell r="AM735">
            <v>332</v>
          </cell>
          <cell r="AN735" t="str">
            <v>01 Existing Dealer</v>
          </cell>
          <cell r="AO735" t="str">
            <v>Midwest</v>
          </cell>
          <cell r="AP735" t="str">
            <v>Central</v>
          </cell>
          <cell r="AQ735"/>
          <cell r="AR735">
            <v>0</v>
          </cell>
          <cell r="AS735">
            <v>0</v>
          </cell>
          <cell r="AT735"/>
        </row>
        <row r="736">
          <cell r="A736">
            <v>13508</v>
          </cell>
          <cell r="B736" t="str">
            <v>TREDZ CENTRAL</v>
          </cell>
          <cell r="C736" t="str">
            <v>M11482</v>
          </cell>
          <cell r="D736" t="str">
            <v>NET 5, BT+</v>
          </cell>
          <cell r="E736" t="str">
            <v>CO</v>
          </cell>
          <cell r="F736" t="str">
            <v>Yes</v>
          </cell>
          <cell r="G736" t="str">
            <v>TX</v>
          </cell>
          <cell r="H736">
            <v>7</v>
          </cell>
          <cell r="I736">
            <v>0.66500000000000004</v>
          </cell>
          <cell r="J736" t="str">
            <v>Trent Evans</v>
          </cell>
          <cell r="K736" t="str">
            <v>CORTLAND</v>
          </cell>
          <cell r="L736" t="str">
            <v>NE</v>
          </cell>
          <cell r="M736" t="str">
            <v>800-577-8858</v>
          </cell>
          <cell r="N736"/>
          <cell r="O736">
            <v>659</v>
          </cell>
          <cell r="P736">
            <v>2833.7</v>
          </cell>
          <cell r="Q736"/>
          <cell r="R736">
            <v>0</v>
          </cell>
          <cell r="S736"/>
          <cell r="T736">
            <v>0</v>
          </cell>
          <cell r="U736">
            <v>503</v>
          </cell>
          <cell r="V736">
            <v>2162.9</v>
          </cell>
          <cell r="W736">
            <v>634</v>
          </cell>
          <cell r="X736">
            <v>2726.2</v>
          </cell>
          <cell r="Y736"/>
          <cell r="Z736">
            <v>0</v>
          </cell>
          <cell r="AA736"/>
          <cell r="AB736">
            <v>0</v>
          </cell>
          <cell r="AC736"/>
          <cell r="AD736">
            <v>0</v>
          </cell>
          <cell r="AE736"/>
          <cell r="AF736"/>
          <cell r="AG736"/>
          <cell r="AH736"/>
          <cell r="AI736"/>
          <cell r="AJ736">
            <v>0</v>
          </cell>
          <cell r="AK736" t="str">
            <v>3P</v>
          </cell>
          <cell r="AL736">
            <v>226</v>
          </cell>
          <cell r="AM736">
            <v>24</v>
          </cell>
          <cell r="AN736" t="str">
            <v>03 New Dealer</v>
          </cell>
          <cell r="AO736" t="str">
            <v>Midwest</v>
          </cell>
          <cell r="AP736" t="str">
            <v>Central</v>
          </cell>
          <cell r="AQ736"/>
          <cell r="AR736">
            <v>-17851</v>
          </cell>
          <cell r="AS736">
            <v>0</v>
          </cell>
          <cell r="AT736"/>
        </row>
        <row r="737">
          <cell r="A737">
            <v>13154</v>
          </cell>
          <cell r="B737" t="str">
            <v>BOYER'S LINE-X</v>
          </cell>
          <cell r="C737" t="str">
            <v>M10816</v>
          </cell>
          <cell r="D737" t="str">
            <v>NET 5, BT+</v>
          </cell>
          <cell r="E737" t="str">
            <v>FP - Northpoint</v>
          </cell>
          <cell r="F737" t="str">
            <v>Yes</v>
          </cell>
          <cell r="G737" t="str">
            <v>OH</v>
          </cell>
          <cell r="H737">
            <v>8</v>
          </cell>
          <cell r="I737">
            <v>0.66500000000000004</v>
          </cell>
          <cell r="J737" t="str">
            <v>JL Smith</v>
          </cell>
          <cell r="K737" t="str">
            <v>HUDSON</v>
          </cell>
          <cell r="L737" t="str">
            <v>NH</v>
          </cell>
          <cell r="M737" t="str">
            <v>800-577-8858</v>
          </cell>
          <cell r="N737"/>
          <cell r="O737">
            <v>1664</v>
          </cell>
          <cell r="P737">
            <v>7155.2</v>
          </cell>
          <cell r="Q737">
            <v>1208</v>
          </cell>
          <cell r="R737">
            <v>5194.3999999999996</v>
          </cell>
          <cell r="S737"/>
          <cell r="T737">
            <v>0</v>
          </cell>
          <cell r="U737">
            <v>1762</v>
          </cell>
          <cell r="V737">
            <v>7576.5999999999995</v>
          </cell>
          <cell r="W737">
            <v>1744</v>
          </cell>
          <cell r="X737">
            <v>7499.2</v>
          </cell>
          <cell r="Y737">
            <v>871</v>
          </cell>
          <cell r="Z737">
            <v>3745.2999999999997</v>
          </cell>
          <cell r="AA737">
            <v>871</v>
          </cell>
          <cell r="AB737">
            <v>3745.2999999999997</v>
          </cell>
          <cell r="AC737">
            <v>871</v>
          </cell>
          <cell r="AD737">
            <v>3745.2999999999997</v>
          </cell>
          <cell r="AE737"/>
          <cell r="AF737"/>
          <cell r="AG737"/>
          <cell r="AH737"/>
          <cell r="AI737"/>
          <cell r="AJ737">
            <v>0</v>
          </cell>
          <cell r="AK737" t="str">
            <v>3P</v>
          </cell>
          <cell r="AL737">
            <v>151</v>
          </cell>
          <cell r="AM737">
            <v>274</v>
          </cell>
          <cell r="AN737" t="str">
            <v>01 Existing Dealer</v>
          </cell>
          <cell r="AO737" t="str">
            <v>Northeast</v>
          </cell>
          <cell r="AP737" t="str">
            <v>North</v>
          </cell>
          <cell r="AQ737"/>
          <cell r="AR737">
            <v>0</v>
          </cell>
          <cell r="AS737">
            <v>0</v>
          </cell>
          <cell r="AT737"/>
        </row>
        <row r="738">
          <cell r="A738">
            <v>13402</v>
          </cell>
          <cell r="B738" t="str">
            <v>BOYER'S LINE-X</v>
          </cell>
          <cell r="C738" t="str">
            <v>M10816</v>
          </cell>
          <cell r="D738" t="str">
            <v>NET 5, BT+</v>
          </cell>
          <cell r="E738" t="str">
            <v>CO</v>
          </cell>
          <cell r="F738" t="str">
            <v>Yes</v>
          </cell>
          <cell r="G738" t="str">
            <v>OH</v>
          </cell>
          <cell r="H738">
            <v>7</v>
          </cell>
          <cell r="I738">
            <v>0.66500000000000004</v>
          </cell>
          <cell r="J738" t="str">
            <v>JL Smith</v>
          </cell>
          <cell r="K738" t="str">
            <v>HUDSON</v>
          </cell>
          <cell r="L738" t="str">
            <v>NH</v>
          </cell>
          <cell r="M738" t="str">
            <v>800-577-8858</v>
          </cell>
          <cell r="N738"/>
          <cell r="O738">
            <v>1664</v>
          </cell>
          <cell r="P738">
            <v>7155.2</v>
          </cell>
          <cell r="Q738">
            <v>1208</v>
          </cell>
          <cell r="R738">
            <v>5194.3999999999996</v>
          </cell>
          <cell r="S738"/>
          <cell r="T738">
            <v>0</v>
          </cell>
          <cell r="U738">
            <v>1762</v>
          </cell>
          <cell r="V738">
            <v>7576.5999999999995</v>
          </cell>
          <cell r="W738">
            <v>1744</v>
          </cell>
          <cell r="X738">
            <v>7499.2</v>
          </cell>
          <cell r="Y738">
            <v>871</v>
          </cell>
          <cell r="Z738">
            <v>3745.2999999999997</v>
          </cell>
          <cell r="AA738">
            <v>871</v>
          </cell>
          <cell r="AB738">
            <v>3745.2999999999997</v>
          </cell>
          <cell r="AC738">
            <v>871</v>
          </cell>
          <cell r="AD738">
            <v>3745.2999999999997</v>
          </cell>
          <cell r="AE738"/>
          <cell r="AF738"/>
          <cell r="AG738"/>
          <cell r="AH738"/>
          <cell r="AI738"/>
          <cell r="AJ738">
            <v>0</v>
          </cell>
          <cell r="AK738" t="str">
            <v>3P</v>
          </cell>
          <cell r="AL738">
            <v>151</v>
          </cell>
          <cell r="AM738">
            <v>274</v>
          </cell>
          <cell r="AN738" t="str">
            <v>01 Existing Dealer</v>
          </cell>
          <cell r="AO738" t="str">
            <v>Northeast</v>
          </cell>
          <cell r="AP738" t="str">
            <v>North</v>
          </cell>
          <cell r="AQ738"/>
          <cell r="AR738">
            <v>0</v>
          </cell>
          <cell r="AS738">
            <v>0</v>
          </cell>
          <cell r="AT738"/>
        </row>
        <row r="739">
          <cell r="A739">
            <v>13533</v>
          </cell>
          <cell r="B739" t="str">
            <v>FULL THROTTLE</v>
          </cell>
          <cell r="C739" t="str">
            <v>M11501</v>
          </cell>
          <cell r="D739" t="str">
            <v>NET 5, BT+</v>
          </cell>
          <cell r="E739" t="str">
            <v>RM</v>
          </cell>
          <cell r="F739" t="str">
            <v>Yes</v>
          </cell>
          <cell r="G739" t="str">
            <v>OH</v>
          </cell>
          <cell r="H739">
            <v>5</v>
          </cell>
          <cell r="I739">
            <v>0.66500000000000004</v>
          </cell>
          <cell r="J739" t="str">
            <v>Trent Evans</v>
          </cell>
          <cell r="K739" t="str">
            <v>SWANZEY</v>
          </cell>
          <cell r="L739" t="str">
            <v>NH</v>
          </cell>
          <cell r="M739" t="str">
            <v>800-577-8858</v>
          </cell>
          <cell r="N739"/>
          <cell r="O739">
            <v>1646</v>
          </cell>
          <cell r="P739">
            <v>7077.7999999999993</v>
          </cell>
          <cell r="Q739">
            <v>1150</v>
          </cell>
          <cell r="R739">
            <v>4945</v>
          </cell>
          <cell r="S739"/>
          <cell r="T739">
            <v>0</v>
          </cell>
          <cell r="U739">
            <v>1730</v>
          </cell>
          <cell r="V739">
            <v>7439</v>
          </cell>
          <cell r="W739">
            <v>1725</v>
          </cell>
          <cell r="X739">
            <v>7417.5</v>
          </cell>
          <cell r="Y739">
            <v>857</v>
          </cell>
          <cell r="Z739">
            <v>3685.1</v>
          </cell>
          <cell r="AA739">
            <v>857</v>
          </cell>
          <cell r="AB739">
            <v>3685.1</v>
          </cell>
          <cell r="AC739">
            <v>857</v>
          </cell>
          <cell r="AD739">
            <v>3685.1</v>
          </cell>
          <cell r="AE739"/>
          <cell r="AF739"/>
          <cell r="AG739"/>
          <cell r="AH739"/>
          <cell r="AI739"/>
          <cell r="AJ739">
            <v>0</v>
          </cell>
          <cell r="AK739" t="str">
            <v>3P</v>
          </cell>
          <cell r="AL739">
            <v>226</v>
          </cell>
          <cell r="AM739">
            <v>227</v>
          </cell>
          <cell r="AN739" t="str">
            <v>03 New Dealer</v>
          </cell>
          <cell r="AO739" t="str">
            <v>Northeast</v>
          </cell>
          <cell r="AP739" t="str">
            <v>North</v>
          </cell>
          <cell r="AQ739"/>
          <cell r="AR739">
            <v>0</v>
          </cell>
          <cell r="AS739">
            <v>0</v>
          </cell>
        </row>
        <row r="740">
          <cell r="A740">
            <v>10278</v>
          </cell>
          <cell r="B740" t="str">
            <v>JLM</v>
          </cell>
          <cell r="C740" t="str">
            <v>M10244</v>
          </cell>
          <cell r="D740" t="str">
            <v>NET 5, BT+</v>
          </cell>
          <cell r="E740" t="str">
            <v>FP - Wells Fargo</v>
          </cell>
          <cell r="F740" t="str">
            <v>Yes</v>
          </cell>
          <cell r="G740" t="str">
            <v>OH</v>
          </cell>
          <cell r="H740">
            <v>8</v>
          </cell>
          <cell r="I740">
            <v>0.66500000000000004</v>
          </cell>
          <cell r="J740" t="str">
            <v>Dakota Nation</v>
          </cell>
          <cell r="K740" t="str">
            <v>TILTON</v>
          </cell>
          <cell r="L740" t="str">
            <v>NH</v>
          </cell>
          <cell r="M740" t="str">
            <v>800-577-8858</v>
          </cell>
          <cell r="N740"/>
          <cell r="O740">
            <v>1715</v>
          </cell>
          <cell r="P740">
            <v>7374.5</v>
          </cell>
          <cell r="Q740">
            <v>1259</v>
          </cell>
          <cell r="R740">
            <v>5413.7</v>
          </cell>
          <cell r="S740"/>
          <cell r="T740">
            <v>0</v>
          </cell>
          <cell r="U740">
            <v>1813</v>
          </cell>
          <cell r="V740">
            <v>7795.9</v>
          </cell>
          <cell r="W740">
            <v>1795</v>
          </cell>
          <cell r="X740">
            <v>7718.5</v>
          </cell>
          <cell r="Y740">
            <v>866</v>
          </cell>
          <cell r="Z740">
            <v>3723.7999999999997</v>
          </cell>
          <cell r="AA740">
            <v>866</v>
          </cell>
          <cell r="AB740">
            <v>3723.7999999999997</v>
          </cell>
          <cell r="AC740">
            <v>866</v>
          </cell>
          <cell r="AD740">
            <v>3723.7999999999997</v>
          </cell>
          <cell r="AE740"/>
          <cell r="AF740"/>
          <cell r="AG740"/>
          <cell r="AH740"/>
          <cell r="AI740"/>
          <cell r="AJ740">
            <v>2.5000000000000001E-2</v>
          </cell>
          <cell r="AK740" t="str">
            <v>3P</v>
          </cell>
          <cell r="AL740">
            <v>223</v>
          </cell>
          <cell r="AM740">
            <v>274</v>
          </cell>
          <cell r="AN740" t="str">
            <v>01 Existing Dealer</v>
          </cell>
          <cell r="AO740" t="str">
            <v>Northeast</v>
          </cell>
          <cell r="AP740" t="str">
            <v>North</v>
          </cell>
          <cell r="AQ740"/>
          <cell r="AR740">
            <v>55741</v>
          </cell>
          <cell r="AS740">
            <v>0</v>
          </cell>
        </row>
        <row r="741">
          <cell r="A741" t="str">
            <v>10278A</v>
          </cell>
          <cell r="B741" t="str">
            <v>JLM</v>
          </cell>
          <cell r="C741" t="str">
            <v>M10244</v>
          </cell>
          <cell r="D741" t="str">
            <v>NET 5, BT+</v>
          </cell>
          <cell r="E741" t="str">
            <v>FP - Wells Fargo</v>
          </cell>
          <cell r="F741" t="str">
            <v>Yes</v>
          </cell>
          <cell r="G741" t="str">
            <v>OH</v>
          </cell>
          <cell r="H741">
            <v>8</v>
          </cell>
          <cell r="I741">
            <v>0.66500000000000004</v>
          </cell>
          <cell r="J741" t="str">
            <v>Dakota Nation</v>
          </cell>
          <cell r="K741" t="str">
            <v>TILTON</v>
          </cell>
          <cell r="L741" t="str">
            <v>NH</v>
          </cell>
          <cell r="M741" t="str">
            <v>800-577-8858</v>
          </cell>
          <cell r="N741"/>
          <cell r="O741">
            <v>1715</v>
          </cell>
          <cell r="P741">
            <v>7374.5</v>
          </cell>
          <cell r="Q741">
            <v>1259</v>
          </cell>
          <cell r="R741">
            <v>5413.7</v>
          </cell>
          <cell r="S741"/>
          <cell r="T741">
            <v>0</v>
          </cell>
          <cell r="U741">
            <v>1813</v>
          </cell>
          <cell r="V741">
            <v>7795.9</v>
          </cell>
          <cell r="W741">
            <v>1795</v>
          </cell>
          <cell r="X741">
            <v>7718.5</v>
          </cell>
          <cell r="Y741">
            <v>866</v>
          </cell>
          <cell r="Z741">
            <v>3723.7999999999997</v>
          </cell>
          <cell r="AA741">
            <v>866</v>
          </cell>
          <cell r="AB741">
            <v>3723.7999999999997</v>
          </cell>
          <cell r="AC741">
            <v>866</v>
          </cell>
          <cell r="AD741">
            <v>3723.7999999999997</v>
          </cell>
          <cell r="AE741"/>
          <cell r="AF741"/>
          <cell r="AG741"/>
          <cell r="AH741"/>
          <cell r="AI741"/>
          <cell r="AJ741">
            <v>2.5000000000000001E-2</v>
          </cell>
          <cell r="AK741" t="str">
            <v>3P</v>
          </cell>
          <cell r="AL741">
            <v>223</v>
          </cell>
          <cell r="AM741">
            <v>274</v>
          </cell>
          <cell r="AN741" t="str">
            <v>01 Existing Dealer</v>
          </cell>
          <cell r="AO741" t="str">
            <v>Northeast</v>
          </cell>
          <cell r="AP741" t="str">
            <v>North</v>
          </cell>
          <cell r="AQ741"/>
          <cell r="AR741">
            <v>0</v>
          </cell>
          <cell r="AS741">
            <v>0</v>
          </cell>
        </row>
        <row r="742">
          <cell r="A742">
            <v>12102</v>
          </cell>
          <cell r="B742" t="str">
            <v>JLM</v>
          </cell>
          <cell r="C742" t="str">
            <v>M10244</v>
          </cell>
          <cell r="D742" t="str">
            <v>NET 5, BT+</v>
          </cell>
          <cell r="E742" t="str">
            <v>CO</v>
          </cell>
          <cell r="F742" t="str">
            <v>Yes</v>
          </cell>
          <cell r="G742" t="str">
            <v>OH</v>
          </cell>
          <cell r="H742">
            <v>7</v>
          </cell>
          <cell r="I742">
            <v>0.66500000000000004</v>
          </cell>
          <cell r="J742" t="str">
            <v>Dakota Nation</v>
          </cell>
          <cell r="K742" t="str">
            <v>TILTON</v>
          </cell>
          <cell r="L742" t="str">
            <v>NH</v>
          </cell>
          <cell r="M742" t="str">
            <v>800-577-8858</v>
          </cell>
          <cell r="N742"/>
          <cell r="O742">
            <v>1715</v>
          </cell>
          <cell r="P742">
            <v>7374.5</v>
          </cell>
          <cell r="Q742">
            <v>1259</v>
          </cell>
          <cell r="R742">
            <v>5413.7</v>
          </cell>
          <cell r="S742"/>
          <cell r="T742">
            <v>0</v>
          </cell>
          <cell r="U742">
            <v>1813</v>
          </cell>
          <cell r="V742">
            <v>7795.9</v>
          </cell>
          <cell r="W742">
            <v>1795</v>
          </cell>
          <cell r="X742">
            <v>7718.5</v>
          </cell>
          <cell r="Y742">
            <v>866</v>
          </cell>
          <cell r="Z742">
            <v>3723.7999999999997</v>
          </cell>
          <cell r="AA742">
            <v>866</v>
          </cell>
          <cell r="AB742">
            <v>3723.7999999999997</v>
          </cell>
          <cell r="AC742">
            <v>866</v>
          </cell>
          <cell r="AD742">
            <v>3723.7999999999997</v>
          </cell>
          <cell r="AE742"/>
          <cell r="AF742"/>
          <cell r="AG742"/>
          <cell r="AH742"/>
          <cell r="AI742"/>
          <cell r="AJ742">
            <v>2.5000000000000001E-2</v>
          </cell>
          <cell r="AK742" t="str">
            <v>3P</v>
          </cell>
          <cell r="AL742">
            <v>223</v>
          </cell>
          <cell r="AM742">
            <v>274</v>
          </cell>
          <cell r="AN742" t="str">
            <v>01 Existing Dealer</v>
          </cell>
          <cell r="AO742" t="str">
            <v>Northeast</v>
          </cell>
          <cell r="AP742" t="str">
            <v>North</v>
          </cell>
          <cell r="AQ742"/>
          <cell r="AR742">
            <v>0</v>
          </cell>
          <cell r="AS742">
            <v>0</v>
          </cell>
        </row>
        <row r="743">
          <cell r="A743" t="str">
            <v>12102A</v>
          </cell>
          <cell r="B743" t="str">
            <v>JLM</v>
          </cell>
          <cell r="C743" t="str">
            <v>M10244</v>
          </cell>
          <cell r="D743" t="str">
            <v>NET 5, BT+</v>
          </cell>
          <cell r="E743" t="str">
            <v>CO</v>
          </cell>
          <cell r="F743" t="str">
            <v>Yes</v>
          </cell>
          <cell r="G743" t="str">
            <v>OH</v>
          </cell>
          <cell r="H743">
            <v>7</v>
          </cell>
          <cell r="I743">
            <v>0.66500000000000004</v>
          </cell>
          <cell r="J743" t="str">
            <v>Dakota Nation</v>
          </cell>
          <cell r="K743" t="str">
            <v>TILTON</v>
          </cell>
          <cell r="L743" t="str">
            <v>NH</v>
          </cell>
          <cell r="M743" t="str">
            <v>800-577-8858</v>
          </cell>
          <cell r="N743"/>
          <cell r="O743">
            <v>1715</v>
          </cell>
          <cell r="P743">
            <v>7374.5</v>
          </cell>
          <cell r="Q743">
            <v>1259</v>
          </cell>
          <cell r="R743">
            <v>5413.7</v>
          </cell>
          <cell r="S743"/>
          <cell r="T743">
            <v>0</v>
          </cell>
          <cell r="U743">
            <v>1813</v>
          </cell>
          <cell r="V743">
            <v>7795.9</v>
          </cell>
          <cell r="W743">
            <v>1795</v>
          </cell>
          <cell r="X743">
            <v>7718.5</v>
          </cell>
          <cell r="Y743">
            <v>866</v>
          </cell>
          <cell r="Z743">
            <v>3723.7999999999997</v>
          </cell>
          <cell r="AA743">
            <v>866</v>
          </cell>
          <cell r="AB743">
            <v>3723.7999999999997</v>
          </cell>
          <cell r="AC743">
            <v>866</v>
          </cell>
          <cell r="AD743">
            <v>3723.7999999999997</v>
          </cell>
          <cell r="AE743"/>
          <cell r="AF743"/>
          <cell r="AG743"/>
          <cell r="AH743"/>
          <cell r="AI743"/>
          <cell r="AJ743">
            <v>2.5000000000000001E-2</v>
          </cell>
          <cell r="AK743" t="str">
            <v>3P</v>
          </cell>
          <cell r="AL743">
            <v>223</v>
          </cell>
          <cell r="AM743">
            <v>274</v>
          </cell>
          <cell r="AN743" t="str">
            <v>01 Existing Dealer</v>
          </cell>
          <cell r="AO743" t="str">
            <v>Northeast</v>
          </cell>
          <cell r="AP743" t="str">
            <v>North</v>
          </cell>
          <cell r="AQ743"/>
          <cell r="AR743">
            <v>0</v>
          </cell>
          <cell r="AS743">
            <v>0</v>
          </cell>
        </row>
        <row r="744">
          <cell r="A744">
            <v>10850</v>
          </cell>
          <cell r="B744" t="str">
            <v>MAURICE AUTO &amp; TRUCK INC.</v>
          </cell>
          <cell r="C744" t="str">
            <v>M10471</v>
          </cell>
          <cell r="D744" t="str">
            <v>NET 5, BT+</v>
          </cell>
          <cell r="E744" t="str">
            <v>CO</v>
          </cell>
          <cell r="F744" t="str">
            <v>Yes</v>
          </cell>
          <cell r="G744" t="str">
            <v>OH</v>
          </cell>
          <cell r="H744">
            <v>7</v>
          </cell>
          <cell r="I744">
            <v>0.7</v>
          </cell>
          <cell r="J744" t="str">
            <v>Orphaned Acct</v>
          </cell>
          <cell r="K744" t="str">
            <v>CLAREMONT</v>
          </cell>
          <cell r="L744" t="str">
            <v>NH</v>
          </cell>
          <cell r="M744" t="str">
            <v>800-577-8858</v>
          </cell>
          <cell r="N744"/>
          <cell r="O744">
            <v>1680</v>
          </cell>
          <cell r="P744">
            <v>7224</v>
          </cell>
          <cell r="Q744">
            <v>1224</v>
          </cell>
          <cell r="R744">
            <v>5263.2</v>
          </cell>
          <cell r="S744"/>
          <cell r="T744">
            <v>0</v>
          </cell>
          <cell r="U744">
            <v>1724</v>
          </cell>
          <cell r="V744">
            <v>7413.2</v>
          </cell>
          <cell r="W744">
            <v>1760</v>
          </cell>
          <cell r="X744">
            <v>7568</v>
          </cell>
          <cell r="Y744">
            <v>807</v>
          </cell>
          <cell r="Z744">
            <v>3470.1</v>
          </cell>
          <cell r="AA744">
            <v>807</v>
          </cell>
          <cell r="AB744">
            <v>3470.1</v>
          </cell>
          <cell r="AC744">
            <v>807</v>
          </cell>
          <cell r="AD744">
            <v>3470.1</v>
          </cell>
          <cell r="AE744"/>
          <cell r="AF744"/>
          <cell r="AG744"/>
          <cell r="AH744"/>
          <cell r="AI744"/>
          <cell r="AJ744">
            <v>0</v>
          </cell>
          <cell r="AK744" t="str">
            <v>3P</v>
          </cell>
          <cell r="AL744">
            <v>213</v>
          </cell>
          <cell r="AM744">
            <v>249</v>
          </cell>
          <cell r="AN744" t="str">
            <v>08 Inactive Dealer</v>
          </cell>
          <cell r="AO744" t="str">
            <v>Northeast</v>
          </cell>
          <cell r="AP744" t="str">
            <v>North</v>
          </cell>
          <cell r="AQ744"/>
          <cell r="AR744">
            <v>0</v>
          </cell>
          <cell r="AS744">
            <v>0</v>
          </cell>
        </row>
        <row r="745">
          <cell r="A745">
            <v>10117</v>
          </cell>
          <cell r="B745" t="str">
            <v>C.A. POWER EQUIPMENT INC.</v>
          </cell>
          <cell r="C745" t="str">
            <v>M10127</v>
          </cell>
          <cell r="D745" t="str">
            <v>NET 5, BT+</v>
          </cell>
          <cell r="E745" t="str">
            <v>FP - Wells Fargo</v>
          </cell>
          <cell r="F745" t="str">
            <v>Yes</v>
          </cell>
          <cell r="G745" t="str">
            <v>OH</v>
          </cell>
          <cell r="H745">
            <v>8</v>
          </cell>
          <cell r="I745">
            <v>0.66500000000000004</v>
          </cell>
          <cell r="J745" t="str">
            <v>Orphaned Acct</v>
          </cell>
          <cell r="K745" t="str">
            <v>MATAWAN</v>
          </cell>
          <cell r="L745" t="str">
            <v>NJ</v>
          </cell>
          <cell r="M745" t="str">
            <v>800-577-8858</v>
          </cell>
          <cell r="N745"/>
          <cell r="O745">
            <v>1428</v>
          </cell>
          <cell r="P745">
            <v>6140.4</v>
          </cell>
          <cell r="Q745">
            <v>952</v>
          </cell>
          <cell r="R745">
            <v>4093.6</v>
          </cell>
          <cell r="S745"/>
          <cell r="T745">
            <v>0</v>
          </cell>
          <cell r="U745">
            <v>1522</v>
          </cell>
          <cell r="V745">
            <v>6544.5999999999995</v>
          </cell>
          <cell r="W745"/>
          <cell r="X745">
            <v>0</v>
          </cell>
          <cell r="Y745">
            <v>629</v>
          </cell>
          <cell r="Z745">
            <v>2704.7</v>
          </cell>
          <cell r="AA745">
            <v>629</v>
          </cell>
          <cell r="AB745">
            <v>2704.7</v>
          </cell>
          <cell r="AC745">
            <v>629</v>
          </cell>
          <cell r="AD745">
            <v>2704.7</v>
          </cell>
          <cell r="AE745"/>
          <cell r="AF745"/>
          <cell r="AG745"/>
          <cell r="AH745"/>
          <cell r="AI745"/>
          <cell r="AJ745">
            <v>0</v>
          </cell>
          <cell r="AK745" t="str">
            <v>3P</v>
          </cell>
          <cell r="AL745">
            <v>213</v>
          </cell>
          <cell r="AM745">
            <v>321</v>
          </cell>
          <cell r="AN745" t="str">
            <v>08 Inactive Dealer</v>
          </cell>
          <cell r="AO745" t="str">
            <v>Northeast</v>
          </cell>
          <cell r="AP745" t="str">
            <v>North</v>
          </cell>
          <cell r="AQ745"/>
          <cell r="AR745">
            <v>0</v>
          </cell>
          <cell r="AS745">
            <v>0</v>
          </cell>
        </row>
        <row r="746">
          <cell r="A746">
            <v>12952</v>
          </cell>
          <cell r="B746" t="str">
            <v>CARGO TRAILER NJ INC</v>
          </cell>
          <cell r="C746" t="str">
            <v>M10491</v>
          </cell>
          <cell r="D746" t="str">
            <v>NET 5, BT+</v>
          </cell>
          <cell r="E746" t="str">
            <v>F1 - Wells Fargo</v>
          </cell>
          <cell r="F746" t="str">
            <v>Yes</v>
          </cell>
          <cell r="G746" t="str">
            <v>OH</v>
          </cell>
          <cell r="H746">
            <v>8</v>
          </cell>
          <cell r="I746">
            <v>0.66500000000000004</v>
          </cell>
          <cell r="J746" t="str">
            <v>Orphaned Acct</v>
          </cell>
          <cell r="K746" t="str">
            <v>ROSELLE</v>
          </cell>
          <cell r="L746" t="str">
            <v>NJ</v>
          </cell>
          <cell r="M746" t="str">
            <v>800-577-8858</v>
          </cell>
          <cell r="N746" t="str">
            <v>All tandem axle trailers must have BRK2</v>
          </cell>
          <cell r="O746">
            <v>1422</v>
          </cell>
          <cell r="P746">
            <v>6114.5999999999995</v>
          </cell>
          <cell r="Q746">
            <v>967</v>
          </cell>
          <cell r="R746">
            <v>4158.0999999999995</v>
          </cell>
          <cell r="S746"/>
          <cell r="T746">
            <v>0</v>
          </cell>
          <cell r="U746">
            <v>1513</v>
          </cell>
          <cell r="V746">
            <v>6505.9</v>
          </cell>
          <cell r="W746">
            <v>1502</v>
          </cell>
          <cell r="X746">
            <v>6458.5999999999995</v>
          </cell>
          <cell r="Y746">
            <v>615</v>
          </cell>
          <cell r="Z746">
            <v>2644.5</v>
          </cell>
          <cell r="AA746">
            <v>615</v>
          </cell>
          <cell r="AB746">
            <v>2644.5</v>
          </cell>
          <cell r="AC746">
            <v>615</v>
          </cell>
          <cell r="AD746">
            <v>2644.5</v>
          </cell>
          <cell r="AE746"/>
          <cell r="AF746"/>
          <cell r="AG746"/>
          <cell r="AH746"/>
          <cell r="AI746"/>
          <cell r="AJ746">
            <v>0</v>
          </cell>
          <cell r="AK746" t="str">
            <v>3P</v>
          </cell>
          <cell r="AL746">
            <v>213</v>
          </cell>
          <cell r="AM746">
            <v>321</v>
          </cell>
          <cell r="AN746" t="str">
            <v>08 Inactive Dealer</v>
          </cell>
          <cell r="AO746" t="str">
            <v>Northeast</v>
          </cell>
          <cell r="AP746" t="str">
            <v>North</v>
          </cell>
          <cell r="AQ746"/>
          <cell r="AR746">
            <v>0</v>
          </cell>
          <cell r="AS746">
            <v>0</v>
          </cell>
        </row>
        <row r="747">
          <cell r="A747">
            <v>12854</v>
          </cell>
          <cell r="B747" t="str">
            <v>HAMPTON RV SALES &amp; SERVICE</v>
          </cell>
          <cell r="C747" t="str">
            <v>M10214</v>
          </cell>
          <cell r="D747" t="str">
            <v>NET 5, BT+</v>
          </cell>
          <cell r="E747" t="str">
            <v>CO</v>
          </cell>
          <cell r="F747" t="str">
            <v>Yes</v>
          </cell>
          <cell r="G747" t="str">
            <v>OH</v>
          </cell>
          <cell r="H747">
            <v>7</v>
          </cell>
          <cell r="I747">
            <v>0.66500000000000004</v>
          </cell>
          <cell r="J747" t="str">
            <v>Orphaned Acct</v>
          </cell>
          <cell r="K747" t="str">
            <v>NEWTON</v>
          </cell>
          <cell r="L747" t="str">
            <v>NJ</v>
          </cell>
          <cell r="M747" t="str">
            <v>800-577-8858</v>
          </cell>
          <cell r="N747"/>
          <cell r="O747">
            <v>1403</v>
          </cell>
          <cell r="P747">
            <v>6032.9</v>
          </cell>
          <cell r="Q747">
            <v>967</v>
          </cell>
          <cell r="R747">
            <v>4158.0999999999995</v>
          </cell>
          <cell r="S747"/>
          <cell r="T747">
            <v>0</v>
          </cell>
          <cell r="U747">
            <v>1503</v>
          </cell>
          <cell r="V747">
            <v>6462.9</v>
          </cell>
          <cell r="W747">
            <v>1484</v>
          </cell>
          <cell r="X747">
            <v>6381.2</v>
          </cell>
          <cell r="Y747">
            <v>611</v>
          </cell>
          <cell r="Z747">
            <v>2627.2999999999997</v>
          </cell>
          <cell r="AA747">
            <v>611</v>
          </cell>
          <cell r="AB747">
            <v>2627.2999999999997</v>
          </cell>
          <cell r="AC747">
            <v>611</v>
          </cell>
          <cell r="AD747">
            <v>2627.2999999999997</v>
          </cell>
          <cell r="AE747"/>
          <cell r="AF747"/>
          <cell r="AG747"/>
          <cell r="AH747"/>
          <cell r="AI747"/>
          <cell r="AJ747">
            <v>0</v>
          </cell>
          <cell r="AK747" t="str">
            <v>3P</v>
          </cell>
          <cell r="AL747">
            <v>213</v>
          </cell>
          <cell r="AM747">
            <v>51</v>
          </cell>
          <cell r="AN747" t="str">
            <v>08 Inactive Dealer</v>
          </cell>
          <cell r="AO747" t="str">
            <v>Northeast</v>
          </cell>
          <cell r="AP747" t="str">
            <v>North</v>
          </cell>
          <cell r="AQ747"/>
          <cell r="AR747">
            <v>0</v>
          </cell>
          <cell r="AS747">
            <v>0</v>
          </cell>
        </row>
        <row r="748">
          <cell r="A748">
            <v>10241</v>
          </cell>
          <cell r="B748" t="str">
            <v>HECHT</v>
          </cell>
          <cell r="C748" t="str">
            <v>M10216</v>
          </cell>
          <cell r="D748" t="str">
            <v>Return Mail, no pink card</v>
          </cell>
          <cell r="E748" t="str">
            <v>F1 - Northpoint</v>
          </cell>
          <cell r="F748" t="str">
            <v>Yes</v>
          </cell>
          <cell r="G748" t="str">
            <v>OH</v>
          </cell>
          <cell r="H748">
            <v>8</v>
          </cell>
          <cell r="I748">
            <v>0.66500000000000004</v>
          </cell>
          <cell r="J748" t="str">
            <v>Dakota Nation</v>
          </cell>
          <cell r="K748" t="str">
            <v>TOMS RIVER</v>
          </cell>
          <cell r="L748" t="str">
            <v>NJ</v>
          </cell>
          <cell r="M748" t="str">
            <v>800-577-8858</v>
          </cell>
          <cell r="N748"/>
          <cell r="O748">
            <v>1403</v>
          </cell>
          <cell r="P748">
            <v>6032.9</v>
          </cell>
          <cell r="Q748">
            <v>942</v>
          </cell>
          <cell r="R748">
            <v>4050.6</v>
          </cell>
          <cell r="S748"/>
          <cell r="T748">
            <v>0</v>
          </cell>
          <cell r="U748">
            <v>1499</v>
          </cell>
          <cell r="V748">
            <v>6445.7</v>
          </cell>
          <cell r="W748">
            <v>1483</v>
          </cell>
          <cell r="X748">
            <v>6376.9</v>
          </cell>
          <cell r="Y748">
            <v>619</v>
          </cell>
          <cell r="Z748">
            <v>2661.7</v>
          </cell>
          <cell r="AA748">
            <v>619</v>
          </cell>
          <cell r="AB748">
            <v>2661.7</v>
          </cell>
          <cell r="AC748">
            <v>619</v>
          </cell>
          <cell r="AD748">
            <v>2661.7</v>
          </cell>
          <cell r="AE748"/>
          <cell r="AF748"/>
          <cell r="AG748"/>
          <cell r="AH748"/>
          <cell r="AI748"/>
          <cell r="AJ748">
            <v>1.4999999999999999E-2</v>
          </cell>
          <cell r="AK748" t="str">
            <v>3P</v>
          </cell>
          <cell r="AL748">
            <v>223</v>
          </cell>
          <cell r="AM748">
            <v>321</v>
          </cell>
          <cell r="AN748" t="str">
            <v>01 Existing Dealer</v>
          </cell>
          <cell r="AO748" t="str">
            <v>Northeast</v>
          </cell>
          <cell r="AP748" t="str">
            <v>North</v>
          </cell>
          <cell r="AQ748"/>
          <cell r="AR748">
            <v>0</v>
          </cell>
          <cell r="AS748">
            <v>0</v>
          </cell>
        </row>
        <row r="749">
          <cell r="A749" t="str">
            <v>10241A</v>
          </cell>
          <cell r="B749" t="str">
            <v>HECHT</v>
          </cell>
          <cell r="C749" t="str">
            <v>M10216</v>
          </cell>
          <cell r="D749" t="str">
            <v>Return Mail, no pink card</v>
          </cell>
          <cell r="E749" t="str">
            <v>F1 - Northpoint</v>
          </cell>
          <cell r="F749" t="str">
            <v>Yes</v>
          </cell>
          <cell r="G749" t="str">
            <v>OH</v>
          </cell>
          <cell r="H749">
            <v>8</v>
          </cell>
          <cell r="I749">
            <v>0.66500000000000004</v>
          </cell>
          <cell r="J749" t="str">
            <v>Dakota Nation</v>
          </cell>
          <cell r="K749" t="str">
            <v>MT. HOLLY</v>
          </cell>
          <cell r="L749" t="str">
            <v>NJ</v>
          </cell>
          <cell r="M749" t="str">
            <v>800-577-8858</v>
          </cell>
          <cell r="N749"/>
          <cell r="O749">
            <v>1369</v>
          </cell>
          <cell r="P749">
            <v>5886.7</v>
          </cell>
          <cell r="Q749">
            <v>909</v>
          </cell>
          <cell r="R749">
            <v>3908.7</v>
          </cell>
          <cell r="S749"/>
          <cell r="T749">
            <v>0</v>
          </cell>
          <cell r="U749">
            <v>1466</v>
          </cell>
          <cell r="V749">
            <v>6303.8</v>
          </cell>
          <cell r="W749">
            <v>1449</v>
          </cell>
          <cell r="X749">
            <v>6230.7</v>
          </cell>
          <cell r="Y749">
            <v>588</v>
          </cell>
          <cell r="Z749">
            <v>2528.4</v>
          </cell>
          <cell r="AA749">
            <v>588</v>
          </cell>
          <cell r="AB749">
            <v>2528.4</v>
          </cell>
          <cell r="AC749">
            <v>588</v>
          </cell>
          <cell r="AD749">
            <v>2528.4</v>
          </cell>
          <cell r="AE749"/>
          <cell r="AF749"/>
          <cell r="AG749"/>
          <cell r="AH749"/>
          <cell r="AI749"/>
          <cell r="AJ749">
            <v>1.4999999999999999E-2</v>
          </cell>
          <cell r="AK749" t="str">
            <v>3P</v>
          </cell>
          <cell r="AL749">
            <v>223</v>
          </cell>
          <cell r="AM749">
            <v>346</v>
          </cell>
          <cell r="AN749" t="str">
            <v>01 Existing Dealer</v>
          </cell>
          <cell r="AO749" t="str">
            <v>Northeast</v>
          </cell>
          <cell r="AP749" t="str">
            <v>North</v>
          </cell>
          <cell r="AQ749"/>
          <cell r="AR749">
            <v>0</v>
          </cell>
          <cell r="AS749">
            <v>0</v>
          </cell>
        </row>
        <row r="750">
          <cell r="A750">
            <v>12188</v>
          </cell>
          <cell r="B750" t="str">
            <v>HECHT</v>
          </cell>
          <cell r="C750" t="str">
            <v>M10216</v>
          </cell>
          <cell r="D750" t="str">
            <v>Return Mail, no pink card</v>
          </cell>
          <cell r="E750" t="str">
            <v>C6</v>
          </cell>
          <cell r="F750" t="str">
            <v>No</v>
          </cell>
          <cell r="G750" t="str">
            <v>OH</v>
          </cell>
          <cell r="H750">
            <v>6</v>
          </cell>
          <cell r="I750">
            <v>0.66500000000000004</v>
          </cell>
          <cell r="J750" t="str">
            <v>House</v>
          </cell>
          <cell r="K750" t="str">
            <v>TOMS RIVER</v>
          </cell>
          <cell r="L750" t="str">
            <v>NJ</v>
          </cell>
          <cell r="M750" t="str">
            <v>800-577-8858</v>
          </cell>
          <cell r="N750"/>
          <cell r="O750">
            <v>1403</v>
          </cell>
          <cell r="P750">
            <v>6032.9</v>
          </cell>
          <cell r="Q750">
            <v>942</v>
          </cell>
          <cell r="R750">
            <v>4050.6</v>
          </cell>
          <cell r="S750"/>
          <cell r="T750">
            <v>0</v>
          </cell>
          <cell r="U750">
            <v>1499</v>
          </cell>
          <cell r="V750">
            <v>6445.7</v>
          </cell>
          <cell r="W750">
            <v>1483</v>
          </cell>
          <cell r="X750">
            <v>6376.9</v>
          </cell>
          <cell r="Y750">
            <v>619</v>
          </cell>
          <cell r="Z750">
            <v>2661.7</v>
          </cell>
          <cell r="AA750">
            <v>619</v>
          </cell>
          <cell r="AB750">
            <v>2661.7</v>
          </cell>
          <cell r="AC750">
            <v>619</v>
          </cell>
          <cell r="AD750">
            <v>2661.7</v>
          </cell>
          <cell r="AE750"/>
          <cell r="AF750"/>
          <cell r="AG750"/>
          <cell r="AH750"/>
          <cell r="AI750"/>
          <cell r="AJ750">
            <v>1.4999999999999999E-2</v>
          </cell>
          <cell r="AK750" t="str">
            <v>3P</v>
          </cell>
          <cell r="AL750">
            <v>400</v>
          </cell>
          <cell r="AM750">
            <v>321</v>
          </cell>
          <cell r="AN750" t="str">
            <v>01 Existing Dealer</v>
          </cell>
          <cell r="AO750" t="str">
            <v>Northeast</v>
          </cell>
          <cell r="AP750" t="str">
            <v>North</v>
          </cell>
          <cell r="AQ750"/>
          <cell r="AR750">
            <v>0</v>
          </cell>
          <cell r="AS750">
            <v>0</v>
          </cell>
        </row>
        <row r="751">
          <cell r="A751" t="str">
            <v>12188A</v>
          </cell>
          <cell r="B751" t="str">
            <v>HECHT</v>
          </cell>
          <cell r="C751" t="str">
            <v>M10216</v>
          </cell>
          <cell r="D751" t="str">
            <v>Return Mail, no pink card</v>
          </cell>
          <cell r="E751" t="str">
            <v>C6</v>
          </cell>
          <cell r="F751" t="str">
            <v>No</v>
          </cell>
          <cell r="G751" t="str">
            <v>OH</v>
          </cell>
          <cell r="H751">
            <v>6</v>
          </cell>
          <cell r="I751">
            <v>0.66500000000000004</v>
          </cell>
          <cell r="J751" t="str">
            <v>House</v>
          </cell>
          <cell r="K751" t="str">
            <v>MT. HOLLY</v>
          </cell>
          <cell r="L751" t="str">
            <v>NJ</v>
          </cell>
          <cell r="M751" t="str">
            <v>800-577-8858</v>
          </cell>
          <cell r="N751"/>
          <cell r="O751">
            <v>1369</v>
          </cell>
          <cell r="P751">
            <v>5886.7</v>
          </cell>
          <cell r="Q751">
            <v>909</v>
          </cell>
          <cell r="R751">
            <v>3908.7</v>
          </cell>
          <cell r="S751"/>
          <cell r="T751">
            <v>0</v>
          </cell>
          <cell r="U751">
            <v>1466</v>
          </cell>
          <cell r="V751">
            <v>6303.8</v>
          </cell>
          <cell r="W751">
            <v>1449</v>
          </cell>
          <cell r="X751">
            <v>6230.7</v>
          </cell>
          <cell r="Y751">
            <v>588</v>
          </cell>
          <cell r="Z751">
            <v>2528.4</v>
          </cell>
          <cell r="AA751">
            <v>588</v>
          </cell>
          <cell r="AB751">
            <v>2528.4</v>
          </cell>
          <cell r="AC751">
            <v>588</v>
          </cell>
          <cell r="AD751">
            <v>2528.4</v>
          </cell>
          <cell r="AE751"/>
          <cell r="AF751"/>
          <cell r="AG751"/>
          <cell r="AH751"/>
          <cell r="AI751"/>
          <cell r="AJ751">
            <v>1.4999999999999999E-2</v>
          </cell>
          <cell r="AK751" t="str">
            <v>3P</v>
          </cell>
          <cell r="AL751">
            <v>400</v>
          </cell>
          <cell r="AM751">
            <v>346</v>
          </cell>
          <cell r="AN751" t="str">
            <v>01 Existing Dealer</v>
          </cell>
          <cell r="AO751" t="str">
            <v>Northeast</v>
          </cell>
          <cell r="AP751" t="str">
            <v>North</v>
          </cell>
          <cell r="AQ751"/>
          <cell r="AR751">
            <v>0</v>
          </cell>
          <cell r="AS751">
            <v>0</v>
          </cell>
          <cell r="AT751"/>
        </row>
        <row r="752">
          <cell r="A752">
            <v>13106</v>
          </cell>
          <cell r="B752" t="str">
            <v>MIDDLETOWN</v>
          </cell>
          <cell r="C752" t="str">
            <v>M11000</v>
          </cell>
          <cell r="D752" t="str">
            <v>Return Mail, no pink card</v>
          </cell>
          <cell r="E752" t="str">
            <v>F6 - Wells Fargo</v>
          </cell>
          <cell r="F752" t="str">
            <v>Yes</v>
          </cell>
          <cell r="G752" t="str">
            <v>OH</v>
          </cell>
          <cell r="H752">
            <v>7</v>
          </cell>
          <cell r="I752">
            <v>0.66500000000000004</v>
          </cell>
          <cell r="J752" t="str">
            <v>Dakota Nation</v>
          </cell>
          <cell r="K752" t="str">
            <v>BELFORD</v>
          </cell>
          <cell r="L752" t="str">
            <v>NJ</v>
          </cell>
          <cell r="M752" t="str">
            <v>800-577-8858</v>
          </cell>
          <cell r="N752" t="str">
            <v>All tandem axle trailers must have BRK2</v>
          </cell>
          <cell r="O752">
            <v>1436</v>
          </cell>
          <cell r="P752">
            <v>6174.8</v>
          </cell>
          <cell r="Q752">
            <v>974</v>
          </cell>
          <cell r="R752">
            <v>4188.2</v>
          </cell>
          <cell r="S752"/>
          <cell r="T752">
            <v>0</v>
          </cell>
          <cell r="U752">
            <v>1527</v>
          </cell>
          <cell r="V752">
            <v>6566.0999999999995</v>
          </cell>
          <cell r="W752">
            <v>1527</v>
          </cell>
          <cell r="X752">
            <v>6566.0999999999995</v>
          </cell>
          <cell r="Y752">
            <v>637</v>
          </cell>
          <cell r="Z752">
            <v>2739.1</v>
          </cell>
          <cell r="AA752">
            <v>637</v>
          </cell>
          <cell r="AB752">
            <v>2739.1</v>
          </cell>
          <cell r="AC752">
            <v>637</v>
          </cell>
          <cell r="AD752">
            <v>2739.1</v>
          </cell>
          <cell r="AE752"/>
          <cell r="AF752"/>
          <cell r="AG752"/>
          <cell r="AH752"/>
          <cell r="AI752"/>
          <cell r="AJ752">
            <v>0.02</v>
          </cell>
          <cell r="AK752" t="str">
            <v>3P</v>
          </cell>
          <cell r="AL752">
            <v>223</v>
          </cell>
          <cell r="AM752">
            <v>321</v>
          </cell>
          <cell r="AN752" t="str">
            <v>01 Existing Dealer</v>
          </cell>
          <cell r="AO752" t="str">
            <v>Northeast</v>
          </cell>
          <cell r="AP752" t="str">
            <v>North</v>
          </cell>
          <cell r="AQ752"/>
          <cell r="AR752">
            <v>223191</v>
          </cell>
          <cell r="AS752">
            <v>53121</v>
          </cell>
          <cell r="AT752"/>
        </row>
        <row r="753">
          <cell r="A753">
            <v>13100</v>
          </cell>
          <cell r="B753" t="str">
            <v>MIDDLETOWN</v>
          </cell>
          <cell r="C753" t="str">
            <v>M11000</v>
          </cell>
          <cell r="D753" t="str">
            <v>NET 5, BT+</v>
          </cell>
          <cell r="E753" t="str">
            <v>CO</v>
          </cell>
          <cell r="F753" t="str">
            <v>Yes</v>
          </cell>
          <cell r="G753" t="str">
            <v>OH</v>
          </cell>
          <cell r="H753">
            <v>7</v>
          </cell>
          <cell r="I753">
            <v>0.66500000000000004</v>
          </cell>
          <cell r="J753" t="str">
            <v>Dakota Nation</v>
          </cell>
          <cell r="K753" t="str">
            <v>MIDDLETOWN</v>
          </cell>
          <cell r="L753" t="str">
            <v>NJ</v>
          </cell>
          <cell r="M753" t="str">
            <v>800-577-8858</v>
          </cell>
          <cell r="N753" t="str">
            <v>All tandem axle trailers must have BRK2</v>
          </cell>
          <cell r="O753">
            <v>1432</v>
          </cell>
          <cell r="P753">
            <v>6157.5999999999995</v>
          </cell>
          <cell r="Q753">
            <v>967</v>
          </cell>
          <cell r="R753">
            <v>4158.0999999999995</v>
          </cell>
          <cell r="S753"/>
          <cell r="T753">
            <v>0</v>
          </cell>
          <cell r="U753">
            <v>1524</v>
          </cell>
          <cell r="V753">
            <v>6553.2</v>
          </cell>
          <cell r="W753">
            <v>1512</v>
          </cell>
          <cell r="X753">
            <v>6501.5999999999995</v>
          </cell>
          <cell r="Y753">
            <v>637</v>
          </cell>
          <cell r="Z753">
            <v>2739.1</v>
          </cell>
          <cell r="AA753">
            <v>637</v>
          </cell>
          <cell r="AB753">
            <v>2739.1</v>
          </cell>
          <cell r="AC753">
            <v>637</v>
          </cell>
          <cell r="AD753">
            <v>2739.1</v>
          </cell>
          <cell r="AE753"/>
          <cell r="AF753"/>
          <cell r="AG753"/>
          <cell r="AH753"/>
          <cell r="AI753"/>
          <cell r="AJ753">
            <v>0.02</v>
          </cell>
          <cell r="AK753" t="str">
            <v>3P</v>
          </cell>
          <cell r="AL753">
            <v>223</v>
          </cell>
          <cell r="AM753">
            <v>321</v>
          </cell>
          <cell r="AN753" t="str">
            <v>01 Existing Dealer</v>
          </cell>
          <cell r="AO753" t="str">
            <v>Northeast</v>
          </cell>
          <cell r="AP753" t="str">
            <v>North</v>
          </cell>
          <cell r="AQ753"/>
          <cell r="AR753">
            <v>0</v>
          </cell>
          <cell r="AS753">
            <v>0</v>
          </cell>
          <cell r="AT753"/>
        </row>
        <row r="754">
          <cell r="A754">
            <v>13386</v>
          </cell>
          <cell r="B754" t="str">
            <v>RAW / ROXBURY AUTO</v>
          </cell>
          <cell r="C754" t="str">
            <v>M11357</v>
          </cell>
          <cell r="D754" t="str">
            <v>NET 5, BT+</v>
          </cell>
          <cell r="E754" t="str">
            <v>CO</v>
          </cell>
          <cell r="F754" t="str">
            <v>Yes</v>
          </cell>
          <cell r="G754" t="str">
            <v>OH</v>
          </cell>
          <cell r="H754">
            <v>7</v>
          </cell>
          <cell r="I754">
            <v>0.66500000000000004</v>
          </cell>
          <cell r="J754" t="str">
            <v>JL Smith</v>
          </cell>
          <cell r="K754" t="str">
            <v>WHARTON</v>
          </cell>
          <cell r="L754" t="str">
            <v>NJ</v>
          </cell>
          <cell r="M754" t="str">
            <v>800-577-8858</v>
          </cell>
          <cell r="N754" t="str">
            <v>All tandem axle trailers must have BRK2</v>
          </cell>
          <cell r="O754">
            <v>1397</v>
          </cell>
          <cell r="P754">
            <v>6007.0999999999995</v>
          </cell>
          <cell r="Q754">
            <v>961</v>
          </cell>
          <cell r="R754">
            <v>4132.3</v>
          </cell>
          <cell r="S754"/>
          <cell r="T754">
            <v>0</v>
          </cell>
          <cell r="U754">
            <v>1397</v>
          </cell>
          <cell r="V754">
            <v>6007.0999999999995</v>
          </cell>
          <cell r="W754">
            <v>1478</v>
          </cell>
          <cell r="X754">
            <v>6355.4</v>
          </cell>
          <cell r="Y754">
            <v>620</v>
          </cell>
          <cell r="Z754">
            <v>2666</v>
          </cell>
          <cell r="AA754">
            <v>620</v>
          </cell>
          <cell r="AB754">
            <v>2666</v>
          </cell>
          <cell r="AC754">
            <v>620</v>
          </cell>
          <cell r="AD754">
            <v>2666</v>
          </cell>
          <cell r="AE754"/>
          <cell r="AF754"/>
          <cell r="AG754"/>
          <cell r="AH754"/>
          <cell r="AI754"/>
          <cell r="AJ754">
            <v>0</v>
          </cell>
          <cell r="AK754" t="str">
            <v>3P</v>
          </cell>
          <cell r="AL754">
            <v>151</v>
          </cell>
          <cell r="AM754">
            <v>321</v>
          </cell>
          <cell r="AN754" t="str">
            <v>01 Existing Dealer</v>
          </cell>
          <cell r="AO754" t="str">
            <v>Northeast</v>
          </cell>
          <cell r="AP754" t="str">
            <v>North</v>
          </cell>
          <cell r="AQ754"/>
          <cell r="AR754">
            <v>0</v>
          </cell>
          <cell r="AS754">
            <v>0</v>
          </cell>
          <cell r="AT754"/>
        </row>
        <row r="755">
          <cell r="A755">
            <v>13036</v>
          </cell>
          <cell r="B755" t="str">
            <v>AB TRAILERS LLC</v>
          </cell>
          <cell r="C755" t="str">
            <v>M10894</v>
          </cell>
          <cell r="D755" t="str">
            <v>NET 5, BT+</v>
          </cell>
          <cell r="E755" t="str">
            <v>FP</v>
          </cell>
          <cell r="F755" t="str">
            <v>Yes</v>
          </cell>
          <cell r="G755" t="str">
            <v>TX</v>
          </cell>
          <cell r="H755">
            <v>8</v>
          </cell>
          <cell r="I755">
            <v>0.66500000000000004</v>
          </cell>
          <cell r="J755" t="str">
            <v>Orphaned Acct</v>
          </cell>
          <cell r="K755" t="str">
            <v>ALBUQUERQUE</v>
          </cell>
          <cell r="L755" t="str">
            <v>NM</v>
          </cell>
          <cell r="M755" t="str">
            <v>800-577-8858</v>
          </cell>
          <cell r="N755"/>
          <cell r="O755">
            <v>742</v>
          </cell>
          <cell r="P755">
            <v>3190.6</v>
          </cell>
          <cell r="Q755"/>
          <cell r="R755">
            <v>0</v>
          </cell>
          <cell r="S755"/>
          <cell r="T755">
            <v>0</v>
          </cell>
          <cell r="U755">
            <v>663</v>
          </cell>
          <cell r="V755">
            <v>2850.9</v>
          </cell>
          <cell r="W755">
            <v>694</v>
          </cell>
          <cell r="X755">
            <v>2984.2</v>
          </cell>
          <cell r="Y755"/>
          <cell r="Z755">
            <v>0</v>
          </cell>
          <cell r="AA755"/>
          <cell r="AB755">
            <v>0</v>
          </cell>
          <cell r="AC755"/>
          <cell r="AD755">
            <v>0</v>
          </cell>
          <cell r="AE755"/>
          <cell r="AF755"/>
          <cell r="AG755"/>
          <cell r="AH755"/>
          <cell r="AI755"/>
          <cell r="AJ755">
            <v>0</v>
          </cell>
          <cell r="AK755" t="str">
            <v>3P</v>
          </cell>
          <cell r="AL755">
            <v>213</v>
          </cell>
          <cell r="AM755">
            <v>8</v>
          </cell>
          <cell r="AN755" t="str">
            <v>08 Inactive Dealer</v>
          </cell>
          <cell r="AO755" t="str">
            <v>Southwest</v>
          </cell>
          <cell r="AP755" t="str">
            <v>West</v>
          </cell>
          <cell r="AQ755"/>
          <cell r="AR755">
            <v>0</v>
          </cell>
          <cell r="AS755">
            <v>0</v>
          </cell>
        </row>
        <row r="756">
          <cell r="A756">
            <v>13019</v>
          </cell>
          <cell r="B756" t="str">
            <v>CARLSBAD SMALL ENGINE REPAIR LLC</v>
          </cell>
          <cell r="C756" t="str">
            <v>M10875</v>
          </cell>
          <cell r="D756" t="str">
            <v>NET 5, BT+</v>
          </cell>
          <cell r="E756" t="str">
            <v>FP</v>
          </cell>
          <cell r="F756" t="str">
            <v>Yes</v>
          </cell>
          <cell r="G756" t="str">
            <v>TX</v>
          </cell>
          <cell r="H756">
            <v>8</v>
          </cell>
          <cell r="I756">
            <v>0.66500000000000004</v>
          </cell>
          <cell r="J756" t="str">
            <v>Orphaned Acct</v>
          </cell>
          <cell r="K756" t="str">
            <v>CARLSBAD</v>
          </cell>
          <cell r="L756" t="str">
            <v>NM</v>
          </cell>
          <cell r="M756" t="str">
            <v>800-577-8858</v>
          </cell>
          <cell r="N756"/>
          <cell r="O756">
            <v>599</v>
          </cell>
          <cell r="P756">
            <v>2575.6999999999998</v>
          </cell>
          <cell r="Q756"/>
          <cell r="R756">
            <v>0</v>
          </cell>
          <cell r="S756"/>
          <cell r="T756">
            <v>0</v>
          </cell>
          <cell r="U756">
            <v>550</v>
          </cell>
          <cell r="V756">
            <v>2365</v>
          </cell>
          <cell r="W756">
            <v>525</v>
          </cell>
          <cell r="X756">
            <v>2257.5</v>
          </cell>
          <cell r="Y756"/>
          <cell r="Z756">
            <v>0</v>
          </cell>
          <cell r="AA756"/>
          <cell r="AB756">
            <v>0</v>
          </cell>
          <cell r="AC756"/>
          <cell r="AD756">
            <v>0</v>
          </cell>
          <cell r="AE756"/>
          <cell r="AF756"/>
          <cell r="AG756"/>
          <cell r="AH756"/>
          <cell r="AI756"/>
          <cell r="AJ756">
            <v>0</v>
          </cell>
          <cell r="AK756" t="str">
            <v>3P</v>
          </cell>
          <cell r="AL756">
            <v>213</v>
          </cell>
          <cell r="AM756">
            <v>68</v>
          </cell>
          <cell r="AN756" t="str">
            <v>08 Inactive Dealer</v>
          </cell>
          <cell r="AO756" t="str">
            <v>Southwest</v>
          </cell>
          <cell r="AP756" t="str">
            <v>West</v>
          </cell>
          <cell r="AQ756"/>
          <cell r="AR756">
            <v>0</v>
          </cell>
          <cell r="AS756">
            <v>0</v>
          </cell>
        </row>
        <row r="757">
          <cell r="A757">
            <v>11787</v>
          </cell>
          <cell r="B757" t="str">
            <v>DUSENBERYS</v>
          </cell>
          <cell r="C757" t="str">
            <v>M10185</v>
          </cell>
          <cell r="D757" t="str">
            <v>NET 5, BT+</v>
          </cell>
          <cell r="E757" t="str">
            <v>CO</v>
          </cell>
          <cell r="F757" t="str">
            <v>Yes</v>
          </cell>
          <cell r="G757" t="str">
            <v>TX</v>
          </cell>
          <cell r="H757">
            <v>7</v>
          </cell>
          <cell r="I757">
            <v>0.66500000000000004</v>
          </cell>
          <cell r="J757" t="str">
            <v>JL Smith</v>
          </cell>
          <cell r="K757" t="str">
            <v>AZTEC</v>
          </cell>
          <cell r="L757" t="str">
            <v>NM</v>
          </cell>
          <cell r="M757" t="str">
            <v>800-577-8858</v>
          </cell>
          <cell r="N757"/>
          <cell r="O757">
            <v>916</v>
          </cell>
          <cell r="P757">
            <v>3938.7999999999997</v>
          </cell>
          <cell r="Q757"/>
          <cell r="R757">
            <v>0</v>
          </cell>
          <cell r="S757"/>
          <cell r="T757">
            <v>0</v>
          </cell>
          <cell r="U757">
            <v>838</v>
          </cell>
          <cell r="V757">
            <v>3603.3999999999996</v>
          </cell>
          <cell r="W757">
            <v>868</v>
          </cell>
          <cell r="X757">
            <v>3732.3999999999996</v>
          </cell>
          <cell r="Y757"/>
          <cell r="Z757">
            <v>0</v>
          </cell>
          <cell r="AA757"/>
          <cell r="AB757">
            <v>0</v>
          </cell>
          <cell r="AC757"/>
          <cell r="AD757">
            <v>0</v>
          </cell>
          <cell r="AE757"/>
          <cell r="AF757"/>
          <cell r="AG757"/>
          <cell r="AH757"/>
          <cell r="AI757"/>
          <cell r="AJ757">
            <v>0</v>
          </cell>
          <cell r="AK757" t="str">
            <v>3P</v>
          </cell>
          <cell r="AL757">
            <v>151</v>
          </cell>
          <cell r="AM757">
            <v>139</v>
          </cell>
          <cell r="AN757" t="str">
            <v>01 Existing Dealer</v>
          </cell>
          <cell r="AO757" t="str">
            <v>Southwest</v>
          </cell>
          <cell r="AP757" t="str">
            <v>West</v>
          </cell>
          <cell r="AQ757"/>
          <cell r="AR757">
            <v>0</v>
          </cell>
          <cell r="AS757">
            <v>0</v>
          </cell>
        </row>
        <row r="758">
          <cell r="A758">
            <v>11639</v>
          </cell>
          <cell r="B758" t="str">
            <v>GTS, LLC - GALLUP TRAILER</v>
          </cell>
          <cell r="C758"/>
          <cell r="D758" t="str">
            <v>NET 5, BT+</v>
          </cell>
          <cell r="E758" t="str">
            <v>CO</v>
          </cell>
          <cell r="F758" t="str">
            <v>Yes</v>
          </cell>
          <cell r="G758" t="str">
            <v>TX</v>
          </cell>
          <cell r="H758">
            <v>7</v>
          </cell>
          <cell r="I758">
            <v>0.66500000000000004</v>
          </cell>
          <cell r="J758" t="str">
            <v>House</v>
          </cell>
          <cell r="K758" t="str">
            <v>GALLUP</v>
          </cell>
          <cell r="L758" t="str">
            <v>NM</v>
          </cell>
          <cell r="M758" t="str">
            <v>800-577-8858</v>
          </cell>
          <cell r="N758"/>
          <cell r="O758">
            <v>880</v>
          </cell>
          <cell r="P758">
            <v>3784</v>
          </cell>
          <cell r="Q758"/>
          <cell r="R758">
            <v>0</v>
          </cell>
          <cell r="S758"/>
          <cell r="T758">
            <v>0</v>
          </cell>
          <cell r="U758">
            <v>800</v>
          </cell>
          <cell r="V758">
            <v>3440</v>
          </cell>
          <cell r="W758"/>
          <cell r="X758">
            <v>0</v>
          </cell>
          <cell r="Y758"/>
          <cell r="Z758">
            <v>0</v>
          </cell>
          <cell r="AA758"/>
          <cell r="AB758">
            <v>0</v>
          </cell>
          <cell r="AC758"/>
          <cell r="AD758">
            <v>0</v>
          </cell>
          <cell r="AE758"/>
          <cell r="AF758"/>
          <cell r="AG758"/>
          <cell r="AH758"/>
          <cell r="AI758"/>
          <cell r="AJ758">
            <v>0</v>
          </cell>
          <cell r="AK758" t="str">
            <v>3P</v>
          </cell>
          <cell r="AL758">
            <v>400</v>
          </cell>
          <cell r="AM758">
            <v>162</v>
          </cell>
          <cell r="AN758" t="str">
            <v>08 Inactive Dealer</v>
          </cell>
          <cell r="AO758" t="str">
            <v>Southwest</v>
          </cell>
          <cell r="AP758" t="str">
            <v>West</v>
          </cell>
          <cell r="AQ758"/>
          <cell r="AR758">
            <v>0</v>
          </cell>
          <cell r="AS758">
            <v>0</v>
          </cell>
        </row>
        <row r="759">
          <cell r="A759">
            <v>10225</v>
          </cell>
          <cell r="B759" t="str">
            <v>GTS, LLC - GALLUP TRAILER</v>
          </cell>
          <cell r="C759"/>
          <cell r="D759" t="str">
            <v>NET 5, BT+</v>
          </cell>
          <cell r="E759" t="str">
            <v>FP - Wells Fargo</v>
          </cell>
          <cell r="F759" t="str">
            <v>Yes</v>
          </cell>
          <cell r="G759" t="str">
            <v>TX</v>
          </cell>
          <cell r="H759">
            <v>8</v>
          </cell>
          <cell r="I759">
            <v>0.66500000000000004</v>
          </cell>
          <cell r="J759" t="str">
            <v>House</v>
          </cell>
          <cell r="K759" t="str">
            <v>GALLUP</v>
          </cell>
          <cell r="L759" t="str">
            <v>NM</v>
          </cell>
          <cell r="M759" t="str">
            <v>800-577-8858</v>
          </cell>
          <cell r="N759"/>
          <cell r="O759">
            <v>880</v>
          </cell>
          <cell r="P759">
            <v>3784</v>
          </cell>
          <cell r="Q759"/>
          <cell r="R759">
            <v>0</v>
          </cell>
          <cell r="S759"/>
          <cell r="T759">
            <v>0</v>
          </cell>
          <cell r="U759">
            <v>800</v>
          </cell>
          <cell r="V759">
            <v>3440</v>
          </cell>
          <cell r="W759"/>
          <cell r="X759">
            <v>0</v>
          </cell>
          <cell r="Y759"/>
          <cell r="Z759">
            <v>0</v>
          </cell>
          <cell r="AA759"/>
          <cell r="AB759">
            <v>0</v>
          </cell>
          <cell r="AC759"/>
          <cell r="AD759">
            <v>0</v>
          </cell>
          <cell r="AE759"/>
          <cell r="AF759"/>
          <cell r="AG759"/>
          <cell r="AH759"/>
          <cell r="AI759"/>
          <cell r="AJ759">
            <v>0</v>
          </cell>
          <cell r="AK759" t="str">
            <v>3P</v>
          </cell>
          <cell r="AL759">
            <v>400</v>
          </cell>
          <cell r="AM759">
            <v>162</v>
          </cell>
          <cell r="AN759" t="str">
            <v>08 Inactive Dealer</v>
          </cell>
          <cell r="AO759" t="str">
            <v>Southwest</v>
          </cell>
          <cell r="AP759" t="str">
            <v>West</v>
          </cell>
          <cell r="AQ759"/>
          <cell r="AR759">
            <v>0</v>
          </cell>
          <cell r="AS759">
            <v>0</v>
          </cell>
        </row>
        <row r="760">
          <cell r="A760">
            <v>12462</v>
          </cell>
          <cell r="B760" t="str">
            <v>HOBBS TRAILERS</v>
          </cell>
          <cell r="C760"/>
          <cell r="D760" t="str">
            <v>NET 5, BT+</v>
          </cell>
          <cell r="E760" t="str">
            <v>CO</v>
          </cell>
          <cell r="F760" t="str">
            <v>Yes</v>
          </cell>
          <cell r="G760" t="str">
            <v>TX</v>
          </cell>
          <cell r="H760">
            <v>7</v>
          </cell>
          <cell r="I760">
            <v>0.66500000000000004</v>
          </cell>
          <cell r="J760" t="str">
            <v>House</v>
          </cell>
          <cell r="K760" t="str">
            <v>HOBBS</v>
          </cell>
          <cell r="L760" t="str">
            <v>NM</v>
          </cell>
          <cell r="M760" t="str">
            <v>800-577-8858</v>
          </cell>
          <cell r="N760"/>
          <cell r="O760">
            <v>531</v>
          </cell>
          <cell r="P760">
            <v>2283.2999999999997</v>
          </cell>
          <cell r="Q760"/>
          <cell r="R760">
            <v>0</v>
          </cell>
          <cell r="S760"/>
          <cell r="T760">
            <v>0</v>
          </cell>
          <cell r="U760">
            <v>482</v>
          </cell>
          <cell r="V760">
            <v>2072.6</v>
          </cell>
          <cell r="W760">
            <v>456</v>
          </cell>
          <cell r="X760">
            <v>1960.8</v>
          </cell>
          <cell r="Y760"/>
          <cell r="Z760">
            <v>0</v>
          </cell>
          <cell r="AA760"/>
          <cell r="AB760">
            <v>0</v>
          </cell>
          <cell r="AC760"/>
          <cell r="AD760">
            <v>0</v>
          </cell>
          <cell r="AE760"/>
          <cell r="AF760"/>
          <cell r="AG760"/>
          <cell r="AH760"/>
          <cell r="AI760"/>
          <cell r="AJ760">
            <v>0</v>
          </cell>
          <cell r="AK760" t="str">
            <v>3P</v>
          </cell>
          <cell r="AL760">
            <v>400</v>
          </cell>
          <cell r="AM760">
            <v>191</v>
          </cell>
          <cell r="AN760" t="str">
            <v>08 Inactive Dealer</v>
          </cell>
          <cell r="AO760" t="str">
            <v>Southwest</v>
          </cell>
          <cell r="AP760" t="str">
            <v>West</v>
          </cell>
          <cell r="AQ760"/>
          <cell r="AR760">
            <v>0</v>
          </cell>
          <cell r="AS760">
            <v>0</v>
          </cell>
        </row>
        <row r="761">
          <cell r="A761">
            <v>13385</v>
          </cell>
          <cell r="B761" t="str">
            <v>J&amp;B TRAILER WORLD</v>
          </cell>
          <cell r="C761" t="str">
            <v>M11359</v>
          </cell>
          <cell r="D761" t="str">
            <v>NET 5, BT+</v>
          </cell>
          <cell r="E761" t="str">
            <v>CO</v>
          </cell>
          <cell r="F761" t="str">
            <v>Yes</v>
          </cell>
          <cell r="G761" t="str">
            <v>TX</v>
          </cell>
          <cell r="H761">
            <v>7</v>
          </cell>
          <cell r="I761">
            <v>0.66500000000000004</v>
          </cell>
          <cell r="J761" t="str">
            <v>Lane Davis</v>
          </cell>
          <cell r="K761" t="str">
            <v>ALBUQUERQUE</v>
          </cell>
          <cell r="L761" t="str">
            <v>NM</v>
          </cell>
          <cell r="M761" t="str">
            <v>800-577-8858</v>
          </cell>
          <cell r="N761"/>
          <cell r="O761">
            <v>743</v>
          </cell>
          <cell r="P761">
            <v>3194.9</v>
          </cell>
          <cell r="Q761"/>
          <cell r="R761">
            <v>0</v>
          </cell>
          <cell r="S761"/>
          <cell r="T761">
            <v>0</v>
          </cell>
          <cell r="U761">
            <v>664</v>
          </cell>
          <cell r="V761">
            <v>2855.2</v>
          </cell>
          <cell r="W761">
            <v>695</v>
          </cell>
          <cell r="X761">
            <v>2988.5</v>
          </cell>
          <cell r="Y761"/>
          <cell r="Z761">
            <v>0</v>
          </cell>
          <cell r="AA761"/>
          <cell r="AB761">
            <v>0</v>
          </cell>
          <cell r="AC761"/>
          <cell r="AD761">
            <v>0</v>
          </cell>
          <cell r="AE761"/>
          <cell r="AF761"/>
          <cell r="AG761"/>
          <cell r="AH761"/>
          <cell r="AI761"/>
          <cell r="AJ761">
            <v>0</v>
          </cell>
          <cell r="AK761" t="str">
            <v>3P</v>
          </cell>
          <cell r="AL761">
            <v>275</v>
          </cell>
          <cell r="AM761">
            <v>244</v>
          </cell>
          <cell r="AN761" t="str">
            <v>01 Existing Dealer</v>
          </cell>
          <cell r="AO761" t="str">
            <v>Southwest</v>
          </cell>
          <cell r="AP761" t="str">
            <v>West</v>
          </cell>
          <cell r="AQ761"/>
          <cell r="AR761">
            <v>0</v>
          </cell>
          <cell r="AS761">
            <v>0</v>
          </cell>
        </row>
        <row r="762">
          <cell r="A762">
            <v>10262</v>
          </cell>
          <cell r="B762" t="str">
            <v>J &amp; J MUFFLER SHOP, INC.</v>
          </cell>
          <cell r="C762" t="str">
            <v>M10231</v>
          </cell>
          <cell r="D762" t="str">
            <v>Return Mail, no pink card</v>
          </cell>
          <cell r="E762" t="str">
            <v>RM</v>
          </cell>
          <cell r="F762" t="str">
            <v>Yes</v>
          </cell>
          <cell r="G762" t="str">
            <v>TX</v>
          </cell>
          <cell r="H762">
            <v>7</v>
          </cell>
          <cell r="I762">
            <v>0.66500000000000004</v>
          </cell>
          <cell r="J762" t="str">
            <v>Orphaned Acct</v>
          </cell>
          <cell r="K762" t="str">
            <v>LAS CRUCES</v>
          </cell>
          <cell r="L762" t="str">
            <v>NM</v>
          </cell>
          <cell r="M762" t="str">
            <v>800-577-8858</v>
          </cell>
          <cell r="N762"/>
          <cell r="O762">
            <v>806</v>
          </cell>
          <cell r="P762">
            <v>3465.7999999999997</v>
          </cell>
          <cell r="Q762"/>
          <cell r="R762">
            <v>0</v>
          </cell>
          <cell r="S762"/>
          <cell r="T762">
            <v>0</v>
          </cell>
          <cell r="U762">
            <v>757</v>
          </cell>
          <cell r="V762">
            <v>3255.1</v>
          </cell>
          <cell r="W762">
            <v>732</v>
          </cell>
          <cell r="X762">
            <v>3147.6</v>
          </cell>
          <cell r="Y762"/>
          <cell r="Z762">
            <v>0</v>
          </cell>
          <cell r="AA762"/>
          <cell r="AB762">
            <v>0</v>
          </cell>
          <cell r="AC762"/>
          <cell r="AD762">
            <v>0</v>
          </cell>
          <cell r="AE762"/>
          <cell r="AF762"/>
          <cell r="AG762"/>
          <cell r="AH762"/>
          <cell r="AI762"/>
          <cell r="AJ762">
            <v>0</v>
          </cell>
          <cell r="AK762" t="str">
            <v>3P</v>
          </cell>
          <cell r="AL762">
            <v>213</v>
          </cell>
          <cell r="AM762">
            <v>244</v>
          </cell>
          <cell r="AN762" t="str">
            <v>08 Inactive Dealer</v>
          </cell>
          <cell r="AO762" t="str">
            <v>Southwest</v>
          </cell>
          <cell r="AP762" t="str">
            <v>West</v>
          </cell>
          <cell r="AQ762"/>
          <cell r="AR762">
            <v>0</v>
          </cell>
          <cell r="AS762">
            <v>0</v>
          </cell>
        </row>
        <row r="763">
          <cell r="A763">
            <v>13587</v>
          </cell>
          <cell r="B763" t="str">
            <v>SANDIA TRAILER</v>
          </cell>
          <cell r="C763" t="str">
            <v>M10264</v>
          </cell>
          <cell r="D763" t="str">
            <v>NET 5, BT+</v>
          </cell>
          <cell r="E763" t="str">
            <v>FP - Wells Fargo</v>
          </cell>
          <cell r="F763" t="str">
            <v>Yes</v>
          </cell>
          <cell r="G763" t="str">
            <v>TX</v>
          </cell>
          <cell r="H763">
            <v>8</v>
          </cell>
          <cell r="I763">
            <v>0.66500000000000004</v>
          </cell>
          <cell r="J763" t="str">
            <v>Dakota Nation</v>
          </cell>
          <cell r="K763" t="str">
            <v>EDGEWOOD</v>
          </cell>
          <cell r="L763" t="str">
            <v>NM</v>
          </cell>
          <cell r="M763" t="str">
            <v>800-577-8858</v>
          </cell>
          <cell r="N763"/>
          <cell r="O763">
            <v>714</v>
          </cell>
          <cell r="P763">
            <v>3070.2</v>
          </cell>
          <cell r="Q763"/>
          <cell r="R763">
            <v>0</v>
          </cell>
          <cell r="S763"/>
          <cell r="T763">
            <v>0</v>
          </cell>
          <cell r="U763">
            <v>586</v>
          </cell>
          <cell r="V763">
            <v>2519.7999999999997</v>
          </cell>
          <cell r="W763">
            <v>671</v>
          </cell>
          <cell r="X763">
            <v>2885.2999999999997</v>
          </cell>
          <cell r="Y763"/>
          <cell r="Z763">
            <v>0</v>
          </cell>
          <cell r="AA763"/>
          <cell r="AB763">
            <v>0</v>
          </cell>
          <cell r="AC763"/>
          <cell r="AD763">
            <v>0</v>
          </cell>
          <cell r="AE763"/>
          <cell r="AF763"/>
          <cell r="AG763"/>
          <cell r="AH763"/>
          <cell r="AI763"/>
          <cell r="AJ763">
            <v>0</v>
          </cell>
          <cell r="AK763" t="str">
            <v>3P</v>
          </cell>
          <cell r="AL763">
            <v>223</v>
          </cell>
          <cell r="AM763">
            <v>407</v>
          </cell>
          <cell r="AN763" t="str">
            <v>03 New Dealer</v>
          </cell>
          <cell r="AO763" t="str">
            <v>Southwest</v>
          </cell>
          <cell r="AP763" t="str">
            <v>West</v>
          </cell>
          <cell r="AQ763"/>
          <cell r="AR763">
            <v>49480</v>
          </cell>
          <cell r="AS763">
            <v>0</v>
          </cell>
        </row>
        <row r="764">
          <cell r="A764">
            <v>12964</v>
          </cell>
          <cell r="B764" t="str">
            <v>LIEBLING-SANDIA</v>
          </cell>
          <cell r="C764" t="str">
            <v>M10264</v>
          </cell>
          <cell r="D764" t="str">
            <v>NET 5, BT+</v>
          </cell>
          <cell r="E764" t="str">
            <v>FP - Northpoint</v>
          </cell>
          <cell r="F764" t="str">
            <v>Yes</v>
          </cell>
          <cell r="G764" t="str">
            <v>TX</v>
          </cell>
          <cell r="H764">
            <v>8</v>
          </cell>
          <cell r="I764">
            <v>0.66500000000000004</v>
          </cell>
          <cell r="J764" t="str">
            <v>Orphaned Acct</v>
          </cell>
          <cell r="K764" t="str">
            <v>EDGEWOOD</v>
          </cell>
          <cell r="L764" t="str">
            <v>NM</v>
          </cell>
          <cell r="M764" t="str">
            <v>800-577-8858</v>
          </cell>
          <cell r="N764"/>
          <cell r="O764">
            <v>714</v>
          </cell>
          <cell r="P764">
            <v>3070.2</v>
          </cell>
          <cell r="Q764"/>
          <cell r="R764">
            <v>0</v>
          </cell>
          <cell r="S764"/>
          <cell r="T764">
            <v>0</v>
          </cell>
          <cell r="U764">
            <v>634</v>
          </cell>
          <cell r="V764">
            <v>2726.2</v>
          </cell>
          <cell r="W764">
            <v>665</v>
          </cell>
          <cell r="X764">
            <v>2859.5</v>
          </cell>
          <cell r="Y764"/>
          <cell r="Z764">
            <v>0</v>
          </cell>
          <cell r="AA764"/>
          <cell r="AB764">
            <v>0</v>
          </cell>
          <cell r="AC764"/>
          <cell r="AD764">
            <v>0</v>
          </cell>
          <cell r="AE764"/>
          <cell r="AF764"/>
          <cell r="AG764"/>
          <cell r="AH764"/>
          <cell r="AI764"/>
          <cell r="AJ764">
            <v>0</v>
          </cell>
          <cell r="AK764" t="str">
            <v>3P</v>
          </cell>
          <cell r="AL764">
            <v>213</v>
          </cell>
          <cell r="AM764">
            <v>407</v>
          </cell>
          <cell r="AN764" t="str">
            <v>01 Existing Dealer</v>
          </cell>
          <cell r="AO764" t="str">
            <v>Southwest</v>
          </cell>
          <cell r="AP764" t="str">
            <v>West</v>
          </cell>
          <cell r="AQ764"/>
          <cell r="AR764">
            <v>0</v>
          </cell>
          <cell r="AS764">
            <v>0</v>
          </cell>
        </row>
        <row r="765">
          <cell r="A765">
            <v>10306</v>
          </cell>
          <cell r="B765" t="str">
            <v>LIEBLING-SANDIA</v>
          </cell>
          <cell r="C765" t="str">
            <v>M10264</v>
          </cell>
          <cell r="D765" t="str">
            <v>Net 30, no pink card</v>
          </cell>
          <cell r="E765">
            <v>30</v>
          </cell>
          <cell r="F765" t="str">
            <v>Yes</v>
          </cell>
          <cell r="G765" t="str">
            <v>TX</v>
          </cell>
          <cell r="H765">
            <v>5</v>
          </cell>
          <cell r="I765">
            <v>0.66500000000000004</v>
          </cell>
          <cell r="J765" t="str">
            <v>Orphaned Acct</v>
          </cell>
          <cell r="K765" t="str">
            <v>EDGEWOOD</v>
          </cell>
          <cell r="L765" t="str">
            <v>NM</v>
          </cell>
          <cell r="M765" t="str">
            <v>800-577-8858</v>
          </cell>
          <cell r="N765"/>
          <cell r="O765">
            <v>714</v>
          </cell>
          <cell r="P765">
            <v>3070.2</v>
          </cell>
          <cell r="Q765"/>
          <cell r="R765">
            <v>0</v>
          </cell>
          <cell r="S765"/>
          <cell r="T765">
            <v>0</v>
          </cell>
          <cell r="U765">
            <v>634</v>
          </cell>
          <cell r="V765">
            <v>2726.2</v>
          </cell>
          <cell r="W765">
            <v>665</v>
          </cell>
          <cell r="X765">
            <v>2859.5</v>
          </cell>
          <cell r="Y765"/>
          <cell r="Z765">
            <v>0</v>
          </cell>
          <cell r="AA765"/>
          <cell r="AB765">
            <v>0</v>
          </cell>
          <cell r="AC765"/>
          <cell r="AD765">
            <v>0</v>
          </cell>
          <cell r="AE765"/>
          <cell r="AF765"/>
          <cell r="AG765"/>
          <cell r="AH765"/>
          <cell r="AI765"/>
          <cell r="AJ765">
            <v>0</v>
          </cell>
          <cell r="AK765" t="str">
            <v>3P</v>
          </cell>
          <cell r="AL765">
            <v>213</v>
          </cell>
          <cell r="AM765">
            <v>407</v>
          </cell>
          <cell r="AN765" t="str">
            <v>01 Existing Dealer</v>
          </cell>
          <cell r="AO765" t="str">
            <v>Southwest</v>
          </cell>
          <cell r="AP765" t="str">
            <v>West</v>
          </cell>
          <cell r="AQ765"/>
          <cell r="AR765">
            <v>0</v>
          </cell>
          <cell r="AS765">
            <v>0</v>
          </cell>
        </row>
        <row r="766">
          <cell r="A766">
            <v>10327</v>
          </cell>
          <cell r="B766" t="str">
            <v>MCT IND</v>
          </cell>
          <cell r="C766" t="str">
            <v>M10280</v>
          </cell>
          <cell r="D766" t="str">
            <v>Net 30, no pink card</v>
          </cell>
          <cell r="E766">
            <v>30</v>
          </cell>
          <cell r="F766" t="str">
            <v>Yes</v>
          </cell>
          <cell r="G766" t="str">
            <v>TX</v>
          </cell>
          <cell r="H766">
            <v>5</v>
          </cell>
          <cell r="I766">
            <v>0.66500000000000004</v>
          </cell>
          <cell r="J766" t="str">
            <v>Lane Davis</v>
          </cell>
          <cell r="K766" t="str">
            <v>ALBUQUERQUE</v>
          </cell>
          <cell r="L766" t="str">
            <v>NM</v>
          </cell>
          <cell r="M766" t="str">
            <v>800-577-8858</v>
          </cell>
          <cell r="N766"/>
          <cell r="O766">
            <v>742</v>
          </cell>
          <cell r="P766">
            <v>3190.6</v>
          </cell>
          <cell r="Q766"/>
          <cell r="R766">
            <v>0</v>
          </cell>
          <cell r="S766"/>
          <cell r="T766">
            <v>0</v>
          </cell>
          <cell r="U766">
            <v>663</v>
          </cell>
          <cell r="V766">
            <v>2850.9</v>
          </cell>
          <cell r="W766">
            <v>694</v>
          </cell>
          <cell r="X766">
            <v>2984.2</v>
          </cell>
          <cell r="Y766"/>
          <cell r="Z766">
            <v>0</v>
          </cell>
          <cell r="AA766"/>
          <cell r="AB766">
            <v>0</v>
          </cell>
          <cell r="AC766"/>
          <cell r="AD766">
            <v>0</v>
          </cell>
          <cell r="AE766"/>
          <cell r="AF766"/>
          <cell r="AG766"/>
          <cell r="AH766"/>
          <cell r="AI766"/>
          <cell r="AJ766">
            <v>0</v>
          </cell>
          <cell r="AK766" t="str">
            <v>3P</v>
          </cell>
          <cell r="AL766">
            <v>275</v>
          </cell>
          <cell r="AM766">
            <v>8</v>
          </cell>
          <cell r="AN766" t="str">
            <v>01 Existing Dealer</v>
          </cell>
          <cell r="AO766" t="str">
            <v>Southwest</v>
          </cell>
          <cell r="AP766" t="str">
            <v>West</v>
          </cell>
          <cell r="AQ766"/>
          <cell r="AR766">
            <v>49190</v>
          </cell>
          <cell r="AS766">
            <v>0</v>
          </cell>
        </row>
        <row r="767">
          <cell r="A767" t="str">
            <v>10327A</v>
          </cell>
          <cell r="B767" t="str">
            <v>MCT IND</v>
          </cell>
          <cell r="C767" t="str">
            <v>M10280</v>
          </cell>
          <cell r="D767" t="str">
            <v>Net 30, no pink card</v>
          </cell>
          <cell r="E767">
            <v>30</v>
          </cell>
          <cell r="F767" t="str">
            <v>Yes</v>
          </cell>
          <cell r="G767" t="str">
            <v>TX</v>
          </cell>
          <cell r="H767">
            <v>5</v>
          </cell>
          <cell r="I767">
            <v>0.66500000000000004</v>
          </cell>
          <cell r="J767" t="str">
            <v>Lane Davis</v>
          </cell>
          <cell r="K767" t="str">
            <v>BERNALILLO</v>
          </cell>
          <cell r="L767" t="str">
            <v>NM</v>
          </cell>
          <cell r="M767" t="str">
            <v>800-577-8858</v>
          </cell>
          <cell r="N767" t="str">
            <v>MSO'S MUST READ: ALBUQUERQUE, NM</v>
          </cell>
          <cell r="O767">
            <v>752</v>
          </cell>
          <cell r="P767">
            <v>3233.6</v>
          </cell>
          <cell r="Q767">
            <v>1486</v>
          </cell>
          <cell r="R767">
            <v>6389.8</v>
          </cell>
          <cell r="S767">
            <v>943</v>
          </cell>
          <cell r="T767">
            <v>4054.8999999999996</v>
          </cell>
          <cell r="U767">
            <v>677</v>
          </cell>
          <cell r="V767">
            <v>2911.1</v>
          </cell>
          <cell r="W767">
            <v>712</v>
          </cell>
          <cell r="X767">
            <v>3061.6</v>
          </cell>
          <cell r="Y767"/>
          <cell r="Z767">
            <v>0</v>
          </cell>
          <cell r="AA767"/>
          <cell r="AB767">
            <v>0</v>
          </cell>
          <cell r="AC767"/>
          <cell r="AD767">
            <v>0</v>
          </cell>
          <cell r="AE767"/>
          <cell r="AF767"/>
          <cell r="AG767"/>
          <cell r="AH767"/>
          <cell r="AI767"/>
          <cell r="AJ767">
            <v>0</v>
          </cell>
          <cell r="AK767" t="str">
            <v>3P</v>
          </cell>
          <cell r="AL767">
            <v>275</v>
          </cell>
          <cell r="AM767">
            <v>8</v>
          </cell>
          <cell r="AN767" t="str">
            <v>01 Existing Dealer</v>
          </cell>
          <cell r="AO767" t="str">
            <v>Southwest</v>
          </cell>
          <cell r="AP767" t="str">
            <v>West</v>
          </cell>
          <cell r="AQ767"/>
          <cell r="AR767">
            <v>0</v>
          </cell>
          <cell r="AS767">
            <v>0</v>
          </cell>
        </row>
        <row r="768">
          <cell r="A768">
            <v>12720</v>
          </cell>
          <cell r="B768" t="str">
            <v>NAVAJO TRACTOR</v>
          </cell>
          <cell r="C768" t="str">
            <v>M10297</v>
          </cell>
          <cell r="D768" t="str">
            <v>NET 5, BT+</v>
          </cell>
          <cell r="E768" t="str">
            <v>CO</v>
          </cell>
          <cell r="F768" t="str">
            <v>Yes</v>
          </cell>
          <cell r="G768" t="str">
            <v>TX</v>
          </cell>
          <cell r="H768">
            <v>7</v>
          </cell>
          <cell r="I768">
            <v>0.66500000000000004</v>
          </cell>
          <cell r="J768" t="str">
            <v>Orphaned Acct</v>
          </cell>
          <cell r="K768" t="str">
            <v>GALLUP</v>
          </cell>
          <cell r="L768" t="str">
            <v>NM</v>
          </cell>
          <cell r="M768" t="str">
            <v>800-577-8858</v>
          </cell>
          <cell r="N768" t="str">
            <v>FRT ONLY, send MSO'S &amp; Copy of Invoices to Steph Amerson</v>
          </cell>
          <cell r="O768">
            <v>879</v>
          </cell>
          <cell r="P768">
            <v>3779.7</v>
          </cell>
          <cell r="Q768"/>
          <cell r="R768">
            <v>0</v>
          </cell>
          <cell r="S768"/>
          <cell r="T768">
            <v>0</v>
          </cell>
          <cell r="U768">
            <v>800</v>
          </cell>
          <cell r="V768">
            <v>3440</v>
          </cell>
          <cell r="W768">
            <v>831</v>
          </cell>
          <cell r="X768">
            <v>3573.2999999999997</v>
          </cell>
          <cell r="Y768"/>
          <cell r="Z768">
            <v>0</v>
          </cell>
          <cell r="AA768"/>
          <cell r="AB768">
            <v>0</v>
          </cell>
          <cell r="AC768"/>
          <cell r="AD768">
            <v>0</v>
          </cell>
          <cell r="AE768"/>
          <cell r="AF768"/>
          <cell r="AG768"/>
          <cell r="AH768"/>
          <cell r="AI768"/>
          <cell r="AJ768">
            <v>0</v>
          </cell>
          <cell r="AK768" t="str">
            <v>3P</v>
          </cell>
          <cell r="AL768">
            <v>213</v>
          </cell>
          <cell r="AM768">
            <v>162</v>
          </cell>
          <cell r="AN768" t="str">
            <v>01 Existing Dealer</v>
          </cell>
          <cell r="AO768" t="str">
            <v>Southwest</v>
          </cell>
          <cell r="AP768" t="str">
            <v>West</v>
          </cell>
          <cell r="AQ768"/>
          <cell r="AR768">
            <v>0</v>
          </cell>
          <cell r="AS768">
            <v>0</v>
          </cell>
        </row>
        <row r="769">
          <cell r="A769">
            <v>13105</v>
          </cell>
          <cell r="B769" t="str">
            <v>NAVAJO TRACTOR</v>
          </cell>
          <cell r="C769" t="str">
            <v>M10297</v>
          </cell>
          <cell r="D769" t="str">
            <v>NET 5, BT+</v>
          </cell>
          <cell r="E769" t="str">
            <v>FP - Northpoint</v>
          </cell>
          <cell r="F769" t="str">
            <v>Yes</v>
          </cell>
          <cell r="G769" t="str">
            <v>TX</v>
          </cell>
          <cell r="H769">
            <v>7</v>
          </cell>
          <cell r="I769">
            <v>0.66500000000000004</v>
          </cell>
          <cell r="J769" t="str">
            <v>Orphaned Acct</v>
          </cell>
          <cell r="K769" t="str">
            <v>GALLUP</v>
          </cell>
          <cell r="L769" t="str">
            <v>NM</v>
          </cell>
          <cell r="M769" t="str">
            <v>800-577-8858</v>
          </cell>
          <cell r="N769" t="str">
            <v>FRT ONLY, send MSO'S &amp; Copy of Invoices to Steph Amerson</v>
          </cell>
          <cell r="O769">
            <v>879</v>
          </cell>
          <cell r="P769">
            <v>3779.7</v>
          </cell>
          <cell r="Q769"/>
          <cell r="R769">
            <v>0</v>
          </cell>
          <cell r="S769"/>
          <cell r="T769">
            <v>0</v>
          </cell>
          <cell r="U769">
            <v>800</v>
          </cell>
          <cell r="V769">
            <v>3440</v>
          </cell>
          <cell r="W769">
            <v>831</v>
          </cell>
          <cell r="X769">
            <v>3573.2999999999997</v>
          </cell>
          <cell r="Y769"/>
          <cell r="Z769">
            <v>0</v>
          </cell>
          <cell r="AA769"/>
          <cell r="AB769">
            <v>0</v>
          </cell>
          <cell r="AC769"/>
          <cell r="AD769">
            <v>0</v>
          </cell>
          <cell r="AE769"/>
          <cell r="AF769"/>
          <cell r="AG769"/>
          <cell r="AH769"/>
          <cell r="AI769"/>
          <cell r="AJ769">
            <v>0</v>
          </cell>
          <cell r="AK769" t="str">
            <v>3P</v>
          </cell>
          <cell r="AL769">
            <v>213</v>
          </cell>
          <cell r="AM769">
            <v>162</v>
          </cell>
          <cell r="AN769" t="str">
            <v>01 Existing Dealer</v>
          </cell>
          <cell r="AO769" t="str">
            <v>Southwest</v>
          </cell>
          <cell r="AP769" t="str">
            <v>West</v>
          </cell>
          <cell r="AQ769"/>
          <cell r="AR769">
            <v>0</v>
          </cell>
          <cell r="AS769">
            <v>0</v>
          </cell>
        </row>
        <row r="770">
          <cell r="A770">
            <v>11644</v>
          </cell>
          <cell r="B770" t="str">
            <v>POJOAQUE VALLEY</v>
          </cell>
          <cell r="C770" t="str">
            <v>M10332</v>
          </cell>
          <cell r="D770" t="str">
            <v>NET 5, BT+</v>
          </cell>
          <cell r="E770" t="str">
            <v>CO</v>
          </cell>
          <cell r="F770" t="str">
            <v>Yes</v>
          </cell>
          <cell r="G770" t="str">
            <v>TX</v>
          </cell>
          <cell r="H770">
            <v>7</v>
          </cell>
          <cell r="I770">
            <v>0.68200000000000005</v>
          </cell>
          <cell r="J770" t="str">
            <v>Lane Davis</v>
          </cell>
          <cell r="K770" t="str">
            <v>SANTE FE</v>
          </cell>
          <cell r="L770" t="str">
            <v>NM</v>
          </cell>
          <cell r="M770" t="str">
            <v>800-577-8858</v>
          </cell>
          <cell r="N770"/>
          <cell r="O770">
            <v>732</v>
          </cell>
          <cell r="P770">
            <v>3147.6</v>
          </cell>
          <cell r="Q770"/>
          <cell r="R770">
            <v>0</v>
          </cell>
          <cell r="S770"/>
          <cell r="T770">
            <v>0</v>
          </cell>
          <cell r="U770">
            <v>653</v>
          </cell>
          <cell r="V770">
            <v>2807.9</v>
          </cell>
          <cell r="W770">
            <v>684</v>
          </cell>
          <cell r="X770">
            <v>2941.2</v>
          </cell>
          <cell r="Y770"/>
          <cell r="Z770">
            <v>0</v>
          </cell>
          <cell r="AA770"/>
          <cell r="AB770">
            <v>0</v>
          </cell>
          <cell r="AC770"/>
          <cell r="AD770">
            <v>0</v>
          </cell>
          <cell r="AE770"/>
          <cell r="AF770"/>
          <cell r="AG770"/>
          <cell r="AH770"/>
          <cell r="AI770"/>
          <cell r="AJ770">
            <v>0</v>
          </cell>
          <cell r="AK770" t="str">
            <v>3P</v>
          </cell>
          <cell r="AL770">
            <v>275</v>
          </cell>
          <cell r="AM770">
            <v>407</v>
          </cell>
          <cell r="AN770" t="str">
            <v>01 Existing Dealer</v>
          </cell>
          <cell r="AO770" t="str">
            <v>Southwest</v>
          </cell>
          <cell r="AP770" t="str">
            <v>West</v>
          </cell>
          <cell r="AQ770"/>
          <cell r="AR770">
            <v>0</v>
          </cell>
          <cell r="AS770">
            <v>0</v>
          </cell>
        </row>
        <row r="771">
          <cell r="A771">
            <v>12570</v>
          </cell>
          <cell r="B771" t="str">
            <v>POJOAQUE VALLEY</v>
          </cell>
          <cell r="C771" t="str">
            <v>M10332</v>
          </cell>
          <cell r="D771" t="str">
            <v>NET 5, BT+</v>
          </cell>
          <cell r="E771" t="str">
            <v>FP - Wells Fargo</v>
          </cell>
          <cell r="F771" t="str">
            <v>Yes</v>
          </cell>
          <cell r="G771" t="str">
            <v>TX</v>
          </cell>
          <cell r="H771">
            <v>8</v>
          </cell>
          <cell r="I771">
            <v>0.66500000000000004</v>
          </cell>
          <cell r="J771" t="str">
            <v>Lane Davis</v>
          </cell>
          <cell r="K771" t="str">
            <v>SANTE FE</v>
          </cell>
          <cell r="L771" t="str">
            <v>NM</v>
          </cell>
          <cell r="M771" t="str">
            <v>800-577-8858</v>
          </cell>
          <cell r="N771"/>
          <cell r="O771">
            <v>732</v>
          </cell>
          <cell r="P771">
            <v>3147.6</v>
          </cell>
          <cell r="Q771"/>
          <cell r="R771">
            <v>0</v>
          </cell>
          <cell r="S771"/>
          <cell r="T771">
            <v>0</v>
          </cell>
          <cell r="U771">
            <v>653</v>
          </cell>
          <cell r="V771">
            <v>2807.9</v>
          </cell>
          <cell r="W771">
            <v>684</v>
          </cell>
          <cell r="X771">
            <v>2941.2</v>
          </cell>
          <cell r="Y771"/>
          <cell r="Z771">
            <v>0</v>
          </cell>
          <cell r="AA771"/>
          <cell r="AB771">
            <v>0</v>
          </cell>
          <cell r="AC771"/>
          <cell r="AD771">
            <v>0</v>
          </cell>
          <cell r="AE771"/>
          <cell r="AF771"/>
          <cell r="AG771"/>
          <cell r="AH771"/>
          <cell r="AI771"/>
          <cell r="AJ771">
            <v>0</v>
          </cell>
          <cell r="AK771" t="str">
            <v>3P</v>
          </cell>
          <cell r="AL771">
            <v>275</v>
          </cell>
          <cell r="AM771">
            <v>407</v>
          </cell>
          <cell r="AN771" t="str">
            <v>01 Existing Dealer</v>
          </cell>
          <cell r="AO771" t="str">
            <v>Southwest</v>
          </cell>
          <cell r="AP771" t="str">
            <v>West</v>
          </cell>
          <cell r="AQ771"/>
          <cell r="AR771">
            <v>0</v>
          </cell>
          <cell r="AS771">
            <v>43102</v>
          </cell>
        </row>
        <row r="772">
          <cell r="A772">
            <v>10389</v>
          </cell>
          <cell r="B772" t="str">
            <v>POJOAQUE VALLEY</v>
          </cell>
          <cell r="C772" t="str">
            <v>M10332</v>
          </cell>
          <cell r="D772" t="str">
            <v>NET 5, BT+</v>
          </cell>
          <cell r="E772" t="str">
            <v>C9</v>
          </cell>
          <cell r="F772" t="str">
            <v>Yes</v>
          </cell>
          <cell r="G772" t="str">
            <v>TX</v>
          </cell>
          <cell r="H772">
            <v>9</v>
          </cell>
          <cell r="I772">
            <v>0.68200000000000005</v>
          </cell>
          <cell r="J772" t="str">
            <v>Orphaned Acct</v>
          </cell>
          <cell r="K772" t="str">
            <v>SANTE FE</v>
          </cell>
          <cell r="L772" t="str">
            <v>NM</v>
          </cell>
          <cell r="M772" t="str">
            <v>800-577-8858</v>
          </cell>
          <cell r="N772"/>
          <cell r="O772">
            <v>732</v>
          </cell>
          <cell r="P772">
            <v>3147.6</v>
          </cell>
          <cell r="Q772"/>
          <cell r="R772">
            <v>0</v>
          </cell>
          <cell r="S772"/>
          <cell r="T772">
            <v>0</v>
          </cell>
          <cell r="U772">
            <v>653</v>
          </cell>
          <cell r="V772">
            <v>2807.9</v>
          </cell>
          <cell r="W772">
            <v>684</v>
          </cell>
          <cell r="X772">
            <v>2941.2</v>
          </cell>
          <cell r="Y772"/>
          <cell r="Z772">
            <v>0</v>
          </cell>
          <cell r="AA772"/>
          <cell r="AB772">
            <v>0</v>
          </cell>
          <cell r="AC772"/>
          <cell r="AD772">
            <v>0</v>
          </cell>
          <cell r="AE772"/>
          <cell r="AF772"/>
          <cell r="AG772"/>
          <cell r="AH772"/>
          <cell r="AI772"/>
          <cell r="AJ772">
            <v>0</v>
          </cell>
          <cell r="AK772" t="str">
            <v>3P</v>
          </cell>
          <cell r="AL772">
            <v>213</v>
          </cell>
          <cell r="AM772">
            <v>407</v>
          </cell>
          <cell r="AN772" t="str">
            <v>01 Existing Dealer</v>
          </cell>
          <cell r="AO772" t="str">
            <v>Southwest</v>
          </cell>
          <cell r="AP772" t="str">
            <v>West</v>
          </cell>
          <cell r="AQ772"/>
          <cell r="AR772">
            <v>0</v>
          </cell>
          <cell r="AS772">
            <v>0</v>
          </cell>
        </row>
        <row r="773">
          <cell r="A773">
            <v>13520</v>
          </cell>
          <cell r="B773" t="str">
            <v>R&amp;S INDUSTRIES</v>
          </cell>
          <cell r="C773" t="str">
            <v>M11492</v>
          </cell>
          <cell r="D773" t="str">
            <v>NET 5, BT+</v>
          </cell>
          <cell r="E773" t="str">
            <v>FP - Northpoint</v>
          </cell>
          <cell r="F773" t="str">
            <v>Yes</v>
          </cell>
          <cell r="G773" t="str">
            <v>TX</v>
          </cell>
          <cell r="H773">
            <v>8</v>
          </cell>
          <cell r="I773">
            <v>0.66500000000000004</v>
          </cell>
          <cell r="J773" t="str">
            <v>Trent Evans</v>
          </cell>
          <cell r="K773" t="str">
            <v>CLOVIS</v>
          </cell>
          <cell r="L773" t="str">
            <v>NM</v>
          </cell>
          <cell r="M773" t="str">
            <v>800-577-8858</v>
          </cell>
          <cell r="N773"/>
          <cell r="O773">
            <v>565</v>
          </cell>
          <cell r="P773">
            <v>2429.5</v>
          </cell>
          <cell r="Q773"/>
          <cell r="R773">
            <v>0</v>
          </cell>
          <cell r="S773"/>
          <cell r="T773">
            <v>0</v>
          </cell>
          <cell r="U773">
            <v>400</v>
          </cell>
          <cell r="V773">
            <v>1720</v>
          </cell>
          <cell r="W773">
            <v>498</v>
          </cell>
          <cell r="X773">
            <v>2141.4</v>
          </cell>
          <cell r="Y773"/>
          <cell r="Z773">
            <v>0</v>
          </cell>
          <cell r="AA773"/>
          <cell r="AB773">
            <v>0</v>
          </cell>
          <cell r="AC773"/>
          <cell r="AD773">
            <v>0</v>
          </cell>
          <cell r="AE773"/>
          <cell r="AF773"/>
          <cell r="AG773"/>
          <cell r="AH773"/>
          <cell r="AI773"/>
          <cell r="AJ773">
            <v>0</v>
          </cell>
          <cell r="AK773" t="str">
            <v>3P</v>
          </cell>
          <cell r="AL773">
            <v>226</v>
          </cell>
          <cell r="AM773">
            <v>87</v>
          </cell>
          <cell r="AN773" t="str">
            <v>03 New Dealer</v>
          </cell>
          <cell r="AO773" t="str">
            <v>Southwest</v>
          </cell>
          <cell r="AP773" t="str">
            <v>West</v>
          </cell>
          <cell r="AQ773"/>
          <cell r="AR773">
            <v>0</v>
          </cell>
          <cell r="AS773">
            <v>0</v>
          </cell>
        </row>
        <row r="774">
          <cell r="A774">
            <v>10908</v>
          </cell>
          <cell r="B774" t="str">
            <v>RAY LEE EQUIPMENT</v>
          </cell>
          <cell r="C774" t="str">
            <v>M10344</v>
          </cell>
          <cell r="D774" t="str">
            <v>NET 5, BT+</v>
          </cell>
          <cell r="E774" t="str">
            <v>CO</v>
          </cell>
          <cell r="F774" t="str">
            <v>Yes</v>
          </cell>
          <cell r="G774" t="str">
            <v>TX</v>
          </cell>
          <cell r="H774">
            <v>7</v>
          </cell>
          <cell r="I774">
            <v>0.66500000000000004</v>
          </cell>
          <cell r="J774" t="str">
            <v>Orphaned Acct</v>
          </cell>
          <cell r="K774" t="str">
            <v>CLOVIS</v>
          </cell>
          <cell r="L774" t="str">
            <v>NM</v>
          </cell>
          <cell r="M774" t="str">
            <v>800-577-8858</v>
          </cell>
          <cell r="N774"/>
          <cell r="O774">
            <v>573</v>
          </cell>
          <cell r="P774">
            <v>2463.9</v>
          </cell>
          <cell r="Q774"/>
          <cell r="R774">
            <v>0</v>
          </cell>
          <cell r="S774"/>
          <cell r="T774">
            <v>0</v>
          </cell>
          <cell r="U774">
            <v>481</v>
          </cell>
          <cell r="V774">
            <v>2068.2999999999997</v>
          </cell>
          <cell r="W774">
            <v>499</v>
          </cell>
          <cell r="X774">
            <v>2145.6999999999998</v>
          </cell>
          <cell r="Y774"/>
          <cell r="Z774">
            <v>0</v>
          </cell>
          <cell r="AA774"/>
          <cell r="AB774">
            <v>0</v>
          </cell>
          <cell r="AC774"/>
          <cell r="AD774">
            <v>0</v>
          </cell>
          <cell r="AE774"/>
          <cell r="AF774"/>
          <cell r="AG774"/>
          <cell r="AH774"/>
          <cell r="AI774"/>
          <cell r="AJ774">
            <v>0</v>
          </cell>
          <cell r="AK774" t="str">
            <v>3P</v>
          </cell>
          <cell r="AL774">
            <v>213</v>
          </cell>
          <cell r="AM774">
            <v>87</v>
          </cell>
          <cell r="AN774" t="str">
            <v>08 Inactive Dealer</v>
          </cell>
          <cell r="AO774" t="str">
            <v>Southwest</v>
          </cell>
          <cell r="AP774" t="str">
            <v>West</v>
          </cell>
          <cell r="AQ774"/>
          <cell r="AR774">
            <v>0</v>
          </cell>
          <cell r="AS774">
            <v>0</v>
          </cell>
        </row>
        <row r="775">
          <cell r="A775">
            <v>10280</v>
          </cell>
          <cell r="B775" t="str">
            <v>ROCKING K , JOEVANN'S</v>
          </cell>
          <cell r="C775" t="str">
            <v>M10354</v>
          </cell>
          <cell r="D775" t="str">
            <v>NET 5, BT+</v>
          </cell>
          <cell r="E775" t="str">
            <v>FP - Wells Fargo</v>
          </cell>
          <cell r="F775" t="str">
            <v>Yes</v>
          </cell>
          <cell r="G775" t="str">
            <v>TX</v>
          </cell>
          <cell r="H775">
            <v>8</v>
          </cell>
          <cell r="I775">
            <v>0.66500000000000004</v>
          </cell>
          <cell r="J775" t="str">
            <v>Orphaned Acct</v>
          </cell>
          <cell r="K775" t="str">
            <v>ALAMOGORDO</v>
          </cell>
          <cell r="L775" t="str">
            <v>NM</v>
          </cell>
          <cell r="M775" t="str">
            <v>800-577-8858</v>
          </cell>
          <cell r="N775"/>
          <cell r="O775">
            <v>717</v>
          </cell>
          <cell r="P775">
            <v>3083.1</v>
          </cell>
          <cell r="Q775"/>
          <cell r="R775">
            <v>0</v>
          </cell>
          <cell r="S775"/>
          <cell r="T775">
            <v>0</v>
          </cell>
          <cell r="U775">
            <v>610</v>
          </cell>
          <cell r="V775">
            <v>2623</v>
          </cell>
          <cell r="W775">
            <v>643</v>
          </cell>
          <cell r="X775">
            <v>2764.9</v>
          </cell>
          <cell r="Y775"/>
          <cell r="Z775">
            <v>0</v>
          </cell>
          <cell r="AA775"/>
          <cell r="AB775">
            <v>0</v>
          </cell>
          <cell r="AC775"/>
          <cell r="AD775">
            <v>0</v>
          </cell>
          <cell r="AE775"/>
          <cell r="AF775"/>
          <cell r="AG775"/>
          <cell r="AH775"/>
          <cell r="AI775"/>
          <cell r="AJ775">
            <v>0</v>
          </cell>
          <cell r="AK775" t="str">
            <v>3P</v>
          </cell>
          <cell r="AL775">
            <v>213</v>
          </cell>
          <cell r="AM775">
            <v>128</v>
          </cell>
          <cell r="AN775" t="str">
            <v>08 Inactive Dealer</v>
          </cell>
          <cell r="AO775" t="str">
            <v>Southwest</v>
          </cell>
          <cell r="AP775" t="str">
            <v>West</v>
          </cell>
          <cell r="AQ775"/>
          <cell r="AR775">
            <v>0</v>
          </cell>
          <cell r="AS775">
            <v>0</v>
          </cell>
        </row>
        <row r="776">
          <cell r="A776">
            <v>12616</v>
          </cell>
          <cell r="B776" t="str">
            <v>T &amp; T TRAILER</v>
          </cell>
          <cell r="C776" t="str">
            <v>M10391</v>
          </cell>
          <cell r="D776" t="str">
            <v>NET 5, BT+</v>
          </cell>
          <cell r="E776" t="str">
            <v>CO</v>
          </cell>
          <cell r="F776" t="str">
            <v>Yes</v>
          </cell>
          <cell r="G776" t="str">
            <v>TX</v>
          </cell>
          <cell r="H776">
            <v>7</v>
          </cell>
          <cell r="I776">
            <v>0.66500000000000004</v>
          </cell>
          <cell r="J776" t="str">
            <v>Orphaned Acct</v>
          </cell>
          <cell r="K776" t="str">
            <v>BELEN</v>
          </cell>
          <cell r="L776" t="str">
            <v>NM</v>
          </cell>
          <cell r="M776" t="str">
            <v>800-577-8858</v>
          </cell>
          <cell r="N776"/>
          <cell r="O776">
            <v>775</v>
          </cell>
          <cell r="P776">
            <v>3332.5</v>
          </cell>
          <cell r="Q776"/>
          <cell r="R776">
            <v>0</v>
          </cell>
          <cell r="S776"/>
          <cell r="T776">
            <v>0</v>
          </cell>
          <cell r="U776">
            <v>696</v>
          </cell>
          <cell r="V776">
            <v>2992.7999999999997</v>
          </cell>
          <cell r="W776">
            <v>727</v>
          </cell>
          <cell r="X776">
            <v>3126.1</v>
          </cell>
          <cell r="Y776"/>
          <cell r="Z776">
            <v>0</v>
          </cell>
          <cell r="AA776"/>
          <cell r="AB776">
            <v>0</v>
          </cell>
          <cell r="AC776"/>
          <cell r="AD776">
            <v>0</v>
          </cell>
          <cell r="AE776"/>
          <cell r="AF776"/>
          <cell r="AG776"/>
          <cell r="AH776"/>
          <cell r="AI776"/>
          <cell r="AJ776">
            <v>0</v>
          </cell>
          <cell r="AK776" t="str">
            <v>3P</v>
          </cell>
          <cell r="AL776">
            <v>213</v>
          </cell>
          <cell r="AM776">
            <v>8</v>
          </cell>
          <cell r="AN776" t="str">
            <v>08 Inactive Dealer</v>
          </cell>
          <cell r="AO776" t="str">
            <v>Southwest</v>
          </cell>
          <cell r="AP776" t="str">
            <v>West</v>
          </cell>
          <cell r="AQ776"/>
          <cell r="AR776">
            <v>0</v>
          </cell>
          <cell r="AS776">
            <v>0</v>
          </cell>
          <cell r="AT776"/>
        </row>
        <row r="777">
          <cell r="A777">
            <v>13266</v>
          </cell>
          <cell r="B777" t="str">
            <v>TIP TOP TRAILER</v>
          </cell>
          <cell r="C777" t="str">
            <v>M11214</v>
          </cell>
          <cell r="D777" t="str">
            <v>NET 5, BT+</v>
          </cell>
          <cell r="E777" t="str">
            <v>F4 - Wells Fargo</v>
          </cell>
          <cell r="F777" t="str">
            <v>Yes</v>
          </cell>
          <cell r="G777" t="str">
            <v>TX</v>
          </cell>
          <cell r="H777">
            <v>8</v>
          </cell>
          <cell r="I777">
            <v>0.66500000000000004</v>
          </cell>
          <cell r="J777" t="str">
            <v>Orphaned Acct</v>
          </cell>
          <cell r="K777" t="str">
            <v>LAS CRUCES</v>
          </cell>
          <cell r="L777" t="str">
            <v>NM</v>
          </cell>
          <cell r="M777" t="str">
            <v>800-577-8858</v>
          </cell>
          <cell r="N777"/>
          <cell r="O777">
            <v>806</v>
          </cell>
          <cell r="P777">
            <v>3465.7999999999997</v>
          </cell>
          <cell r="Q777"/>
          <cell r="R777">
            <v>0</v>
          </cell>
          <cell r="S777"/>
          <cell r="T777">
            <v>0</v>
          </cell>
          <cell r="U777">
            <v>757</v>
          </cell>
          <cell r="V777">
            <v>3255.1</v>
          </cell>
          <cell r="W777">
            <v>732</v>
          </cell>
          <cell r="X777">
            <v>3147.6</v>
          </cell>
          <cell r="Y777"/>
          <cell r="Z777">
            <v>0</v>
          </cell>
          <cell r="AA777"/>
          <cell r="AB777">
            <v>0</v>
          </cell>
          <cell r="AC777"/>
          <cell r="AD777">
            <v>0</v>
          </cell>
          <cell r="AE777"/>
          <cell r="AF777"/>
          <cell r="AG777"/>
          <cell r="AH777"/>
          <cell r="AI777"/>
          <cell r="AJ777">
            <v>0</v>
          </cell>
          <cell r="AK777" t="str">
            <v>3P</v>
          </cell>
          <cell r="AL777">
            <v>213</v>
          </cell>
          <cell r="AM777">
            <v>244</v>
          </cell>
          <cell r="AN777" t="str">
            <v>02 Ramping</v>
          </cell>
          <cell r="AO777" t="str">
            <v>Southwest</v>
          </cell>
          <cell r="AP777" t="str">
            <v>West</v>
          </cell>
          <cell r="AQ777"/>
          <cell r="AR777">
            <v>0</v>
          </cell>
          <cell r="AS777">
            <v>0</v>
          </cell>
          <cell r="AT777"/>
        </row>
        <row r="778">
          <cell r="A778">
            <v>13123</v>
          </cell>
          <cell r="B778" t="str">
            <v>5TH GEAR POWERSPORTS</v>
          </cell>
          <cell r="C778" t="str">
            <v>M11041</v>
          </cell>
          <cell r="D778" t="str">
            <v>NET 5, BT+</v>
          </cell>
          <cell r="E778" t="str">
            <v>F3 - Wells Fargo</v>
          </cell>
          <cell r="F778" t="str">
            <v>Yes</v>
          </cell>
          <cell r="G778" t="str">
            <v>ID</v>
          </cell>
          <cell r="H778">
            <v>8</v>
          </cell>
          <cell r="I778">
            <v>0.66500000000000004</v>
          </cell>
          <cell r="J778" t="str">
            <v>Nate Erickson</v>
          </cell>
          <cell r="K778" t="str">
            <v>ELKO</v>
          </cell>
          <cell r="L778" t="str">
            <v>NV</v>
          </cell>
          <cell r="M778" t="str">
            <v>903-575-5204</v>
          </cell>
          <cell r="N778"/>
          <cell r="O778">
            <v>1586</v>
          </cell>
          <cell r="P778">
            <v>6819.7999999999993</v>
          </cell>
          <cell r="Q778"/>
          <cell r="R778">
            <v>0</v>
          </cell>
          <cell r="S778">
            <v>317</v>
          </cell>
          <cell r="T778">
            <v>1363.1</v>
          </cell>
          <cell r="U778">
            <v>1507</v>
          </cell>
          <cell r="V778">
            <v>6480.0999999999995</v>
          </cell>
          <cell r="W778">
            <v>1538</v>
          </cell>
          <cell r="X778">
            <v>6613.4</v>
          </cell>
          <cell r="Y778"/>
          <cell r="Z778">
            <v>0</v>
          </cell>
          <cell r="AA778"/>
          <cell r="AB778">
            <v>0</v>
          </cell>
          <cell r="AC778"/>
          <cell r="AD778">
            <v>0</v>
          </cell>
          <cell r="AE778"/>
          <cell r="AF778"/>
          <cell r="AG778"/>
          <cell r="AH778"/>
          <cell r="AI778"/>
          <cell r="AJ778">
            <v>0</v>
          </cell>
          <cell r="AK778" t="str">
            <v>3P</v>
          </cell>
          <cell r="AL778">
            <v>187</v>
          </cell>
          <cell r="AM778">
            <v>372</v>
          </cell>
          <cell r="AN778" t="str">
            <v>01 Existing Dealer</v>
          </cell>
          <cell r="AO778" t="str">
            <v>Southwest</v>
          </cell>
          <cell r="AP778" t="str">
            <v>West</v>
          </cell>
          <cell r="AQ778"/>
          <cell r="AR778">
            <v>0</v>
          </cell>
          <cell r="AS778">
            <v>0</v>
          </cell>
          <cell r="AT778"/>
        </row>
        <row r="779">
          <cell r="A779">
            <v>13547</v>
          </cell>
          <cell r="B779" t="str">
            <v>ANDERSON FORD</v>
          </cell>
          <cell r="C779" t="str">
            <v>M11518</v>
          </cell>
          <cell r="D779" t="str">
            <v>NET 5, BT+</v>
          </cell>
          <cell r="E779" t="str">
            <v>CO</v>
          </cell>
          <cell r="F779" t="str">
            <v>Yes</v>
          </cell>
          <cell r="G779" t="str">
            <v>ID</v>
          </cell>
          <cell r="H779">
            <v>7</v>
          </cell>
          <cell r="I779">
            <v>0.7</v>
          </cell>
          <cell r="J779" t="str">
            <v>Nate Erickson</v>
          </cell>
          <cell r="K779" t="str">
            <v>FALLON</v>
          </cell>
          <cell r="L779" t="str">
            <v>NV</v>
          </cell>
          <cell r="M779" t="str">
            <v>800-577-8858</v>
          </cell>
          <cell r="N779"/>
          <cell r="O779">
            <v>1697</v>
          </cell>
          <cell r="P779">
            <v>7297.0999999999995</v>
          </cell>
          <cell r="Q779"/>
          <cell r="R779">
            <v>0</v>
          </cell>
          <cell r="S779">
            <v>370</v>
          </cell>
          <cell r="T779">
            <v>1591</v>
          </cell>
          <cell r="U779">
            <v>1618</v>
          </cell>
          <cell r="V779">
            <v>6957.4</v>
          </cell>
          <cell r="W779">
            <v>1648</v>
          </cell>
          <cell r="X779">
            <v>7086.4</v>
          </cell>
          <cell r="Y779"/>
          <cell r="Z779">
            <v>0</v>
          </cell>
          <cell r="AA779"/>
          <cell r="AB779">
            <v>0</v>
          </cell>
          <cell r="AC779"/>
          <cell r="AD779">
            <v>0</v>
          </cell>
          <cell r="AE779"/>
          <cell r="AF779"/>
          <cell r="AG779"/>
          <cell r="AH779"/>
          <cell r="AI779"/>
          <cell r="AJ779">
            <v>0</v>
          </cell>
          <cell r="AK779" t="str">
            <v>3P</v>
          </cell>
          <cell r="AL779">
            <v>187</v>
          </cell>
          <cell r="AM779">
            <v>372</v>
          </cell>
          <cell r="AN779" t="str">
            <v>03 New Dealer</v>
          </cell>
          <cell r="AO779" t="str">
            <v>Southwest</v>
          </cell>
          <cell r="AP779" t="str">
            <v>West</v>
          </cell>
          <cell r="AQ779"/>
          <cell r="AR779">
            <v>0</v>
          </cell>
          <cell r="AS779">
            <v>0</v>
          </cell>
        </row>
        <row r="780">
          <cell r="A780">
            <v>12780</v>
          </cell>
          <cell r="B780" t="str">
            <v>CARTER-GRIFFIN INC</v>
          </cell>
          <cell r="C780" t="str">
            <v>M10135</v>
          </cell>
          <cell r="D780" t="str">
            <v>NET 5, BT+</v>
          </cell>
          <cell r="E780" t="str">
            <v>CO</v>
          </cell>
          <cell r="F780" t="str">
            <v>Yes</v>
          </cell>
          <cell r="G780" t="str">
            <v>ID</v>
          </cell>
          <cell r="H780">
            <v>7</v>
          </cell>
          <cell r="I780">
            <v>0.66500000000000004</v>
          </cell>
          <cell r="J780" t="str">
            <v>Nate Erickson</v>
          </cell>
          <cell r="K780" t="str">
            <v>LUND</v>
          </cell>
          <cell r="L780" t="str">
            <v>NV</v>
          </cell>
          <cell r="M780" t="str">
            <v>800-577-8858</v>
          </cell>
          <cell r="N780"/>
          <cell r="O780">
            <v>1518</v>
          </cell>
          <cell r="P780">
            <v>6527.4</v>
          </cell>
          <cell r="Q780"/>
          <cell r="R780">
            <v>0</v>
          </cell>
          <cell r="S780">
            <v>441</v>
          </cell>
          <cell r="T780">
            <v>1896.3</v>
          </cell>
          <cell r="U780">
            <v>1518</v>
          </cell>
          <cell r="V780">
            <v>6527.4</v>
          </cell>
          <cell r="W780">
            <v>1439</v>
          </cell>
          <cell r="X780">
            <v>6187.7</v>
          </cell>
          <cell r="Y780"/>
          <cell r="Z780">
            <v>0</v>
          </cell>
          <cell r="AA780"/>
          <cell r="AB780">
            <v>0</v>
          </cell>
          <cell r="AC780"/>
          <cell r="AD780">
            <v>0</v>
          </cell>
          <cell r="AE780"/>
          <cell r="AF780"/>
          <cell r="AG780"/>
          <cell r="AH780"/>
          <cell r="AI780"/>
          <cell r="AJ780">
            <v>0</v>
          </cell>
          <cell r="AK780" t="str">
            <v>3P</v>
          </cell>
          <cell r="AL780">
            <v>187</v>
          </cell>
          <cell r="AM780">
            <v>399</v>
          </cell>
          <cell r="AN780" t="str">
            <v>01 Existing Dealer</v>
          </cell>
          <cell r="AO780" t="str">
            <v>Southwest</v>
          </cell>
          <cell r="AP780" t="str">
            <v>West</v>
          </cell>
          <cell r="AQ780"/>
          <cell r="AR780">
            <v>53137</v>
          </cell>
          <cell r="AS780">
            <v>0</v>
          </cell>
          <cell r="AT780"/>
        </row>
        <row r="781">
          <cell r="A781">
            <v>10134</v>
          </cell>
          <cell r="B781" t="str">
            <v>CHILDRESS</v>
          </cell>
          <cell r="C781" t="str">
            <v>M10142</v>
          </cell>
          <cell r="D781" t="str">
            <v>NET 5, BT+</v>
          </cell>
          <cell r="E781" t="str">
            <v>CO</v>
          </cell>
          <cell r="F781" t="str">
            <v>Yes</v>
          </cell>
          <cell r="G781" t="str">
            <v>TX</v>
          </cell>
          <cell r="H781">
            <v>7</v>
          </cell>
          <cell r="I781">
            <v>0.7</v>
          </cell>
          <cell r="J781" t="str">
            <v>Nate Erickson</v>
          </cell>
          <cell r="K781" t="str">
            <v>LAS VEGAS</v>
          </cell>
          <cell r="L781" t="str">
            <v>NV</v>
          </cell>
          <cell r="M781" t="str">
            <v>208-459-0106</v>
          </cell>
          <cell r="N781"/>
          <cell r="O781">
            <v>1316</v>
          </cell>
          <cell r="P781">
            <v>5658.8</v>
          </cell>
          <cell r="Q781"/>
          <cell r="R781">
            <v>0</v>
          </cell>
          <cell r="S781">
            <v>643</v>
          </cell>
          <cell r="T781">
            <v>2764.9</v>
          </cell>
          <cell r="U781">
            <v>1237</v>
          </cell>
          <cell r="V781">
            <v>5319.0999999999995</v>
          </cell>
          <cell r="W781">
            <v>1268</v>
          </cell>
          <cell r="X781">
            <v>5452.4</v>
          </cell>
          <cell r="Y781"/>
          <cell r="Z781">
            <v>0</v>
          </cell>
          <cell r="AA781"/>
          <cell r="AB781">
            <v>0</v>
          </cell>
          <cell r="AC781"/>
          <cell r="AD781">
            <v>0</v>
          </cell>
          <cell r="AE781"/>
          <cell r="AF781"/>
          <cell r="AG781"/>
          <cell r="AH781"/>
          <cell r="AI781"/>
          <cell r="AJ781">
            <v>2.5000000000000001E-2</v>
          </cell>
          <cell r="AK781" t="str">
            <v>3P</v>
          </cell>
          <cell r="AL781">
            <v>187</v>
          </cell>
          <cell r="AM781">
            <v>245</v>
          </cell>
          <cell r="AN781" t="str">
            <v>01 Existing Dealer</v>
          </cell>
          <cell r="AO781" t="str">
            <v>Southwest</v>
          </cell>
          <cell r="AP781" t="str">
            <v>West</v>
          </cell>
          <cell r="AQ781"/>
          <cell r="AR781">
            <v>99432</v>
          </cell>
          <cell r="AS781">
            <v>87425</v>
          </cell>
        </row>
        <row r="782">
          <cell r="A782">
            <v>10654</v>
          </cell>
          <cell r="B782" t="str">
            <v>CHILDRESS</v>
          </cell>
          <cell r="C782" t="str">
            <v>M10142</v>
          </cell>
          <cell r="D782" t="str">
            <v>NET 5, BT+</v>
          </cell>
          <cell r="E782" t="str">
            <v>S1</v>
          </cell>
          <cell r="F782" t="str">
            <v>Copies Only</v>
          </cell>
          <cell r="G782" t="str">
            <v>TX</v>
          </cell>
          <cell r="H782">
            <v>9</v>
          </cell>
          <cell r="I782">
            <v>0.7</v>
          </cell>
          <cell r="J782" t="str">
            <v>Nate Erickson</v>
          </cell>
          <cell r="K782" t="str">
            <v>LAS VEGAS</v>
          </cell>
          <cell r="L782" t="str">
            <v>NV</v>
          </cell>
          <cell r="M782" t="str">
            <v>208-459-0106</v>
          </cell>
          <cell r="N782"/>
          <cell r="O782">
            <v>1316</v>
          </cell>
          <cell r="P782">
            <v>5658.8</v>
          </cell>
          <cell r="Q782"/>
          <cell r="R782">
            <v>0</v>
          </cell>
          <cell r="S782">
            <v>643</v>
          </cell>
          <cell r="T782">
            <v>2764.9</v>
          </cell>
          <cell r="U782">
            <v>1237</v>
          </cell>
          <cell r="V782">
            <v>5319.0999999999995</v>
          </cell>
          <cell r="W782">
            <v>1268</v>
          </cell>
          <cell r="X782">
            <v>5452.4</v>
          </cell>
          <cell r="Y782"/>
          <cell r="Z782">
            <v>0</v>
          </cell>
          <cell r="AA782"/>
          <cell r="AB782">
            <v>0</v>
          </cell>
          <cell r="AC782"/>
          <cell r="AD782">
            <v>0</v>
          </cell>
          <cell r="AE782"/>
          <cell r="AF782"/>
          <cell r="AG782"/>
          <cell r="AH782"/>
          <cell r="AI782"/>
          <cell r="AJ782">
            <v>0.01</v>
          </cell>
          <cell r="AK782" t="str">
            <v>3P</v>
          </cell>
          <cell r="AL782">
            <v>187</v>
          </cell>
          <cell r="AM782">
            <v>245</v>
          </cell>
          <cell r="AN782" t="str">
            <v>01 Existing Dealer</v>
          </cell>
          <cell r="AO782" t="str">
            <v>Southwest</v>
          </cell>
          <cell r="AP782" t="str">
            <v>West</v>
          </cell>
          <cell r="AQ782"/>
          <cell r="AR782">
            <v>0</v>
          </cell>
          <cell r="AS782">
            <v>0</v>
          </cell>
        </row>
        <row r="783">
          <cell r="A783">
            <v>12734</v>
          </cell>
          <cell r="B783" t="str">
            <v>FEATHERLITE OF RENO INC</v>
          </cell>
          <cell r="C783" t="str">
            <v>M10194</v>
          </cell>
          <cell r="D783" t="str">
            <v>NET 5, BT+</v>
          </cell>
          <cell r="E783" t="str">
            <v>CO</v>
          </cell>
          <cell r="F783" t="str">
            <v>Yes</v>
          </cell>
          <cell r="G783" t="str">
            <v>ID</v>
          </cell>
          <cell r="H783">
            <v>7</v>
          </cell>
          <cell r="I783">
            <v>0.7</v>
          </cell>
          <cell r="J783" t="str">
            <v>Nate Erickson</v>
          </cell>
          <cell r="K783" t="str">
            <v>RENO</v>
          </cell>
          <cell r="L783" t="str">
            <v>NV</v>
          </cell>
          <cell r="M783" t="str">
            <v>208-459-0106</v>
          </cell>
          <cell r="N783"/>
          <cell r="O783">
            <v>1761</v>
          </cell>
          <cell r="P783">
            <v>7572.2999999999993</v>
          </cell>
          <cell r="Q783"/>
          <cell r="R783">
            <v>0</v>
          </cell>
          <cell r="S783">
            <v>409</v>
          </cell>
          <cell r="T783">
            <v>1758.6999999999998</v>
          </cell>
          <cell r="U783">
            <v>1682</v>
          </cell>
          <cell r="V783">
            <v>7232.5999999999995</v>
          </cell>
          <cell r="W783">
            <v>1713</v>
          </cell>
          <cell r="X783">
            <v>7365.9</v>
          </cell>
          <cell r="Y783"/>
          <cell r="Z783">
            <v>0</v>
          </cell>
          <cell r="AA783"/>
          <cell r="AB783">
            <v>0</v>
          </cell>
          <cell r="AC783"/>
          <cell r="AD783">
            <v>0</v>
          </cell>
          <cell r="AE783"/>
          <cell r="AF783"/>
          <cell r="AG783"/>
          <cell r="AH783"/>
          <cell r="AI783"/>
          <cell r="AJ783">
            <v>1.4999999999999999E-2</v>
          </cell>
          <cell r="AK783" t="str">
            <v>3P</v>
          </cell>
          <cell r="AL783">
            <v>187</v>
          </cell>
          <cell r="AM783">
            <v>372</v>
          </cell>
          <cell r="AN783" t="str">
            <v>01 Existing Dealer</v>
          </cell>
          <cell r="AO783" t="str">
            <v>Southwest</v>
          </cell>
          <cell r="AP783" t="str">
            <v>West</v>
          </cell>
          <cell r="AQ783"/>
          <cell r="AR783">
            <v>0</v>
          </cell>
          <cell r="AS783">
            <v>0</v>
          </cell>
        </row>
        <row r="784">
          <cell r="A784">
            <v>12755</v>
          </cell>
          <cell r="B784" t="str">
            <v>FEATHERLITE OF RENO INC</v>
          </cell>
          <cell r="C784" t="str">
            <v>M10194</v>
          </cell>
          <cell r="D784" t="str">
            <v>NET 5, BT+</v>
          </cell>
          <cell r="E784" t="str">
            <v>F1 - Northpoint</v>
          </cell>
          <cell r="F784" t="str">
            <v>Yes</v>
          </cell>
          <cell r="G784" t="str">
            <v>ID</v>
          </cell>
          <cell r="H784">
            <v>8</v>
          </cell>
          <cell r="I784">
            <v>0.7</v>
          </cell>
          <cell r="J784" t="str">
            <v>Nate Erickson</v>
          </cell>
          <cell r="K784" t="str">
            <v>RENO</v>
          </cell>
          <cell r="L784" t="str">
            <v>NV</v>
          </cell>
          <cell r="M784" t="str">
            <v>208-459-0106</v>
          </cell>
          <cell r="N784"/>
          <cell r="O784">
            <v>1761</v>
          </cell>
          <cell r="P784">
            <v>7572.2999999999993</v>
          </cell>
          <cell r="Q784"/>
          <cell r="R784">
            <v>0</v>
          </cell>
          <cell r="S784">
            <v>409</v>
          </cell>
          <cell r="T784">
            <v>1758.6999999999998</v>
          </cell>
          <cell r="U784">
            <v>1682</v>
          </cell>
          <cell r="V784">
            <v>7232.5999999999995</v>
          </cell>
          <cell r="W784">
            <v>1713</v>
          </cell>
          <cell r="X784">
            <v>7365.9</v>
          </cell>
          <cell r="Y784"/>
          <cell r="Z784">
            <v>0</v>
          </cell>
          <cell r="AA784"/>
          <cell r="AB784">
            <v>0</v>
          </cell>
          <cell r="AC784"/>
          <cell r="AD784">
            <v>0</v>
          </cell>
          <cell r="AE784"/>
          <cell r="AF784"/>
          <cell r="AG784"/>
          <cell r="AH784"/>
          <cell r="AI784"/>
          <cell r="AJ784">
            <v>1.4999999999999999E-2</v>
          </cell>
          <cell r="AK784" t="str">
            <v>3P</v>
          </cell>
          <cell r="AL784">
            <v>187</v>
          </cell>
          <cell r="AM784">
            <v>372</v>
          </cell>
          <cell r="AN784" t="str">
            <v>01 Existing Dealer</v>
          </cell>
          <cell r="AO784" t="str">
            <v>Southwest</v>
          </cell>
          <cell r="AP784" t="str">
            <v>West</v>
          </cell>
          <cell r="AQ784"/>
          <cell r="AR784">
            <v>0</v>
          </cell>
          <cell r="AS784">
            <v>0</v>
          </cell>
        </row>
        <row r="785">
          <cell r="A785">
            <v>12691</v>
          </cell>
          <cell r="B785" t="str">
            <v>MEQUITE LUMBER SUPPLY/ACE HARDWARE</v>
          </cell>
          <cell r="C785" t="str">
            <v>M10426</v>
          </cell>
          <cell r="D785" t="str">
            <v>NET 5, BT+</v>
          </cell>
          <cell r="E785" t="str">
            <v>COD</v>
          </cell>
          <cell r="F785" t="str">
            <v>Yes</v>
          </cell>
          <cell r="G785" t="str">
            <v>ID</v>
          </cell>
          <cell r="H785">
            <v>7</v>
          </cell>
          <cell r="I785">
            <v>0.7</v>
          </cell>
          <cell r="J785" t="str">
            <v>Orphaned Acct</v>
          </cell>
          <cell r="K785" t="str">
            <v>MESQUITE</v>
          </cell>
          <cell r="L785" t="str">
            <v>NV</v>
          </cell>
          <cell r="M785" t="str">
            <v>208-459-0106</v>
          </cell>
          <cell r="N785"/>
          <cell r="O785">
            <v>1392</v>
          </cell>
          <cell r="P785">
            <v>5985.5999999999995</v>
          </cell>
          <cell r="Q785"/>
          <cell r="R785">
            <v>0</v>
          </cell>
          <cell r="S785">
            <v>701</v>
          </cell>
          <cell r="T785">
            <v>3014.2999999999997</v>
          </cell>
          <cell r="U785">
            <v>1313</v>
          </cell>
          <cell r="V785">
            <v>5645.9</v>
          </cell>
          <cell r="W785">
            <v>1344</v>
          </cell>
          <cell r="X785">
            <v>5779.2</v>
          </cell>
          <cell r="Y785"/>
          <cell r="Z785">
            <v>0</v>
          </cell>
          <cell r="AA785"/>
          <cell r="AB785">
            <v>0</v>
          </cell>
          <cell r="AC785"/>
          <cell r="AD785">
            <v>0</v>
          </cell>
          <cell r="AE785"/>
          <cell r="AF785"/>
          <cell r="AG785"/>
          <cell r="AH785"/>
          <cell r="AI785"/>
          <cell r="AJ785">
            <v>0</v>
          </cell>
          <cell r="AK785" t="str">
            <v>3P</v>
          </cell>
          <cell r="AL785">
            <v>213</v>
          </cell>
          <cell r="AM785">
            <v>245</v>
          </cell>
          <cell r="AN785" t="str">
            <v>08 Inactive Dealer</v>
          </cell>
          <cell r="AO785" t="str">
            <v>Southwest</v>
          </cell>
          <cell r="AP785" t="str">
            <v>West</v>
          </cell>
          <cell r="AQ785"/>
          <cell r="AR785">
            <v>0</v>
          </cell>
          <cell r="AS785">
            <v>0</v>
          </cell>
        </row>
        <row r="786">
          <cell r="A786">
            <v>10208</v>
          </cell>
          <cell r="B786" t="str">
            <v>OTT'S FARM EQUIPMENT</v>
          </cell>
          <cell r="C786" t="str">
            <v>M10313</v>
          </cell>
          <cell r="D786" t="str">
            <v>NET 5, BT+</v>
          </cell>
          <cell r="E786" t="str">
            <v>CO</v>
          </cell>
          <cell r="F786" t="str">
            <v>Yes</v>
          </cell>
          <cell r="G786" t="str">
            <v>ID</v>
          </cell>
          <cell r="H786">
            <v>7</v>
          </cell>
          <cell r="I786">
            <v>0.7</v>
          </cell>
          <cell r="J786" t="str">
            <v>Orphaned Acct</v>
          </cell>
          <cell r="K786" t="str">
            <v>FALLON</v>
          </cell>
          <cell r="L786" t="str">
            <v>NV</v>
          </cell>
          <cell r="M786" t="str">
            <v>800-577-8858</v>
          </cell>
          <cell r="N786"/>
          <cell r="O786">
            <v>1697</v>
          </cell>
          <cell r="P786">
            <v>7297.0999999999995</v>
          </cell>
          <cell r="Q786"/>
          <cell r="R786">
            <v>0</v>
          </cell>
          <cell r="S786">
            <v>370</v>
          </cell>
          <cell r="T786">
            <v>1591</v>
          </cell>
          <cell r="U786">
            <v>1618</v>
          </cell>
          <cell r="V786">
            <v>6957.4</v>
          </cell>
          <cell r="W786">
            <v>1648</v>
          </cell>
          <cell r="X786">
            <v>7086.4</v>
          </cell>
          <cell r="Y786"/>
          <cell r="Z786">
            <v>0</v>
          </cell>
          <cell r="AA786"/>
          <cell r="AB786">
            <v>0</v>
          </cell>
          <cell r="AC786"/>
          <cell r="AD786">
            <v>0</v>
          </cell>
          <cell r="AE786"/>
          <cell r="AF786"/>
          <cell r="AG786"/>
          <cell r="AH786"/>
          <cell r="AI786"/>
          <cell r="AJ786">
            <v>0</v>
          </cell>
          <cell r="AK786" t="str">
            <v>3P</v>
          </cell>
          <cell r="AL786">
            <v>213</v>
          </cell>
          <cell r="AM786">
            <v>372</v>
          </cell>
          <cell r="AN786" t="str">
            <v>01 Existing Dealer</v>
          </cell>
          <cell r="AO786" t="str">
            <v>Southwest</v>
          </cell>
          <cell r="AP786" t="str">
            <v>West</v>
          </cell>
          <cell r="AQ786"/>
          <cell r="AR786">
            <v>0</v>
          </cell>
          <cell r="AS786">
            <v>0</v>
          </cell>
        </row>
        <row r="787">
          <cell r="A787">
            <v>12889</v>
          </cell>
          <cell r="B787" t="str">
            <v>TW RENO</v>
          </cell>
          <cell r="C787" t="str">
            <v>M10074</v>
          </cell>
          <cell r="D787" t="str">
            <v>Net 30, no pink card</v>
          </cell>
          <cell r="E787">
            <v>30</v>
          </cell>
          <cell r="F787" t="str">
            <v>Yes</v>
          </cell>
          <cell r="G787" t="str">
            <v>ID</v>
          </cell>
          <cell r="H787">
            <v>10</v>
          </cell>
          <cell r="I787">
            <v>0.7</v>
          </cell>
          <cell r="J787" t="str">
            <v>Jake McEntee</v>
          </cell>
          <cell r="K787" t="str">
            <v>RENO</v>
          </cell>
          <cell r="L787" t="str">
            <v>NV</v>
          </cell>
          <cell r="M787" t="str">
            <v>800-577-8858</v>
          </cell>
          <cell r="N787" t="str">
            <v>All tandem axle trailers must have BRK2</v>
          </cell>
          <cell r="O787">
            <v>1749</v>
          </cell>
          <cell r="P787">
            <v>7520.7</v>
          </cell>
          <cell r="Q787"/>
          <cell r="R787">
            <v>0</v>
          </cell>
          <cell r="S787">
            <v>421</v>
          </cell>
          <cell r="T787">
            <v>1810.3</v>
          </cell>
          <cell r="U787">
            <v>1670</v>
          </cell>
          <cell r="V787">
            <v>7181</v>
          </cell>
          <cell r="W787">
            <v>1700</v>
          </cell>
          <cell r="X787">
            <v>7310</v>
          </cell>
          <cell r="Y787"/>
          <cell r="Z787">
            <v>0</v>
          </cell>
          <cell r="AA787"/>
          <cell r="AB787">
            <v>0</v>
          </cell>
          <cell r="AC787"/>
          <cell r="AD787">
            <v>0</v>
          </cell>
          <cell r="AE787">
            <v>4.3200000000000002E-2</v>
          </cell>
          <cell r="AF787"/>
          <cell r="AG787">
            <v>4.3200000000000002E-2</v>
          </cell>
          <cell r="AH787">
            <v>0.10811</v>
          </cell>
          <cell r="AI787">
            <v>0.10811</v>
          </cell>
          <cell r="AJ787">
            <v>0.04</v>
          </cell>
          <cell r="AK787" t="str">
            <v>TW</v>
          </cell>
          <cell r="AL787">
            <v>161</v>
          </cell>
          <cell r="AM787">
            <v>372</v>
          </cell>
          <cell r="AN787" t="str">
            <v>04 Co.Store</v>
          </cell>
          <cell r="AO787" t="str">
            <v>Southwest</v>
          </cell>
          <cell r="AP787" t="str">
            <v>West</v>
          </cell>
          <cell r="AQ787"/>
          <cell r="AR787">
            <v>123880</v>
          </cell>
          <cell r="AS787">
            <v>160702</v>
          </cell>
        </row>
        <row r="788">
          <cell r="A788">
            <v>12336</v>
          </cell>
          <cell r="B788" t="str">
            <v>AJ'S AUTOMOTIVE &amp; TRUCK INC</v>
          </cell>
          <cell r="C788" t="str">
            <v>M10018</v>
          </cell>
          <cell r="D788" t="str">
            <v>NET 5, BT+</v>
          </cell>
          <cell r="E788" t="str">
            <v>CO</v>
          </cell>
          <cell r="F788" t="str">
            <v>Yes</v>
          </cell>
          <cell r="G788" t="str">
            <v>OH</v>
          </cell>
          <cell r="H788">
            <v>7</v>
          </cell>
          <cell r="I788">
            <v>0.66500000000000004</v>
          </cell>
          <cell r="J788" t="str">
            <v>Orphaned Acct</v>
          </cell>
          <cell r="K788" t="str">
            <v>ATTICA</v>
          </cell>
          <cell r="L788" t="str">
            <v>NY</v>
          </cell>
          <cell r="M788" t="str">
            <v>800-577-8858</v>
          </cell>
          <cell r="N788"/>
          <cell r="O788">
            <v>1280</v>
          </cell>
          <cell r="P788">
            <v>5504</v>
          </cell>
          <cell r="Q788">
            <v>1033</v>
          </cell>
          <cell r="R788">
            <v>4441.8999999999996</v>
          </cell>
          <cell r="S788"/>
          <cell r="T788">
            <v>0</v>
          </cell>
          <cell r="U788">
            <v>1334</v>
          </cell>
          <cell r="V788">
            <v>5736.2</v>
          </cell>
          <cell r="W788">
            <v>1361</v>
          </cell>
          <cell r="X788">
            <v>5852.3</v>
          </cell>
          <cell r="Y788">
            <v>443</v>
          </cell>
          <cell r="Z788">
            <v>1904.8999999999999</v>
          </cell>
          <cell r="AA788">
            <v>443</v>
          </cell>
          <cell r="AB788">
            <v>1904.8999999999999</v>
          </cell>
          <cell r="AC788">
            <v>443</v>
          </cell>
          <cell r="AD788">
            <v>1904.8999999999999</v>
          </cell>
          <cell r="AE788"/>
          <cell r="AF788"/>
          <cell r="AG788"/>
          <cell r="AH788"/>
          <cell r="AI788"/>
          <cell r="AJ788">
            <v>0</v>
          </cell>
          <cell r="AK788" t="str">
            <v>3P</v>
          </cell>
          <cell r="AL788">
            <v>213</v>
          </cell>
          <cell r="AM788">
            <v>60</v>
          </cell>
          <cell r="AN788" t="str">
            <v>08 Inactive Dealer</v>
          </cell>
          <cell r="AO788" t="str">
            <v>Northeast</v>
          </cell>
          <cell r="AP788" t="str">
            <v>North</v>
          </cell>
          <cell r="AQ788"/>
          <cell r="AR788">
            <v>0</v>
          </cell>
          <cell r="AS788">
            <v>0</v>
          </cell>
        </row>
        <row r="789">
          <cell r="A789">
            <v>12314</v>
          </cell>
          <cell r="B789" t="str">
            <v>BROOKS FACTORY DIRECT</v>
          </cell>
          <cell r="C789" t="str">
            <v>M10191</v>
          </cell>
          <cell r="D789" t="str">
            <v>NET 5, BT+</v>
          </cell>
          <cell r="E789" t="str">
            <v>CO</v>
          </cell>
          <cell r="F789" t="str">
            <v>Yes</v>
          </cell>
          <cell r="G789" t="str">
            <v>OH</v>
          </cell>
          <cell r="H789">
            <v>7</v>
          </cell>
          <cell r="I789">
            <v>0.66500000000000004</v>
          </cell>
          <cell r="J789" t="str">
            <v>Orphaned Acct</v>
          </cell>
          <cell r="K789" t="str">
            <v>ONTARIO</v>
          </cell>
          <cell r="L789" t="str">
            <v>NY</v>
          </cell>
          <cell r="M789" t="str">
            <v>800-577-8858</v>
          </cell>
          <cell r="N789" t="str">
            <v>All tandem axle trailers must have BRK2</v>
          </cell>
          <cell r="O789">
            <v>1346</v>
          </cell>
          <cell r="P789">
            <v>5787.8</v>
          </cell>
          <cell r="Q789">
            <v>1098</v>
          </cell>
          <cell r="R789">
            <v>4721.3999999999996</v>
          </cell>
          <cell r="S789"/>
          <cell r="T789">
            <v>0</v>
          </cell>
          <cell r="U789">
            <v>1399</v>
          </cell>
          <cell r="V789">
            <v>6015.7</v>
          </cell>
          <cell r="W789">
            <v>1426</v>
          </cell>
          <cell r="X789">
            <v>6131.8</v>
          </cell>
          <cell r="Y789">
            <v>510</v>
          </cell>
          <cell r="Z789">
            <v>2193</v>
          </cell>
          <cell r="AA789">
            <v>510</v>
          </cell>
          <cell r="AB789">
            <v>2193</v>
          </cell>
          <cell r="AC789">
            <v>510</v>
          </cell>
          <cell r="AD789">
            <v>2193</v>
          </cell>
          <cell r="AE789"/>
          <cell r="AF789"/>
          <cell r="AG789"/>
          <cell r="AH789"/>
          <cell r="AI789"/>
          <cell r="AJ789">
            <v>0</v>
          </cell>
          <cell r="AK789" t="str">
            <v>3P</v>
          </cell>
          <cell r="AL789">
            <v>213</v>
          </cell>
          <cell r="AM789">
            <v>379</v>
          </cell>
          <cell r="AN789" t="str">
            <v>01 Existing Dealer</v>
          </cell>
          <cell r="AO789" t="str">
            <v>Northeast</v>
          </cell>
          <cell r="AP789" t="str">
            <v>North</v>
          </cell>
          <cell r="AQ789"/>
          <cell r="AR789">
            <v>0</v>
          </cell>
          <cell r="AS789">
            <v>0</v>
          </cell>
        </row>
        <row r="790">
          <cell r="A790">
            <v>13151</v>
          </cell>
          <cell r="B790" t="str">
            <v>BROOKS FACTORY DIRECT</v>
          </cell>
          <cell r="C790" t="str">
            <v>M10191</v>
          </cell>
          <cell r="D790" t="str">
            <v>NET 5, BT+</v>
          </cell>
          <cell r="E790" t="str">
            <v>CO</v>
          </cell>
          <cell r="F790" t="str">
            <v>Yes</v>
          </cell>
          <cell r="G790" t="str">
            <v>OH</v>
          </cell>
          <cell r="H790">
            <v>7</v>
          </cell>
          <cell r="I790">
            <v>0.66500000000000004</v>
          </cell>
          <cell r="J790" t="str">
            <v>Orphaned Acct</v>
          </cell>
          <cell r="K790" t="str">
            <v>ONTARIO</v>
          </cell>
          <cell r="L790" t="str">
            <v>NY</v>
          </cell>
          <cell r="M790" t="str">
            <v>800-577-8858</v>
          </cell>
          <cell r="N790" t="str">
            <v>All tandem axle trailers must have BRK2</v>
          </cell>
          <cell r="O790">
            <v>1346</v>
          </cell>
          <cell r="P790">
            <v>5787.8</v>
          </cell>
          <cell r="Q790">
            <v>1098</v>
          </cell>
          <cell r="R790">
            <v>4721.3999999999996</v>
          </cell>
          <cell r="S790"/>
          <cell r="T790">
            <v>0</v>
          </cell>
          <cell r="U790">
            <v>1399</v>
          </cell>
          <cell r="V790">
            <v>6015.7</v>
          </cell>
          <cell r="W790">
            <v>1426</v>
          </cell>
          <cell r="X790">
            <v>6131.8</v>
          </cell>
          <cell r="Y790">
            <v>510</v>
          </cell>
          <cell r="Z790">
            <v>2193</v>
          </cell>
          <cell r="AA790">
            <v>510</v>
          </cell>
          <cell r="AB790">
            <v>2193</v>
          </cell>
          <cell r="AC790">
            <v>510</v>
          </cell>
          <cell r="AD790">
            <v>2193</v>
          </cell>
          <cell r="AE790"/>
          <cell r="AF790"/>
          <cell r="AG790"/>
          <cell r="AH790"/>
          <cell r="AI790"/>
          <cell r="AJ790">
            <v>0</v>
          </cell>
          <cell r="AK790" t="str">
            <v>3P</v>
          </cell>
          <cell r="AL790">
            <v>213</v>
          </cell>
          <cell r="AM790">
            <v>379</v>
          </cell>
          <cell r="AN790" t="str">
            <v>01 Existing Dealer</v>
          </cell>
          <cell r="AO790" t="str">
            <v>Northeast</v>
          </cell>
          <cell r="AP790" t="str">
            <v>North</v>
          </cell>
          <cell r="AQ790"/>
          <cell r="AR790">
            <v>0</v>
          </cell>
          <cell r="AS790">
            <v>0</v>
          </cell>
        </row>
        <row r="791">
          <cell r="A791">
            <v>11663</v>
          </cell>
          <cell r="B791" t="str">
            <v>FINGER LAKE DAIRY SERVICES, SENECA FARM</v>
          </cell>
          <cell r="C791" t="str">
            <v>M10804</v>
          </cell>
          <cell r="D791" t="str">
            <v>Return Mail, no pink card</v>
          </cell>
          <cell r="E791" t="str">
            <v>FP - Wells Fargo</v>
          </cell>
          <cell r="F791" t="str">
            <v>Yes</v>
          </cell>
          <cell r="G791" t="str">
            <v>OH</v>
          </cell>
          <cell r="H791">
            <v>8</v>
          </cell>
          <cell r="I791">
            <v>0.66500000000000004</v>
          </cell>
          <cell r="J791" t="str">
            <v>Trent Evans</v>
          </cell>
          <cell r="K791" t="str">
            <v>SENECA FALLS</v>
          </cell>
          <cell r="L791" t="str">
            <v>NY</v>
          </cell>
          <cell r="M791" t="str">
            <v>800-577-8858</v>
          </cell>
          <cell r="N791" t="str">
            <v>All tandem axle trailers must have BRK2</v>
          </cell>
          <cell r="O791">
            <v>1366</v>
          </cell>
          <cell r="P791">
            <v>5873.8</v>
          </cell>
          <cell r="Q791">
            <v>1054</v>
          </cell>
          <cell r="R791">
            <v>4532.2</v>
          </cell>
          <cell r="S791"/>
          <cell r="T791">
            <v>0</v>
          </cell>
          <cell r="U791">
            <v>1420</v>
          </cell>
          <cell r="V791">
            <v>6106</v>
          </cell>
          <cell r="W791">
            <v>1446</v>
          </cell>
          <cell r="X791">
            <v>6217.8</v>
          </cell>
          <cell r="Y791">
            <v>529</v>
          </cell>
          <cell r="Z791">
            <v>2274.6999999999998</v>
          </cell>
          <cell r="AA791">
            <v>529</v>
          </cell>
          <cell r="AB791">
            <v>2274.6999999999998</v>
          </cell>
          <cell r="AC791">
            <v>529</v>
          </cell>
          <cell r="AD791">
            <v>2274.6999999999998</v>
          </cell>
          <cell r="AE791"/>
          <cell r="AF791"/>
          <cell r="AG791"/>
          <cell r="AH791"/>
          <cell r="AI791"/>
          <cell r="AJ791">
            <v>0</v>
          </cell>
          <cell r="AK791" t="str">
            <v>3P</v>
          </cell>
          <cell r="AL791">
            <v>226</v>
          </cell>
          <cell r="AM791">
            <v>379</v>
          </cell>
          <cell r="AN791" t="str">
            <v>01 Existing Dealer</v>
          </cell>
          <cell r="AO791" t="str">
            <v>Northeast</v>
          </cell>
          <cell r="AP791" t="str">
            <v>North</v>
          </cell>
          <cell r="AQ791"/>
          <cell r="AR791">
            <v>0</v>
          </cell>
          <cell r="AS791">
            <v>0</v>
          </cell>
        </row>
        <row r="792">
          <cell r="A792">
            <v>11664</v>
          </cell>
          <cell r="B792" t="str">
            <v>FINGER LAKE DAIRY SERVICES, SENECA FARM</v>
          </cell>
          <cell r="C792" t="str">
            <v>M10804</v>
          </cell>
          <cell r="D792" t="str">
            <v>NET 5, BT+</v>
          </cell>
          <cell r="E792" t="str">
            <v>CO</v>
          </cell>
          <cell r="F792" t="str">
            <v>Yes</v>
          </cell>
          <cell r="G792" t="str">
            <v>OH</v>
          </cell>
          <cell r="H792">
            <v>7</v>
          </cell>
          <cell r="I792">
            <v>0.66500000000000004</v>
          </cell>
          <cell r="J792" t="str">
            <v>Trent Evans</v>
          </cell>
          <cell r="K792" t="str">
            <v>SENECA FALLS</v>
          </cell>
          <cell r="L792" t="str">
            <v>NY</v>
          </cell>
          <cell r="M792" t="str">
            <v>800-577-8858</v>
          </cell>
          <cell r="N792" t="str">
            <v>All tandem axle trailers must have BRK2</v>
          </cell>
          <cell r="O792">
            <v>1366</v>
          </cell>
          <cell r="P792">
            <v>5873.8</v>
          </cell>
          <cell r="Q792">
            <v>1054</v>
          </cell>
          <cell r="R792">
            <v>4532.2</v>
          </cell>
          <cell r="S792"/>
          <cell r="T792">
            <v>0</v>
          </cell>
          <cell r="U792">
            <v>1420</v>
          </cell>
          <cell r="V792">
            <v>6106</v>
          </cell>
          <cell r="W792">
            <v>1446</v>
          </cell>
          <cell r="X792">
            <v>6217.8</v>
          </cell>
          <cell r="Y792">
            <v>529</v>
          </cell>
          <cell r="Z792">
            <v>2274.6999999999998</v>
          </cell>
          <cell r="AA792">
            <v>529</v>
          </cell>
          <cell r="AB792">
            <v>2274.6999999999998</v>
          </cell>
          <cell r="AC792">
            <v>529</v>
          </cell>
          <cell r="AD792">
            <v>2274.6999999999998</v>
          </cell>
          <cell r="AE792"/>
          <cell r="AF792"/>
          <cell r="AG792"/>
          <cell r="AH792"/>
          <cell r="AI792"/>
          <cell r="AJ792">
            <v>0</v>
          </cell>
          <cell r="AK792" t="str">
            <v>3P</v>
          </cell>
          <cell r="AL792">
            <v>226</v>
          </cell>
          <cell r="AM792">
            <v>379</v>
          </cell>
          <cell r="AN792" t="str">
            <v>01 Existing Dealer</v>
          </cell>
          <cell r="AO792" t="str">
            <v>Northeast</v>
          </cell>
          <cell r="AP792" t="str">
            <v>North</v>
          </cell>
          <cell r="AQ792"/>
          <cell r="AR792">
            <v>0</v>
          </cell>
          <cell r="AS792">
            <v>0</v>
          </cell>
        </row>
        <row r="793">
          <cell r="A793">
            <v>13126</v>
          </cell>
          <cell r="B793" t="str">
            <v>FOREST FISHERIES INC</v>
          </cell>
          <cell r="C793" t="str">
            <v>M11051</v>
          </cell>
          <cell r="D793" t="str">
            <v>NET 5, BT+</v>
          </cell>
          <cell r="E793" t="str">
            <v>CO</v>
          </cell>
          <cell r="F793" t="str">
            <v>Yes</v>
          </cell>
          <cell r="G793" t="str">
            <v>OH</v>
          </cell>
          <cell r="H793">
            <v>7</v>
          </cell>
          <cell r="I793">
            <v>0.66500000000000004</v>
          </cell>
          <cell r="J793" t="str">
            <v>Dakota Nation</v>
          </cell>
          <cell r="K793" t="str">
            <v>HOMER</v>
          </cell>
          <cell r="L793" t="str">
            <v>NY</v>
          </cell>
          <cell r="M793" t="str">
            <v>800-577-8858</v>
          </cell>
          <cell r="N793" t="str">
            <v>All tandem axle trailers must have BRK2</v>
          </cell>
          <cell r="O793">
            <v>1422</v>
          </cell>
          <cell r="P793">
            <v>6114.5999999999995</v>
          </cell>
          <cell r="Q793">
            <v>1049</v>
          </cell>
          <cell r="R793">
            <v>4510.7</v>
          </cell>
          <cell r="S793"/>
          <cell r="T793">
            <v>0</v>
          </cell>
          <cell r="U793">
            <v>1475</v>
          </cell>
          <cell r="V793">
            <v>6342.5</v>
          </cell>
          <cell r="W793">
            <v>1502</v>
          </cell>
          <cell r="X793">
            <v>6458.5999999999995</v>
          </cell>
          <cell r="Y793">
            <v>573</v>
          </cell>
          <cell r="Z793">
            <v>2463.9</v>
          </cell>
          <cell r="AA793">
            <v>573</v>
          </cell>
          <cell r="AB793">
            <v>2463.9</v>
          </cell>
          <cell r="AC793">
            <v>573</v>
          </cell>
          <cell r="AD793">
            <v>2463.9</v>
          </cell>
          <cell r="AE793"/>
          <cell r="AF793"/>
          <cell r="AG793"/>
          <cell r="AH793"/>
          <cell r="AI793"/>
          <cell r="AJ793">
            <v>0</v>
          </cell>
          <cell r="AK793" t="str">
            <v>3P</v>
          </cell>
          <cell r="AL793">
            <v>223</v>
          </cell>
          <cell r="AM793">
            <v>438</v>
          </cell>
          <cell r="AN793" t="str">
            <v>01 Existing Dealer</v>
          </cell>
          <cell r="AO793" t="str">
            <v>Northeast</v>
          </cell>
          <cell r="AP793" t="str">
            <v>North</v>
          </cell>
          <cell r="AQ793"/>
          <cell r="AR793">
            <v>0</v>
          </cell>
          <cell r="AS793">
            <v>0</v>
          </cell>
        </row>
        <row r="794">
          <cell r="A794">
            <v>13009</v>
          </cell>
          <cell r="B794" t="str">
            <v>GARY'S EQUIPMENT CO INC</v>
          </cell>
          <cell r="C794" t="str">
            <v>M10861</v>
          </cell>
          <cell r="D794" t="str">
            <v>NET 5, BT+</v>
          </cell>
          <cell r="E794" t="str">
            <v>FP to CO - On Hold</v>
          </cell>
          <cell r="F794" t="str">
            <v>YES</v>
          </cell>
          <cell r="G794" t="str">
            <v>OH</v>
          </cell>
          <cell r="H794">
            <v>8</v>
          </cell>
          <cell r="I794">
            <v>0.66500000000000004</v>
          </cell>
          <cell r="J794" t="str">
            <v>Orphaned Acct</v>
          </cell>
          <cell r="K794" t="str">
            <v>CLAY</v>
          </cell>
          <cell r="L794" t="str">
            <v>NY</v>
          </cell>
          <cell r="M794" t="str">
            <v>800-577-8858</v>
          </cell>
          <cell r="N794" t="str">
            <v>All tandem axle trailers must have BRK2</v>
          </cell>
          <cell r="O794">
            <v>1398</v>
          </cell>
          <cell r="P794">
            <v>6011.4</v>
          </cell>
          <cell r="Q794">
            <v>1088</v>
          </cell>
          <cell r="R794">
            <v>4678.3999999999996</v>
          </cell>
          <cell r="S794"/>
          <cell r="T794">
            <v>0</v>
          </cell>
          <cell r="U794">
            <v>1452</v>
          </cell>
          <cell r="V794">
            <v>6243.5999999999995</v>
          </cell>
          <cell r="W794">
            <v>1479</v>
          </cell>
          <cell r="X794">
            <v>6359.7</v>
          </cell>
          <cell r="Y794">
            <v>566</v>
          </cell>
          <cell r="Z794">
            <v>2433.7999999999997</v>
          </cell>
          <cell r="AA794">
            <v>566</v>
          </cell>
          <cell r="AB794">
            <v>2433.7999999999997</v>
          </cell>
          <cell r="AC794">
            <v>566</v>
          </cell>
          <cell r="AD794">
            <v>2433.7999999999997</v>
          </cell>
          <cell r="AE794"/>
          <cell r="AF794"/>
          <cell r="AG794"/>
          <cell r="AH794"/>
          <cell r="AI794"/>
          <cell r="AJ794">
            <v>0</v>
          </cell>
          <cell r="AK794" t="str">
            <v>3P</v>
          </cell>
          <cell r="AL794">
            <v>213</v>
          </cell>
          <cell r="AM794">
            <v>463</v>
          </cell>
          <cell r="AN794" t="str">
            <v>08 Inactive Dealer</v>
          </cell>
          <cell r="AO794" t="str">
            <v>Northeast</v>
          </cell>
          <cell r="AP794" t="str">
            <v>North</v>
          </cell>
          <cell r="AQ794"/>
          <cell r="AR794">
            <v>0</v>
          </cell>
          <cell r="AS794">
            <v>0</v>
          </cell>
        </row>
        <row r="795">
          <cell r="A795">
            <v>10253</v>
          </cell>
          <cell r="B795" t="str">
            <v>HUDSON RIVER</v>
          </cell>
          <cell r="C795" t="str">
            <v>M10225</v>
          </cell>
          <cell r="D795" t="str">
            <v>NET 5, BT+</v>
          </cell>
          <cell r="E795" t="str">
            <v>CO</v>
          </cell>
          <cell r="F795" t="str">
            <v>Yes</v>
          </cell>
          <cell r="G795" t="str">
            <v>OH</v>
          </cell>
          <cell r="H795">
            <v>7</v>
          </cell>
          <cell r="I795">
            <v>0.66500000000000004</v>
          </cell>
          <cell r="J795" t="str">
            <v>JL Smith</v>
          </cell>
          <cell r="K795" t="str">
            <v>POUGHKEEPSIE</v>
          </cell>
          <cell r="L795" t="str">
            <v>NY</v>
          </cell>
          <cell r="M795" t="str">
            <v>800-577-8858</v>
          </cell>
          <cell r="N795" t="str">
            <v>All tandem axle trailers must have BRK2</v>
          </cell>
          <cell r="O795">
            <v>1493</v>
          </cell>
          <cell r="P795">
            <v>6419.9</v>
          </cell>
          <cell r="Q795">
            <v>1057</v>
          </cell>
          <cell r="R795">
            <v>4545.0999999999995</v>
          </cell>
          <cell r="S795"/>
          <cell r="T795">
            <v>0</v>
          </cell>
          <cell r="U795">
            <v>1570</v>
          </cell>
          <cell r="V795">
            <v>6751</v>
          </cell>
          <cell r="W795">
            <v>1574</v>
          </cell>
          <cell r="X795">
            <v>6768.2</v>
          </cell>
          <cell r="Y795">
            <v>678</v>
          </cell>
          <cell r="Z795">
            <v>2915.4</v>
          </cell>
          <cell r="AA795">
            <v>678</v>
          </cell>
          <cell r="AB795">
            <v>2915.4</v>
          </cell>
          <cell r="AC795">
            <v>678</v>
          </cell>
          <cell r="AD795">
            <v>2915.4</v>
          </cell>
          <cell r="AE795"/>
          <cell r="AF795"/>
          <cell r="AG795"/>
          <cell r="AH795"/>
          <cell r="AI795"/>
          <cell r="AJ795">
            <v>0.01</v>
          </cell>
          <cell r="AK795" t="str">
            <v>3P</v>
          </cell>
          <cell r="AL795">
            <v>151</v>
          </cell>
          <cell r="AM795">
            <v>361</v>
          </cell>
          <cell r="AN795" t="str">
            <v>01 Existing Dealer</v>
          </cell>
          <cell r="AO795" t="str">
            <v>Northeast</v>
          </cell>
          <cell r="AP795" t="str">
            <v>North</v>
          </cell>
          <cell r="AQ795"/>
          <cell r="AR795">
            <v>56658</v>
          </cell>
          <cell r="AS795">
            <v>41669</v>
          </cell>
        </row>
        <row r="796">
          <cell r="A796">
            <v>12893</v>
          </cell>
          <cell r="B796" t="str">
            <v>JC TRACTOR</v>
          </cell>
          <cell r="C796" t="str">
            <v>M10238</v>
          </cell>
          <cell r="D796" t="str">
            <v>NET 5, BT+</v>
          </cell>
          <cell r="E796" t="str">
            <v>FP - Northpoint</v>
          </cell>
          <cell r="F796" t="str">
            <v>Yes</v>
          </cell>
          <cell r="G796" t="str">
            <v>OH</v>
          </cell>
          <cell r="H796">
            <v>8</v>
          </cell>
          <cell r="I796">
            <v>0.66500000000000004</v>
          </cell>
          <cell r="J796" t="str">
            <v>JL Smith</v>
          </cell>
          <cell r="K796" t="str">
            <v>HOOSICK FALLS</v>
          </cell>
          <cell r="L796" t="str">
            <v>NY</v>
          </cell>
          <cell r="M796" t="str">
            <v>800-577-8858</v>
          </cell>
          <cell r="N796" t="str">
            <v>All tandem axle trailers must have BRK2</v>
          </cell>
          <cell r="O796">
            <v>1588</v>
          </cell>
          <cell r="P796">
            <v>6828.4</v>
          </cell>
          <cell r="Q796">
            <v>1151</v>
          </cell>
          <cell r="R796">
            <v>4949.3</v>
          </cell>
          <cell r="S796"/>
          <cell r="T796">
            <v>0</v>
          </cell>
          <cell r="U796">
            <v>1646</v>
          </cell>
          <cell r="V796">
            <v>7077.7999999999993</v>
          </cell>
          <cell r="W796">
            <v>1668</v>
          </cell>
          <cell r="X796">
            <v>7172.4</v>
          </cell>
          <cell r="Y796">
            <v>731</v>
          </cell>
          <cell r="Z796">
            <v>3143.2999999999997</v>
          </cell>
          <cell r="AA796">
            <v>731</v>
          </cell>
          <cell r="AB796">
            <v>3143.2999999999997</v>
          </cell>
          <cell r="AC796">
            <v>731</v>
          </cell>
          <cell r="AD796">
            <v>3143.2999999999997</v>
          </cell>
          <cell r="AE796"/>
          <cell r="AF796"/>
          <cell r="AG796"/>
          <cell r="AH796"/>
          <cell r="AI796"/>
          <cell r="AJ796">
            <v>0</v>
          </cell>
          <cell r="AK796" t="str">
            <v>3P</v>
          </cell>
          <cell r="AL796">
            <v>151</v>
          </cell>
          <cell r="AM796">
            <v>7</v>
          </cell>
          <cell r="AN796" t="str">
            <v>01 Existing Dealer</v>
          </cell>
          <cell r="AO796" t="str">
            <v>Northeast</v>
          </cell>
          <cell r="AP796" t="str">
            <v>North</v>
          </cell>
          <cell r="AQ796"/>
          <cell r="AR796">
            <v>0</v>
          </cell>
          <cell r="AS796">
            <v>0</v>
          </cell>
        </row>
        <row r="797">
          <cell r="A797">
            <v>13602</v>
          </cell>
          <cell r="B797" t="str">
            <v>JPR SERVICE</v>
          </cell>
          <cell r="C797" t="str">
            <v>M11571</v>
          </cell>
          <cell r="D797" t="str">
            <v>NET 5, BT+</v>
          </cell>
          <cell r="E797" t="str">
            <v>FP - Wells Fargo</v>
          </cell>
          <cell r="F797" t="str">
            <v>Yes</v>
          </cell>
          <cell r="G797" t="str">
            <v>OH</v>
          </cell>
          <cell r="H797">
            <v>8</v>
          </cell>
          <cell r="I797">
            <v>0.66500000000000004</v>
          </cell>
          <cell r="J797" t="str">
            <v>Lane Davis</v>
          </cell>
          <cell r="K797" t="str">
            <v>HOLLEY</v>
          </cell>
          <cell r="L797" t="str">
            <v>NY</v>
          </cell>
          <cell r="M797" t="str">
            <v>800-577-8858</v>
          </cell>
          <cell r="N797" t="str">
            <v>All tandem axle trailers must have BRK2</v>
          </cell>
          <cell r="O797">
            <v>1305</v>
          </cell>
          <cell r="P797">
            <v>5611.5</v>
          </cell>
          <cell r="Q797">
            <v>1090</v>
          </cell>
          <cell r="R797">
            <v>4687</v>
          </cell>
          <cell r="S797"/>
          <cell r="T797">
            <v>0</v>
          </cell>
          <cell r="U797">
            <v>1361</v>
          </cell>
          <cell r="V797">
            <v>5852.3</v>
          </cell>
          <cell r="W797">
            <v>1383</v>
          </cell>
          <cell r="X797">
            <v>5946.9</v>
          </cell>
          <cell r="Y797">
            <v>491</v>
          </cell>
          <cell r="Z797">
            <v>2111.2999999999997</v>
          </cell>
          <cell r="AA797">
            <v>491</v>
          </cell>
          <cell r="AB797">
            <v>2111.2999999999997</v>
          </cell>
          <cell r="AC797">
            <v>491</v>
          </cell>
          <cell r="AD797">
            <v>2111.2999999999997</v>
          </cell>
          <cell r="AE797"/>
          <cell r="AF797"/>
          <cell r="AG797"/>
          <cell r="AH797"/>
          <cell r="AI797"/>
          <cell r="AJ797">
            <v>0.02</v>
          </cell>
          <cell r="AK797" t="str">
            <v>3P</v>
          </cell>
          <cell r="AL797">
            <v>275</v>
          </cell>
          <cell r="AM797">
            <v>7</v>
          </cell>
          <cell r="AN797" t="str">
            <v>03 New Dealer</v>
          </cell>
          <cell r="AO797" t="str">
            <v>Northeast</v>
          </cell>
          <cell r="AP797" t="str">
            <v>North</v>
          </cell>
          <cell r="AQ797">
            <v>14470</v>
          </cell>
          <cell r="AR797">
            <v>0</v>
          </cell>
          <cell r="AS797">
            <v>0</v>
          </cell>
        </row>
        <row r="798">
          <cell r="A798">
            <v>12838</v>
          </cell>
          <cell r="B798" t="str">
            <v>KLOSS EQUIPMENT INC</v>
          </cell>
          <cell r="C798" t="str">
            <v>M10255</v>
          </cell>
          <cell r="D798" t="str">
            <v>NET 5, BT+</v>
          </cell>
          <cell r="E798" t="str">
            <v>CO</v>
          </cell>
          <cell r="F798" t="str">
            <v>Yes</v>
          </cell>
          <cell r="G798" t="str">
            <v>OH</v>
          </cell>
          <cell r="H798">
            <v>7</v>
          </cell>
          <cell r="I798">
            <v>0.66500000000000004</v>
          </cell>
          <cell r="J798" t="str">
            <v>Orphaned Acct</v>
          </cell>
          <cell r="K798" t="str">
            <v>GANSEVOORT</v>
          </cell>
          <cell r="L798" t="str">
            <v>NY</v>
          </cell>
          <cell r="M798" t="str">
            <v>800-577-8858</v>
          </cell>
          <cell r="N798" t="str">
            <v>All tandem axle trailers must have BRK2</v>
          </cell>
          <cell r="O798">
            <v>1547</v>
          </cell>
          <cell r="P798">
            <v>6652.0999999999995</v>
          </cell>
          <cell r="Q798">
            <v>1162</v>
          </cell>
          <cell r="R798">
            <v>4996.5999999999995</v>
          </cell>
          <cell r="S798"/>
          <cell r="T798">
            <v>0</v>
          </cell>
          <cell r="U798">
            <v>1601</v>
          </cell>
          <cell r="V798">
            <v>6884.2999999999993</v>
          </cell>
          <cell r="W798">
            <v>1628</v>
          </cell>
          <cell r="X798">
            <v>7000.4</v>
          </cell>
          <cell r="Y798">
            <v>710</v>
          </cell>
          <cell r="Z798">
            <v>3053</v>
          </cell>
          <cell r="AA798">
            <v>710</v>
          </cell>
          <cell r="AB798">
            <v>3053</v>
          </cell>
          <cell r="AC798">
            <v>710</v>
          </cell>
          <cell r="AD798">
            <v>3053</v>
          </cell>
          <cell r="AE798"/>
          <cell r="AF798"/>
          <cell r="AG798"/>
          <cell r="AH798"/>
          <cell r="AI798"/>
          <cell r="AJ798">
            <v>0</v>
          </cell>
          <cell r="AK798" t="str">
            <v>3P</v>
          </cell>
          <cell r="AL798">
            <v>213</v>
          </cell>
          <cell r="AM798">
            <v>7</v>
          </cell>
          <cell r="AN798" t="str">
            <v>08 Inactive Dealer</v>
          </cell>
          <cell r="AO798" t="str">
            <v>Northeast</v>
          </cell>
          <cell r="AP798" t="str">
            <v>North</v>
          </cell>
          <cell r="AQ798"/>
          <cell r="AR798">
            <v>0</v>
          </cell>
          <cell r="AS798">
            <v>0</v>
          </cell>
        </row>
        <row r="799">
          <cell r="A799">
            <v>12988</v>
          </cell>
          <cell r="B799" t="str">
            <v>LATHAM AUTO LLC</v>
          </cell>
          <cell r="C799" t="str">
            <v>M10822</v>
          </cell>
          <cell r="D799" t="str">
            <v>NET 5, BT+</v>
          </cell>
          <cell r="E799" t="str">
            <v>CO</v>
          </cell>
          <cell r="F799" t="str">
            <v>Yes</v>
          </cell>
          <cell r="G799" t="str">
            <v>OH</v>
          </cell>
          <cell r="H799">
            <v>7</v>
          </cell>
          <cell r="I799">
            <v>0.66500000000000004</v>
          </cell>
          <cell r="J799" t="str">
            <v>Orphaned Acct</v>
          </cell>
          <cell r="K799" t="str">
            <v>OGDENSBURG</v>
          </cell>
          <cell r="L799" t="str">
            <v>NY</v>
          </cell>
          <cell r="M799" t="str">
            <v>800-577-8858</v>
          </cell>
          <cell r="N799" t="str">
            <v>All tandem axle trailers must have BRK2</v>
          </cell>
          <cell r="O799">
            <v>1523</v>
          </cell>
          <cell r="P799">
            <v>6548.9</v>
          </cell>
          <cell r="Q799">
            <v>1206</v>
          </cell>
          <cell r="R799">
            <v>5185.8</v>
          </cell>
          <cell r="S799"/>
          <cell r="T799">
            <v>0</v>
          </cell>
          <cell r="U799">
            <v>1548</v>
          </cell>
          <cell r="V799">
            <v>6656.4</v>
          </cell>
          <cell r="W799">
            <v>1604</v>
          </cell>
          <cell r="X799">
            <v>6897.2</v>
          </cell>
          <cell r="Y799">
            <v>1102</v>
          </cell>
          <cell r="Z799">
            <v>4738.5999999999995</v>
          </cell>
          <cell r="AA799">
            <v>1102</v>
          </cell>
          <cell r="AB799">
            <v>4738.5999999999995</v>
          </cell>
          <cell r="AC799">
            <v>1102</v>
          </cell>
          <cell r="AD799">
            <v>4738.5999999999995</v>
          </cell>
          <cell r="AE799"/>
          <cell r="AF799"/>
          <cell r="AG799"/>
          <cell r="AH799"/>
          <cell r="AI799"/>
          <cell r="AJ799">
            <v>0</v>
          </cell>
          <cell r="AK799" t="str">
            <v>3P</v>
          </cell>
          <cell r="AL799">
            <v>213</v>
          </cell>
          <cell r="AM799">
            <v>463</v>
          </cell>
          <cell r="AN799" t="str">
            <v>08 Inactive Dealer</v>
          </cell>
          <cell r="AO799" t="str">
            <v>Northeast</v>
          </cell>
          <cell r="AP799" t="str">
            <v>North</v>
          </cell>
          <cell r="AQ799"/>
          <cell r="AR799">
            <v>0</v>
          </cell>
          <cell r="AS799">
            <v>0</v>
          </cell>
        </row>
        <row r="800">
          <cell r="A800">
            <v>13615</v>
          </cell>
          <cell r="B800" t="str">
            <v>THE TRAILER STORE</v>
          </cell>
          <cell r="C800" t="str">
            <v>M11595</v>
          </cell>
          <cell r="D800" t="str">
            <v>NET 5, BT+</v>
          </cell>
          <cell r="E800" t="str">
            <v>CF</v>
          </cell>
          <cell r="F800" t="str">
            <v>Yes</v>
          </cell>
          <cell r="G800" t="str">
            <v>OH</v>
          </cell>
          <cell r="H800">
            <v>7</v>
          </cell>
          <cell r="I800">
            <v>0.66500000000000004</v>
          </cell>
          <cell r="J800" t="str">
            <v>JL Smith</v>
          </cell>
          <cell r="K800" t="str">
            <v>MARCELLUS</v>
          </cell>
          <cell r="L800" t="str">
            <v>NY</v>
          </cell>
          <cell r="M800" t="str">
            <v>800-577-8858</v>
          </cell>
          <cell r="N800" t="str">
            <v>All tandem axle trailers must have BRK2</v>
          </cell>
          <cell r="O800">
            <v>1382</v>
          </cell>
          <cell r="P800">
            <v>5942.5999999999995</v>
          </cell>
          <cell r="Q800">
            <v>1048</v>
          </cell>
          <cell r="R800">
            <v>4506.3999999999996</v>
          </cell>
          <cell r="S800"/>
          <cell r="T800">
            <v>0</v>
          </cell>
          <cell r="U800">
            <v>1445</v>
          </cell>
          <cell r="V800">
            <v>6213.5</v>
          </cell>
          <cell r="W800">
            <v>1464</v>
          </cell>
          <cell r="X800">
            <v>6295.2</v>
          </cell>
          <cell r="Y800">
            <v>0</v>
          </cell>
          <cell r="Z800">
            <v>0</v>
          </cell>
          <cell r="AA800">
            <v>577</v>
          </cell>
          <cell r="AB800">
            <v>2481.1</v>
          </cell>
          <cell r="AC800">
            <v>577</v>
          </cell>
          <cell r="AD800">
            <v>2481.1</v>
          </cell>
          <cell r="AE800"/>
          <cell r="AF800"/>
          <cell r="AG800"/>
          <cell r="AH800"/>
          <cell r="AI800"/>
          <cell r="AJ800">
            <v>0</v>
          </cell>
          <cell r="AK800" t="str">
            <v>3P</v>
          </cell>
          <cell r="AL800">
            <v>151</v>
          </cell>
          <cell r="AM800">
            <v>438</v>
          </cell>
          <cell r="AN800" t="str">
            <v>03 New Dealer</v>
          </cell>
          <cell r="AO800" t="str">
            <v>Northeast</v>
          </cell>
          <cell r="AP800" t="str">
            <v>North</v>
          </cell>
          <cell r="AQ800">
            <v>13108</v>
          </cell>
          <cell r="AR800">
            <v>0</v>
          </cell>
          <cell r="AS800">
            <v>0</v>
          </cell>
        </row>
        <row r="801">
          <cell r="A801">
            <v>12894</v>
          </cell>
          <cell r="B801" t="str">
            <v>OUTDOOR MOTOR</v>
          </cell>
          <cell r="C801" t="str">
            <v>M10316</v>
          </cell>
          <cell r="D801" t="str">
            <v>Return Mail, no pink card</v>
          </cell>
          <cell r="E801" t="str">
            <v>F1 - Wells Fargo</v>
          </cell>
          <cell r="F801" t="str">
            <v>Yes</v>
          </cell>
          <cell r="G801" t="str">
            <v>OH</v>
          </cell>
          <cell r="H801">
            <v>8</v>
          </cell>
          <cell r="I801">
            <v>0.66500000000000004</v>
          </cell>
          <cell r="J801" t="str">
            <v>Trent Evans</v>
          </cell>
          <cell r="K801" t="str">
            <v>AMSTERDAM</v>
          </cell>
          <cell r="L801" t="str">
            <v>NY</v>
          </cell>
          <cell r="M801" t="str">
            <v>800-577-8858</v>
          </cell>
          <cell r="N801" t="str">
            <v>All tandem axle trailers must have BRK2</v>
          </cell>
          <cell r="O801">
            <v>1507</v>
          </cell>
          <cell r="P801">
            <v>6480.0999999999995</v>
          </cell>
          <cell r="Q801">
            <v>1131</v>
          </cell>
          <cell r="R801">
            <v>4863.3</v>
          </cell>
          <cell r="S801"/>
          <cell r="T801">
            <v>0</v>
          </cell>
          <cell r="U801">
            <v>1561</v>
          </cell>
          <cell r="V801">
            <v>6712.2999999999993</v>
          </cell>
          <cell r="W801">
            <v>1587</v>
          </cell>
          <cell r="X801">
            <v>6824.0999999999995</v>
          </cell>
          <cell r="Y801">
            <v>671</v>
          </cell>
          <cell r="Z801">
            <v>2885.2999999999997</v>
          </cell>
          <cell r="AA801">
            <v>671</v>
          </cell>
          <cell r="AB801">
            <v>2885.2999999999997</v>
          </cell>
          <cell r="AC801">
            <v>671</v>
          </cell>
          <cell r="AD801">
            <v>2885.2999999999997</v>
          </cell>
          <cell r="AE801"/>
          <cell r="AF801"/>
          <cell r="AG801"/>
          <cell r="AH801"/>
          <cell r="AI801"/>
          <cell r="AJ801">
            <v>0.01</v>
          </cell>
          <cell r="AK801" t="str">
            <v>3P</v>
          </cell>
          <cell r="AL801">
            <v>226</v>
          </cell>
          <cell r="AM801">
            <v>7</v>
          </cell>
          <cell r="AN801" t="str">
            <v>01 Existing Dealer</v>
          </cell>
          <cell r="AO801" t="str">
            <v>Northeast</v>
          </cell>
          <cell r="AP801" t="str">
            <v>North</v>
          </cell>
          <cell r="AQ801"/>
          <cell r="AR801">
            <v>47755</v>
          </cell>
          <cell r="AS801">
            <v>49323</v>
          </cell>
        </row>
        <row r="802">
          <cell r="A802" t="str">
            <v>12894A</v>
          </cell>
          <cell r="B802" t="str">
            <v>OUTDOOR MOTOR</v>
          </cell>
          <cell r="C802" t="str">
            <v>M10316</v>
          </cell>
          <cell r="D802" t="str">
            <v>Return Mail, no pink card</v>
          </cell>
          <cell r="E802" t="str">
            <v>F1 - Wells Fargo</v>
          </cell>
          <cell r="F802" t="str">
            <v>Yes</v>
          </cell>
          <cell r="G802" t="str">
            <v>OH</v>
          </cell>
          <cell r="H802">
            <v>8</v>
          </cell>
          <cell r="I802">
            <v>0.66500000000000004</v>
          </cell>
          <cell r="J802" t="str">
            <v>Trent Evans</v>
          </cell>
          <cell r="K802" t="str">
            <v>JOHNSTOWN</v>
          </cell>
          <cell r="L802" t="str">
            <v>NY</v>
          </cell>
          <cell r="M802" t="str">
            <v>800-577-8858</v>
          </cell>
          <cell r="N802" t="str">
            <v>All tandem axle trailers must have BRK2</v>
          </cell>
          <cell r="O802"/>
          <cell r="P802">
            <v>0</v>
          </cell>
          <cell r="Q802">
            <v>1133</v>
          </cell>
          <cell r="R802">
            <v>4871.8999999999996</v>
          </cell>
          <cell r="S802"/>
          <cell r="T802">
            <v>0</v>
          </cell>
          <cell r="U802"/>
          <cell r="V802">
            <v>0</v>
          </cell>
          <cell r="W802">
            <v>1584</v>
          </cell>
          <cell r="X802">
            <v>6811.2</v>
          </cell>
          <cell r="Y802">
            <v>659</v>
          </cell>
          <cell r="Z802">
            <v>2833.7</v>
          </cell>
          <cell r="AA802">
            <v>659</v>
          </cell>
          <cell r="AB802">
            <v>2833.7</v>
          </cell>
          <cell r="AC802">
            <v>659</v>
          </cell>
          <cell r="AD802">
            <v>2833.7</v>
          </cell>
          <cell r="AE802"/>
          <cell r="AF802"/>
          <cell r="AG802"/>
          <cell r="AH802"/>
          <cell r="AI802"/>
          <cell r="AJ802">
            <v>0.01</v>
          </cell>
          <cell r="AK802" t="str">
            <v>3P</v>
          </cell>
          <cell r="AL802">
            <v>226</v>
          </cell>
          <cell r="AM802">
            <v>7</v>
          </cell>
          <cell r="AN802" t="str">
            <v>01 Existing Dealer</v>
          </cell>
          <cell r="AO802" t="str">
            <v>Northeast</v>
          </cell>
          <cell r="AP802" t="str">
            <v>North</v>
          </cell>
          <cell r="AQ802"/>
          <cell r="AR802">
            <v>0</v>
          </cell>
          <cell r="AS802">
            <v>0</v>
          </cell>
        </row>
        <row r="803">
          <cell r="A803">
            <v>13073</v>
          </cell>
          <cell r="B803" t="str">
            <v>OUTDOOR POWER EQUIPMENT</v>
          </cell>
          <cell r="C803" t="str">
            <v>M10948</v>
          </cell>
          <cell r="D803" t="str">
            <v>NET 5, BT+</v>
          </cell>
          <cell r="E803" t="str">
            <v>FP - Wells Fargo</v>
          </cell>
          <cell r="F803" t="str">
            <v>Yes</v>
          </cell>
          <cell r="G803" t="str">
            <v>OH</v>
          </cell>
          <cell r="H803">
            <v>8</v>
          </cell>
          <cell r="I803">
            <v>0.66500000000000004</v>
          </cell>
          <cell r="J803" t="str">
            <v>Orphaned Acct</v>
          </cell>
          <cell r="K803" t="str">
            <v>CLAY</v>
          </cell>
          <cell r="L803" t="str">
            <v>NY</v>
          </cell>
          <cell r="M803" t="str">
            <v>800-577-8858</v>
          </cell>
          <cell r="N803" t="str">
            <v>SPARES ON ALL. All tandem axle trailers must have BRK2</v>
          </cell>
          <cell r="O803">
            <v>1398</v>
          </cell>
          <cell r="P803">
            <v>6011.4</v>
          </cell>
          <cell r="Q803">
            <v>1088</v>
          </cell>
          <cell r="R803">
            <v>4678.3999999999996</v>
          </cell>
          <cell r="S803"/>
          <cell r="T803">
            <v>0</v>
          </cell>
          <cell r="U803">
            <v>1452</v>
          </cell>
          <cell r="V803">
            <v>6243.5999999999995</v>
          </cell>
          <cell r="W803">
            <v>1479</v>
          </cell>
          <cell r="X803">
            <v>6359.7</v>
          </cell>
          <cell r="Y803">
            <v>566</v>
          </cell>
          <cell r="Z803">
            <v>2433.7999999999997</v>
          </cell>
          <cell r="AA803">
            <v>566</v>
          </cell>
          <cell r="AB803">
            <v>2433.7999999999997</v>
          </cell>
          <cell r="AC803">
            <v>566</v>
          </cell>
          <cell r="AD803">
            <v>2433.7999999999997</v>
          </cell>
          <cell r="AE803"/>
          <cell r="AF803"/>
          <cell r="AG803"/>
          <cell r="AH803"/>
          <cell r="AI803"/>
          <cell r="AJ803">
            <v>0</v>
          </cell>
          <cell r="AK803" t="str">
            <v>3P</v>
          </cell>
          <cell r="AL803">
            <v>213</v>
          </cell>
          <cell r="AM803">
            <v>438</v>
          </cell>
          <cell r="AN803" t="str">
            <v>01 Existing Dealer</v>
          </cell>
          <cell r="AO803" t="str">
            <v>Northeast</v>
          </cell>
          <cell r="AP803" t="str">
            <v>North</v>
          </cell>
          <cell r="AQ803"/>
          <cell r="AR803">
            <v>0</v>
          </cell>
          <cell r="AS803">
            <v>0</v>
          </cell>
        </row>
        <row r="804">
          <cell r="A804">
            <v>12925</v>
          </cell>
          <cell r="B804" t="str">
            <v>RIVERHEAD TRAILER</v>
          </cell>
          <cell r="C804" t="str">
            <v>M10351</v>
          </cell>
          <cell r="D804" t="str">
            <v>NET 5, BT+</v>
          </cell>
          <cell r="E804" t="str">
            <v>F1 - Wells Fargo</v>
          </cell>
          <cell r="F804" t="str">
            <v>Yes</v>
          </cell>
          <cell r="G804" t="str">
            <v>OH</v>
          </cell>
          <cell r="H804">
            <v>8</v>
          </cell>
          <cell r="I804">
            <v>0.66500000000000004</v>
          </cell>
          <cell r="J804" t="str">
            <v>Orphaned Acct</v>
          </cell>
          <cell r="K804" t="str">
            <v>RIVERHEAD</v>
          </cell>
          <cell r="L804" t="str">
            <v>NY</v>
          </cell>
          <cell r="M804" t="str">
            <v>800-577-8858</v>
          </cell>
          <cell r="N804" t="str">
            <v>All tandem axle trailers must have BRK2</v>
          </cell>
          <cell r="O804">
            <v>1516</v>
          </cell>
          <cell r="P804">
            <v>6518.8</v>
          </cell>
          <cell r="Q804">
            <v>1055</v>
          </cell>
          <cell r="R804">
            <v>4536.5</v>
          </cell>
          <cell r="S804"/>
          <cell r="T804">
            <v>0</v>
          </cell>
          <cell r="U804">
            <v>1621</v>
          </cell>
          <cell r="V804">
            <v>6970.2999999999993</v>
          </cell>
          <cell r="W804">
            <v>1596</v>
          </cell>
          <cell r="X804">
            <v>6862.7999999999993</v>
          </cell>
          <cell r="Y804">
            <v>707</v>
          </cell>
          <cell r="Z804">
            <v>3040.1</v>
          </cell>
          <cell r="AA804">
            <v>707</v>
          </cell>
          <cell r="AB804">
            <v>3040.1</v>
          </cell>
          <cell r="AC804">
            <v>707</v>
          </cell>
          <cell r="AD804">
            <v>3040.1</v>
          </cell>
          <cell r="AE804"/>
          <cell r="AF804"/>
          <cell r="AG804"/>
          <cell r="AH804"/>
          <cell r="AI804"/>
          <cell r="AJ804">
            <v>0</v>
          </cell>
          <cell r="AK804" t="str">
            <v>3P</v>
          </cell>
          <cell r="AL804">
            <v>213</v>
          </cell>
          <cell r="AM804">
            <v>321</v>
          </cell>
          <cell r="AN804" t="str">
            <v>08 Inactive Dealer</v>
          </cell>
          <cell r="AO804" t="str">
            <v>Northeast</v>
          </cell>
          <cell r="AP804" t="str">
            <v>North</v>
          </cell>
          <cell r="AQ804"/>
          <cell r="AR804">
            <v>0</v>
          </cell>
          <cell r="AS804">
            <v>0</v>
          </cell>
        </row>
        <row r="805">
          <cell r="A805">
            <v>13625</v>
          </cell>
          <cell r="B805" t="str">
            <v>TEITSWORTH TRAILERS</v>
          </cell>
          <cell r="C805" t="str">
            <v>M10358</v>
          </cell>
          <cell r="D805" t="str">
            <v>NET 5, BT+</v>
          </cell>
          <cell r="E805" t="str">
            <v>CO</v>
          </cell>
          <cell r="F805" t="str">
            <v>Yes</v>
          </cell>
          <cell r="G805" t="str">
            <v>OH</v>
          </cell>
          <cell r="H805">
            <v>7</v>
          </cell>
          <cell r="I805">
            <v>0.66500000000000004</v>
          </cell>
          <cell r="J805" t="str">
            <v>JL Smith</v>
          </cell>
          <cell r="K805" t="str">
            <v>GENESEO</v>
          </cell>
          <cell r="L805" t="str">
            <v>NY</v>
          </cell>
          <cell r="M805" t="str">
            <v>800-577-8858</v>
          </cell>
          <cell r="N805" t="str">
            <v>All tandem axle trailers must have BRK2</v>
          </cell>
          <cell r="O805">
            <v>1313</v>
          </cell>
          <cell r="P805">
            <v>5645.9</v>
          </cell>
          <cell r="Q805">
            <v>1061</v>
          </cell>
          <cell r="R805">
            <v>4562.3</v>
          </cell>
          <cell r="S805"/>
          <cell r="T805">
            <v>0</v>
          </cell>
          <cell r="U805">
            <v>1367</v>
          </cell>
          <cell r="V805">
            <v>5878.0999999999995</v>
          </cell>
          <cell r="W805">
            <v>1395</v>
          </cell>
          <cell r="X805">
            <v>5998.5</v>
          </cell>
          <cell r="Y805">
            <v>471</v>
          </cell>
          <cell r="Z805">
            <v>2025.3</v>
          </cell>
          <cell r="AA805">
            <v>471</v>
          </cell>
          <cell r="AB805">
            <v>2025.3</v>
          </cell>
          <cell r="AC805">
            <v>471</v>
          </cell>
          <cell r="AD805">
            <v>2025.3</v>
          </cell>
          <cell r="AE805"/>
          <cell r="AF805"/>
          <cell r="AG805"/>
          <cell r="AH805"/>
          <cell r="AI805"/>
          <cell r="AJ805">
            <v>0</v>
          </cell>
          <cell r="AK805" t="str">
            <v>3P</v>
          </cell>
          <cell r="AL805">
            <v>151</v>
          </cell>
          <cell r="AM805">
            <v>379</v>
          </cell>
          <cell r="AN805" t="str">
            <v>01 Existing Dealer</v>
          </cell>
          <cell r="AO805" t="str">
            <v>Northeast</v>
          </cell>
          <cell r="AP805" t="str">
            <v>North</v>
          </cell>
          <cell r="AQ805"/>
          <cell r="AR805">
            <v>0</v>
          </cell>
          <cell r="AS805">
            <v>0</v>
          </cell>
        </row>
        <row r="806">
          <cell r="A806">
            <v>12814</v>
          </cell>
          <cell r="B806" t="str">
            <v>TEITSWORTH TRAILERS</v>
          </cell>
          <cell r="C806" t="str">
            <v>M10358</v>
          </cell>
          <cell r="D806" t="str">
            <v>NET 5, BT+</v>
          </cell>
          <cell r="E806" t="str">
            <v>CO</v>
          </cell>
          <cell r="F806" t="str">
            <v>Yes</v>
          </cell>
          <cell r="G806" t="str">
            <v>OH</v>
          </cell>
          <cell r="H806">
            <v>7</v>
          </cell>
          <cell r="I806">
            <v>0.66500000000000004</v>
          </cell>
          <cell r="J806" t="str">
            <v>JL Smith</v>
          </cell>
          <cell r="K806" t="str">
            <v>GENESEO</v>
          </cell>
          <cell r="L806" t="str">
            <v>NY</v>
          </cell>
          <cell r="M806" t="str">
            <v>800-577-8858</v>
          </cell>
          <cell r="N806" t="str">
            <v>All tandem axle trailers must have BRK2</v>
          </cell>
          <cell r="O806">
            <v>1313</v>
          </cell>
          <cell r="P806">
            <v>5645.9</v>
          </cell>
          <cell r="Q806">
            <v>1061</v>
          </cell>
          <cell r="R806">
            <v>4562.3</v>
          </cell>
          <cell r="S806"/>
          <cell r="T806">
            <v>0</v>
          </cell>
          <cell r="U806">
            <v>1367</v>
          </cell>
          <cell r="V806">
            <v>5878.0999999999995</v>
          </cell>
          <cell r="W806">
            <v>1395</v>
          </cell>
          <cell r="X806">
            <v>5998.5</v>
          </cell>
          <cell r="Y806">
            <v>471</v>
          </cell>
          <cell r="Z806">
            <v>2025.3</v>
          </cell>
          <cell r="AA806">
            <v>471</v>
          </cell>
          <cell r="AB806">
            <v>2025.3</v>
          </cell>
          <cell r="AC806">
            <v>471</v>
          </cell>
          <cell r="AD806">
            <v>2025.3</v>
          </cell>
          <cell r="AE806"/>
          <cell r="AF806"/>
          <cell r="AG806"/>
          <cell r="AH806"/>
          <cell r="AI806"/>
          <cell r="AJ806">
            <v>0</v>
          </cell>
          <cell r="AK806" t="str">
            <v>3P</v>
          </cell>
          <cell r="AL806">
            <v>151</v>
          </cell>
          <cell r="AM806">
            <v>379</v>
          </cell>
          <cell r="AN806" t="str">
            <v>01 Existing Dealer</v>
          </cell>
          <cell r="AO806" t="str">
            <v>Northeast</v>
          </cell>
          <cell r="AP806" t="str">
            <v>North</v>
          </cell>
          <cell r="AQ806"/>
          <cell r="AR806">
            <v>0</v>
          </cell>
          <cell r="AS806">
            <v>0</v>
          </cell>
        </row>
        <row r="807">
          <cell r="A807">
            <v>12976</v>
          </cell>
          <cell r="B807" t="str">
            <v>SOUTHERN FINGER LAKES EQUIPMENT</v>
          </cell>
          <cell r="C807" t="str">
            <v>M10809</v>
          </cell>
          <cell r="D807" t="str">
            <v>NET 5, BT+</v>
          </cell>
          <cell r="E807" t="str">
            <v>FP - Wells Fargo</v>
          </cell>
          <cell r="F807" t="str">
            <v>Yes</v>
          </cell>
          <cell r="G807" t="str">
            <v>OH</v>
          </cell>
          <cell r="H807">
            <v>7</v>
          </cell>
          <cell r="I807">
            <v>0.66500000000000004</v>
          </cell>
          <cell r="J807" t="str">
            <v>Trent Evans</v>
          </cell>
          <cell r="K807" t="str">
            <v>WATKINS GLEN</v>
          </cell>
          <cell r="L807" t="str">
            <v>NY</v>
          </cell>
          <cell r="M807" t="str">
            <v>800-577-8858</v>
          </cell>
          <cell r="N807" t="str">
            <v>All tandem axle trailers must have BRK2</v>
          </cell>
          <cell r="O807">
            <v>1365</v>
          </cell>
          <cell r="P807">
            <v>5869.5</v>
          </cell>
          <cell r="Q807">
            <v>1008</v>
          </cell>
          <cell r="R807">
            <v>4334.3999999999996</v>
          </cell>
          <cell r="S807"/>
          <cell r="T807">
            <v>0</v>
          </cell>
          <cell r="U807">
            <v>1418</v>
          </cell>
          <cell r="V807">
            <v>6097.4</v>
          </cell>
          <cell r="W807">
            <v>1445</v>
          </cell>
          <cell r="X807">
            <v>6213.5</v>
          </cell>
          <cell r="Y807">
            <v>523</v>
          </cell>
          <cell r="Z807">
            <v>2248.9</v>
          </cell>
          <cell r="AA807">
            <v>523</v>
          </cell>
          <cell r="AB807">
            <v>2248.9</v>
          </cell>
          <cell r="AC807">
            <v>523</v>
          </cell>
          <cell r="AD807">
            <v>2248.9</v>
          </cell>
          <cell r="AE807"/>
          <cell r="AF807"/>
          <cell r="AG807"/>
          <cell r="AH807"/>
          <cell r="AI807"/>
          <cell r="AJ807">
            <v>0</v>
          </cell>
          <cell r="AK807" t="str">
            <v>3P</v>
          </cell>
          <cell r="AL807">
            <v>226</v>
          </cell>
          <cell r="AM807">
            <v>127</v>
          </cell>
          <cell r="AN807" t="str">
            <v>01 Existing Dealer</v>
          </cell>
          <cell r="AO807" t="str">
            <v>Northeast</v>
          </cell>
          <cell r="AP807" t="str">
            <v>North</v>
          </cell>
          <cell r="AQ807"/>
          <cell r="AR807">
            <v>0</v>
          </cell>
          <cell r="AS807">
            <v>0</v>
          </cell>
        </row>
        <row r="808">
          <cell r="A808">
            <v>13172</v>
          </cell>
          <cell r="B808" t="str">
            <v>SOUTHSIDE TRAILER SERVICE</v>
          </cell>
          <cell r="C808" t="str">
            <v>M11112</v>
          </cell>
          <cell r="D808" t="str">
            <v>NET 5, BT+</v>
          </cell>
          <cell r="E808" t="str">
            <v>CO</v>
          </cell>
          <cell r="F808" t="str">
            <v>Yes</v>
          </cell>
          <cell r="G808" t="str">
            <v>OH</v>
          </cell>
          <cell r="H808">
            <v>8</v>
          </cell>
          <cell r="I808">
            <v>0.66500000000000004</v>
          </cell>
          <cell r="J808" t="str">
            <v>Orphaned Acct</v>
          </cell>
          <cell r="K808" t="str">
            <v>BLASDELL</v>
          </cell>
          <cell r="L808" t="str">
            <v>NY</v>
          </cell>
          <cell r="M808" t="str">
            <v>800-577-8858</v>
          </cell>
          <cell r="N808" t="str">
            <v>All tandem axle trailers must have BRK2</v>
          </cell>
          <cell r="O808">
            <v>1271</v>
          </cell>
          <cell r="P808">
            <v>5465.3</v>
          </cell>
          <cell r="Q808">
            <v>1023</v>
          </cell>
          <cell r="R808">
            <v>4398.8999999999996</v>
          </cell>
          <cell r="S808"/>
          <cell r="T808">
            <v>0</v>
          </cell>
          <cell r="U808">
            <v>1324</v>
          </cell>
          <cell r="V808">
            <v>5693.2</v>
          </cell>
          <cell r="W808">
            <v>1351</v>
          </cell>
          <cell r="X808">
            <v>5809.3</v>
          </cell>
          <cell r="Y808">
            <v>412</v>
          </cell>
          <cell r="Z808">
            <v>1771.6</v>
          </cell>
          <cell r="AA808">
            <v>412</v>
          </cell>
          <cell r="AB808">
            <v>1771.6</v>
          </cell>
          <cell r="AC808">
            <v>412</v>
          </cell>
          <cell r="AD808">
            <v>1771.6</v>
          </cell>
          <cell r="AE808"/>
          <cell r="AF808"/>
          <cell r="AG808"/>
          <cell r="AH808"/>
          <cell r="AI808"/>
          <cell r="AJ808">
            <v>0</v>
          </cell>
          <cell r="AK808" t="str">
            <v>3P</v>
          </cell>
          <cell r="AL808">
            <v>213</v>
          </cell>
          <cell r="AM808">
            <v>60</v>
          </cell>
          <cell r="AN808" t="str">
            <v>02 Ramping</v>
          </cell>
          <cell r="AO808" t="str">
            <v>Northeast</v>
          </cell>
          <cell r="AP808" t="str">
            <v>North</v>
          </cell>
          <cell r="AQ808"/>
          <cell r="AR808">
            <v>0</v>
          </cell>
          <cell r="AS808">
            <v>0</v>
          </cell>
        </row>
        <row r="809">
          <cell r="A809" t="str">
            <v>13172A</v>
          </cell>
          <cell r="B809" t="str">
            <v>SOUTHSIDE TRAILER SERVICE</v>
          </cell>
          <cell r="C809" t="str">
            <v>M11112</v>
          </cell>
          <cell r="D809" t="str">
            <v>NET 5, BT+</v>
          </cell>
          <cell r="E809" t="str">
            <v>CO</v>
          </cell>
          <cell r="F809" t="str">
            <v>Yes</v>
          </cell>
          <cell r="G809" t="str">
            <v>OH</v>
          </cell>
          <cell r="H809">
            <v>8</v>
          </cell>
          <cell r="I809">
            <v>0.66500000000000004</v>
          </cell>
          <cell r="J809" t="str">
            <v>Orphaned Acct</v>
          </cell>
          <cell r="K809" t="str">
            <v>TONAWANDA</v>
          </cell>
          <cell r="L809" t="str">
            <v>NY</v>
          </cell>
          <cell r="M809" t="str">
            <v>800-577-8858</v>
          </cell>
          <cell r="N809" t="str">
            <v>All tandem axle trailers must have BRK2</v>
          </cell>
          <cell r="O809">
            <v>1271</v>
          </cell>
          <cell r="P809">
            <v>5465.3</v>
          </cell>
          <cell r="Q809">
            <v>1023</v>
          </cell>
          <cell r="R809">
            <v>4398.8999999999996</v>
          </cell>
          <cell r="S809"/>
          <cell r="T809">
            <v>0</v>
          </cell>
          <cell r="U809">
            <v>1324</v>
          </cell>
          <cell r="V809">
            <v>5693.2</v>
          </cell>
          <cell r="W809">
            <v>1351</v>
          </cell>
          <cell r="X809">
            <v>5809.3</v>
          </cell>
          <cell r="Y809">
            <v>433</v>
          </cell>
          <cell r="Z809">
            <v>1861.8999999999999</v>
          </cell>
          <cell r="AA809">
            <v>433</v>
          </cell>
          <cell r="AB809">
            <v>1861.8999999999999</v>
          </cell>
          <cell r="AC809">
            <v>433</v>
          </cell>
          <cell r="AD809">
            <v>1861.8999999999999</v>
          </cell>
          <cell r="AE809"/>
          <cell r="AF809"/>
          <cell r="AG809"/>
          <cell r="AH809"/>
          <cell r="AI809"/>
          <cell r="AJ809">
            <v>0</v>
          </cell>
          <cell r="AK809" t="str">
            <v>3P</v>
          </cell>
          <cell r="AL809">
            <v>213</v>
          </cell>
          <cell r="AM809">
            <v>60</v>
          </cell>
          <cell r="AN809" t="str">
            <v>02 Ramping</v>
          </cell>
          <cell r="AO809" t="str">
            <v>Northeast</v>
          </cell>
          <cell r="AP809" t="str">
            <v>North</v>
          </cell>
          <cell r="AQ809"/>
          <cell r="AR809">
            <v>0</v>
          </cell>
          <cell r="AS809">
            <v>0</v>
          </cell>
        </row>
        <row r="810">
          <cell r="A810">
            <v>13534</v>
          </cell>
          <cell r="B810" t="str">
            <v>TAYLOR'S TRAILER</v>
          </cell>
          <cell r="C810" t="str">
            <v>M11506</v>
          </cell>
          <cell r="D810" t="str">
            <v>NET 5, BT+</v>
          </cell>
          <cell r="E810" t="str">
            <v>F3 - Northpoint</v>
          </cell>
          <cell r="F810" t="str">
            <v>Yes</v>
          </cell>
          <cell r="G810" t="str">
            <v>OH</v>
          </cell>
          <cell r="H810">
            <v>7</v>
          </cell>
          <cell r="I810">
            <v>0.66500000000000004</v>
          </cell>
          <cell r="J810" t="str">
            <v>Lane Davis</v>
          </cell>
          <cell r="K810" t="str">
            <v>ROME</v>
          </cell>
          <cell r="L810" t="str">
            <v>NY</v>
          </cell>
          <cell r="M810" t="str">
            <v>800-577-8858</v>
          </cell>
          <cell r="N810" t="str">
            <v>All tandem axle trailers must have BRK2</v>
          </cell>
          <cell r="O810">
            <v>1433</v>
          </cell>
          <cell r="P810">
            <v>6161.9</v>
          </cell>
          <cell r="Q810">
            <v>1119</v>
          </cell>
          <cell r="R810">
            <v>4811.7</v>
          </cell>
          <cell r="S810"/>
          <cell r="T810">
            <v>0</v>
          </cell>
          <cell r="U810">
            <v>1492</v>
          </cell>
          <cell r="V810">
            <v>6415.5999999999995</v>
          </cell>
          <cell r="W810">
            <v>1512</v>
          </cell>
          <cell r="X810">
            <v>6501.5999999999995</v>
          </cell>
          <cell r="Y810">
            <v>617</v>
          </cell>
          <cell r="Z810">
            <v>2653.1</v>
          </cell>
          <cell r="AA810">
            <v>617</v>
          </cell>
          <cell r="AB810">
            <v>2653.1</v>
          </cell>
          <cell r="AC810">
            <v>617</v>
          </cell>
          <cell r="AD810">
            <v>2653.1</v>
          </cell>
          <cell r="AE810"/>
          <cell r="AF810"/>
          <cell r="AG810"/>
          <cell r="AH810"/>
          <cell r="AI810"/>
          <cell r="AJ810">
            <v>0</v>
          </cell>
          <cell r="AK810"/>
          <cell r="AL810">
            <v>275</v>
          </cell>
          <cell r="AM810">
            <v>453</v>
          </cell>
          <cell r="AN810" t="str">
            <v>03 New Dealer</v>
          </cell>
          <cell r="AO810" t="str">
            <v>Northeast</v>
          </cell>
          <cell r="AP810" t="str">
            <v>North</v>
          </cell>
          <cell r="AQ810"/>
          <cell r="AR810">
            <v>38830</v>
          </cell>
          <cell r="AS810">
            <v>0</v>
          </cell>
        </row>
        <row r="811">
          <cell r="A811">
            <v>13227</v>
          </cell>
          <cell r="B811" t="str">
            <v>TRAILER CITY EAST</v>
          </cell>
          <cell r="C811" t="str">
            <v>M11158</v>
          </cell>
          <cell r="D811" t="str">
            <v>NET 5, BT+</v>
          </cell>
          <cell r="E811" t="str">
            <v>F3 - Northpoint</v>
          </cell>
          <cell r="F811" t="str">
            <v>Yes</v>
          </cell>
          <cell r="G811" t="str">
            <v>OH</v>
          </cell>
          <cell r="H811">
            <v>8</v>
          </cell>
          <cell r="I811">
            <v>0.66500000000000004</v>
          </cell>
          <cell r="J811" t="str">
            <v>Orphaned Acct</v>
          </cell>
          <cell r="K811" t="str">
            <v>COMMACK</v>
          </cell>
          <cell r="L811" t="str">
            <v>NY</v>
          </cell>
          <cell r="M811" t="str">
            <v>800-577-8858</v>
          </cell>
          <cell r="N811" t="str">
            <v>All tandem axle trailers must have BRK2</v>
          </cell>
          <cell r="O811">
            <v>1484</v>
          </cell>
          <cell r="P811">
            <v>6381.2</v>
          </cell>
          <cell r="Q811">
            <v>1023</v>
          </cell>
          <cell r="R811">
            <v>4398.8999999999996</v>
          </cell>
          <cell r="S811"/>
          <cell r="T811">
            <v>0</v>
          </cell>
          <cell r="U811">
            <v>1589</v>
          </cell>
          <cell r="V811">
            <v>6832.7</v>
          </cell>
          <cell r="W811">
            <v>1564</v>
          </cell>
          <cell r="X811">
            <v>6725.2</v>
          </cell>
          <cell r="Y811">
            <v>674</v>
          </cell>
          <cell r="Z811">
            <v>2898.2</v>
          </cell>
          <cell r="AA811">
            <v>674</v>
          </cell>
          <cell r="AB811">
            <v>2898.2</v>
          </cell>
          <cell r="AC811">
            <v>674</v>
          </cell>
          <cell r="AD811">
            <v>2898.2</v>
          </cell>
          <cell r="AE811"/>
          <cell r="AF811"/>
          <cell r="AG811"/>
          <cell r="AH811"/>
          <cell r="AI811"/>
          <cell r="AJ811">
            <v>0</v>
          </cell>
          <cell r="AK811" t="str">
            <v>3P</v>
          </cell>
          <cell r="AL811">
            <v>213</v>
          </cell>
          <cell r="AM811">
            <v>321</v>
          </cell>
          <cell r="AN811" t="str">
            <v>02 Ramping</v>
          </cell>
          <cell r="AO811" t="str">
            <v>Northeast</v>
          </cell>
          <cell r="AP811" t="str">
            <v>North</v>
          </cell>
          <cell r="AQ811"/>
          <cell r="AR811">
            <v>0</v>
          </cell>
          <cell r="AS811">
            <v>0</v>
          </cell>
        </row>
        <row r="812">
          <cell r="A812">
            <v>13079</v>
          </cell>
          <cell r="B812" t="str">
            <v>TRAILERS, LLC</v>
          </cell>
          <cell r="C812" t="str">
            <v>M10958</v>
          </cell>
          <cell r="D812" t="str">
            <v>Return Mail, no pink card</v>
          </cell>
          <cell r="E812" t="str">
            <v>F1 - Wells Fargo</v>
          </cell>
          <cell r="F812" t="str">
            <v>Yes</v>
          </cell>
          <cell r="G812" t="str">
            <v>OH</v>
          </cell>
          <cell r="H812">
            <v>8</v>
          </cell>
          <cell r="I812">
            <v>0.66500000000000004</v>
          </cell>
          <cell r="J812" t="str">
            <v>Trent Evans</v>
          </cell>
          <cell r="K812" t="str">
            <v>CAIRO</v>
          </cell>
          <cell r="L812" t="str">
            <v>NY</v>
          </cell>
          <cell r="M812" t="str">
            <v>800-577-8858</v>
          </cell>
          <cell r="N812" t="str">
            <v>BRK2 &amp; 2-5/16" Couplers on tandem axles, Tarps on all Dumps</v>
          </cell>
          <cell r="O812">
            <v>1533</v>
          </cell>
          <cell r="P812">
            <v>6591.9</v>
          </cell>
          <cell r="Q812">
            <v>1096</v>
          </cell>
          <cell r="R812">
            <v>4712.8</v>
          </cell>
          <cell r="S812"/>
          <cell r="T812">
            <v>0</v>
          </cell>
          <cell r="U812">
            <v>1610</v>
          </cell>
          <cell r="V812">
            <v>6923</v>
          </cell>
          <cell r="W812">
            <v>1613</v>
          </cell>
          <cell r="X812">
            <v>6935.9</v>
          </cell>
          <cell r="Y812">
            <v>716</v>
          </cell>
          <cell r="Z812">
            <v>3078.7999999999997</v>
          </cell>
          <cell r="AA812">
            <v>716</v>
          </cell>
          <cell r="AB812">
            <v>3078.7999999999997</v>
          </cell>
          <cell r="AC812">
            <v>716</v>
          </cell>
          <cell r="AD812">
            <v>3078.7999999999997</v>
          </cell>
          <cell r="AE812"/>
          <cell r="AF812"/>
          <cell r="AG812"/>
          <cell r="AH812"/>
          <cell r="AI812"/>
          <cell r="AJ812">
            <v>0</v>
          </cell>
          <cell r="AK812" t="str">
            <v>3P</v>
          </cell>
          <cell r="AL812">
            <v>226</v>
          </cell>
          <cell r="AM812">
            <v>7</v>
          </cell>
          <cell r="AN812" t="str">
            <v>01 Existing Dealer</v>
          </cell>
          <cell r="AO812" t="str">
            <v>Northeast</v>
          </cell>
          <cell r="AP812" t="str">
            <v>North</v>
          </cell>
          <cell r="AQ812"/>
          <cell r="AR812">
            <v>0</v>
          </cell>
          <cell r="AS812">
            <v>0</v>
          </cell>
        </row>
        <row r="813">
          <cell r="A813">
            <v>13152</v>
          </cell>
          <cell r="B813" t="str">
            <v>UC POWERSPORTS LLC</v>
          </cell>
          <cell r="C813" t="str">
            <v>M11090</v>
          </cell>
          <cell r="D813" t="str">
            <v>NET 5, BT+</v>
          </cell>
          <cell r="E813" t="str">
            <v>F3</v>
          </cell>
          <cell r="F813" t="str">
            <v>Yes</v>
          </cell>
          <cell r="G813" t="str">
            <v>OH</v>
          </cell>
          <cell r="H813">
            <v>5</v>
          </cell>
          <cell r="I813">
            <v>0.66500000000000004</v>
          </cell>
          <cell r="J813" t="str">
            <v>Orphaned Acct</v>
          </cell>
          <cell r="K813" t="str">
            <v>MIDDLETOWN</v>
          </cell>
          <cell r="L813" t="str">
            <v>NY</v>
          </cell>
          <cell r="M813" t="str">
            <v>800-577-8858</v>
          </cell>
          <cell r="N813" t="str">
            <v>All tandem axle trailers must have BRK2</v>
          </cell>
          <cell r="O813">
            <v>1459</v>
          </cell>
          <cell r="P813">
            <v>6273.7</v>
          </cell>
          <cell r="Q813">
            <v>1022</v>
          </cell>
          <cell r="R813">
            <v>4394.5999999999995</v>
          </cell>
          <cell r="S813">
            <v>0</v>
          </cell>
          <cell r="T813">
            <v>0</v>
          </cell>
          <cell r="U813">
            <v>1532</v>
          </cell>
          <cell r="V813">
            <v>6587.5999999999995</v>
          </cell>
          <cell r="W813">
            <v>1539</v>
          </cell>
          <cell r="X813">
            <v>6617.7</v>
          </cell>
          <cell r="Y813">
            <v>638</v>
          </cell>
          <cell r="Z813">
            <v>2743.4</v>
          </cell>
          <cell r="AA813">
            <v>638</v>
          </cell>
          <cell r="AB813">
            <v>2743.4</v>
          </cell>
          <cell r="AC813">
            <v>638</v>
          </cell>
          <cell r="AD813">
            <v>2743.4</v>
          </cell>
          <cell r="AE813"/>
          <cell r="AF813"/>
          <cell r="AG813"/>
          <cell r="AH813"/>
          <cell r="AI813"/>
          <cell r="AJ813">
            <v>0</v>
          </cell>
          <cell r="AK813" t="str">
            <v>3P</v>
          </cell>
          <cell r="AL813">
            <v>213</v>
          </cell>
          <cell r="AM813">
            <v>321</v>
          </cell>
          <cell r="AN813" t="str">
            <v>08 Inactive Dealer</v>
          </cell>
          <cell r="AO813" t="str">
            <v>Northeast</v>
          </cell>
          <cell r="AP813" t="str">
            <v>North</v>
          </cell>
          <cell r="AQ813"/>
          <cell r="AR813">
            <v>0</v>
          </cell>
          <cell r="AS813">
            <v>0</v>
          </cell>
        </row>
        <row r="814">
          <cell r="A814">
            <v>13068</v>
          </cell>
          <cell r="B814" t="str">
            <v>UNIVERSAL ENGINE INC</v>
          </cell>
          <cell r="C814" t="str">
            <v>M10930</v>
          </cell>
          <cell r="D814" t="str">
            <v>NET 5, BT+</v>
          </cell>
          <cell r="E814" t="str">
            <v>CO</v>
          </cell>
          <cell r="F814" t="str">
            <v>Yes</v>
          </cell>
          <cell r="G814" t="str">
            <v>OH</v>
          </cell>
          <cell r="H814">
            <v>7</v>
          </cell>
          <cell r="I814">
            <v>0.66500000000000004</v>
          </cell>
          <cell r="J814" t="str">
            <v>Orphaned Acct</v>
          </cell>
          <cell r="K814" t="str">
            <v>BLASDELL</v>
          </cell>
          <cell r="L814" t="str">
            <v>NY</v>
          </cell>
          <cell r="M814" t="str">
            <v>800-577-8858</v>
          </cell>
          <cell r="N814" t="str">
            <v>All tandem axle trailers must have BRK2</v>
          </cell>
          <cell r="O814">
            <v>1249</v>
          </cell>
          <cell r="P814">
            <v>5370.7</v>
          </cell>
          <cell r="Q814">
            <v>1002</v>
          </cell>
          <cell r="R814">
            <v>4308.5999999999995</v>
          </cell>
          <cell r="S814"/>
          <cell r="T814">
            <v>0</v>
          </cell>
          <cell r="U814">
            <v>1302</v>
          </cell>
          <cell r="V814">
            <v>5598.5999999999995</v>
          </cell>
          <cell r="W814">
            <v>1329</v>
          </cell>
          <cell r="X814">
            <v>5714.7</v>
          </cell>
          <cell r="Y814">
            <v>411</v>
          </cell>
          <cell r="Z814">
            <v>1767.3</v>
          </cell>
          <cell r="AA814">
            <v>411</v>
          </cell>
          <cell r="AB814">
            <v>1767.3</v>
          </cell>
          <cell r="AC814">
            <v>411</v>
          </cell>
          <cell r="AD814">
            <v>1767.3</v>
          </cell>
          <cell r="AE814"/>
          <cell r="AF814"/>
          <cell r="AG814"/>
          <cell r="AH814"/>
          <cell r="AI814"/>
          <cell r="AJ814">
            <v>0</v>
          </cell>
          <cell r="AK814" t="str">
            <v>3P</v>
          </cell>
          <cell r="AL814">
            <v>213</v>
          </cell>
          <cell r="AM814">
            <v>60</v>
          </cell>
          <cell r="AN814" t="str">
            <v>01 Existing Dealer</v>
          </cell>
          <cell r="AO814" t="str">
            <v>Northeast</v>
          </cell>
          <cell r="AP814" t="str">
            <v>North</v>
          </cell>
          <cell r="AQ814"/>
          <cell r="AR814">
            <v>0</v>
          </cell>
          <cell r="AS814">
            <v>0</v>
          </cell>
        </row>
        <row r="815">
          <cell r="A815">
            <v>13490</v>
          </cell>
          <cell r="B815" t="str">
            <v>WNY ACCESSORIES</v>
          </cell>
          <cell r="C815" t="str">
            <v>M11465</v>
          </cell>
          <cell r="D815" t="str">
            <v>NET 5, BT+</v>
          </cell>
          <cell r="E815" t="str">
            <v>FP - Northpoint</v>
          </cell>
          <cell r="F815" t="str">
            <v>Yes</v>
          </cell>
          <cell r="G815" t="str">
            <v>OH</v>
          </cell>
          <cell r="H815">
            <v>8</v>
          </cell>
          <cell r="I815">
            <v>0.66500000000000004</v>
          </cell>
          <cell r="J815" t="str">
            <v>Lane Davis</v>
          </cell>
          <cell r="K815" t="str">
            <v>LOCKPORT</v>
          </cell>
          <cell r="L815" t="str">
            <v>NY</v>
          </cell>
          <cell r="M815" t="str">
            <v>800-577-8858</v>
          </cell>
          <cell r="N815" t="str">
            <v>All tandem axle trailers must have BRK2</v>
          </cell>
          <cell r="O815">
            <v>1266</v>
          </cell>
          <cell r="P815">
            <v>5443.8</v>
          </cell>
          <cell r="Q815">
            <v>1052</v>
          </cell>
          <cell r="R815">
            <v>4523.5999999999995</v>
          </cell>
          <cell r="S815"/>
          <cell r="T815">
            <v>0</v>
          </cell>
          <cell r="U815">
            <v>1327</v>
          </cell>
          <cell r="V815">
            <v>5706.0999999999995</v>
          </cell>
          <cell r="W815">
            <v>1348</v>
          </cell>
          <cell r="X815">
            <v>5796.4</v>
          </cell>
          <cell r="Y815">
            <v>442</v>
          </cell>
          <cell r="Z815">
            <v>1900.6</v>
          </cell>
          <cell r="AA815">
            <v>442</v>
          </cell>
          <cell r="AB815">
            <v>1900.6</v>
          </cell>
          <cell r="AC815">
            <v>442</v>
          </cell>
          <cell r="AD815">
            <v>1900.6</v>
          </cell>
          <cell r="AE815"/>
          <cell r="AF815"/>
          <cell r="AG815"/>
          <cell r="AH815"/>
          <cell r="AI815"/>
          <cell r="AJ815">
            <v>0</v>
          </cell>
          <cell r="AK815" t="str">
            <v>3P</v>
          </cell>
          <cell r="AL815">
            <v>275</v>
          </cell>
          <cell r="AM815">
            <v>60</v>
          </cell>
          <cell r="AN815" t="str">
            <v>01 Existing Dealer</v>
          </cell>
          <cell r="AO815" t="str">
            <v>Northeast</v>
          </cell>
          <cell r="AP815" t="str">
            <v>North</v>
          </cell>
          <cell r="AQ815"/>
          <cell r="AR815">
            <v>0</v>
          </cell>
          <cell r="AS815">
            <v>0</v>
          </cell>
        </row>
        <row r="816">
          <cell r="A816">
            <v>13503</v>
          </cell>
          <cell r="B816" t="str">
            <v>JIMS TRAILER WORLD</v>
          </cell>
          <cell r="C816" t="str">
            <v>M11478</v>
          </cell>
          <cell r="D816" t="str">
            <v>Return Mail, no pink card</v>
          </cell>
          <cell r="E816" t="str">
            <v>FP - Wells Fargo</v>
          </cell>
          <cell r="F816" t="str">
            <v>Yes</v>
          </cell>
          <cell r="G816" t="str">
            <v>OH</v>
          </cell>
          <cell r="H816">
            <v>8</v>
          </cell>
          <cell r="I816">
            <v>0.66500000000000004</v>
          </cell>
          <cell r="J816" t="str">
            <v>Trent Evans</v>
          </cell>
          <cell r="K816" t="str">
            <v>LYONS</v>
          </cell>
          <cell r="L816" t="str">
            <v>NY</v>
          </cell>
          <cell r="M816" t="str">
            <v>800-577-8858</v>
          </cell>
          <cell r="N816" t="str">
            <v>All tandem axle trailers must have BRK2</v>
          </cell>
          <cell r="O816">
            <v>1358</v>
          </cell>
          <cell r="P816">
            <v>5839.4</v>
          </cell>
          <cell r="Q816">
            <v>1057</v>
          </cell>
          <cell r="R816">
            <v>4545.0999999999995</v>
          </cell>
          <cell r="S816"/>
          <cell r="T816">
            <v>0</v>
          </cell>
          <cell r="U816">
            <v>1416</v>
          </cell>
          <cell r="V816">
            <v>6088.8</v>
          </cell>
          <cell r="W816">
            <v>1437</v>
          </cell>
          <cell r="X816">
            <v>6179.0999999999995</v>
          </cell>
          <cell r="Y816">
            <v>544</v>
          </cell>
          <cell r="Z816">
            <v>2339.1999999999998</v>
          </cell>
          <cell r="AA816">
            <v>544</v>
          </cell>
          <cell r="AB816">
            <v>2339.1999999999998</v>
          </cell>
          <cell r="AC816">
            <v>544</v>
          </cell>
          <cell r="AD816">
            <v>2339.1999999999998</v>
          </cell>
          <cell r="AE816"/>
          <cell r="AF816"/>
          <cell r="AG816"/>
          <cell r="AH816"/>
          <cell r="AI816"/>
          <cell r="AJ816">
            <v>0</v>
          </cell>
          <cell r="AK816" t="str">
            <v>3P</v>
          </cell>
          <cell r="AL816">
            <v>226</v>
          </cell>
          <cell r="AM816">
            <v>379</v>
          </cell>
          <cell r="AN816" t="str">
            <v>03 New Dealer</v>
          </cell>
          <cell r="AO816" t="str">
            <v>Northeast</v>
          </cell>
          <cell r="AP816" t="str">
            <v>North</v>
          </cell>
          <cell r="AQ816"/>
          <cell r="AR816">
            <v>0</v>
          </cell>
          <cell r="AS816">
            <v>0</v>
          </cell>
        </row>
        <row r="817">
          <cell r="A817">
            <v>13062</v>
          </cell>
          <cell r="B817" t="str">
            <v>ATW - TW AKRON</v>
          </cell>
          <cell r="C817" t="str">
            <v>M10284</v>
          </cell>
          <cell r="D817" t="str">
            <v>Net 30, no pink card</v>
          </cell>
          <cell r="E817">
            <v>30</v>
          </cell>
          <cell r="F817" t="str">
            <v>Yes</v>
          </cell>
          <cell r="G817" t="str">
            <v>OH</v>
          </cell>
          <cell r="H817">
            <v>11</v>
          </cell>
          <cell r="I817">
            <v>0.66500000000000004</v>
          </cell>
          <cell r="J817" t="str">
            <v>Orphaned Acct</v>
          </cell>
          <cell r="K817" t="str">
            <v>AKRON</v>
          </cell>
          <cell r="L817" t="str">
            <v>OH</v>
          </cell>
          <cell r="M817" t="str">
            <v>800-577-8858</v>
          </cell>
          <cell r="N817"/>
          <cell r="O817">
            <v>1056</v>
          </cell>
          <cell r="P817">
            <v>4540.8</v>
          </cell>
          <cell r="Q817">
            <v>826</v>
          </cell>
          <cell r="R817">
            <v>3551.7999999999997</v>
          </cell>
          <cell r="S817"/>
          <cell r="T817">
            <v>0</v>
          </cell>
          <cell r="U817">
            <v>1110</v>
          </cell>
          <cell r="V817">
            <v>4773</v>
          </cell>
          <cell r="W817">
            <v>1137</v>
          </cell>
          <cell r="X817">
            <v>4889.0999999999995</v>
          </cell>
          <cell r="Y817">
            <v>225</v>
          </cell>
          <cell r="Z817">
            <v>967.5</v>
          </cell>
          <cell r="AA817">
            <v>225</v>
          </cell>
          <cell r="AB817">
            <v>967.5</v>
          </cell>
          <cell r="AC817">
            <v>225</v>
          </cell>
          <cell r="AD817">
            <v>967.5</v>
          </cell>
          <cell r="AE817">
            <v>2.9700000000000001E-2</v>
          </cell>
          <cell r="AF817"/>
          <cell r="AG817">
            <v>0</v>
          </cell>
          <cell r="AH817">
            <v>8.8270000000000001E-2</v>
          </cell>
          <cell r="AI817">
            <v>8.8270000000000001E-2</v>
          </cell>
          <cell r="AJ817">
            <v>0.03</v>
          </cell>
          <cell r="AK817" t="str">
            <v>TW</v>
          </cell>
          <cell r="AL817">
            <v>213</v>
          </cell>
          <cell r="AM817">
            <v>84</v>
          </cell>
          <cell r="AN817" t="str">
            <v>09 Inactive Co Store</v>
          </cell>
          <cell r="AO817" t="str">
            <v>Midwest</v>
          </cell>
          <cell r="AP817" t="str">
            <v>North</v>
          </cell>
          <cell r="AQ817"/>
          <cell r="AR817">
            <v>0</v>
          </cell>
          <cell r="AS817">
            <v>0</v>
          </cell>
        </row>
        <row r="818">
          <cell r="A818">
            <v>13075</v>
          </cell>
          <cell r="B818" t="str">
            <v>BUCKEYE TRAILER  prev ATW -CIRCLEVILLE</v>
          </cell>
          <cell r="C818" t="str">
            <v>M10206</v>
          </cell>
          <cell r="D818" t="str">
            <v>Net 30, no pink card</v>
          </cell>
          <cell r="E818">
            <v>30</v>
          </cell>
          <cell r="F818" t="str">
            <v>Yes</v>
          </cell>
          <cell r="G818" t="str">
            <v>OH</v>
          </cell>
          <cell r="H818">
            <v>10</v>
          </cell>
          <cell r="I818">
            <v>0.66500000000000004</v>
          </cell>
          <cell r="J818" t="str">
            <v>Orphaned Acct</v>
          </cell>
          <cell r="K818" t="str">
            <v>CIRCLEVILLE</v>
          </cell>
          <cell r="L818" t="str">
            <v>OH</v>
          </cell>
          <cell r="M818" t="str">
            <v>800-577-8858</v>
          </cell>
          <cell r="N818"/>
          <cell r="O818">
            <v>922</v>
          </cell>
          <cell r="P818">
            <v>3964.6</v>
          </cell>
          <cell r="Q818">
            <v>712</v>
          </cell>
          <cell r="R818">
            <v>3061.6</v>
          </cell>
          <cell r="S818"/>
          <cell r="T818">
            <v>0</v>
          </cell>
          <cell r="U818">
            <v>1009</v>
          </cell>
          <cell r="V818">
            <v>4338.7</v>
          </cell>
          <cell r="W818">
            <v>1002</v>
          </cell>
          <cell r="X818">
            <v>4308.5999999999995</v>
          </cell>
          <cell r="Y818">
            <v>82</v>
          </cell>
          <cell r="Z818">
            <v>352.59999999999997</v>
          </cell>
          <cell r="AA818">
            <v>82</v>
          </cell>
          <cell r="AB818">
            <v>352.59999999999997</v>
          </cell>
          <cell r="AC818">
            <v>82</v>
          </cell>
          <cell r="AD818">
            <v>352.59999999999997</v>
          </cell>
          <cell r="AE818">
            <v>3.7599999999999995E-2</v>
          </cell>
          <cell r="AF818"/>
          <cell r="AG818">
            <v>0</v>
          </cell>
          <cell r="AH818">
            <v>8.7059999999999998E-2</v>
          </cell>
          <cell r="AI818">
            <v>8.7059999999999998E-2</v>
          </cell>
          <cell r="AJ818">
            <v>0.04</v>
          </cell>
          <cell r="AK818" t="str">
            <v>3P</v>
          </cell>
          <cell r="AL818">
            <v>213</v>
          </cell>
          <cell r="AM818">
            <v>95</v>
          </cell>
          <cell r="AN818" t="str">
            <v>09 Inactive Co Store</v>
          </cell>
          <cell r="AO818" t="str">
            <v>Midwest</v>
          </cell>
          <cell r="AP818" t="str">
            <v>North</v>
          </cell>
          <cell r="AQ818"/>
          <cell r="AR818">
            <v>0</v>
          </cell>
          <cell r="AS818">
            <v>0</v>
          </cell>
        </row>
        <row r="819">
          <cell r="A819">
            <v>13063</v>
          </cell>
          <cell r="B819" t="str">
            <v>ATW - TW HAMILTON</v>
          </cell>
          <cell r="C819" t="str">
            <v>M10050</v>
          </cell>
          <cell r="D819" t="str">
            <v>Net 30, no pink card</v>
          </cell>
          <cell r="E819">
            <v>30</v>
          </cell>
          <cell r="F819" t="str">
            <v>Yes</v>
          </cell>
          <cell r="G819" t="str">
            <v>OH</v>
          </cell>
          <cell r="H819">
            <v>11</v>
          </cell>
          <cell r="I819">
            <v>0.66500000000000004</v>
          </cell>
          <cell r="J819" t="str">
            <v>Orphaned Acct</v>
          </cell>
          <cell r="K819" t="str">
            <v>HAMILTON</v>
          </cell>
          <cell r="L819" t="str">
            <v>OH</v>
          </cell>
          <cell r="M819" t="str">
            <v>800-577-8858</v>
          </cell>
          <cell r="N819"/>
          <cell r="O819">
            <v>842</v>
          </cell>
          <cell r="P819">
            <v>3620.6</v>
          </cell>
          <cell r="Q819">
            <v>632</v>
          </cell>
          <cell r="R819">
            <v>2717.6</v>
          </cell>
          <cell r="S819"/>
          <cell r="T819">
            <v>0</v>
          </cell>
          <cell r="U819">
            <v>919</v>
          </cell>
          <cell r="V819">
            <v>3951.7</v>
          </cell>
          <cell r="W819">
            <v>922</v>
          </cell>
          <cell r="X819">
            <v>3964.6</v>
          </cell>
          <cell r="Y819">
            <v>51</v>
          </cell>
          <cell r="Z819">
            <v>219.29999999999998</v>
          </cell>
          <cell r="AA819">
            <v>51</v>
          </cell>
          <cell r="AB819">
            <v>219.29999999999998</v>
          </cell>
          <cell r="AC819">
            <v>51</v>
          </cell>
          <cell r="AD819">
            <v>219.29999999999998</v>
          </cell>
          <cell r="AE819">
            <v>4.4999999999999998E-2</v>
          </cell>
          <cell r="AF819"/>
          <cell r="AG819">
            <v>0</v>
          </cell>
          <cell r="AH819">
            <v>7.2569999999999996E-2</v>
          </cell>
          <cell r="AI819">
            <v>7.2569999999999996E-2</v>
          </cell>
          <cell r="AJ819">
            <v>0.01</v>
          </cell>
          <cell r="AK819" t="str">
            <v>TW</v>
          </cell>
          <cell r="AL819">
            <v>213</v>
          </cell>
          <cell r="AM819">
            <v>81</v>
          </cell>
          <cell r="AN819" t="str">
            <v>09 Inactive Co Store</v>
          </cell>
          <cell r="AO819" t="str">
            <v>Midwest</v>
          </cell>
          <cell r="AP819" t="str">
            <v>North</v>
          </cell>
          <cell r="AQ819"/>
          <cell r="AR819">
            <v>0</v>
          </cell>
          <cell r="AS819">
            <v>0</v>
          </cell>
        </row>
        <row r="820">
          <cell r="A820">
            <v>13087</v>
          </cell>
          <cell r="B820" t="str">
            <v>ATW - TW MENTOR</v>
          </cell>
          <cell r="C820" t="str">
            <v>M10976</v>
          </cell>
          <cell r="D820" t="str">
            <v>Net 30, no pink card</v>
          </cell>
          <cell r="E820">
            <v>30</v>
          </cell>
          <cell r="F820" t="str">
            <v>Yes</v>
          </cell>
          <cell r="G820" t="str">
            <v>OH</v>
          </cell>
          <cell r="H820">
            <v>11</v>
          </cell>
          <cell r="I820">
            <v>0.66500000000000004</v>
          </cell>
          <cell r="J820" t="str">
            <v>Orphaned Acct</v>
          </cell>
          <cell r="K820" t="str">
            <v>MENTOR</v>
          </cell>
          <cell r="L820" t="str">
            <v>OH</v>
          </cell>
          <cell r="M820" t="str">
            <v>800-577-8858</v>
          </cell>
          <cell r="N820"/>
          <cell r="O820">
            <v>1084</v>
          </cell>
          <cell r="P820">
            <v>4661.2</v>
          </cell>
          <cell r="Q820">
            <v>870</v>
          </cell>
          <cell r="R820">
            <v>3741</v>
          </cell>
          <cell r="S820"/>
          <cell r="T820">
            <v>0</v>
          </cell>
          <cell r="U820">
            <v>1145</v>
          </cell>
          <cell r="V820">
            <v>4923.5</v>
          </cell>
          <cell r="W820">
            <v>1166</v>
          </cell>
          <cell r="X820">
            <v>5013.8</v>
          </cell>
          <cell r="Y820">
            <v>261</v>
          </cell>
          <cell r="Z820">
            <v>1122.3</v>
          </cell>
          <cell r="AA820">
            <v>261</v>
          </cell>
          <cell r="AB820">
            <v>1122.3</v>
          </cell>
          <cell r="AC820">
            <v>261</v>
          </cell>
          <cell r="AD820">
            <v>1122.3</v>
          </cell>
          <cell r="AE820">
            <v>3.2500000000000001E-2</v>
          </cell>
          <cell r="AF820"/>
          <cell r="AG820">
            <v>0</v>
          </cell>
          <cell r="AH820">
            <v>9.8699999999999996E-2</v>
          </cell>
          <cell r="AI820">
            <v>9.8699999999999996E-2</v>
          </cell>
          <cell r="AJ820">
            <v>0.03</v>
          </cell>
          <cell r="AK820" t="str">
            <v>TW</v>
          </cell>
          <cell r="AL820">
            <v>213</v>
          </cell>
          <cell r="AM820">
            <v>84</v>
          </cell>
          <cell r="AN820" t="str">
            <v>09 Inactive Co Store</v>
          </cell>
          <cell r="AO820" t="str">
            <v>Midwest</v>
          </cell>
          <cell r="AP820" t="str">
            <v>North</v>
          </cell>
          <cell r="AQ820"/>
          <cell r="AR820">
            <v>0</v>
          </cell>
          <cell r="AS820">
            <v>0</v>
          </cell>
        </row>
        <row r="821">
          <cell r="A821">
            <v>11145</v>
          </cell>
          <cell r="B821" t="str">
            <v>BEN HUR TRAILER SALES</v>
          </cell>
          <cell r="C821" t="str">
            <v>M10050</v>
          </cell>
          <cell r="D821" t="str">
            <v>Net 15, no pink card</v>
          </cell>
          <cell r="E821">
            <v>15</v>
          </cell>
          <cell r="F821" t="str">
            <v>Yes</v>
          </cell>
          <cell r="G821" t="str">
            <v>OH</v>
          </cell>
          <cell r="H821">
            <v>5</v>
          </cell>
          <cell r="I821">
            <v>0.66500000000000004</v>
          </cell>
          <cell r="J821" t="str">
            <v>Orphaned Acct</v>
          </cell>
          <cell r="K821" t="str">
            <v>HAMILTON</v>
          </cell>
          <cell r="L821" t="str">
            <v>OH</v>
          </cell>
          <cell r="M821" t="str">
            <v>800-577-8858</v>
          </cell>
          <cell r="N821"/>
          <cell r="O821">
            <v>843</v>
          </cell>
          <cell r="P821">
            <v>3624.8999999999996</v>
          </cell>
          <cell r="Q821">
            <v>632</v>
          </cell>
          <cell r="R821">
            <v>2717.6</v>
          </cell>
          <cell r="S821"/>
          <cell r="T821">
            <v>0</v>
          </cell>
          <cell r="U821">
            <v>919</v>
          </cell>
          <cell r="V821">
            <v>3951.7</v>
          </cell>
          <cell r="W821"/>
          <cell r="X821">
            <v>0</v>
          </cell>
          <cell r="Y821">
            <v>59.3</v>
          </cell>
          <cell r="Z821">
            <v>254.98999999999998</v>
          </cell>
          <cell r="AA821">
            <v>59.3</v>
          </cell>
          <cell r="AB821">
            <v>254.98999999999998</v>
          </cell>
          <cell r="AC821">
            <v>59.3</v>
          </cell>
          <cell r="AD821">
            <v>254.98999999999998</v>
          </cell>
          <cell r="AE821"/>
          <cell r="AF821"/>
          <cell r="AG821"/>
          <cell r="AH821"/>
          <cell r="AI821"/>
          <cell r="AJ821">
            <v>0.01</v>
          </cell>
          <cell r="AK821" t="str">
            <v>3P</v>
          </cell>
          <cell r="AL821">
            <v>213</v>
          </cell>
          <cell r="AM821">
            <v>81</v>
          </cell>
          <cell r="AN821" t="str">
            <v>08 Inactive Dealer</v>
          </cell>
          <cell r="AO821" t="str">
            <v>Midwest</v>
          </cell>
          <cell r="AP821" t="str">
            <v>North</v>
          </cell>
          <cell r="AQ821"/>
          <cell r="AR821">
            <v>0</v>
          </cell>
          <cell r="AS821">
            <v>0</v>
          </cell>
        </row>
        <row r="822">
          <cell r="A822">
            <v>11823</v>
          </cell>
          <cell r="B822" t="str">
            <v>BEN HUR TRAILER SALES</v>
          </cell>
          <cell r="C822" t="str">
            <v>M10050</v>
          </cell>
          <cell r="D822" t="str">
            <v>NET 5, BT+</v>
          </cell>
          <cell r="E822" t="str">
            <v>F1 - Wells Fargo</v>
          </cell>
          <cell r="F822" t="str">
            <v>Yes</v>
          </cell>
          <cell r="G822" t="str">
            <v>OH</v>
          </cell>
          <cell r="H822">
            <v>8</v>
          </cell>
          <cell r="I822">
            <v>0.66500000000000004</v>
          </cell>
          <cell r="J822" t="str">
            <v>Orphaned Acct</v>
          </cell>
          <cell r="K822" t="str">
            <v>HAMILTON</v>
          </cell>
          <cell r="L822" t="str">
            <v>OH</v>
          </cell>
          <cell r="M822" t="str">
            <v>800-577-8858</v>
          </cell>
          <cell r="N822"/>
          <cell r="O822">
            <v>842</v>
          </cell>
          <cell r="P822">
            <v>3620.6</v>
          </cell>
          <cell r="Q822">
            <v>632</v>
          </cell>
          <cell r="R822">
            <v>2717.6</v>
          </cell>
          <cell r="S822"/>
          <cell r="T822">
            <v>0</v>
          </cell>
          <cell r="U822">
            <v>919</v>
          </cell>
          <cell r="V822">
            <v>3951.7</v>
          </cell>
          <cell r="W822">
            <v>922</v>
          </cell>
          <cell r="X822">
            <v>3964.6</v>
          </cell>
          <cell r="Y822">
            <v>59.3</v>
          </cell>
          <cell r="Z822">
            <v>254.98999999999998</v>
          </cell>
          <cell r="AA822">
            <v>59.3</v>
          </cell>
          <cell r="AB822">
            <v>254.98999999999998</v>
          </cell>
          <cell r="AC822">
            <v>59.3</v>
          </cell>
          <cell r="AD822">
            <v>254.98999999999998</v>
          </cell>
          <cell r="AE822"/>
          <cell r="AF822"/>
          <cell r="AG822"/>
          <cell r="AH822"/>
          <cell r="AI822"/>
          <cell r="AJ822">
            <v>0.01</v>
          </cell>
          <cell r="AK822" t="str">
            <v>3P</v>
          </cell>
          <cell r="AL822">
            <v>213</v>
          </cell>
          <cell r="AM822">
            <v>81</v>
          </cell>
          <cell r="AN822" t="str">
            <v>08 Inactive Dealer</v>
          </cell>
          <cell r="AO822" t="str">
            <v>Midwest</v>
          </cell>
          <cell r="AP822" t="str">
            <v>North</v>
          </cell>
          <cell r="AQ822"/>
          <cell r="AR822">
            <v>0</v>
          </cell>
          <cell r="AS822">
            <v>0</v>
          </cell>
        </row>
        <row r="823">
          <cell r="A823">
            <v>13119</v>
          </cell>
          <cell r="B823" t="str">
            <v>BOWMAN AUTOMOTIVE</v>
          </cell>
          <cell r="C823" t="str">
            <v>M11024</v>
          </cell>
          <cell r="D823" t="str">
            <v>NET 5, BT+</v>
          </cell>
          <cell r="E823" t="str">
            <v>FP</v>
          </cell>
          <cell r="F823" t="str">
            <v>Yes</v>
          </cell>
          <cell r="G823" t="str">
            <v>OH</v>
          </cell>
          <cell r="H823">
            <v>8</v>
          </cell>
          <cell r="I823">
            <v>0.66500000000000004</v>
          </cell>
          <cell r="J823" t="str">
            <v>Orphaned Acct</v>
          </cell>
          <cell r="K823" t="str">
            <v>HEBRON</v>
          </cell>
          <cell r="L823" t="str">
            <v>OH</v>
          </cell>
          <cell r="M823" t="str">
            <v>800-577-8858</v>
          </cell>
          <cell r="N823"/>
          <cell r="O823">
            <v>950</v>
          </cell>
          <cell r="P823">
            <v>4085</v>
          </cell>
          <cell r="Q823">
            <v>740</v>
          </cell>
          <cell r="R823">
            <v>3182</v>
          </cell>
          <cell r="S823"/>
          <cell r="T823">
            <v>0</v>
          </cell>
          <cell r="U823">
            <v>1019</v>
          </cell>
          <cell r="V823">
            <v>4381.7</v>
          </cell>
          <cell r="W823">
            <v>1031</v>
          </cell>
          <cell r="X823">
            <v>4433.3</v>
          </cell>
          <cell r="Y823">
            <v>119</v>
          </cell>
          <cell r="Z823">
            <v>511.7</v>
          </cell>
          <cell r="AA823">
            <v>119</v>
          </cell>
          <cell r="AB823">
            <v>511.7</v>
          </cell>
          <cell r="AC823">
            <v>119</v>
          </cell>
          <cell r="AD823">
            <v>511.7</v>
          </cell>
          <cell r="AE823"/>
          <cell r="AF823"/>
          <cell r="AG823"/>
          <cell r="AH823"/>
          <cell r="AI823"/>
          <cell r="AJ823">
            <v>0</v>
          </cell>
          <cell r="AK823" t="str">
            <v>3P</v>
          </cell>
          <cell r="AL823">
            <v>213</v>
          </cell>
          <cell r="AM823">
            <v>95</v>
          </cell>
          <cell r="AN823" t="str">
            <v>08 Inactive Dealer</v>
          </cell>
          <cell r="AO823" t="str">
            <v>Midwest</v>
          </cell>
          <cell r="AP823" t="str">
            <v>North</v>
          </cell>
          <cell r="AQ823"/>
          <cell r="AR823">
            <v>0</v>
          </cell>
          <cell r="AS823">
            <v>0</v>
          </cell>
        </row>
        <row r="824">
          <cell r="A824">
            <v>12995</v>
          </cell>
          <cell r="B824" t="str">
            <v>BT-AKRON, NATIONAL TRAILER SUPPLY</v>
          </cell>
          <cell r="C824" t="str">
            <v>M10284</v>
          </cell>
          <cell r="D824" t="str">
            <v>Net 30, no pink card</v>
          </cell>
          <cell r="E824">
            <v>30</v>
          </cell>
          <cell r="F824" t="str">
            <v>Yes</v>
          </cell>
          <cell r="G824" t="str">
            <v>OH</v>
          </cell>
          <cell r="H824">
            <v>11</v>
          </cell>
          <cell r="I824">
            <v>0.66500000000000004</v>
          </cell>
          <cell r="J824" t="str">
            <v>Orphaned Acct</v>
          </cell>
          <cell r="K824" t="str">
            <v>AKRON</v>
          </cell>
          <cell r="L824" t="str">
            <v>OH</v>
          </cell>
          <cell r="M824" t="str">
            <v>800-577-8858</v>
          </cell>
          <cell r="N824"/>
          <cell r="O824">
            <v>1056</v>
          </cell>
          <cell r="P824">
            <v>4540.8</v>
          </cell>
          <cell r="Q824">
            <v>826</v>
          </cell>
          <cell r="R824">
            <v>3551.7999999999997</v>
          </cell>
          <cell r="S824"/>
          <cell r="T824">
            <v>0</v>
          </cell>
          <cell r="U824">
            <v>1110</v>
          </cell>
          <cell r="V824">
            <v>4773</v>
          </cell>
          <cell r="W824">
            <v>1137</v>
          </cell>
          <cell r="X824">
            <v>4889.0999999999995</v>
          </cell>
          <cell r="Y824">
            <v>219</v>
          </cell>
          <cell r="Z824">
            <v>941.69999999999993</v>
          </cell>
          <cell r="AA824">
            <v>219</v>
          </cell>
          <cell r="AB824">
            <v>941.69999999999993</v>
          </cell>
          <cell r="AC824">
            <v>219</v>
          </cell>
          <cell r="AD824">
            <v>941.69999999999993</v>
          </cell>
          <cell r="AE824"/>
          <cell r="AF824"/>
          <cell r="AG824"/>
          <cell r="AH824"/>
          <cell r="AI824"/>
          <cell r="AJ824">
            <v>0.01</v>
          </cell>
          <cell r="AK824" t="str">
            <v>TW</v>
          </cell>
          <cell r="AL824">
            <v>213</v>
          </cell>
          <cell r="AM824">
            <v>84</v>
          </cell>
          <cell r="AN824" t="str">
            <v>09 Inactive Co Store</v>
          </cell>
          <cell r="AO824" t="str">
            <v>Midwest</v>
          </cell>
          <cell r="AP824" t="str">
            <v>North</v>
          </cell>
          <cell r="AQ824"/>
          <cell r="AR824">
            <v>0</v>
          </cell>
          <cell r="AS824">
            <v>0</v>
          </cell>
          <cell r="AT824"/>
        </row>
        <row r="825">
          <cell r="A825">
            <v>12860</v>
          </cell>
          <cell r="B825" t="str">
            <v>BUCKEYE EQUIPMENT SALES, INC</v>
          </cell>
          <cell r="C825" t="str">
            <v>M10119</v>
          </cell>
          <cell r="D825" t="str">
            <v>NET 5, BT+</v>
          </cell>
          <cell r="E825" t="str">
            <v>CO</v>
          </cell>
          <cell r="F825" t="str">
            <v>Yes</v>
          </cell>
          <cell r="G825" t="str">
            <v>OH</v>
          </cell>
          <cell r="H825">
            <v>7</v>
          </cell>
          <cell r="I825">
            <v>0.66500000000000004</v>
          </cell>
          <cell r="J825" t="str">
            <v>Orphaned Acct</v>
          </cell>
          <cell r="K825" t="str">
            <v>PARMA</v>
          </cell>
          <cell r="L825" t="str">
            <v>OH</v>
          </cell>
          <cell r="M825" t="str">
            <v>800-577-8858</v>
          </cell>
          <cell r="N825"/>
          <cell r="O825">
            <v>1062</v>
          </cell>
          <cell r="P825">
            <v>4566.5999999999995</v>
          </cell>
          <cell r="Q825">
            <v>852</v>
          </cell>
          <cell r="R825">
            <v>3663.6</v>
          </cell>
          <cell r="S825"/>
          <cell r="T825">
            <v>0</v>
          </cell>
          <cell r="U825">
            <v>1115</v>
          </cell>
          <cell r="V825">
            <v>4794.5</v>
          </cell>
          <cell r="W825">
            <v>1142</v>
          </cell>
          <cell r="X825">
            <v>4910.5999999999995</v>
          </cell>
          <cell r="Y825">
            <v>230</v>
          </cell>
          <cell r="Z825">
            <v>989</v>
          </cell>
          <cell r="AA825">
            <v>230</v>
          </cell>
          <cell r="AB825">
            <v>989</v>
          </cell>
          <cell r="AC825">
            <v>230</v>
          </cell>
          <cell r="AD825">
            <v>989</v>
          </cell>
          <cell r="AE825"/>
          <cell r="AF825"/>
          <cell r="AG825"/>
          <cell r="AH825"/>
          <cell r="AI825"/>
          <cell r="AJ825">
            <v>0</v>
          </cell>
          <cell r="AK825"/>
          <cell r="AL825">
            <v>213</v>
          </cell>
          <cell r="AM825">
            <v>84</v>
          </cell>
          <cell r="AN825" t="str">
            <v>01 Existing Dealer</v>
          </cell>
          <cell r="AO825" t="str">
            <v>Midwest</v>
          </cell>
          <cell r="AP825" t="str">
            <v>North</v>
          </cell>
          <cell r="AQ825"/>
          <cell r="AR825">
            <v>0</v>
          </cell>
          <cell r="AS825">
            <v>0</v>
          </cell>
          <cell r="AT825"/>
        </row>
        <row r="826">
          <cell r="A826">
            <v>13168</v>
          </cell>
          <cell r="B826" t="str">
            <v>BUCKEYE TRAILER</v>
          </cell>
          <cell r="C826" t="str">
            <v>M10376</v>
          </cell>
          <cell r="D826" t="str">
            <v>Return Mail, no pink card</v>
          </cell>
          <cell r="E826" t="str">
            <v>F4 - Northpoint</v>
          </cell>
          <cell r="F826" t="str">
            <v>Yes</v>
          </cell>
          <cell r="G826" t="str">
            <v>OH</v>
          </cell>
          <cell r="H826">
            <v>8</v>
          </cell>
          <cell r="I826">
            <v>0.66500000000000004</v>
          </cell>
          <cell r="J826" t="str">
            <v>Trent Evans</v>
          </cell>
          <cell r="K826" t="str">
            <v>CIRCLEVILLE</v>
          </cell>
          <cell r="L826" t="str">
            <v>OH</v>
          </cell>
          <cell r="M826" t="str">
            <v>800-577-8858</v>
          </cell>
          <cell r="N826"/>
          <cell r="O826">
            <v>922</v>
          </cell>
          <cell r="P826">
            <v>3964.6</v>
          </cell>
          <cell r="Q826">
            <v>712</v>
          </cell>
          <cell r="R826">
            <v>3061.6</v>
          </cell>
          <cell r="S826"/>
          <cell r="T826">
            <v>0</v>
          </cell>
          <cell r="U826">
            <v>1009</v>
          </cell>
          <cell r="V826">
            <v>4338.7</v>
          </cell>
          <cell r="W826">
            <v>1002</v>
          </cell>
          <cell r="X826">
            <v>4308.5999999999995</v>
          </cell>
          <cell r="Y826">
            <v>72</v>
          </cell>
          <cell r="Z826">
            <v>309.59999999999997</v>
          </cell>
          <cell r="AA826">
            <v>72</v>
          </cell>
          <cell r="AB826">
            <v>309.59999999999997</v>
          </cell>
          <cell r="AC826">
            <v>72</v>
          </cell>
          <cell r="AD826">
            <v>309.59999999999997</v>
          </cell>
          <cell r="AE826"/>
          <cell r="AF826"/>
          <cell r="AG826"/>
          <cell r="AH826"/>
          <cell r="AI826"/>
          <cell r="AJ826">
            <v>0.02</v>
          </cell>
          <cell r="AK826" t="str">
            <v>3P</v>
          </cell>
          <cell r="AL826">
            <v>226</v>
          </cell>
          <cell r="AM826">
            <v>95</v>
          </cell>
          <cell r="AN826" t="str">
            <v>02 Ramping</v>
          </cell>
          <cell r="AO826" t="str">
            <v>Midwest</v>
          </cell>
          <cell r="AP826" t="str">
            <v>North</v>
          </cell>
          <cell r="AQ826"/>
          <cell r="AR826">
            <v>24471</v>
          </cell>
          <cell r="AS826">
            <v>0</v>
          </cell>
          <cell r="AT826"/>
        </row>
        <row r="827">
          <cell r="A827">
            <v>12997</v>
          </cell>
          <cell r="B827" t="str">
            <v>CRESCENT-CCONNELL SUPPLY</v>
          </cell>
          <cell r="C827" t="str">
            <v>M10840</v>
          </cell>
          <cell r="D827" t="str">
            <v>NET 5, BT+</v>
          </cell>
          <cell r="E827" t="str">
            <v>CO</v>
          </cell>
          <cell r="F827" t="str">
            <v>Yes</v>
          </cell>
          <cell r="G827" t="str">
            <v>OH</v>
          </cell>
          <cell r="H827">
            <v>7</v>
          </cell>
          <cell r="I827">
            <v>0.66500000000000004</v>
          </cell>
          <cell r="J827" t="str">
            <v>Orphaned Acct</v>
          </cell>
          <cell r="K827" t="str">
            <v>MARIETTA</v>
          </cell>
          <cell r="L827" t="str">
            <v>OH</v>
          </cell>
          <cell r="M827" t="str">
            <v>800-577-8858</v>
          </cell>
          <cell r="N827"/>
          <cell r="O827">
            <v>1021</v>
          </cell>
          <cell r="P827">
            <v>4390.3</v>
          </cell>
          <cell r="Q827">
            <v>705</v>
          </cell>
          <cell r="R827">
            <v>3031.5</v>
          </cell>
          <cell r="S827"/>
          <cell r="T827">
            <v>0</v>
          </cell>
          <cell r="U827">
            <v>1115</v>
          </cell>
          <cell r="V827">
            <v>4794.5</v>
          </cell>
          <cell r="W827">
            <v>1101</v>
          </cell>
          <cell r="X827">
            <v>4734.3</v>
          </cell>
          <cell r="Y827">
            <v>165</v>
          </cell>
          <cell r="Z827">
            <v>709.5</v>
          </cell>
          <cell r="AA827">
            <v>165</v>
          </cell>
          <cell r="AB827">
            <v>709.5</v>
          </cell>
          <cell r="AC827">
            <v>165</v>
          </cell>
          <cell r="AD827">
            <v>709.5</v>
          </cell>
          <cell r="AE827"/>
          <cell r="AF827"/>
          <cell r="AG827"/>
          <cell r="AH827"/>
          <cell r="AI827"/>
          <cell r="AJ827">
            <v>0</v>
          </cell>
          <cell r="AK827" t="str">
            <v>3P</v>
          </cell>
          <cell r="AL827">
            <v>213</v>
          </cell>
          <cell r="AM827">
            <v>342</v>
          </cell>
          <cell r="AN827" t="str">
            <v>08 Inactive Dealer</v>
          </cell>
          <cell r="AO827" t="str">
            <v>Midwest</v>
          </cell>
          <cell r="AP827" t="str">
            <v>North</v>
          </cell>
          <cell r="AQ827"/>
          <cell r="AR827">
            <v>0</v>
          </cell>
          <cell r="AS827">
            <v>0</v>
          </cell>
        </row>
        <row r="828">
          <cell r="A828">
            <v>13098</v>
          </cell>
          <cell r="B828" t="str">
            <v>CUSTOM WAY WELDING, INC</v>
          </cell>
          <cell r="C828" t="str">
            <v>M10999</v>
          </cell>
          <cell r="D828" t="str">
            <v>NET 5, BT+</v>
          </cell>
          <cell r="E828" t="str">
            <v>F3 - Northpoint</v>
          </cell>
          <cell r="F828" t="str">
            <v>Yes</v>
          </cell>
          <cell r="G828" t="str">
            <v>OH</v>
          </cell>
          <cell r="H828">
            <v>8</v>
          </cell>
          <cell r="I828">
            <v>0.66500000000000004</v>
          </cell>
          <cell r="J828" t="str">
            <v>Dakota Nation</v>
          </cell>
          <cell r="K828" t="str">
            <v>NEW CARLISLE</v>
          </cell>
          <cell r="L828" t="str">
            <v>OH</v>
          </cell>
          <cell r="M828" t="str">
            <v>800-577-8858</v>
          </cell>
          <cell r="N828"/>
          <cell r="O828">
            <v>887</v>
          </cell>
          <cell r="P828">
            <v>3814.1</v>
          </cell>
          <cell r="Q828">
            <v>677</v>
          </cell>
          <cell r="R828">
            <v>2911.1</v>
          </cell>
          <cell r="S828"/>
          <cell r="T828">
            <v>0</v>
          </cell>
          <cell r="U828">
            <v>930</v>
          </cell>
          <cell r="V828">
            <v>3999</v>
          </cell>
          <cell r="W828">
            <v>967</v>
          </cell>
          <cell r="X828">
            <v>4158.0999999999995</v>
          </cell>
          <cell r="Y828">
            <v>72</v>
          </cell>
          <cell r="Z828">
            <v>309.59999999999997</v>
          </cell>
          <cell r="AA828">
            <v>72</v>
          </cell>
          <cell r="AB828">
            <v>309.59999999999997</v>
          </cell>
          <cell r="AC828">
            <v>72</v>
          </cell>
          <cell r="AD828">
            <v>309.59999999999997</v>
          </cell>
          <cell r="AE828"/>
          <cell r="AF828"/>
          <cell r="AG828"/>
          <cell r="AH828"/>
          <cell r="AI828"/>
          <cell r="AJ828">
            <v>0</v>
          </cell>
          <cell r="AK828" t="str">
            <v>3P</v>
          </cell>
          <cell r="AL828">
            <v>223</v>
          </cell>
          <cell r="AM828">
            <v>106</v>
          </cell>
          <cell r="AN828" t="str">
            <v>01 Existing Dealer</v>
          </cell>
          <cell r="AO828" t="str">
            <v>Midwest</v>
          </cell>
          <cell r="AP828" t="str">
            <v>North</v>
          </cell>
          <cell r="AQ828"/>
          <cell r="AR828">
            <v>0</v>
          </cell>
          <cell r="AS828">
            <v>0</v>
          </cell>
        </row>
        <row r="829">
          <cell r="A829">
            <v>10223</v>
          </cell>
          <cell r="B829" t="str">
            <v>FULLENKAMP'S FRENCHTOWN TRLR</v>
          </cell>
          <cell r="C829" t="str">
            <v>M10199</v>
          </cell>
          <cell r="D829" t="str">
            <v>NET 5, BT+</v>
          </cell>
          <cell r="E829" t="str">
            <v>CO</v>
          </cell>
          <cell r="F829" t="str">
            <v>Yes</v>
          </cell>
          <cell r="G829" t="str">
            <v>OH</v>
          </cell>
          <cell r="H829">
            <v>7</v>
          </cell>
          <cell r="I829">
            <v>0.66500000000000004</v>
          </cell>
          <cell r="J829" t="str">
            <v>Lane Davis</v>
          </cell>
          <cell r="K829" t="str">
            <v>VERSAILLES</v>
          </cell>
          <cell r="L829" t="str">
            <v>OH</v>
          </cell>
          <cell r="M829" t="str">
            <v>800-577-8858</v>
          </cell>
          <cell r="N829"/>
          <cell r="O829">
            <v>903</v>
          </cell>
          <cell r="P829">
            <v>3882.8999999999996</v>
          </cell>
          <cell r="Q829">
            <v>703</v>
          </cell>
          <cell r="R829">
            <v>3022.9</v>
          </cell>
          <cell r="S829"/>
          <cell r="T829">
            <v>0</v>
          </cell>
          <cell r="U829">
            <v>927</v>
          </cell>
          <cell r="V829">
            <v>3986.1</v>
          </cell>
          <cell r="W829">
            <v>983</v>
          </cell>
          <cell r="X829">
            <v>4226.8999999999996</v>
          </cell>
          <cell r="Y829">
            <v>107</v>
          </cell>
          <cell r="Z829">
            <v>460.09999999999997</v>
          </cell>
          <cell r="AA829">
            <v>107</v>
          </cell>
          <cell r="AB829">
            <v>460.09999999999997</v>
          </cell>
          <cell r="AC829">
            <v>107</v>
          </cell>
          <cell r="AD829">
            <v>460.09999999999997</v>
          </cell>
          <cell r="AE829"/>
          <cell r="AF829"/>
          <cell r="AG829"/>
          <cell r="AH829"/>
          <cell r="AI829"/>
          <cell r="AJ829">
            <v>0</v>
          </cell>
          <cell r="AK829" t="str">
            <v>3P</v>
          </cell>
          <cell r="AL829">
            <v>275</v>
          </cell>
          <cell r="AM829">
            <v>106</v>
          </cell>
          <cell r="AN829" t="str">
            <v>01 Existing Dealer</v>
          </cell>
          <cell r="AO829" t="str">
            <v>Midwest</v>
          </cell>
          <cell r="AP829" t="str">
            <v>North</v>
          </cell>
          <cell r="AQ829"/>
          <cell r="AR829">
            <v>0</v>
          </cell>
          <cell r="AS829">
            <v>0</v>
          </cell>
        </row>
        <row r="830">
          <cell r="A830">
            <v>12484</v>
          </cell>
          <cell r="B830" t="str">
            <v>FULLENKAMP'S FRENCHTOWN TRLR</v>
          </cell>
          <cell r="C830" t="str">
            <v>M10199</v>
          </cell>
          <cell r="D830" t="str">
            <v>NET 5, BT+</v>
          </cell>
          <cell r="E830" t="str">
            <v>S1</v>
          </cell>
          <cell r="F830" t="str">
            <v>Yes</v>
          </cell>
          <cell r="G830" t="str">
            <v>OH</v>
          </cell>
          <cell r="H830">
            <v>9</v>
          </cell>
          <cell r="I830">
            <v>0.66500000000000004</v>
          </cell>
          <cell r="J830" t="str">
            <v>Orphaned Acct</v>
          </cell>
          <cell r="K830" t="str">
            <v>VERSAILLES</v>
          </cell>
          <cell r="L830" t="str">
            <v>OH</v>
          </cell>
          <cell r="M830" t="str">
            <v>800-577-8858</v>
          </cell>
          <cell r="N830"/>
          <cell r="O830">
            <v>903</v>
          </cell>
          <cell r="P830">
            <v>3882.8999999999996</v>
          </cell>
          <cell r="Q830">
            <v>703</v>
          </cell>
          <cell r="R830">
            <v>3022.9</v>
          </cell>
          <cell r="S830"/>
          <cell r="T830">
            <v>0</v>
          </cell>
          <cell r="U830">
            <v>927</v>
          </cell>
          <cell r="V830">
            <v>3986.1</v>
          </cell>
          <cell r="W830">
            <v>983</v>
          </cell>
          <cell r="X830">
            <v>4226.8999999999996</v>
          </cell>
          <cell r="Y830">
            <v>107</v>
          </cell>
          <cell r="Z830">
            <v>460.09999999999997</v>
          </cell>
          <cell r="AA830">
            <v>107</v>
          </cell>
          <cell r="AB830">
            <v>460.09999999999997</v>
          </cell>
          <cell r="AC830">
            <v>107</v>
          </cell>
          <cell r="AD830">
            <v>460.09999999999997</v>
          </cell>
          <cell r="AE830"/>
          <cell r="AF830"/>
          <cell r="AG830"/>
          <cell r="AH830"/>
          <cell r="AI830"/>
          <cell r="AJ830">
            <v>0</v>
          </cell>
          <cell r="AK830" t="str">
            <v>3P</v>
          </cell>
          <cell r="AL830">
            <v>213</v>
          </cell>
          <cell r="AM830">
            <v>106</v>
          </cell>
          <cell r="AN830" t="str">
            <v>01 Existing Dealer</v>
          </cell>
          <cell r="AO830" t="str">
            <v>Midwest</v>
          </cell>
          <cell r="AP830" t="str">
            <v>North</v>
          </cell>
          <cell r="AQ830"/>
          <cell r="AR830">
            <v>0</v>
          </cell>
          <cell r="AS830">
            <v>0</v>
          </cell>
        </row>
        <row r="831">
          <cell r="A831">
            <v>12897</v>
          </cell>
          <cell r="B831" t="str">
            <v>FULLENKAMP'S FRENCHTOWN TRLR</v>
          </cell>
          <cell r="C831" t="str">
            <v>M10199</v>
          </cell>
          <cell r="D831" t="str">
            <v>NET 5, BT+</v>
          </cell>
          <cell r="E831" t="str">
            <v>F3 - Wells Fargo</v>
          </cell>
          <cell r="F831" t="str">
            <v>Yes</v>
          </cell>
          <cell r="G831" t="str">
            <v>OH</v>
          </cell>
          <cell r="H831">
            <v>8</v>
          </cell>
          <cell r="I831">
            <v>0.66500000000000004</v>
          </cell>
          <cell r="J831" t="str">
            <v>Lane Davis</v>
          </cell>
          <cell r="K831" t="str">
            <v>VERSAILLES</v>
          </cell>
          <cell r="L831" t="str">
            <v>OH</v>
          </cell>
          <cell r="M831" t="str">
            <v>800-577-8858</v>
          </cell>
          <cell r="N831"/>
          <cell r="O831">
            <v>903</v>
          </cell>
          <cell r="P831">
            <v>3882.8999999999996</v>
          </cell>
          <cell r="Q831">
            <v>703</v>
          </cell>
          <cell r="R831">
            <v>3022.9</v>
          </cell>
          <cell r="S831"/>
          <cell r="T831">
            <v>0</v>
          </cell>
          <cell r="U831">
            <v>927</v>
          </cell>
          <cell r="V831">
            <v>3986.1</v>
          </cell>
          <cell r="W831">
            <v>983</v>
          </cell>
          <cell r="X831">
            <v>4226.8999999999996</v>
          </cell>
          <cell r="Y831">
            <v>107</v>
          </cell>
          <cell r="Z831">
            <v>460.09999999999997</v>
          </cell>
          <cell r="AA831">
            <v>107</v>
          </cell>
          <cell r="AB831">
            <v>460.09999999999997</v>
          </cell>
          <cell r="AC831">
            <v>107</v>
          </cell>
          <cell r="AD831">
            <v>460.09999999999997</v>
          </cell>
          <cell r="AE831"/>
          <cell r="AF831"/>
          <cell r="AG831"/>
          <cell r="AH831"/>
          <cell r="AI831"/>
          <cell r="AJ831">
            <v>0</v>
          </cell>
          <cell r="AK831" t="str">
            <v>3P</v>
          </cell>
          <cell r="AL831">
            <v>275</v>
          </cell>
          <cell r="AM831">
            <v>106</v>
          </cell>
          <cell r="AN831" t="str">
            <v>01 Existing Dealer</v>
          </cell>
          <cell r="AO831" t="str">
            <v>Midwest</v>
          </cell>
          <cell r="AP831" t="str">
            <v>North</v>
          </cell>
          <cell r="AQ831"/>
          <cell r="AR831">
            <v>16670</v>
          </cell>
          <cell r="AS831">
            <v>0</v>
          </cell>
        </row>
        <row r="832">
          <cell r="A832">
            <v>13031</v>
          </cell>
          <cell r="B832" t="str">
            <v>GINGERICH TRAILER SALES, LTD</v>
          </cell>
          <cell r="C832" t="str">
            <v>M10848</v>
          </cell>
          <cell r="D832" t="str">
            <v>NET 5, BT+</v>
          </cell>
          <cell r="E832" t="str">
            <v>CO</v>
          </cell>
          <cell r="F832" t="str">
            <v>Yes</v>
          </cell>
          <cell r="G832" t="str">
            <v>OH</v>
          </cell>
          <cell r="H832">
            <v>7</v>
          </cell>
          <cell r="I832">
            <v>0.66500000000000004</v>
          </cell>
          <cell r="J832" t="str">
            <v>Orphaned Acct</v>
          </cell>
          <cell r="K832" t="str">
            <v>MILLERBURG</v>
          </cell>
          <cell r="L832" t="str">
            <v>OH</v>
          </cell>
          <cell r="M832" t="str">
            <v>800-577-8858</v>
          </cell>
          <cell r="N832"/>
          <cell r="O832">
            <v>1010</v>
          </cell>
          <cell r="P832">
            <v>4343</v>
          </cell>
          <cell r="Q832">
            <v>800</v>
          </cell>
          <cell r="R832">
            <v>3440</v>
          </cell>
          <cell r="S832"/>
          <cell r="T832">
            <v>0</v>
          </cell>
          <cell r="U832">
            <v>1072</v>
          </cell>
          <cell r="V832">
            <v>4609.5999999999995</v>
          </cell>
          <cell r="W832">
            <v>1090</v>
          </cell>
          <cell r="X832">
            <v>4687</v>
          </cell>
          <cell r="Y832">
            <v>179</v>
          </cell>
          <cell r="Z832">
            <v>769.69999999999993</v>
          </cell>
          <cell r="AA832">
            <v>179</v>
          </cell>
          <cell r="AB832">
            <v>769.69999999999993</v>
          </cell>
          <cell r="AC832">
            <v>179</v>
          </cell>
          <cell r="AD832">
            <v>769.69999999999993</v>
          </cell>
          <cell r="AE832"/>
          <cell r="AF832"/>
          <cell r="AG832"/>
          <cell r="AH832"/>
          <cell r="AI832"/>
          <cell r="AJ832">
            <v>0</v>
          </cell>
          <cell r="AK832" t="str">
            <v>3P</v>
          </cell>
          <cell r="AL832">
            <v>213</v>
          </cell>
          <cell r="AM832">
            <v>84</v>
          </cell>
          <cell r="AN832" t="str">
            <v>08 Inactive Dealer</v>
          </cell>
          <cell r="AO832" t="str">
            <v>Midwest</v>
          </cell>
          <cell r="AP832" t="str">
            <v>North</v>
          </cell>
          <cell r="AQ832"/>
          <cell r="AR832">
            <v>0</v>
          </cell>
          <cell r="AS832">
            <v>0</v>
          </cell>
        </row>
        <row r="833">
          <cell r="A833">
            <v>13111</v>
          </cell>
          <cell r="B833" t="str">
            <v>JASON CONLEY TRUCK SALES</v>
          </cell>
          <cell r="C833" t="str">
            <v>M10972</v>
          </cell>
          <cell r="D833" t="str">
            <v>NET 5, BT+</v>
          </cell>
          <cell r="E833" t="str">
            <v>F6 - Wells Fargo</v>
          </cell>
          <cell r="F833" t="str">
            <v>Yes</v>
          </cell>
          <cell r="G833" t="str">
            <v>OH</v>
          </cell>
          <cell r="H833">
            <v>8</v>
          </cell>
          <cell r="I833">
            <v>0.66500000000000004</v>
          </cell>
          <cell r="J833" t="str">
            <v>Orphaned Acct</v>
          </cell>
          <cell r="K833" t="str">
            <v>WHEELERSBURG</v>
          </cell>
          <cell r="L833" t="str">
            <v>OH</v>
          </cell>
          <cell r="M833" t="str">
            <v>800-577-8858</v>
          </cell>
          <cell r="N833"/>
          <cell r="O833">
            <v>893</v>
          </cell>
          <cell r="P833">
            <v>3839.8999999999996</v>
          </cell>
          <cell r="Q833">
            <v>637</v>
          </cell>
          <cell r="R833">
            <v>2739.1</v>
          </cell>
          <cell r="S833"/>
          <cell r="T833">
            <v>0</v>
          </cell>
          <cell r="U833">
            <v>989</v>
          </cell>
          <cell r="V833">
            <v>4252.7</v>
          </cell>
          <cell r="W833">
            <v>973</v>
          </cell>
          <cell r="X833">
            <v>4183.8999999999996</v>
          </cell>
          <cell r="Y833">
            <v>76</v>
          </cell>
          <cell r="Z833">
            <v>326.8</v>
          </cell>
          <cell r="AA833">
            <v>76</v>
          </cell>
          <cell r="AB833">
            <v>326.8</v>
          </cell>
          <cell r="AC833">
            <v>76</v>
          </cell>
          <cell r="AD833">
            <v>326.8</v>
          </cell>
          <cell r="AE833"/>
          <cell r="AF833"/>
          <cell r="AG833"/>
          <cell r="AH833"/>
          <cell r="AI833"/>
          <cell r="AJ833">
            <v>0</v>
          </cell>
          <cell r="AK833" t="str">
            <v>3P</v>
          </cell>
          <cell r="AL833">
            <v>213</v>
          </cell>
          <cell r="AM833">
            <v>359</v>
          </cell>
          <cell r="AN833" t="str">
            <v>01 Existing Dealer</v>
          </cell>
          <cell r="AO833" t="str">
            <v>Midwest</v>
          </cell>
          <cell r="AP833" t="str">
            <v>North</v>
          </cell>
          <cell r="AQ833"/>
          <cell r="AR833">
            <v>0</v>
          </cell>
          <cell r="AS833">
            <v>0</v>
          </cell>
        </row>
        <row r="834">
          <cell r="A834">
            <v>12953</v>
          </cell>
          <cell r="B834" t="str">
            <v>JTI INC</v>
          </cell>
          <cell r="C834" t="str">
            <v>M10489</v>
          </cell>
          <cell r="D834" t="str">
            <v>NET 5, BT+</v>
          </cell>
          <cell r="E834" t="str">
            <v>CO</v>
          </cell>
          <cell r="F834" t="str">
            <v>Yes</v>
          </cell>
          <cell r="G834" t="str">
            <v>OH</v>
          </cell>
          <cell r="H834">
            <v>7</v>
          </cell>
          <cell r="I834">
            <v>0.66500000000000004</v>
          </cell>
          <cell r="J834" t="str">
            <v>Orphaned Acct</v>
          </cell>
          <cell r="K834" t="str">
            <v>OAKWOOD VILLAGE</v>
          </cell>
          <cell r="L834" t="str">
            <v>OH</v>
          </cell>
          <cell r="M834" t="str">
            <v>800-577-8858</v>
          </cell>
          <cell r="N834"/>
          <cell r="O834">
            <v>1068</v>
          </cell>
          <cell r="P834">
            <v>4592.3999999999996</v>
          </cell>
          <cell r="Q834">
            <v>858</v>
          </cell>
          <cell r="R834">
            <v>3689.3999999999996</v>
          </cell>
          <cell r="S834"/>
          <cell r="T834">
            <v>0</v>
          </cell>
          <cell r="U834">
            <v>1121</v>
          </cell>
          <cell r="V834">
            <v>4820.3</v>
          </cell>
          <cell r="W834">
            <v>1148</v>
          </cell>
          <cell r="X834">
            <v>4936.3999999999996</v>
          </cell>
          <cell r="Y834">
            <v>230</v>
          </cell>
          <cell r="Z834">
            <v>989</v>
          </cell>
          <cell r="AA834">
            <v>230</v>
          </cell>
          <cell r="AB834">
            <v>989</v>
          </cell>
          <cell r="AC834">
            <v>230</v>
          </cell>
          <cell r="AD834">
            <v>989</v>
          </cell>
          <cell r="AE834"/>
          <cell r="AF834"/>
          <cell r="AG834"/>
          <cell r="AH834"/>
          <cell r="AI834"/>
          <cell r="AJ834">
            <v>0</v>
          </cell>
          <cell r="AK834" t="str">
            <v>3P</v>
          </cell>
          <cell r="AL834">
            <v>213</v>
          </cell>
          <cell r="AM834">
            <v>84</v>
          </cell>
          <cell r="AN834" t="str">
            <v>08 Inactive Dealer</v>
          </cell>
          <cell r="AO834" t="str">
            <v>Midwest</v>
          </cell>
          <cell r="AP834" t="str">
            <v>North</v>
          </cell>
          <cell r="AQ834"/>
          <cell r="AR834">
            <v>0</v>
          </cell>
          <cell r="AS834">
            <v>0</v>
          </cell>
        </row>
        <row r="835">
          <cell r="A835">
            <v>13532</v>
          </cell>
          <cell r="B835" t="str">
            <v>LILEX EQUIPMENT</v>
          </cell>
          <cell r="C835" t="str">
            <v>M11502</v>
          </cell>
          <cell r="D835" t="str">
            <v>Return Mail, no pink card</v>
          </cell>
          <cell r="E835" t="str">
            <v>RM</v>
          </cell>
          <cell r="F835" t="str">
            <v>Yes</v>
          </cell>
          <cell r="G835" t="str">
            <v>OH</v>
          </cell>
          <cell r="H835">
            <v>5</v>
          </cell>
          <cell r="I835">
            <v>0.66500000000000004</v>
          </cell>
          <cell r="J835" t="str">
            <v>JL Smith</v>
          </cell>
          <cell r="K835" t="str">
            <v>HAMILTON</v>
          </cell>
          <cell r="L835" t="str">
            <v>OH</v>
          </cell>
          <cell r="M835" t="str">
            <v>800-577-8858</v>
          </cell>
          <cell r="N835"/>
          <cell r="O835">
            <v>843</v>
          </cell>
          <cell r="P835">
            <v>3624.8999999999996</v>
          </cell>
          <cell r="Q835">
            <v>632</v>
          </cell>
          <cell r="R835">
            <v>2717.6</v>
          </cell>
          <cell r="S835"/>
          <cell r="T835">
            <v>0</v>
          </cell>
          <cell r="U835">
            <v>919</v>
          </cell>
          <cell r="V835">
            <v>3951.7</v>
          </cell>
          <cell r="W835">
            <v>922</v>
          </cell>
          <cell r="X835">
            <v>3964.6</v>
          </cell>
          <cell r="Y835">
            <v>59.3</v>
          </cell>
          <cell r="Z835">
            <v>254.98999999999998</v>
          </cell>
          <cell r="AA835">
            <v>59.3</v>
          </cell>
          <cell r="AB835">
            <v>254.98999999999998</v>
          </cell>
          <cell r="AC835">
            <v>59.3</v>
          </cell>
          <cell r="AD835">
            <v>254.98999999999998</v>
          </cell>
          <cell r="AE835"/>
          <cell r="AF835"/>
          <cell r="AG835"/>
          <cell r="AH835"/>
          <cell r="AI835"/>
          <cell r="AJ835">
            <v>0.01</v>
          </cell>
          <cell r="AK835" t="str">
            <v>3P</v>
          </cell>
          <cell r="AL835">
            <v>151</v>
          </cell>
          <cell r="AM835">
            <v>81</v>
          </cell>
          <cell r="AN835" t="str">
            <v>03 New Dealer</v>
          </cell>
          <cell r="AO835" t="str">
            <v>Midwest</v>
          </cell>
          <cell r="AP835" t="str">
            <v>North</v>
          </cell>
          <cell r="AQ835"/>
          <cell r="AR835">
            <v>8750</v>
          </cell>
          <cell r="AS835">
            <v>10140</v>
          </cell>
        </row>
        <row r="836">
          <cell r="A836">
            <v>11357</v>
          </cell>
          <cell r="B836" t="str">
            <v>MICKUNAS LLC DBA MAJESTIC TRAILERS &amp; HITCH</v>
          </cell>
          <cell r="C836" t="str">
            <v>M10284</v>
          </cell>
          <cell r="D836" t="str">
            <v>Net 30, no pink card</v>
          </cell>
          <cell r="E836">
            <v>30</v>
          </cell>
          <cell r="F836" t="str">
            <v>Yes</v>
          </cell>
          <cell r="G836" t="str">
            <v>OH</v>
          </cell>
          <cell r="H836">
            <v>5</v>
          </cell>
          <cell r="I836">
            <v>0.66500000000000004</v>
          </cell>
          <cell r="J836" t="str">
            <v>Orphaned Acct</v>
          </cell>
          <cell r="K836" t="str">
            <v>AKRON</v>
          </cell>
          <cell r="L836" t="str">
            <v>OH</v>
          </cell>
          <cell r="M836" t="str">
            <v>800-577-8858</v>
          </cell>
          <cell r="N836"/>
          <cell r="O836">
            <v>1055</v>
          </cell>
          <cell r="P836">
            <v>4536.5</v>
          </cell>
          <cell r="Q836">
            <v>828</v>
          </cell>
          <cell r="R836">
            <v>3560.3999999999996</v>
          </cell>
          <cell r="S836"/>
          <cell r="T836">
            <v>0</v>
          </cell>
          <cell r="U836">
            <v>1108</v>
          </cell>
          <cell r="V836">
            <v>4764.3999999999996</v>
          </cell>
          <cell r="W836">
            <v>1135</v>
          </cell>
          <cell r="X836">
            <v>4880.5</v>
          </cell>
          <cell r="Y836">
            <v>219</v>
          </cell>
          <cell r="Z836">
            <v>941.69999999999993</v>
          </cell>
          <cell r="AA836">
            <v>219</v>
          </cell>
          <cell r="AB836">
            <v>941.69999999999993</v>
          </cell>
          <cell r="AC836">
            <v>219</v>
          </cell>
          <cell r="AD836">
            <v>941.69999999999993</v>
          </cell>
          <cell r="AE836"/>
          <cell r="AF836"/>
          <cell r="AG836"/>
          <cell r="AH836"/>
          <cell r="AI836"/>
          <cell r="AJ836">
            <v>0.01</v>
          </cell>
          <cell r="AK836" t="str">
            <v>3P</v>
          </cell>
          <cell r="AL836">
            <v>213</v>
          </cell>
          <cell r="AM836">
            <v>84</v>
          </cell>
          <cell r="AN836" t="str">
            <v>08 Inactive Dealer</v>
          </cell>
          <cell r="AO836" t="str">
            <v>Midwest</v>
          </cell>
          <cell r="AP836" t="str">
            <v>North</v>
          </cell>
          <cell r="AQ836"/>
          <cell r="AR836">
            <v>0</v>
          </cell>
          <cell r="AS836">
            <v>0</v>
          </cell>
        </row>
        <row r="837">
          <cell r="A837">
            <v>12958</v>
          </cell>
          <cell r="B837" t="str">
            <v>PAUL WAGNER dba WYANDOT MOTOR SALES</v>
          </cell>
          <cell r="C837" t="str">
            <v>M10490</v>
          </cell>
          <cell r="D837" t="str">
            <v>NET 5, BT+</v>
          </cell>
          <cell r="E837" t="str">
            <v>CO</v>
          </cell>
          <cell r="F837" t="str">
            <v>Yes</v>
          </cell>
          <cell r="G837" t="str">
            <v>OH</v>
          </cell>
          <cell r="H837">
            <v>7</v>
          </cell>
          <cell r="I837">
            <v>0.66500000000000004</v>
          </cell>
          <cell r="J837" t="str">
            <v>Orphaned Acct</v>
          </cell>
          <cell r="K837" t="str">
            <v>UPPER SANDUSKY</v>
          </cell>
          <cell r="L837" t="str">
            <v>OH</v>
          </cell>
          <cell r="M837" t="str">
            <v>800-577-8858</v>
          </cell>
          <cell r="N837"/>
          <cell r="O837">
            <v>973</v>
          </cell>
          <cell r="P837">
            <v>4183.8999999999996</v>
          </cell>
          <cell r="Q837">
            <v>763</v>
          </cell>
          <cell r="R837">
            <v>3280.9</v>
          </cell>
          <cell r="S837"/>
          <cell r="T837">
            <v>0</v>
          </cell>
          <cell r="U837">
            <v>1016</v>
          </cell>
          <cell r="V837">
            <v>4368.8</v>
          </cell>
          <cell r="W837">
            <v>1053</v>
          </cell>
          <cell r="X837">
            <v>4527.8999999999996</v>
          </cell>
          <cell r="Y837">
            <v>158</v>
          </cell>
          <cell r="Z837">
            <v>679.4</v>
          </cell>
          <cell r="AA837">
            <v>158</v>
          </cell>
          <cell r="AB837">
            <v>679.4</v>
          </cell>
          <cell r="AC837">
            <v>158</v>
          </cell>
          <cell r="AD837">
            <v>679.4</v>
          </cell>
          <cell r="AE837"/>
          <cell r="AF837"/>
          <cell r="AG837"/>
          <cell r="AH837"/>
          <cell r="AI837"/>
          <cell r="AJ837">
            <v>0</v>
          </cell>
          <cell r="AK837" t="str">
            <v>3P</v>
          </cell>
          <cell r="AL837">
            <v>213</v>
          </cell>
          <cell r="AM837">
            <v>143</v>
          </cell>
          <cell r="AN837" t="str">
            <v>08 Inactive Dealer</v>
          </cell>
          <cell r="AO837" t="str">
            <v>Midwest</v>
          </cell>
          <cell r="AP837" t="str">
            <v>North</v>
          </cell>
          <cell r="AQ837"/>
          <cell r="AR837">
            <v>0</v>
          </cell>
          <cell r="AS837">
            <v>0</v>
          </cell>
        </row>
        <row r="838">
          <cell r="A838">
            <v>13008</v>
          </cell>
          <cell r="B838" t="str">
            <v>S&amp;K MOW &amp; SNOW LLC</v>
          </cell>
          <cell r="C838" t="str">
            <v>M10862</v>
          </cell>
          <cell r="D838" t="str">
            <v>NET 5, BT+</v>
          </cell>
          <cell r="E838" t="str">
            <v>FP - Wells Fargo</v>
          </cell>
          <cell r="F838" t="str">
            <v>Yes</v>
          </cell>
          <cell r="G838" t="str">
            <v>OH</v>
          </cell>
          <cell r="H838">
            <v>8</v>
          </cell>
          <cell r="I838">
            <v>0.66500000000000004</v>
          </cell>
          <cell r="J838" t="str">
            <v>Orphaned Acct</v>
          </cell>
          <cell r="K838" t="str">
            <v>OREGON</v>
          </cell>
          <cell r="L838" t="str">
            <v>OH</v>
          </cell>
          <cell r="M838" t="str">
            <v>800-577-8858</v>
          </cell>
          <cell r="N838"/>
          <cell r="O838">
            <v>1014</v>
          </cell>
          <cell r="P838">
            <v>4360.2</v>
          </cell>
          <cell r="Q838">
            <v>814</v>
          </cell>
          <cell r="R838">
            <v>3500.2</v>
          </cell>
          <cell r="S838"/>
          <cell r="T838">
            <v>0</v>
          </cell>
          <cell r="U838">
            <v>1038</v>
          </cell>
          <cell r="V838">
            <v>4463.3999999999996</v>
          </cell>
          <cell r="W838">
            <v>1094</v>
          </cell>
          <cell r="X838">
            <v>4704.2</v>
          </cell>
          <cell r="Y838">
            <v>228</v>
          </cell>
          <cell r="Z838">
            <v>980.4</v>
          </cell>
          <cell r="AA838">
            <v>228</v>
          </cell>
          <cell r="AB838">
            <v>980.4</v>
          </cell>
          <cell r="AC838">
            <v>228</v>
          </cell>
          <cell r="AD838">
            <v>980.4</v>
          </cell>
          <cell r="AE838"/>
          <cell r="AF838"/>
          <cell r="AG838"/>
          <cell r="AH838"/>
          <cell r="AI838"/>
          <cell r="AJ838">
            <v>0</v>
          </cell>
          <cell r="AK838" t="str">
            <v>3P</v>
          </cell>
          <cell r="AL838">
            <v>213</v>
          </cell>
          <cell r="AM838">
            <v>444</v>
          </cell>
          <cell r="AN838" t="str">
            <v>08 Inactive Dealer</v>
          </cell>
          <cell r="AO838" t="str">
            <v>Midwest</v>
          </cell>
          <cell r="AP838" t="str">
            <v>North</v>
          </cell>
          <cell r="AQ838"/>
          <cell r="AR838">
            <v>0</v>
          </cell>
          <cell r="AS838">
            <v>0</v>
          </cell>
        </row>
        <row r="839">
          <cell r="A839">
            <v>12231</v>
          </cell>
          <cell r="B839" t="str">
            <v>SOUTHERN OHIO EQUIPMENT, LLC</v>
          </cell>
          <cell r="C839" t="str">
            <v>M10376</v>
          </cell>
          <cell r="D839" t="str">
            <v>NET 5, BT+</v>
          </cell>
          <cell r="E839" t="str">
            <v>CO</v>
          </cell>
          <cell r="F839" t="str">
            <v>Yes</v>
          </cell>
          <cell r="G839" t="str">
            <v>OH</v>
          </cell>
          <cell r="H839">
            <v>7</v>
          </cell>
          <cell r="I839">
            <v>0.66500000000000004</v>
          </cell>
          <cell r="J839" t="str">
            <v>Orphaned Acct</v>
          </cell>
          <cell r="K839" t="str">
            <v>FRANKFORT</v>
          </cell>
          <cell r="L839" t="str">
            <v>OH</v>
          </cell>
          <cell r="M839" t="str">
            <v>800-577-8858</v>
          </cell>
          <cell r="N839"/>
          <cell r="O839">
            <v>912</v>
          </cell>
          <cell r="P839">
            <v>3921.6</v>
          </cell>
          <cell r="Q839">
            <v>702</v>
          </cell>
          <cell r="R839">
            <v>3018.6</v>
          </cell>
          <cell r="S839"/>
          <cell r="T839">
            <v>0</v>
          </cell>
          <cell r="U839">
            <v>992</v>
          </cell>
          <cell r="V839">
            <v>4265.5999999999995</v>
          </cell>
          <cell r="W839">
            <v>992</v>
          </cell>
          <cell r="X839">
            <v>4265.5999999999995</v>
          </cell>
          <cell r="Y839">
            <v>52.8</v>
          </cell>
          <cell r="Z839">
            <v>227.04</v>
          </cell>
          <cell r="AA839">
            <v>52.8</v>
          </cell>
          <cell r="AB839">
            <v>227.04</v>
          </cell>
          <cell r="AC839">
            <v>52.8</v>
          </cell>
          <cell r="AD839">
            <v>227.04</v>
          </cell>
          <cell r="AE839"/>
          <cell r="AF839"/>
          <cell r="AG839"/>
          <cell r="AH839"/>
          <cell r="AI839"/>
          <cell r="AJ839">
            <v>0</v>
          </cell>
          <cell r="AK839" t="str">
            <v>3P</v>
          </cell>
          <cell r="AL839">
            <v>213</v>
          </cell>
          <cell r="AM839">
            <v>80</v>
          </cell>
          <cell r="AN839" t="str">
            <v>08 Inactive Dealer</v>
          </cell>
          <cell r="AO839" t="str">
            <v>Midwest</v>
          </cell>
          <cell r="AP839" t="str">
            <v>North</v>
          </cell>
          <cell r="AQ839"/>
          <cell r="AR839">
            <v>0</v>
          </cell>
          <cell r="AS839">
            <v>0</v>
          </cell>
        </row>
        <row r="840">
          <cell r="A840">
            <v>12439</v>
          </cell>
          <cell r="B840" t="str">
            <v>SOUTHERN OHIO EQUIPMENT, LLC</v>
          </cell>
          <cell r="C840" t="str">
            <v>M10376</v>
          </cell>
          <cell r="D840" t="str">
            <v>NET 5, BT+</v>
          </cell>
          <cell r="E840" t="str">
            <v>F1 - Wells Fargo</v>
          </cell>
          <cell r="F840" t="str">
            <v>Yes</v>
          </cell>
          <cell r="G840" t="str">
            <v>OH</v>
          </cell>
          <cell r="H840">
            <v>8</v>
          </cell>
          <cell r="I840">
            <v>0.66500000000000004</v>
          </cell>
          <cell r="J840" t="str">
            <v>Orphaned Acct</v>
          </cell>
          <cell r="K840" t="str">
            <v>FRANKFORT</v>
          </cell>
          <cell r="L840" t="str">
            <v>OH</v>
          </cell>
          <cell r="M840" t="str">
            <v>800-577-8858</v>
          </cell>
          <cell r="N840"/>
          <cell r="O840">
            <v>912</v>
          </cell>
          <cell r="P840">
            <v>3921.6</v>
          </cell>
          <cell r="Q840">
            <v>702</v>
          </cell>
          <cell r="R840">
            <v>3018.6</v>
          </cell>
          <cell r="S840"/>
          <cell r="T840">
            <v>0</v>
          </cell>
          <cell r="U840">
            <v>992</v>
          </cell>
          <cell r="V840">
            <v>4265.5999999999995</v>
          </cell>
          <cell r="W840">
            <v>992</v>
          </cell>
          <cell r="X840">
            <v>4265.5999999999995</v>
          </cell>
          <cell r="Y840">
            <v>52.8</v>
          </cell>
          <cell r="Z840">
            <v>227.04</v>
          </cell>
          <cell r="AA840">
            <v>52.8</v>
          </cell>
          <cell r="AB840">
            <v>227.04</v>
          </cell>
          <cell r="AC840">
            <v>52.8</v>
          </cell>
          <cell r="AD840">
            <v>227.04</v>
          </cell>
          <cell r="AE840"/>
          <cell r="AF840"/>
          <cell r="AG840"/>
          <cell r="AH840"/>
          <cell r="AI840"/>
          <cell r="AJ840">
            <v>0</v>
          </cell>
          <cell r="AK840" t="str">
            <v>3P</v>
          </cell>
          <cell r="AL840">
            <v>213</v>
          </cell>
          <cell r="AM840">
            <v>80</v>
          </cell>
          <cell r="AN840" t="str">
            <v>08 Inactive Dealer</v>
          </cell>
          <cell r="AO840" t="str">
            <v>Midwest</v>
          </cell>
          <cell r="AP840" t="str">
            <v>North</v>
          </cell>
          <cell r="AQ840"/>
          <cell r="AR840">
            <v>0</v>
          </cell>
          <cell r="AS840">
            <v>0</v>
          </cell>
        </row>
        <row r="841">
          <cell r="A841">
            <v>12874</v>
          </cell>
          <cell r="B841" t="str">
            <v>SPECIALTY AUTO SALES, INC</v>
          </cell>
          <cell r="C841" t="str">
            <v>M10382</v>
          </cell>
          <cell r="D841" t="str">
            <v>NET 5, BT+</v>
          </cell>
          <cell r="E841" t="str">
            <v>F1 - Wells Fargo</v>
          </cell>
          <cell r="F841" t="str">
            <v>Yes</v>
          </cell>
          <cell r="G841" t="str">
            <v>OH</v>
          </cell>
          <cell r="H841">
            <v>8</v>
          </cell>
          <cell r="I841">
            <v>0.66500000000000004</v>
          </cell>
          <cell r="J841" t="str">
            <v>Orphaned Acct</v>
          </cell>
          <cell r="K841" t="str">
            <v>LANCASTER</v>
          </cell>
          <cell r="L841" t="str">
            <v>OH</v>
          </cell>
          <cell r="M841" t="str">
            <v>800-577-8858</v>
          </cell>
          <cell r="N841"/>
          <cell r="O841">
            <v>948</v>
          </cell>
          <cell r="P841">
            <v>4076.3999999999996</v>
          </cell>
          <cell r="Q841">
            <v>738</v>
          </cell>
          <cell r="R841">
            <v>3173.4</v>
          </cell>
          <cell r="S841"/>
          <cell r="T841">
            <v>0</v>
          </cell>
          <cell r="U841">
            <v>1016</v>
          </cell>
          <cell r="V841">
            <v>4368.8</v>
          </cell>
          <cell r="W841">
            <v>1029</v>
          </cell>
          <cell r="X841">
            <v>4424.7</v>
          </cell>
          <cell r="Y841">
            <v>92.7</v>
          </cell>
          <cell r="Z841">
            <v>398.61</v>
          </cell>
          <cell r="AA841">
            <v>92.7</v>
          </cell>
          <cell r="AB841">
            <v>398.61</v>
          </cell>
          <cell r="AC841">
            <v>92.7</v>
          </cell>
          <cell r="AD841">
            <v>398.61</v>
          </cell>
          <cell r="AE841"/>
          <cell r="AF841"/>
          <cell r="AG841"/>
          <cell r="AH841"/>
          <cell r="AI841"/>
          <cell r="AJ841">
            <v>0</v>
          </cell>
          <cell r="AK841" t="str">
            <v>3P</v>
          </cell>
          <cell r="AL841">
            <v>213</v>
          </cell>
          <cell r="AM841">
            <v>95</v>
          </cell>
          <cell r="AN841" t="str">
            <v>08 Inactive Dealer</v>
          </cell>
          <cell r="AO841" t="str">
            <v>Midwest</v>
          </cell>
          <cell r="AP841" t="str">
            <v>North</v>
          </cell>
          <cell r="AQ841"/>
          <cell r="AR841">
            <v>0</v>
          </cell>
          <cell r="AS841">
            <v>0</v>
          </cell>
        </row>
        <row r="842">
          <cell r="A842">
            <v>12965</v>
          </cell>
          <cell r="B842" t="str">
            <v>TW CIRCLEVILLE</v>
          </cell>
          <cell r="C842" t="str">
            <v>M10206</v>
          </cell>
          <cell r="D842" t="str">
            <v>Net 30, no pink card</v>
          </cell>
          <cell r="E842">
            <v>30</v>
          </cell>
          <cell r="F842" t="str">
            <v>Yes</v>
          </cell>
          <cell r="G842" t="str">
            <v>OH</v>
          </cell>
          <cell r="H842">
            <v>10</v>
          </cell>
          <cell r="I842">
            <v>0.66500000000000004</v>
          </cell>
          <cell r="J842" t="str">
            <v>Orphaned Acct</v>
          </cell>
          <cell r="K842" t="str">
            <v>CIRCLEVILLE</v>
          </cell>
          <cell r="L842" t="str">
            <v>OH</v>
          </cell>
          <cell r="M842" t="str">
            <v>800-577-8858</v>
          </cell>
          <cell r="N842"/>
          <cell r="O842">
            <v>922</v>
          </cell>
          <cell r="P842">
            <v>3964.6</v>
          </cell>
          <cell r="Q842">
            <v>712</v>
          </cell>
          <cell r="R842">
            <v>3061.6</v>
          </cell>
          <cell r="S842"/>
          <cell r="T842">
            <v>0</v>
          </cell>
          <cell r="U842">
            <v>1009</v>
          </cell>
          <cell r="V842">
            <v>4338.7</v>
          </cell>
          <cell r="W842">
            <v>1002</v>
          </cell>
          <cell r="X842">
            <v>4308.5999999999995</v>
          </cell>
          <cell r="Y842">
            <v>72</v>
          </cell>
          <cell r="Z842">
            <v>309.59999999999997</v>
          </cell>
          <cell r="AA842">
            <v>72</v>
          </cell>
          <cell r="AB842">
            <v>309.59999999999997</v>
          </cell>
          <cell r="AC842">
            <v>72</v>
          </cell>
          <cell r="AD842">
            <v>309.59999999999997</v>
          </cell>
          <cell r="AE842"/>
          <cell r="AF842"/>
          <cell r="AG842"/>
          <cell r="AH842"/>
          <cell r="AI842"/>
          <cell r="AJ842">
            <v>0.01</v>
          </cell>
          <cell r="AK842" t="str">
            <v>3P</v>
          </cell>
          <cell r="AL842">
            <v>213</v>
          </cell>
          <cell r="AM842">
            <v>95</v>
          </cell>
          <cell r="AN842" t="str">
            <v>09 Inactive Co Store</v>
          </cell>
          <cell r="AO842" t="str">
            <v>Midwest</v>
          </cell>
          <cell r="AP842" t="str">
            <v>North</v>
          </cell>
          <cell r="AQ842"/>
          <cell r="AR842">
            <v>0</v>
          </cell>
          <cell r="AS842">
            <v>0</v>
          </cell>
        </row>
        <row r="843">
          <cell r="A843">
            <v>12996</v>
          </cell>
          <cell r="B843" t="str">
            <v>TW HAMILTON (BEN HUR)</v>
          </cell>
          <cell r="C843" t="str">
            <v>M10050</v>
          </cell>
          <cell r="D843" t="str">
            <v>Net 30, no pink card</v>
          </cell>
          <cell r="E843">
            <v>30</v>
          </cell>
          <cell r="F843" t="str">
            <v>Yes</v>
          </cell>
          <cell r="G843" t="str">
            <v>OH</v>
          </cell>
          <cell r="H843">
            <v>10</v>
          </cell>
          <cell r="I843">
            <v>0.66500000000000004</v>
          </cell>
          <cell r="J843" t="str">
            <v>Orphaned Acct</v>
          </cell>
          <cell r="K843" t="str">
            <v>HAMILTON</v>
          </cell>
          <cell r="L843" t="str">
            <v>OH</v>
          </cell>
          <cell r="M843" t="str">
            <v>800-577-8858</v>
          </cell>
          <cell r="N843"/>
          <cell r="O843">
            <v>842</v>
          </cell>
          <cell r="P843">
            <v>3620.6</v>
          </cell>
          <cell r="Q843">
            <v>632</v>
          </cell>
          <cell r="R843">
            <v>2717.6</v>
          </cell>
          <cell r="S843"/>
          <cell r="T843">
            <v>0</v>
          </cell>
          <cell r="U843">
            <v>919</v>
          </cell>
          <cell r="V843">
            <v>3951.7</v>
          </cell>
          <cell r="W843">
            <v>922</v>
          </cell>
          <cell r="X843">
            <v>3964.6</v>
          </cell>
          <cell r="Y843">
            <v>59.3</v>
          </cell>
          <cell r="Z843">
            <v>254.98999999999998</v>
          </cell>
          <cell r="AA843">
            <v>59.3</v>
          </cell>
          <cell r="AB843">
            <v>254.98999999999998</v>
          </cell>
          <cell r="AC843">
            <v>59.3</v>
          </cell>
          <cell r="AD843">
            <v>254.98999999999998</v>
          </cell>
          <cell r="AE843"/>
          <cell r="AF843"/>
          <cell r="AG843"/>
          <cell r="AH843"/>
          <cell r="AI843"/>
          <cell r="AJ843">
            <v>0.04</v>
          </cell>
          <cell r="AK843" t="str">
            <v>TW</v>
          </cell>
          <cell r="AL843">
            <v>213</v>
          </cell>
          <cell r="AM843">
            <v>81</v>
          </cell>
          <cell r="AN843" t="str">
            <v>09 Inactive Co Store</v>
          </cell>
          <cell r="AO843" t="str">
            <v>Midwest</v>
          </cell>
          <cell r="AP843" t="str">
            <v>North</v>
          </cell>
          <cell r="AQ843"/>
          <cell r="AR843">
            <v>0</v>
          </cell>
          <cell r="AS843">
            <v>0</v>
          </cell>
        </row>
        <row r="844">
          <cell r="A844">
            <v>11789</v>
          </cell>
          <cell r="B844" t="str">
            <v>WORCESTER'S SALES &amp; SERVICE</v>
          </cell>
          <cell r="C844" t="str">
            <v>M10458</v>
          </cell>
          <cell r="D844" t="str">
            <v>NET 5, BT+</v>
          </cell>
          <cell r="E844" t="str">
            <v>FP - Wells Fargo</v>
          </cell>
          <cell r="F844" t="str">
            <v>Yes</v>
          </cell>
          <cell r="G844" t="str">
            <v>OH</v>
          </cell>
          <cell r="H844">
            <v>8</v>
          </cell>
          <cell r="I844">
            <v>0.66500000000000004</v>
          </cell>
          <cell r="J844" t="str">
            <v>Lane Davis</v>
          </cell>
          <cell r="K844" t="str">
            <v>N. RIDGEVILLE</v>
          </cell>
          <cell r="L844" t="str">
            <v>OH</v>
          </cell>
          <cell r="M844" t="str">
            <v>800-577-8858</v>
          </cell>
          <cell r="N844"/>
          <cell r="O844">
            <v>1066</v>
          </cell>
          <cell r="P844">
            <v>4583.8</v>
          </cell>
          <cell r="Q844">
            <v>856</v>
          </cell>
          <cell r="R844">
            <v>3680.7999999999997</v>
          </cell>
          <cell r="S844"/>
          <cell r="T844">
            <v>0</v>
          </cell>
          <cell r="U844">
            <v>1120</v>
          </cell>
          <cell r="V844">
            <v>4816</v>
          </cell>
          <cell r="W844">
            <v>1147</v>
          </cell>
          <cell r="X844">
            <v>4932.0999999999995</v>
          </cell>
          <cell r="Y844">
            <v>235</v>
          </cell>
          <cell r="Z844">
            <v>1010.5</v>
          </cell>
          <cell r="AA844">
            <v>235</v>
          </cell>
          <cell r="AB844">
            <v>1010.5</v>
          </cell>
          <cell r="AC844">
            <v>235</v>
          </cell>
          <cell r="AD844">
            <v>1010.5</v>
          </cell>
          <cell r="AE844"/>
          <cell r="AF844"/>
          <cell r="AG844"/>
          <cell r="AH844"/>
          <cell r="AI844"/>
          <cell r="AJ844">
            <v>0</v>
          </cell>
          <cell r="AK844" t="str">
            <v>3P</v>
          </cell>
          <cell r="AL844">
            <v>275</v>
          </cell>
          <cell r="AM844">
            <v>81</v>
          </cell>
          <cell r="AN844" t="str">
            <v>01 Existing Dealer</v>
          </cell>
          <cell r="AO844" t="str">
            <v>Midwest</v>
          </cell>
          <cell r="AP844" t="str">
            <v>North</v>
          </cell>
          <cell r="AQ844"/>
          <cell r="AR844">
            <v>0</v>
          </cell>
          <cell r="AS844">
            <v>0</v>
          </cell>
        </row>
        <row r="845">
          <cell r="A845">
            <v>10575</v>
          </cell>
          <cell r="B845" t="str">
            <v>YODER &amp; FREY INC</v>
          </cell>
          <cell r="C845" t="str">
            <v>M10461</v>
          </cell>
          <cell r="D845" t="str">
            <v>Net 15, no pink card</v>
          </cell>
          <cell r="E845">
            <v>15</v>
          </cell>
          <cell r="F845" t="str">
            <v>Yes</v>
          </cell>
          <cell r="G845" t="str">
            <v>OH</v>
          </cell>
          <cell r="H845">
            <v>5</v>
          </cell>
          <cell r="I845">
            <v>0.66500000000000004</v>
          </cell>
          <cell r="J845" t="str">
            <v>JL Smith</v>
          </cell>
          <cell r="K845" t="str">
            <v>ARCHBOLD</v>
          </cell>
          <cell r="L845" t="str">
            <v>OH</v>
          </cell>
          <cell r="M845" t="str">
            <v>800-577-8858</v>
          </cell>
          <cell r="N845"/>
          <cell r="O845">
            <v>973</v>
          </cell>
          <cell r="P845">
            <v>4183.8999999999996</v>
          </cell>
          <cell r="Q845">
            <v>795</v>
          </cell>
          <cell r="R845">
            <v>3418.5</v>
          </cell>
          <cell r="S845"/>
          <cell r="T845">
            <v>0</v>
          </cell>
          <cell r="U845">
            <v>998</v>
          </cell>
          <cell r="V845">
            <v>4291.3999999999996</v>
          </cell>
          <cell r="W845">
            <v>1054</v>
          </cell>
          <cell r="X845">
            <v>4532.2</v>
          </cell>
          <cell r="Y845">
            <v>199</v>
          </cell>
          <cell r="Z845">
            <v>855.69999999999993</v>
          </cell>
          <cell r="AA845">
            <v>199</v>
          </cell>
          <cell r="AB845">
            <v>855.69999999999993</v>
          </cell>
          <cell r="AC845">
            <v>199</v>
          </cell>
          <cell r="AD845">
            <v>855.69999999999993</v>
          </cell>
          <cell r="AE845"/>
          <cell r="AF845"/>
          <cell r="AG845"/>
          <cell r="AH845"/>
          <cell r="AI845"/>
          <cell r="AJ845">
            <v>0</v>
          </cell>
          <cell r="AK845" t="str">
            <v>3P</v>
          </cell>
          <cell r="AL845">
            <v>151</v>
          </cell>
          <cell r="AM845">
            <v>444</v>
          </cell>
          <cell r="AN845" t="str">
            <v>01 Existing Dealer</v>
          </cell>
          <cell r="AO845" t="str">
            <v>Midwest</v>
          </cell>
          <cell r="AP845" t="str">
            <v>North</v>
          </cell>
          <cell r="AQ845"/>
          <cell r="AR845">
            <v>16810</v>
          </cell>
          <cell r="AS845">
            <v>111930</v>
          </cell>
        </row>
        <row r="846">
          <cell r="A846" t="str">
            <v>10576E</v>
          </cell>
          <cell r="B846" t="str">
            <v>ZORESCO EQUIPMENT CO.</v>
          </cell>
          <cell r="C846" t="str">
            <v>M10462</v>
          </cell>
          <cell r="D846" t="str">
            <v>NET 5, BT+</v>
          </cell>
          <cell r="E846" t="str">
            <v>CF</v>
          </cell>
          <cell r="F846" t="str">
            <v>Yes</v>
          </cell>
          <cell r="G846" t="str">
            <v>OH</v>
          </cell>
          <cell r="H846">
            <v>5</v>
          </cell>
          <cell r="I846">
            <v>0.66500000000000004</v>
          </cell>
          <cell r="J846" t="str">
            <v>Orphaned Acct</v>
          </cell>
          <cell r="K846" t="str">
            <v>WICKLIFFE</v>
          </cell>
          <cell r="L846" t="str">
            <v>OH</v>
          </cell>
          <cell r="M846" t="str">
            <v>800-577-8858</v>
          </cell>
          <cell r="N846"/>
          <cell r="O846">
            <v>1086</v>
          </cell>
          <cell r="P846">
            <v>4669.8</v>
          </cell>
          <cell r="Q846">
            <v>876</v>
          </cell>
          <cell r="R846">
            <v>3766.7999999999997</v>
          </cell>
          <cell r="S846"/>
          <cell r="T846">
            <v>0</v>
          </cell>
          <cell r="U846">
            <v>1140</v>
          </cell>
          <cell r="V846">
            <v>4902</v>
          </cell>
          <cell r="W846">
            <v>1166</v>
          </cell>
          <cell r="X846">
            <v>5013.8</v>
          </cell>
          <cell r="Y846">
            <v>248</v>
          </cell>
          <cell r="Z846">
            <v>1066.3999999999999</v>
          </cell>
          <cell r="AA846">
            <v>248</v>
          </cell>
          <cell r="AB846">
            <v>1066.3999999999999</v>
          </cell>
          <cell r="AC846">
            <v>248</v>
          </cell>
          <cell r="AD846">
            <v>1066.3999999999999</v>
          </cell>
          <cell r="AE846"/>
          <cell r="AF846"/>
          <cell r="AG846"/>
          <cell r="AH846"/>
          <cell r="AI846"/>
          <cell r="AJ846">
            <v>0</v>
          </cell>
          <cell r="AK846" t="str">
            <v>3P</v>
          </cell>
          <cell r="AL846">
            <v>213</v>
          </cell>
          <cell r="AM846">
            <v>84</v>
          </cell>
          <cell r="AN846" t="str">
            <v>01 Existing Dealer</v>
          </cell>
          <cell r="AO846" t="str">
            <v>Midwest</v>
          </cell>
          <cell r="AP846" t="str">
            <v>North</v>
          </cell>
          <cell r="AQ846"/>
          <cell r="AR846">
            <v>0</v>
          </cell>
          <cell r="AS846">
            <v>0</v>
          </cell>
        </row>
        <row r="847">
          <cell r="A847">
            <v>13581</v>
          </cell>
          <cell r="B847" t="str">
            <v>STANFORD TRAILERS</v>
          </cell>
          <cell r="C847" t="str">
            <v>M11468</v>
          </cell>
          <cell r="D847" t="str">
            <v>NET 5, BT+</v>
          </cell>
          <cell r="E847" t="str">
            <v>CO</v>
          </cell>
          <cell r="F847" t="str">
            <v>Yes</v>
          </cell>
          <cell r="G847" t="str">
            <v>OH</v>
          </cell>
          <cell r="H847">
            <v>7</v>
          </cell>
          <cell r="I847">
            <v>0.66500000000000004</v>
          </cell>
          <cell r="J847" t="str">
            <v>JL Smith</v>
          </cell>
          <cell r="K847" t="str">
            <v>MARION</v>
          </cell>
          <cell r="L847" t="str">
            <v>OH</v>
          </cell>
          <cell r="M847" t="str">
            <v>800-577-8858</v>
          </cell>
          <cell r="N847"/>
          <cell r="O847">
            <v>963</v>
          </cell>
          <cell r="P847">
            <v>4140.8999999999996</v>
          </cell>
          <cell r="Q847">
            <v>746</v>
          </cell>
          <cell r="R847">
            <v>3207.7999999999997</v>
          </cell>
          <cell r="S847"/>
          <cell r="T847">
            <v>0</v>
          </cell>
          <cell r="U847">
            <v>1004</v>
          </cell>
          <cell r="V847">
            <v>4317.2</v>
          </cell>
          <cell r="W847">
            <v>1042</v>
          </cell>
          <cell r="X847">
            <v>4480.5999999999995</v>
          </cell>
          <cell r="Y847">
            <v>156</v>
          </cell>
          <cell r="Z847">
            <v>670.8</v>
          </cell>
          <cell r="AA847">
            <v>156</v>
          </cell>
          <cell r="AB847">
            <v>670.8</v>
          </cell>
          <cell r="AC847">
            <v>156</v>
          </cell>
          <cell r="AD847">
            <v>670.8</v>
          </cell>
          <cell r="AE847"/>
          <cell r="AF847"/>
          <cell r="AG847"/>
          <cell r="AH847"/>
          <cell r="AI847"/>
          <cell r="AJ847">
            <v>0.01</v>
          </cell>
          <cell r="AK847" t="str">
            <v>3P</v>
          </cell>
          <cell r="AL847">
            <v>151</v>
          </cell>
          <cell r="AM847">
            <v>281</v>
          </cell>
          <cell r="AN847" t="str">
            <v>02 Ramping</v>
          </cell>
          <cell r="AO847" t="str">
            <v>Midwest</v>
          </cell>
          <cell r="AP847" t="str">
            <v>North</v>
          </cell>
          <cell r="AQ847"/>
          <cell r="AR847">
            <v>53485</v>
          </cell>
          <cell r="AS847">
            <v>17518</v>
          </cell>
        </row>
        <row r="848">
          <cell r="A848" t="str">
            <v>13581A</v>
          </cell>
          <cell r="B848" t="str">
            <v>STANFORD TRAILERS</v>
          </cell>
          <cell r="C848" t="str">
            <v>M11468</v>
          </cell>
          <cell r="D848" t="str">
            <v>NET 5, BT+</v>
          </cell>
          <cell r="E848" t="str">
            <v>CO</v>
          </cell>
          <cell r="F848" t="str">
            <v>Yes</v>
          </cell>
          <cell r="G848" t="str">
            <v>OH</v>
          </cell>
          <cell r="H848">
            <v>7</v>
          </cell>
          <cell r="I848">
            <v>0.66500000000000004</v>
          </cell>
          <cell r="J848" t="str">
            <v>JL Smith</v>
          </cell>
          <cell r="K848" t="str">
            <v>KENTON</v>
          </cell>
          <cell r="L848" t="str">
            <v>OH</v>
          </cell>
          <cell r="M848" t="str">
            <v>800-577-8858</v>
          </cell>
          <cell r="N848"/>
          <cell r="O848">
            <v>957</v>
          </cell>
          <cell r="P848">
            <v>4115.0999999999995</v>
          </cell>
          <cell r="Q848">
            <v>743</v>
          </cell>
          <cell r="R848">
            <v>3194.9</v>
          </cell>
          <cell r="S848"/>
          <cell r="T848">
            <v>0</v>
          </cell>
          <cell r="U848">
            <v>988</v>
          </cell>
          <cell r="V848">
            <v>4248.3999999999996</v>
          </cell>
          <cell r="W848">
            <v>1039</v>
          </cell>
          <cell r="X848">
            <v>4467.7</v>
          </cell>
          <cell r="Y848">
            <v>157</v>
          </cell>
          <cell r="Z848">
            <v>675.1</v>
          </cell>
          <cell r="AA848">
            <v>157</v>
          </cell>
          <cell r="AB848">
            <v>675.1</v>
          </cell>
          <cell r="AC848">
            <v>157</v>
          </cell>
          <cell r="AD848">
            <v>675.1</v>
          </cell>
          <cell r="AE848"/>
          <cell r="AF848"/>
          <cell r="AG848"/>
          <cell r="AH848"/>
          <cell r="AI848"/>
          <cell r="AJ848">
            <v>0.01</v>
          </cell>
          <cell r="AK848" t="str">
            <v>3P</v>
          </cell>
          <cell r="AL848">
            <v>151</v>
          </cell>
          <cell r="AM848">
            <v>281</v>
          </cell>
          <cell r="AN848" t="str">
            <v>02 Ramping</v>
          </cell>
          <cell r="AO848" t="str">
            <v>Midwest</v>
          </cell>
          <cell r="AP848" t="str">
            <v>North</v>
          </cell>
          <cell r="AQ848"/>
          <cell r="AR848">
            <v>0</v>
          </cell>
          <cell r="AS848">
            <v>0</v>
          </cell>
        </row>
        <row r="849">
          <cell r="A849">
            <v>13493</v>
          </cell>
          <cell r="B849" t="str">
            <v>STANFORD TRAILERS</v>
          </cell>
          <cell r="C849" t="str">
            <v>M11468</v>
          </cell>
          <cell r="D849" t="str">
            <v>NET 5, BT+</v>
          </cell>
          <cell r="E849" t="str">
            <v>F4 - Northpoint</v>
          </cell>
          <cell r="F849" t="str">
            <v>Yes</v>
          </cell>
          <cell r="G849" t="str">
            <v>OH</v>
          </cell>
          <cell r="H849">
            <v>8</v>
          </cell>
          <cell r="I849">
            <v>0.66500000000000004</v>
          </cell>
          <cell r="J849" t="str">
            <v>JL Smith</v>
          </cell>
          <cell r="K849" t="str">
            <v>MARION</v>
          </cell>
          <cell r="L849" t="str">
            <v>OH</v>
          </cell>
          <cell r="M849" t="str">
            <v>800-577-8858</v>
          </cell>
          <cell r="N849"/>
          <cell r="O849">
            <v>963</v>
          </cell>
          <cell r="P849">
            <v>4140.8999999999996</v>
          </cell>
          <cell r="Q849">
            <v>746</v>
          </cell>
          <cell r="R849">
            <v>3207.7999999999997</v>
          </cell>
          <cell r="S849"/>
          <cell r="T849">
            <v>0</v>
          </cell>
          <cell r="U849">
            <v>1004</v>
          </cell>
          <cell r="V849">
            <v>4317.2</v>
          </cell>
          <cell r="W849">
            <v>1042</v>
          </cell>
          <cell r="X849">
            <v>4480.5999999999995</v>
          </cell>
          <cell r="Y849">
            <v>156</v>
          </cell>
          <cell r="Z849">
            <v>670.8</v>
          </cell>
          <cell r="AA849">
            <v>156</v>
          </cell>
          <cell r="AB849">
            <v>670.8</v>
          </cell>
          <cell r="AC849">
            <v>156</v>
          </cell>
          <cell r="AD849">
            <v>670.8</v>
          </cell>
          <cell r="AE849"/>
          <cell r="AF849"/>
          <cell r="AG849"/>
          <cell r="AH849"/>
          <cell r="AI849"/>
          <cell r="AJ849">
            <v>0.01</v>
          </cell>
          <cell r="AK849" t="str">
            <v>3P</v>
          </cell>
          <cell r="AL849">
            <v>151</v>
          </cell>
          <cell r="AM849">
            <v>281</v>
          </cell>
          <cell r="AN849" t="str">
            <v>02 Ramping</v>
          </cell>
          <cell r="AO849" t="str">
            <v>Midwest</v>
          </cell>
          <cell r="AP849" t="str">
            <v>North</v>
          </cell>
          <cell r="AQ849"/>
          <cell r="AR849">
            <v>0</v>
          </cell>
          <cell r="AS849">
            <v>0</v>
          </cell>
        </row>
        <row r="850">
          <cell r="A850" t="str">
            <v>13493A</v>
          </cell>
          <cell r="B850" t="str">
            <v>STANFORD TRAILERS</v>
          </cell>
          <cell r="C850" t="str">
            <v>M11468</v>
          </cell>
          <cell r="D850" t="str">
            <v>NET 5, BT+</v>
          </cell>
          <cell r="E850" t="str">
            <v>F4 - Northpoint</v>
          </cell>
          <cell r="F850" t="str">
            <v>Yes</v>
          </cell>
          <cell r="G850" t="str">
            <v>OH</v>
          </cell>
          <cell r="H850">
            <v>8</v>
          </cell>
          <cell r="I850">
            <v>0.66500000000000004</v>
          </cell>
          <cell r="J850" t="str">
            <v>JL Smith</v>
          </cell>
          <cell r="K850" t="str">
            <v>KENTON</v>
          </cell>
          <cell r="L850" t="str">
            <v>OH</v>
          </cell>
          <cell r="M850" t="str">
            <v>800-577-8858</v>
          </cell>
          <cell r="N850"/>
          <cell r="O850">
            <v>957</v>
          </cell>
          <cell r="P850">
            <v>4115.0999999999995</v>
          </cell>
          <cell r="Q850">
            <v>743</v>
          </cell>
          <cell r="R850">
            <v>3194.9</v>
          </cell>
          <cell r="S850"/>
          <cell r="T850">
            <v>0</v>
          </cell>
          <cell r="U850">
            <v>988</v>
          </cell>
          <cell r="V850">
            <v>4248.3999999999996</v>
          </cell>
          <cell r="W850">
            <v>1039</v>
          </cell>
          <cell r="X850">
            <v>4467.7</v>
          </cell>
          <cell r="Y850">
            <v>157</v>
          </cell>
          <cell r="Z850">
            <v>675.1</v>
          </cell>
          <cell r="AA850">
            <v>157</v>
          </cell>
          <cell r="AB850">
            <v>675.1</v>
          </cell>
          <cell r="AC850">
            <v>157</v>
          </cell>
          <cell r="AD850">
            <v>675.1</v>
          </cell>
          <cell r="AE850"/>
          <cell r="AF850"/>
          <cell r="AG850"/>
          <cell r="AH850"/>
          <cell r="AI850"/>
          <cell r="AJ850">
            <v>0.01</v>
          </cell>
          <cell r="AK850" t="str">
            <v>3P</v>
          </cell>
          <cell r="AL850">
            <v>151</v>
          </cell>
          <cell r="AM850">
            <v>281</v>
          </cell>
          <cell r="AN850" t="str">
            <v>02 Ramping</v>
          </cell>
          <cell r="AO850" t="str">
            <v>Midwest</v>
          </cell>
          <cell r="AP850" t="str">
            <v>North</v>
          </cell>
          <cell r="AQ850"/>
          <cell r="AR850">
            <v>0</v>
          </cell>
          <cell r="AS850">
            <v>0</v>
          </cell>
        </row>
        <row r="851">
          <cell r="A851">
            <v>13498</v>
          </cell>
          <cell r="B851" t="str">
            <v>O'REILLY EQUIPMENT</v>
          </cell>
          <cell r="C851" t="str">
            <v>M11470</v>
          </cell>
          <cell r="D851" t="str">
            <v>Return Mail, no pink card</v>
          </cell>
          <cell r="E851" t="str">
            <v>RM</v>
          </cell>
          <cell r="F851" t="str">
            <v>Yes</v>
          </cell>
          <cell r="G851" t="str">
            <v>OH</v>
          </cell>
          <cell r="H851">
            <v>7</v>
          </cell>
          <cell r="I851">
            <v>0.66500000000000004</v>
          </cell>
          <cell r="J851" t="str">
            <v>Lane Davis</v>
          </cell>
          <cell r="K851" t="str">
            <v>NEWBURY</v>
          </cell>
          <cell r="L851" t="str">
            <v>OH</v>
          </cell>
          <cell r="M851" t="str">
            <v>800-577-8858</v>
          </cell>
          <cell r="N851"/>
          <cell r="O851">
            <v>1083</v>
          </cell>
          <cell r="P851">
            <v>4656.8999999999996</v>
          </cell>
          <cell r="Q851">
            <v>867</v>
          </cell>
          <cell r="R851">
            <v>3728.1</v>
          </cell>
          <cell r="S851"/>
          <cell r="T851">
            <v>0</v>
          </cell>
          <cell r="U851">
            <v>1140</v>
          </cell>
          <cell r="V851">
            <v>4902</v>
          </cell>
          <cell r="W851">
            <v>1162</v>
          </cell>
          <cell r="X851">
            <v>4996.5999999999995</v>
          </cell>
          <cell r="Y851">
            <v>270</v>
          </cell>
          <cell r="Z851">
            <v>1161</v>
          </cell>
          <cell r="AA851">
            <v>270</v>
          </cell>
          <cell r="AB851">
            <v>1161</v>
          </cell>
          <cell r="AC851">
            <v>270</v>
          </cell>
          <cell r="AD851">
            <v>1161</v>
          </cell>
          <cell r="AE851"/>
          <cell r="AF851"/>
          <cell r="AG851"/>
          <cell r="AH851"/>
          <cell r="AI851"/>
          <cell r="AJ851">
            <v>0</v>
          </cell>
          <cell r="AK851" t="str">
            <v>3P</v>
          </cell>
          <cell r="AL851">
            <v>275</v>
          </cell>
          <cell r="AM851">
            <v>84</v>
          </cell>
          <cell r="AN851" t="str">
            <v>03 New Dealer</v>
          </cell>
          <cell r="AO851" t="str">
            <v>Midwest</v>
          </cell>
          <cell r="AP851" t="str">
            <v>North</v>
          </cell>
          <cell r="AQ851"/>
          <cell r="AR851">
            <v>0</v>
          </cell>
          <cell r="AS851">
            <v>0</v>
          </cell>
        </row>
        <row r="852">
          <cell r="A852">
            <v>12876</v>
          </cell>
          <cell r="B852" t="str">
            <v>BETTIS GARDEN CENTER &amp; EQUIPMENT</v>
          </cell>
          <cell r="C852" t="str">
            <v>M10054</v>
          </cell>
          <cell r="D852" t="str">
            <v>NET 5, BT+</v>
          </cell>
          <cell r="E852" t="str">
            <v>FP - Northpoint</v>
          </cell>
          <cell r="F852" t="str">
            <v>Yes</v>
          </cell>
          <cell r="G852" t="str">
            <v>TX</v>
          </cell>
          <cell r="H852">
            <v>8</v>
          </cell>
          <cell r="I852">
            <v>0.66500000000000004</v>
          </cell>
          <cell r="J852" t="str">
            <v>Orphaned Acct</v>
          </cell>
          <cell r="K852" t="str">
            <v>KINGSTON</v>
          </cell>
          <cell r="L852" t="str">
            <v>OK</v>
          </cell>
          <cell r="M852" t="str">
            <v>800-577-8858</v>
          </cell>
          <cell r="N852"/>
          <cell r="O852">
            <v>159</v>
          </cell>
          <cell r="P852">
            <v>683.69999999999993</v>
          </cell>
          <cell r="Q852"/>
          <cell r="R852">
            <v>0</v>
          </cell>
          <cell r="S852"/>
          <cell r="T852">
            <v>0</v>
          </cell>
          <cell r="U852">
            <v>8</v>
          </cell>
          <cell r="V852">
            <v>34.4</v>
          </cell>
          <cell r="W852">
            <v>152</v>
          </cell>
          <cell r="X852">
            <v>653.6</v>
          </cell>
          <cell r="Y852"/>
          <cell r="Z852">
            <v>0</v>
          </cell>
          <cell r="AA852"/>
          <cell r="AB852">
            <v>0</v>
          </cell>
          <cell r="AC852"/>
          <cell r="AD852">
            <v>0</v>
          </cell>
          <cell r="AE852"/>
          <cell r="AF852"/>
          <cell r="AG852"/>
          <cell r="AH852"/>
          <cell r="AI852"/>
          <cell r="AJ852">
            <v>0</v>
          </cell>
          <cell r="AK852" t="str">
            <v>3P</v>
          </cell>
          <cell r="AL852">
            <v>213</v>
          </cell>
          <cell r="AM852">
            <v>19</v>
          </cell>
          <cell r="AN852" t="str">
            <v>01 Existing Dealer</v>
          </cell>
          <cell r="AO852" t="str">
            <v>South Central</v>
          </cell>
          <cell r="AP852" t="str">
            <v>Central</v>
          </cell>
          <cell r="AQ852"/>
          <cell r="AR852">
            <v>0</v>
          </cell>
          <cell r="AS852">
            <v>0</v>
          </cell>
        </row>
        <row r="853">
          <cell r="A853">
            <v>12656</v>
          </cell>
          <cell r="B853" t="str">
            <v>CHOATE'S WHOLESALE</v>
          </cell>
          <cell r="C853" t="str">
            <v>M10143</v>
          </cell>
          <cell r="D853" t="str">
            <v>NET 5, BT+</v>
          </cell>
          <cell r="E853" t="str">
            <v>FP - Northpoint</v>
          </cell>
          <cell r="F853" t="str">
            <v>Yes</v>
          </cell>
          <cell r="G853" t="str">
            <v>TX</v>
          </cell>
          <cell r="H853">
            <v>8</v>
          </cell>
          <cell r="I853">
            <v>0.66500000000000004</v>
          </cell>
          <cell r="J853" t="str">
            <v>JL Smith</v>
          </cell>
          <cell r="K853" t="str">
            <v>PAULS VALLEY</v>
          </cell>
          <cell r="L853" t="str">
            <v>OK</v>
          </cell>
          <cell r="M853" t="str">
            <v>800-577-8858</v>
          </cell>
          <cell r="N853"/>
          <cell r="O853">
            <v>242</v>
          </cell>
          <cell r="P853">
            <v>1040.5999999999999</v>
          </cell>
          <cell r="Q853"/>
          <cell r="R853">
            <v>0</v>
          </cell>
          <cell r="S853"/>
          <cell r="T853">
            <v>0</v>
          </cell>
          <cell r="U853">
            <v>69</v>
          </cell>
          <cell r="V853">
            <v>296.7</v>
          </cell>
          <cell r="W853">
            <v>198</v>
          </cell>
          <cell r="X853">
            <v>851.4</v>
          </cell>
          <cell r="Y853"/>
          <cell r="Z853">
            <v>0</v>
          </cell>
          <cell r="AA853"/>
          <cell r="AB853">
            <v>0</v>
          </cell>
          <cell r="AC853"/>
          <cell r="AD853">
            <v>0</v>
          </cell>
          <cell r="AE853"/>
          <cell r="AF853"/>
          <cell r="AG853"/>
          <cell r="AH853"/>
          <cell r="AI853"/>
          <cell r="AJ853">
            <v>0</v>
          </cell>
          <cell r="AK853" t="str">
            <v>3P</v>
          </cell>
          <cell r="AL853">
            <v>151</v>
          </cell>
          <cell r="AM853">
            <v>329</v>
          </cell>
          <cell r="AN853" t="str">
            <v>01 Existing Dealer</v>
          </cell>
          <cell r="AO853" t="str">
            <v>South Central</v>
          </cell>
          <cell r="AP853" t="str">
            <v>Central</v>
          </cell>
          <cell r="AQ853"/>
          <cell r="AR853">
            <v>0</v>
          </cell>
          <cell r="AS853">
            <v>0</v>
          </cell>
        </row>
        <row r="854">
          <cell r="A854">
            <v>13122</v>
          </cell>
          <cell r="B854" t="str">
            <v>FAT DOG TRAILERS</v>
          </cell>
          <cell r="C854" t="str">
            <v>M11038</v>
          </cell>
          <cell r="D854" t="str">
            <v>NET 5, BT+</v>
          </cell>
          <cell r="E854" t="str">
            <v>CO</v>
          </cell>
          <cell r="F854" t="str">
            <v>Yes</v>
          </cell>
          <cell r="G854" t="str">
            <v>TX</v>
          </cell>
          <cell r="H854">
            <v>7</v>
          </cell>
          <cell r="I854">
            <v>0.66500000000000004</v>
          </cell>
          <cell r="J854" t="str">
            <v>Orphaned Acct</v>
          </cell>
          <cell r="K854" t="str">
            <v>GROVE</v>
          </cell>
          <cell r="L854" t="str">
            <v>OK</v>
          </cell>
          <cell r="M854" t="str">
            <v>800-577-8858</v>
          </cell>
          <cell r="N854"/>
          <cell r="O854">
            <v>306</v>
          </cell>
          <cell r="P854">
            <v>1315.8</v>
          </cell>
          <cell r="Q854"/>
          <cell r="R854">
            <v>0</v>
          </cell>
          <cell r="S854"/>
          <cell r="T854">
            <v>0</v>
          </cell>
          <cell r="U854">
            <v>260</v>
          </cell>
          <cell r="V854">
            <v>1118</v>
          </cell>
          <cell r="W854">
            <v>367</v>
          </cell>
          <cell r="X854">
            <v>1578.1</v>
          </cell>
          <cell r="Y854"/>
          <cell r="Z854">
            <v>0</v>
          </cell>
          <cell r="AA854"/>
          <cell r="AB854">
            <v>0</v>
          </cell>
          <cell r="AC854"/>
          <cell r="AD854">
            <v>0</v>
          </cell>
          <cell r="AE854"/>
          <cell r="AF854"/>
          <cell r="AG854"/>
          <cell r="AH854"/>
          <cell r="AI854"/>
          <cell r="AJ854">
            <v>0</v>
          </cell>
          <cell r="AK854" t="str">
            <v>3P</v>
          </cell>
          <cell r="AL854">
            <v>213</v>
          </cell>
          <cell r="AM854">
            <v>448</v>
          </cell>
          <cell r="AN854" t="str">
            <v>08 Inactive Dealer</v>
          </cell>
          <cell r="AO854" t="str">
            <v>South Central</v>
          </cell>
          <cell r="AP854" t="str">
            <v>Central</v>
          </cell>
          <cell r="AQ854"/>
          <cell r="AR854">
            <v>0</v>
          </cell>
          <cell r="AS854">
            <v>0</v>
          </cell>
        </row>
        <row r="855">
          <cell r="A855">
            <v>13647</v>
          </cell>
          <cell r="B855" t="str">
            <v>GREAT PLAINS II - BT</v>
          </cell>
          <cell r="C855" t="str">
            <v>M11129</v>
          </cell>
          <cell r="D855" t="str">
            <v>Net 30, no pink card</v>
          </cell>
          <cell r="E855" t="str">
            <v>F3 - Northpoint</v>
          </cell>
          <cell r="F855" t="str">
            <v>Yes</v>
          </cell>
          <cell r="G855" t="str">
            <v>TX</v>
          </cell>
          <cell r="H855">
            <v>8</v>
          </cell>
          <cell r="I855">
            <v>0.66500000000000004</v>
          </cell>
          <cell r="J855" t="str">
            <v>JL Smith</v>
          </cell>
          <cell r="K855" t="str">
            <v>NORMAN</v>
          </cell>
          <cell r="L855" t="str">
            <v>OK</v>
          </cell>
          <cell r="M855" t="str">
            <v>800-577-8858</v>
          </cell>
          <cell r="N855" t="str">
            <v>MSO's must read Norman. Fedex to 1280 Lamar
Norman, OK 73069, attn: R&amp;I Team</v>
          </cell>
          <cell r="O855">
            <v>278</v>
          </cell>
          <cell r="P855">
            <v>1195.3999999999999</v>
          </cell>
          <cell r="Q855"/>
          <cell r="R855">
            <v>0</v>
          </cell>
          <cell r="S855"/>
          <cell r="T855">
            <v>0</v>
          </cell>
          <cell r="U855">
            <v>105</v>
          </cell>
          <cell r="V855">
            <v>451.5</v>
          </cell>
          <cell r="W855">
            <v>234</v>
          </cell>
          <cell r="X855">
            <v>1006.1999999999999</v>
          </cell>
          <cell r="Y855"/>
          <cell r="Z855">
            <v>0</v>
          </cell>
          <cell r="AA855"/>
          <cell r="AB855">
            <v>0</v>
          </cell>
          <cell r="AC855"/>
          <cell r="AD855">
            <v>0</v>
          </cell>
          <cell r="AE855"/>
          <cell r="AF855"/>
          <cell r="AG855"/>
          <cell r="AH855"/>
          <cell r="AI855"/>
          <cell r="AJ855">
            <v>0.04</v>
          </cell>
          <cell r="AK855" t="str">
            <v>3P</v>
          </cell>
          <cell r="AL855">
            <v>151</v>
          </cell>
          <cell r="AM855">
            <v>329</v>
          </cell>
          <cell r="AN855" t="str">
            <v>01 Existing Dealer</v>
          </cell>
          <cell r="AO855" t="str">
            <v>South Central</v>
          </cell>
          <cell r="AP855" t="str">
            <v>Central</v>
          </cell>
          <cell r="AQ855"/>
          <cell r="AR855">
            <v>0</v>
          </cell>
          <cell r="AS855">
            <v>18193</v>
          </cell>
        </row>
        <row r="856">
          <cell r="A856" t="str">
            <v>13647A</v>
          </cell>
          <cell r="B856" t="str">
            <v>GREAT PLAINS II - BT</v>
          </cell>
          <cell r="C856" t="str">
            <v>M11129</v>
          </cell>
          <cell r="D856" t="str">
            <v>Net 30, no pink card</v>
          </cell>
          <cell r="E856" t="str">
            <v>F3 - Northpoint</v>
          </cell>
          <cell r="F856" t="str">
            <v>Yes</v>
          </cell>
          <cell r="G856" t="str">
            <v>TX</v>
          </cell>
          <cell r="H856">
            <v>8</v>
          </cell>
          <cell r="I856">
            <v>0.66500000000000004</v>
          </cell>
          <cell r="J856" t="str">
            <v>JL Smith</v>
          </cell>
          <cell r="K856" t="str">
            <v>STILLWATER</v>
          </cell>
          <cell r="L856" t="str">
            <v>OK</v>
          </cell>
          <cell r="M856" t="str">
            <v>800-577-8858</v>
          </cell>
          <cell r="N856" t="str">
            <v>MSO's must read Norman. Fedex to 1280 Lamar
Norman, OK 73069, attn: R&amp;I Team</v>
          </cell>
          <cell r="O856">
            <v>300</v>
          </cell>
          <cell r="P856">
            <v>1290</v>
          </cell>
          <cell r="Q856"/>
          <cell r="R856">
            <v>0</v>
          </cell>
          <cell r="S856"/>
          <cell r="T856">
            <v>0</v>
          </cell>
          <cell r="U856">
            <v>185</v>
          </cell>
          <cell r="V856">
            <v>795.5</v>
          </cell>
          <cell r="W856">
            <v>314</v>
          </cell>
          <cell r="X856">
            <v>1350.2</v>
          </cell>
          <cell r="Y856"/>
          <cell r="Z856">
            <v>0</v>
          </cell>
          <cell r="AA856"/>
          <cell r="AB856">
            <v>0</v>
          </cell>
          <cell r="AC856"/>
          <cell r="AD856">
            <v>0</v>
          </cell>
          <cell r="AE856"/>
          <cell r="AF856"/>
          <cell r="AG856"/>
          <cell r="AH856"/>
          <cell r="AI856"/>
          <cell r="AJ856">
            <v>0.04</v>
          </cell>
          <cell r="AK856" t="str">
            <v>3P</v>
          </cell>
          <cell r="AL856">
            <v>151</v>
          </cell>
          <cell r="AM856">
            <v>433</v>
          </cell>
          <cell r="AN856" t="str">
            <v>01 Existing Dealer</v>
          </cell>
          <cell r="AO856" t="str">
            <v>South Central</v>
          </cell>
          <cell r="AP856" t="str">
            <v>Central</v>
          </cell>
          <cell r="AQ856"/>
          <cell r="AR856">
            <v>0</v>
          </cell>
          <cell r="AS856">
            <v>0</v>
          </cell>
        </row>
        <row r="857">
          <cell r="A857" t="str">
            <v>13647B</v>
          </cell>
          <cell r="B857" t="str">
            <v>GREAT PLAINS II - BT</v>
          </cell>
          <cell r="C857" t="str">
            <v>M11129</v>
          </cell>
          <cell r="D857" t="str">
            <v>Net 30, no pink card</v>
          </cell>
          <cell r="E857" t="str">
            <v>F3 - Northpoint</v>
          </cell>
          <cell r="F857" t="str">
            <v>Yes</v>
          </cell>
          <cell r="G857" t="str">
            <v>TX</v>
          </cell>
          <cell r="H857">
            <v>8</v>
          </cell>
          <cell r="I857">
            <v>0.66500000000000004</v>
          </cell>
          <cell r="J857" t="str">
            <v>JL Smith</v>
          </cell>
          <cell r="K857" t="str">
            <v>ADA</v>
          </cell>
          <cell r="L857" t="str">
            <v>OK</v>
          </cell>
          <cell r="M857" t="str">
            <v>800-577-8858</v>
          </cell>
          <cell r="N857" t="str">
            <v>MSO's must read Norman. Fedex to 1280 Lamar
Norman, OK 73069, attn: R&amp;I Team</v>
          </cell>
          <cell r="O857">
            <v>175</v>
          </cell>
          <cell r="P857">
            <v>752.5</v>
          </cell>
          <cell r="Q857"/>
          <cell r="R857">
            <v>0</v>
          </cell>
          <cell r="S857"/>
          <cell r="T857">
            <v>0</v>
          </cell>
          <cell r="U857">
            <v>59</v>
          </cell>
          <cell r="V857">
            <v>253.7</v>
          </cell>
          <cell r="W857">
            <v>178</v>
          </cell>
          <cell r="X857">
            <v>765.4</v>
          </cell>
          <cell r="Y857"/>
          <cell r="Z857">
            <v>0</v>
          </cell>
          <cell r="AA857"/>
          <cell r="AB857">
            <v>0</v>
          </cell>
          <cell r="AC857"/>
          <cell r="AD857">
            <v>0</v>
          </cell>
          <cell r="AE857"/>
          <cell r="AF857"/>
          <cell r="AG857"/>
          <cell r="AH857"/>
          <cell r="AI857"/>
          <cell r="AJ857">
            <v>0.04</v>
          </cell>
          <cell r="AK857" t="str">
            <v>3P</v>
          </cell>
          <cell r="AL857">
            <v>151</v>
          </cell>
          <cell r="AM857">
            <v>4</v>
          </cell>
          <cell r="AN857" t="str">
            <v>01 Existing Dealer</v>
          </cell>
          <cell r="AO857" t="str">
            <v>South Central</v>
          </cell>
          <cell r="AP857" t="str">
            <v>Central</v>
          </cell>
          <cell r="AQ857"/>
          <cell r="AR857">
            <v>0</v>
          </cell>
          <cell r="AS857">
            <v>0</v>
          </cell>
        </row>
        <row r="858">
          <cell r="A858" t="str">
            <v>13647C</v>
          </cell>
          <cell r="B858" t="str">
            <v>GREAT PLAINS II - BT</v>
          </cell>
          <cell r="C858" t="str">
            <v>M11129</v>
          </cell>
          <cell r="D858" t="str">
            <v>Net 30, no pink card</v>
          </cell>
          <cell r="E858" t="str">
            <v>F3 - Northpoint</v>
          </cell>
          <cell r="F858" t="str">
            <v>Yes</v>
          </cell>
          <cell r="G858" t="str">
            <v>TX</v>
          </cell>
          <cell r="H858">
            <v>8</v>
          </cell>
          <cell r="I858">
            <v>0.66500000000000004</v>
          </cell>
          <cell r="J858" t="str">
            <v>JL Smith</v>
          </cell>
          <cell r="K858" t="str">
            <v>CLINTON</v>
          </cell>
          <cell r="L858" t="str">
            <v>OK</v>
          </cell>
          <cell r="M858" t="str">
            <v>800-577-8858</v>
          </cell>
          <cell r="N858" t="str">
            <v>MSO's must read Norman. Fedex to 1280 Lamar
Norman, OK 73069, attn: R&amp;I Team</v>
          </cell>
          <cell r="O858">
            <v>357</v>
          </cell>
          <cell r="P858">
            <v>1535.1</v>
          </cell>
          <cell r="Q858"/>
          <cell r="R858">
            <v>0</v>
          </cell>
          <cell r="S858"/>
          <cell r="T858">
            <v>0</v>
          </cell>
          <cell r="U858">
            <v>206</v>
          </cell>
          <cell r="V858">
            <v>885.8</v>
          </cell>
          <cell r="W858">
            <v>258</v>
          </cell>
          <cell r="X858">
            <v>1109.3999999999999</v>
          </cell>
          <cell r="Y858"/>
          <cell r="Z858">
            <v>0</v>
          </cell>
          <cell r="AA858"/>
          <cell r="AB858">
            <v>0</v>
          </cell>
          <cell r="AC858"/>
          <cell r="AD858">
            <v>0</v>
          </cell>
          <cell r="AE858"/>
          <cell r="AF858"/>
          <cell r="AG858"/>
          <cell r="AH858"/>
          <cell r="AI858"/>
          <cell r="AJ858">
            <v>0.04</v>
          </cell>
          <cell r="AK858" t="str">
            <v>3P</v>
          </cell>
          <cell r="AL858">
            <v>151</v>
          </cell>
          <cell r="AM858"/>
          <cell r="AN858" t="str">
            <v>01 Existing Dealer</v>
          </cell>
          <cell r="AO858" t="str">
            <v>South Central</v>
          </cell>
          <cell r="AP858" t="str">
            <v>Central</v>
          </cell>
          <cell r="AQ858"/>
          <cell r="AR858">
            <v>0</v>
          </cell>
          <cell r="AS858">
            <v>0</v>
          </cell>
        </row>
        <row r="859">
          <cell r="A859" t="str">
            <v>13647D</v>
          </cell>
          <cell r="B859" t="str">
            <v>GREAT PLAINS II - BT</v>
          </cell>
          <cell r="C859" t="str">
            <v>M11129</v>
          </cell>
          <cell r="D859" t="str">
            <v>Net 30, no pink card</v>
          </cell>
          <cell r="E859" t="str">
            <v>F3 - Northpoint</v>
          </cell>
          <cell r="F859" t="str">
            <v>Yes</v>
          </cell>
          <cell r="G859" t="str">
            <v>TX</v>
          </cell>
          <cell r="H859">
            <v>8</v>
          </cell>
          <cell r="I859">
            <v>0.66500000000000004</v>
          </cell>
          <cell r="J859" t="str">
            <v>JL Smith</v>
          </cell>
          <cell r="K859" t="str">
            <v>DUNCAN</v>
          </cell>
          <cell r="L859" t="str">
            <v>OK</v>
          </cell>
          <cell r="M859" t="str">
            <v>800-577-8858</v>
          </cell>
          <cell r="N859" t="str">
            <v>MSO's must read Norman. Fedex to 1280 Lamar
Norman, OK 73069, attn: R&amp;I Team</v>
          </cell>
          <cell r="O859">
            <v>250</v>
          </cell>
          <cell r="P859">
            <v>1075</v>
          </cell>
          <cell r="Q859"/>
          <cell r="R859">
            <v>0</v>
          </cell>
          <cell r="S859"/>
          <cell r="T859">
            <v>0</v>
          </cell>
          <cell r="U859">
            <v>92</v>
          </cell>
          <cell r="V859">
            <v>395.59999999999997</v>
          </cell>
          <cell r="W859">
            <v>168</v>
          </cell>
          <cell r="X859">
            <v>722.4</v>
          </cell>
          <cell r="Y859"/>
          <cell r="Z859">
            <v>0</v>
          </cell>
          <cell r="AA859"/>
          <cell r="AB859">
            <v>0</v>
          </cell>
          <cell r="AC859"/>
          <cell r="AD859">
            <v>0</v>
          </cell>
          <cell r="AE859"/>
          <cell r="AF859"/>
          <cell r="AG859"/>
          <cell r="AH859"/>
          <cell r="AI859"/>
          <cell r="AJ859">
            <v>0.04</v>
          </cell>
          <cell r="AK859" t="str">
            <v>3P</v>
          </cell>
          <cell r="AL859">
            <v>151</v>
          </cell>
          <cell r="AM859">
            <v>248</v>
          </cell>
          <cell r="AN859" t="str">
            <v>01 Existing Dealer</v>
          </cell>
          <cell r="AO859" t="str">
            <v>South Central</v>
          </cell>
          <cell r="AP859" t="str">
            <v>Central</v>
          </cell>
          <cell r="AQ859"/>
          <cell r="AR859">
            <v>0</v>
          </cell>
          <cell r="AS859">
            <v>0</v>
          </cell>
        </row>
        <row r="860">
          <cell r="A860" t="str">
            <v>13647E</v>
          </cell>
          <cell r="B860" t="str">
            <v>GREAT PLAINS II - BT</v>
          </cell>
          <cell r="C860" t="str">
            <v>M11129</v>
          </cell>
          <cell r="D860" t="str">
            <v>Net 30, no pink card</v>
          </cell>
          <cell r="E860" t="str">
            <v>F3 - Northpoint</v>
          </cell>
          <cell r="F860" t="str">
            <v>Yes</v>
          </cell>
          <cell r="G860" t="str">
            <v>TX</v>
          </cell>
          <cell r="H860">
            <v>8</v>
          </cell>
          <cell r="I860">
            <v>0.66500000000000004</v>
          </cell>
          <cell r="J860" t="str">
            <v>JL Smith</v>
          </cell>
          <cell r="K860" t="str">
            <v>EDMOND</v>
          </cell>
          <cell r="L860" t="str">
            <v>OK</v>
          </cell>
          <cell r="M860" t="str">
            <v>800-577-8858</v>
          </cell>
          <cell r="N860" t="str">
            <v>MSO's must read Norman. Fedex to 1280 Lamar
Norman, OK 73069, attn: R&amp;I Team</v>
          </cell>
          <cell r="O860">
            <v>286</v>
          </cell>
          <cell r="P860">
            <v>1229.8</v>
          </cell>
          <cell r="Q860"/>
          <cell r="R860">
            <v>0</v>
          </cell>
          <cell r="S860"/>
          <cell r="T860">
            <v>0</v>
          </cell>
          <cell r="U860">
            <v>139</v>
          </cell>
          <cell r="V860">
            <v>597.69999999999993</v>
          </cell>
          <cell r="W860">
            <v>222</v>
          </cell>
          <cell r="X860">
            <v>954.59999999999991</v>
          </cell>
          <cell r="Y860"/>
          <cell r="Z860">
            <v>0</v>
          </cell>
          <cell r="AA860"/>
          <cell r="AB860">
            <v>0</v>
          </cell>
          <cell r="AC860"/>
          <cell r="AD860">
            <v>0</v>
          </cell>
          <cell r="AE860"/>
          <cell r="AF860"/>
          <cell r="AG860"/>
          <cell r="AH860"/>
          <cell r="AI860"/>
          <cell r="AJ860">
            <v>0.04</v>
          </cell>
          <cell r="AK860" t="str">
            <v>3P</v>
          </cell>
          <cell r="AL860">
            <v>151</v>
          </cell>
          <cell r="AM860">
            <v>329</v>
          </cell>
          <cell r="AN860" t="str">
            <v>01 Existing Dealer</v>
          </cell>
          <cell r="AO860" t="str">
            <v>South Central</v>
          </cell>
          <cell r="AP860" t="str">
            <v>Central</v>
          </cell>
          <cell r="AQ860"/>
          <cell r="AR860">
            <v>0</v>
          </cell>
          <cell r="AS860">
            <v>0</v>
          </cell>
        </row>
        <row r="861">
          <cell r="A861" t="str">
            <v>13647F</v>
          </cell>
          <cell r="B861" t="str">
            <v>GREAT PLAINS II - BT</v>
          </cell>
          <cell r="C861" t="str">
            <v>M11129</v>
          </cell>
          <cell r="D861" t="str">
            <v>Net 30, no pink card</v>
          </cell>
          <cell r="E861" t="str">
            <v>F3 - Northpoint</v>
          </cell>
          <cell r="F861" t="str">
            <v>Yes</v>
          </cell>
          <cell r="G861" t="str">
            <v>TX</v>
          </cell>
          <cell r="H861">
            <v>8</v>
          </cell>
          <cell r="I861">
            <v>0.66500000000000004</v>
          </cell>
          <cell r="J861" t="str">
            <v>JL Smith</v>
          </cell>
          <cell r="K861" t="str">
            <v>SHAWNEE</v>
          </cell>
          <cell r="L861" t="str">
            <v>OK</v>
          </cell>
          <cell r="M861" t="str">
            <v>800-577-8858</v>
          </cell>
          <cell r="N861" t="str">
            <v>MSO's must read Norman. Fedex to 1280 Lamar
Norman, OK 73069, attn: R&amp;I Team</v>
          </cell>
          <cell r="O861">
            <v>237</v>
          </cell>
          <cell r="P861">
            <v>1019.0999999999999</v>
          </cell>
          <cell r="Q861"/>
          <cell r="R861">
            <v>0</v>
          </cell>
          <cell r="S861"/>
          <cell r="T861">
            <v>0</v>
          </cell>
          <cell r="U861">
            <v>103</v>
          </cell>
          <cell r="V861">
            <v>442.9</v>
          </cell>
          <cell r="W861">
            <v>192</v>
          </cell>
          <cell r="X861">
            <v>825.59999999999991</v>
          </cell>
          <cell r="Y861"/>
          <cell r="Z861">
            <v>0</v>
          </cell>
          <cell r="AA861"/>
          <cell r="AB861">
            <v>0</v>
          </cell>
          <cell r="AC861"/>
          <cell r="AD861">
            <v>0</v>
          </cell>
          <cell r="AE861"/>
          <cell r="AF861"/>
          <cell r="AG861"/>
          <cell r="AH861"/>
          <cell r="AI861"/>
          <cell r="AJ861">
            <v>0.04</v>
          </cell>
          <cell r="AK861" t="str">
            <v>3P</v>
          </cell>
          <cell r="AL861">
            <v>151</v>
          </cell>
          <cell r="AM861">
            <v>329</v>
          </cell>
          <cell r="AN861" t="str">
            <v>01 Existing Dealer</v>
          </cell>
          <cell r="AO861" t="str">
            <v>South Central</v>
          </cell>
          <cell r="AP861" t="str">
            <v>Central</v>
          </cell>
          <cell r="AQ861"/>
          <cell r="AR861">
            <v>0</v>
          </cell>
          <cell r="AS861">
            <v>0</v>
          </cell>
        </row>
        <row r="862">
          <cell r="A862" t="str">
            <v>13647G</v>
          </cell>
          <cell r="B862" t="str">
            <v>GREAT PLAINS II - BT</v>
          </cell>
          <cell r="C862" t="str">
            <v>M11129</v>
          </cell>
          <cell r="D862" t="str">
            <v>Net 30, no pink card</v>
          </cell>
          <cell r="E862" t="str">
            <v>F3 - Northpoint</v>
          </cell>
          <cell r="F862" t="str">
            <v>Yes</v>
          </cell>
          <cell r="G862" t="str">
            <v>TX</v>
          </cell>
          <cell r="H862">
            <v>8</v>
          </cell>
          <cell r="I862">
            <v>0.66500000000000004</v>
          </cell>
          <cell r="J862" t="str">
            <v>JL Smith</v>
          </cell>
          <cell r="K862" t="str">
            <v>ARDMORE</v>
          </cell>
          <cell r="L862" t="str">
            <v>OK</v>
          </cell>
          <cell r="M862" t="str">
            <v>800-577-8858</v>
          </cell>
          <cell r="N862" t="str">
            <v>MSO's must read Norman. Fedex to 1280 Lamar
Norman, OK 73069, attn: R&amp;I Team</v>
          </cell>
          <cell r="O862">
            <v>185</v>
          </cell>
          <cell r="P862">
            <v>795.5</v>
          </cell>
          <cell r="Q862"/>
          <cell r="R862">
            <v>0</v>
          </cell>
          <cell r="S862"/>
          <cell r="T862">
            <v>0</v>
          </cell>
          <cell r="U862">
            <v>24</v>
          </cell>
          <cell r="V862">
            <v>103.19999999999999</v>
          </cell>
          <cell r="W862">
            <v>157</v>
          </cell>
          <cell r="X862">
            <v>675.1</v>
          </cell>
          <cell r="Y862"/>
          <cell r="Z862">
            <v>0</v>
          </cell>
          <cell r="AA862"/>
          <cell r="AB862">
            <v>0</v>
          </cell>
          <cell r="AC862"/>
          <cell r="AD862">
            <v>0</v>
          </cell>
          <cell r="AE862"/>
          <cell r="AF862"/>
          <cell r="AG862"/>
          <cell r="AH862"/>
          <cell r="AI862"/>
          <cell r="AJ862">
            <v>0.04</v>
          </cell>
          <cell r="AK862" t="str">
            <v>3P</v>
          </cell>
          <cell r="AL862">
            <v>151</v>
          </cell>
          <cell r="AM862"/>
          <cell r="AN862" t="str">
            <v>01 Existing Dealer</v>
          </cell>
          <cell r="AO862" t="str">
            <v>South Central</v>
          </cell>
          <cell r="AP862" t="str">
            <v>Central</v>
          </cell>
          <cell r="AQ862"/>
          <cell r="AR862">
            <v>0</v>
          </cell>
          <cell r="AS862">
            <v>0</v>
          </cell>
        </row>
        <row r="863">
          <cell r="A863" t="str">
            <v>13647H</v>
          </cell>
          <cell r="B863" t="str">
            <v>GREAT PLAINS II - BT</v>
          </cell>
          <cell r="C863" t="str">
            <v>M11129</v>
          </cell>
          <cell r="D863" t="str">
            <v>Net 30, no pink card</v>
          </cell>
          <cell r="E863" t="str">
            <v>F3 - Northpoint</v>
          </cell>
          <cell r="F863" t="str">
            <v>Yes</v>
          </cell>
          <cell r="G863" t="str">
            <v>TX</v>
          </cell>
          <cell r="H863">
            <v>8</v>
          </cell>
          <cell r="I863">
            <v>0.66500000000000004</v>
          </cell>
          <cell r="J863" t="str">
            <v>JL Smith</v>
          </cell>
          <cell r="K863" t="str">
            <v>ENID</v>
          </cell>
          <cell r="L863" t="str">
            <v>OK</v>
          </cell>
          <cell r="M863" t="str">
            <v>800-577-8858</v>
          </cell>
          <cell r="N863" t="str">
            <v>MSO's must read Norman. Fedex to 1280 Lamar
Norman, OK 73069, attn: R&amp;I Team</v>
          </cell>
          <cell r="O863">
            <v>279</v>
          </cell>
          <cell r="P863">
            <v>1199.7</v>
          </cell>
          <cell r="Q863"/>
          <cell r="R863">
            <v>0</v>
          </cell>
          <cell r="S863"/>
          <cell r="T863">
            <v>0</v>
          </cell>
          <cell r="U863">
            <v>222</v>
          </cell>
          <cell r="V863">
            <v>954.59999999999991</v>
          </cell>
          <cell r="W863">
            <v>278</v>
          </cell>
          <cell r="X863">
            <v>1195.3999999999999</v>
          </cell>
          <cell r="Y863"/>
          <cell r="Z863">
            <v>0</v>
          </cell>
          <cell r="AA863"/>
          <cell r="AB863">
            <v>0</v>
          </cell>
          <cell r="AC863"/>
          <cell r="AD863">
            <v>0</v>
          </cell>
          <cell r="AE863"/>
          <cell r="AF863"/>
          <cell r="AG863"/>
          <cell r="AH863"/>
          <cell r="AI863"/>
          <cell r="AJ863">
            <v>0.04</v>
          </cell>
          <cell r="AK863" t="str">
            <v>3P</v>
          </cell>
          <cell r="AL863">
            <v>151</v>
          </cell>
          <cell r="AM863"/>
          <cell r="AN863" t="str">
            <v>01 Existing Dealer</v>
          </cell>
          <cell r="AO863" t="str">
            <v>South Central</v>
          </cell>
          <cell r="AP863" t="str">
            <v>Central</v>
          </cell>
          <cell r="AQ863"/>
          <cell r="AR863">
            <v>0</v>
          </cell>
          <cell r="AS863">
            <v>0</v>
          </cell>
        </row>
        <row r="864">
          <cell r="A864" t="str">
            <v>13647J</v>
          </cell>
          <cell r="B864" t="str">
            <v>GREAT PLAINS II - BT</v>
          </cell>
          <cell r="C864" t="str">
            <v>M11129</v>
          </cell>
          <cell r="D864" t="str">
            <v>Net 30, no pink card</v>
          </cell>
          <cell r="E864" t="str">
            <v>F3 - Northpoint</v>
          </cell>
          <cell r="F864" t="str">
            <v>Yes</v>
          </cell>
          <cell r="G864" t="str">
            <v>TX</v>
          </cell>
          <cell r="H864">
            <v>8</v>
          </cell>
          <cell r="I864">
            <v>0.66500000000000004</v>
          </cell>
          <cell r="J864" t="str">
            <v>JL Smith</v>
          </cell>
          <cell r="K864" t="str">
            <v>ARNETT</v>
          </cell>
          <cell r="L864" t="str">
            <v>OK</v>
          </cell>
          <cell r="M864" t="str">
            <v>800-577-8858</v>
          </cell>
          <cell r="N864" t="str">
            <v>MSO's must read Norman. Fedex to 1280 Lamar
Norman, OK 73069, attn: R&amp;I Team</v>
          </cell>
          <cell r="O864">
            <v>341</v>
          </cell>
          <cell r="P864">
            <v>1466.3</v>
          </cell>
          <cell r="Q864"/>
          <cell r="R864">
            <v>0</v>
          </cell>
          <cell r="S864"/>
          <cell r="T864">
            <v>0</v>
          </cell>
          <cell r="U864">
            <v>274</v>
          </cell>
          <cell r="V864">
            <v>1178.2</v>
          </cell>
          <cell r="W864">
            <v>320</v>
          </cell>
          <cell r="X864">
            <v>1376</v>
          </cell>
          <cell r="Y864"/>
          <cell r="Z864">
            <v>0</v>
          </cell>
          <cell r="AA864"/>
          <cell r="AB864">
            <v>0</v>
          </cell>
          <cell r="AC864"/>
          <cell r="AD864">
            <v>0</v>
          </cell>
          <cell r="AE864"/>
          <cell r="AF864"/>
          <cell r="AG864"/>
          <cell r="AH864"/>
          <cell r="AI864"/>
          <cell r="AJ864">
            <v>0.04</v>
          </cell>
          <cell r="AK864" t="str">
            <v>3P</v>
          </cell>
          <cell r="AL864">
            <v>151</v>
          </cell>
          <cell r="AM864"/>
          <cell r="AN864" t="str">
            <v>01 Existing Dealer</v>
          </cell>
          <cell r="AO864" t="str">
            <v>South Central</v>
          </cell>
          <cell r="AP864" t="str">
            <v>Central</v>
          </cell>
          <cell r="AQ864"/>
          <cell r="AR864">
            <v>0</v>
          </cell>
          <cell r="AS864">
            <v>0</v>
          </cell>
        </row>
        <row r="865">
          <cell r="A865">
            <v>13394</v>
          </cell>
          <cell r="B865" t="str">
            <v>GREAT PLAINS</v>
          </cell>
          <cell r="C865" t="str">
            <v>M11129</v>
          </cell>
          <cell r="D865" t="str">
            <v>Net 30, no pink card</v>
          </cell>
          <cell r="E865" t="str">
            <v>F3 - Northpoint</v>
          </cell>
          <cell r="F865" t="str">
            <v>Yes</v>
          </cell>
          <cell r="G865" t="str">
            <v>TX</v>
          </cell>
          <cell r="H865">
            <v>8</v>
          </cell>
          <cell r="I865">
            <v>0.66500000000000004</v>
          </cell>
          <cell r="J865" t="str">
            <v>JL Smith</v>
          </cell>
          <cell r="K865" t="str">
            <v>ADA</v>
          </cell>
          <cell r="L865" t="str">
            <v>OK</v>
          </cell>
          <cell r="M865" t="str">
            <v>800-577-8858</v>
          </cell>
          <cell r="N865" t="str">
            <v>MSO's must read Norman. Fedex to 1280 Lamar
Norman, OK 73069, attn: R&amp;I Team</v>
          </cell>
          <cell r="O865">
            <v>174</v>
          </cell>
          <cell r="P865">
            <v>748.19999999999993</v>
          </cell>
          <cell r="Q865"/>
          <cell r="R865">
            <v>0</v>
          </cell>
          <cell r="S865"/>
          <cell r="T865">
            <v>0</v>
          </cell>
          <cell r="U865">
            <v>66</v>
          </cell>
          <cell r="V865">
            <v>283.8</v>
          </cell>
          <cell r="W865">
            <v>214</v>
          </cell>
          <cell r="X865">
            <v>920.19999999999993</v>
          </cell>
          <cell r="Y865"/>
          <cell r="Z865">
            <v>0</v>
          </cell>
          <cell r="AA865"/>
          <cell r="AB865">
            <v>0</v>
          </cell>
          <cell r="AC865"/>
          <cell r="AD865">
            <v>0</v>
          </cell>
          <cell r="AE865"/>
          <cell r="AF865"/>
          <cell r="AG865"/>
          <cell r="AH865"/>
          <cell r="AI865"/>
          <cell r="AJ865">
            <v>0</v>
          </cell>
          <cell r="AK865" t="str">
            <v>3P</v>
          </cell>
          <cell r="AL865">
            <v>151</v>
          </cell>
          <cell r="AM865">
            <v>4</v>
          </cell>
          <cell r="AN865" t="str">
            <v>01 Existing Dealer</v>
          </cell>
          <cell r="AO865" t="str">
            <v>South Central</v>
          </cell>
          <cell r="AP865" t="str">
            <v>Central</v>
          </cell>
          <cell r="AQ865"/>
          <cell r="AR865">
            <v>0</v>
          </cell>
          <cell r="AS865">
            <v>0</v>
          </cell>
        </row>
        <row r="866">
          <cell r="A866" t="str">
            <v>13394A</v>
          </cell>
          <cell r="B866" t="str">
            <v>GREAT PLAINS</v>
          </cell>
          <cell r="C866" t="str">
            <v>M11129</v>
          </cell>
          <cell r="D866" t="str">
            <v>Net 30, no pink card</v>
          </cell>
          <cell r="E866" t="str">
            <v>F3 - Northpoint</v>
          </cell>
          <cell r="F866" t="str">
            <v>Yes</v>
          </cell>
          <cell r="G866" t="str">
            <v>TX</v>
          </cell>
          <cell r="H866">
            <v>8</v>
          </cell>
          <cell r="I866">
            <v>0.66500000000000004</v>
          </cell>
          <cell r="J866" t="str">
            <v>JL Smith</v>
          </cell>
          <cell r="K866" t="str">
            <v>DUNCAN</v>
          </cell>
          <cell r="L866" t="str">
            <v>OK</v>
          </cell>
          <cell r="M866" t="str">
            <v>800-577-8858</v>
          </cell>
          <cell r="N866" t="str">
            <v>MSO's must read Norman. Fedex to 1280 Lamar
Norman, OK 73069, attn: R&amp;I Team</v>
          </cell>
          <cell r="O866">
            <v>250</v>
          </cell>
          <cell r="P866">
            <v>1075</v>
          </cell>
          <cell r="Q866"/>
          <cell r="R866">
            <v>0</v>
          </cell>
          <cell r="S866"/>
          <cell r="T866">
            <v>0</v>
          </cell>
          <cell r="U866">
            <v>91</v>
          </cell>
          <cell r="V866">
            <v>391.3</v>
          </cell>
          <cell r="W866">
            <v>208</v>
          </cell>
          <cell r="X866">
            <v>894.4</v>
          </cell>
          <cell r="Y866"/>
          <cell r="Z866">
            <v>0</v>
          </cell>
          <cell r="AA866"/>
          <cell r="AB866">
            <v>0</v>
          </cell>
          <cell r="AC866"/>
          <cell r="AD866">
            <v>0</v>
          </cell>
          <cell r="AE866"/>
          <cell r="AF866"/>
          <cell r="AG866"/>
          <cell r="AH866"/>
          <cell r="AI866"/>
          <cell r="AJ866">
            <v>0</v>
          </cell>
          <cell r="AK866" t="str">
            <v>3P</v>
          </cell>
          <cell r="AL866">
            <v>151</v>
          </cell>
          <cell r="AM866">
            <v>248</v>
          </cell>
          <cell r="AN866" t="str">
            <v>01 Existing Dealer</v>
          </cell>
          <cell r="AO866" t="str">
            <v>South Central</v>
          </cell>
          <cell r="AP866" t="str">
            <v>Central</v>
          </cell>
          <cell r="AQ866"/>
          <cell r="AR866">
            <v>0</v>
          </cell>
          <cell r="AS866">
            <v>0</v>
          </cell>
        </row>
        <row r="867">
          <cell r="A867" t="str">
            <v>13394B</v>
          </cell>
          <cell r="B867" t="str">
            <v>GREAT PLAINS</v>
          </cell>
          <cell r="C867" t="str">
            <v>M11129</v>
          </cell>
          <cell r="D867" t="str">
            <v>Net 30, no pink card</v>
          </cell>
          <cell r="E867" t="str">
            <v>F3 - Northpoint</v>
          </cell>
          <cell r="F867" t="str">
            <v>Yes</v>
          </cell>
          <cell r="G867" t="str">
            <v>TX</v>
          </cell>
          <cell r="H867">
            <v>8</v>
          </cell>
          <cell r="I867">
            <v>0.66500000000000004</v>
          </cell>
          <cell r="J867" t="str">
            <v>JL Smith</v>
          </cell>
          <cell r="K867" t="str">
            <v>SHAWNEE</v>
          </cell>
          <cell r="L867" t="str">
            <v>OK</v>
          </cell>
          <cell r="M867" t="str">
            <v>800-577-8858</v>
          </cell>
          <cell r="N867" t="str">
            <v>MSO's must read Norman. Fedex to 1280 Lamar
Norman, OK 73069, attn: R&amp;I Team</v>
          </cell>
          <cell r="O867">
            <v>243</v>
          </cell>
          <cell r="P867">
            <v>1044.8999999999999</v>
          </cell>
          <cell r="Q867"/>
          <cell r="R867">
            <v>0</v>
          </cell>
          <cell r="S867"/>
          <cell r="T867">
            <v>0</v>
          </cell>
          <cell r="U867">
            <v>98</v>
          </cell>
          <cell r="V867">
            <v>421.4</v>
          </cell>
          <cell r="W867">
            <v>246</v>
          </cell>
          <cell r="X867">
            <v>1057.8</v>
          </cell>
          <cell r="Y867"/>
          <cell r="Z867">
            <v>0</v>
          </cell>
          <cell r="AA867"/>
          <cell r="AB867">
            <v>0</v>
          </cell>
          <cell r="AC867"/>
          <cell r="AD867">
            <v>0</v>
          </cell>
          <cell r="AE867"/>
          <cell r="AF867"/>
          <cell r="AG867"/>
          <cell r="AH867"/>
          <cell r="AI867"/>
          <cell r="AJ867">
            <v>0</v>
          </cell>
          <cell r="AK867" t="str">
            <v>3P</v>
          </cell>
          <cell r="AL867">
            <v>151</v>
          </cell>
          <cell r="AM867">
            <v>329</v>
          </cell>
          <cell r="AN867" t="str">
            <v>01 Existing Dealer</v>
          </cell>
          <cell r="AO867" t="str">
            <v>South Central</v>
          </cell>
          <cell r="AP867" t="str">
            <v>Central</v>
          </cell>
          <cell r="AQ867"/>
          <cell r="AR867">
            <v>0</v>
          </cell>
          <cell r="AS867">
            <v>0</v>
          </cell>
        </row>
        <row r="868">
          <cell r="A868" t="str">
            <v>13394C</v>
          </cell>
          <cell r="B868" t="str">
            <v>GREAT PLAINS</v>
          </cell>
          <cell r="C868" t="str">
            <v>M11129</v>
          </cell>
          <cell r="D868" t="str">
            <v>Net 30, no pink card</v>
          </cell>
          <cell r="E868" t="str">
            <v>F3 - Northpoint</v>
          </cell>
          <cell r="F868" t="str">
            <v>Yes</v>
          </cell>
          <cell r="G868" t="str">
            <v>TX</v>
          </cell>
          <cell r="H868">
            <v>8</v>
          </cell>
          <cell r="I868">
            <v>0.66500000000000004</v>
          </cell>
          <cell r="J868" t="str">
            <v>JL Smith</v>
          </cell>
          <cell r="K868" t="str">
            <v>EDMOND</v>
          </cell>
          <cell r="L868" t="str">
            <v>OK</v>
          </cell>
          <cell r="M868" t="str">
            <v>800-577-8858</v>
          </cell>
          <cell r="N868" t="str">
            <v>MSO's must read Norman. Fedex to 1280 Lamar
Norman, OK 73069, attn: R&amp;I Team</v>
          </cell>
          <cell r="O868">
            <v>284</v>
          </cell>
          <cell r="P868">
            <v>1221.2</v>
          </cell>
          <cell r="Q868"/>
          <cell r="R868">
            <v>0</v>
          </cell>
          <cell r="S868"/>
          <cell r="T868">
            <v>0</v>
          </cell>
          <cell r="U868">
            <v>136</v>
          </cell>
          <cell r="V868">
            <v>584.79999999999995</v>
          </cell>
          <cell r="W868">
            <v>266</v>
          </cell>
          <cell r="X868">
            <v>1143.8</v>
          </cell>
          <cell r="Y868"/>
          <cell r="Z868">
            <v>0</v>
          </cell>
          <cell r="AA868"/>
          <cell r="AB868">
            <v>0</v>
          </cell>
          <cell r="AC868"/>
          <cell r="AD868">
            <v>0</v>
          </cell>
          <cell r="AE868"/>
          <cell r="AF868"/>
          <cell r="AG868"/>
          <cell r="AH868"/>
          <cell r="AI868"/>
          <cell r="AJ868">
            <v>0</v>
          </cell>
          <cell r="AK868" t="str">
            <v>3P</v>
          </cell>
          <cell r="AL868">
            <v>151</v>
          </cell>
          <cell r="AM868">
            <v>329</v>
          </cell>
          <cell r="AN868" t="str">
            <v>01 Existing Dealer</v>
          </cell>
          <cell r="AO868" t="str">
            <v>South Central</v>
          </cell>
          <cell r="AP868" t="str">
            <v>Central</v>
          </cell>
          <cell r="AQ868"/>
          <cell r="AR868">
            <v>0</v>
          </cell>
          <cell r="AS868">
            <v>0</v>
          </cell>
        </row>
        <row r="869">
          <cell r="A869" t="str">
            <v>13394D</v>
          </cell>
          <cell r="B869" t="str">
            <v>GREAT PLAINS</v>
          </cell>
          <cell r="C869" t="str">
            <v>M11129</v>
          </cell>
          <cell r="D869" t="str">
            <v>Net 30, no pink card</v>
          </cell>
          <cell r="E869" t="str">
            <v>F3 - Northpoint</v>
          </cell>
          <cell r="F869" t="str">
            <v>Yes</v>
          </cell>
          <cell r="G869" t="str">
            <v>TX</v>
          </cell>
          <cell r="H869">
            <v>8</v>
          </cell>
          <cell r="I869">
            <v>0.66500000000000004</v>
          </cell>
          <cell r="J869" t="str">
            <v>JL Smith</v>
          </cell>
          <cell r="K869" t="str">
            <v>NORMAN</v>
          </cell>
          <cell r="L869" t="str">
            <v>OK</v>
          </cell>
          <cell r="M869" t="str">
            <v>800-577-8858</v>
          </cell>
          <cell r="N869" t="str">
            <v>MSO's must read Norman. Fedex to 1280 Lamar
Norman, OK 73069, attn: R&amp;I Team</v>
          </cell>
          <cell r="O869">
            <v>278</v>
          </cell>
          <cell r="P869">
            <v>1195.3999999999999</v>
          </cell>
          <cell r="Q869"/>
          <cell r="R869">
            <v>0</v>
          </cell>
          <cell r="S869"/>
          <cell r="T869">
            <v>0</v>
          </cell>
          <cell r="U869">
            <v>105</v>
          </cell>
          <cell r="V869">
            <v>451.5</v>
          </cell>
          <cell r="W869">
            <v>234</v>
          </cell>
          <cell r="X869">
            <v>1006.1999999999999</v>
          </cell>
          <cell r="Y869"/>
          <cell r="Z869">
            <v>0</v>
          </cell>
          <cell r="AA869"/>
          <cell r="AB869">
            <v>0</v>
          </cell>
          <cell r="AC869"/>
          <cell r="AD869">
            <v>0</v>
          </cell>
          <cell r="AE869"/>
          <cell r="AF869"/>
          <cell r="AG869"/>
          <cell r="AH869"/>
          <cell r="AI869"/>
          <cell r="AJ869">
            <v>0</v>
          </cell>
          <cell r="AK869" t="str">
            <v>3P</v>
          </cell>
          <cell r="AL869">
            <v>151</v>
          </cell>
          <cell r="AM869">
            <v>329</v>
          </cell>
          <cell r="AN869" t="str">
            <v>01 Existing Dealer</v>
          </cell>
          <cell r="AO869" t="str">
            <v>South Central</v>
          </cell>
          <cell r="AP869" t="str">
            <v>Central</v>
          </cell>
          <cell r="AQ869"/>
          <cell r="AR869">
            <v>0</v>
          </cell>
          <cell r="AS869">
            <v>0</v>
          </cell>
        </row>
        <row r="870">
          <cell r="A870">
            <v>13567</v>
          </cell>
          <cell r="B870" t="str">
            <v>GREAT WESTERN LEASING</v>
          </cell>
          <cell r="C870" t="str">
            <v>M10381</v>
          </cell>
          <cell r="D870" t="str">
            <v>NET 5, BT+</v>
          </cell>
          <cell r="E870" t="str">
            <v>RM</v>
          </cell>
          <cell r="F870" t="str">
            <v>Yes</v>
          </cell>
          <cell r="G870" t="str">
            <v>TX</v>
          </cell>
          <cell r="H870">
            <v>5</v>
          </cell>
          <cell r="I870">
            <v>0.66500000000000004</v>
          </cell>
          <cell r="J870" t="str">
            <v>JL Smith</v>
          </cell>
          <cell r="K870" t="str">
            <v>OKLAHOMA CITY</v>
          </cell>
          <cell r="L870" t="str">
            <v>OK</v>
          </cell>
          <cell r="M870" t="str">
            <v>800-577-8858</v>
          </cell>
          <cell r="N870" t="str">
            <v>MSO's must read Norman. Fedex to 1280 Lamar
Norman, OK 73069, attn: R&amp;I Team</v>
          </cell>
          <cell r="O870">
            <v>278</v>
          </cell>
          <cell r="P870">
            <v>1195.3999999999999</v>
          </cell>
          <cell r="Q870"/>
          <cell r="R870">
            <v>0</v>
          </cell>
          <cell r="S870"/>
          <cell r="T870">
            <v>0</v>
          </cell>
          <cell r="U870">
            <v>127</v>
          </cell>
          <cell r="V870">
            <v>546.1</v>
          </cell>
          <cell r="W870">
            <v>256</v>
          </cell>
          <cell r="X870">
            <v>1100.8</v>
          </cell>
          <cell r="Y870"/>
          <cell r="Z870">
            <v>0</v>
          </cell>
          <cell r="AA870"/>
          <cell r="AB870">
            <v>0</v>
          </cell>
          <cell r="AC870"/>
          <cell r="AD870">
            <v>0</v>
          </cell>
          <cell r="AE870"/>
          <cell r="AF870"/>
          <cell r="AG870"/>
          <cell r="AH870"/>
          <cell r="AI870"/>
          <cell r="AJ870">
            <v>0</v>
          </cell>
          <cell r="AK870" t="str">
            <v>3P</v>
          </cell>
          <cell r="AL870">
            <v>151</v>
          </cell>
          <cell r="AM870">
            <v>329</v>
          </cell>
          <cell r="AN870" t="str">
            <v>03 New Dealer</v>
          </cell>
          <cell r="AO870" t="str">
            <v>South Central</v>
          </cell>
          <cell r="AP870" t="str">
            <v>Central</v>
          </cell>
          <cell r="AQ870"/>
          <cell r="AR870">
            <v>0</v>
          </cell>
          <cell r="AS870">
            <v>0</v>
          </cell>
        </row>
        <row r="871">
          <cell r="A871">
            <v>13648</v>
          </cell>
          <cell r="B871" t="str">
            <v>HAPPY TRAILER</v>
          </cell>
          <cell r="C871" t="str">
            <v>M11633</v>
          </cell>
          <cell r="D871" t="str">
            <v>NET 5, BT+</v>
          </cell>
          <cell r="E871" t="str">
            <v>F6 - Northpoint</v>
          </cell>
          <cell r="F871" t="str">
            <v>Yes</v>
          </cell>
          <cell r="G871" t="str">
            <v>TX</v>
          </cell>
          <cell r="H871">
            <v>8</v>
          </cell>
          <cell r="I871">
            <v>0.66500000000000004</v>
          </cell>
          <cell r="J871" t="str">
            <v>Dakota Nation</v>
          </cell>
          <cell r="K871" t="str">
            <v>SAPULPA</v>
          </cell>
          <cell r="L871" t="str">
            <v>OK</v>
          </cell>
          <cell r="M871" t="str">
            <v>800-577-8858</v>
          </cell>
          <cell r="N871"/>
          <cell r="O871">
            <v>238</v>
          </cell>
          <cell r="P871">
            <v>1023.4</v>
          </cell>
          <cell r="Q871">
            <v>932</v>
          </cell>
          <cell r="R871">
            <v>4007.6</v>
          </cell>
          <cell r="S871"/>
          <cell r="T871">
            <v>0</v>
          </cell>
          <cell r="U871">
            <v>167</v>
          </cell>
          <cell r="V871">
            <v>718.1</v>
          </cell>
          <cell r="W871">
            <v>264</v>
          </cell>
          <cell r="X871">
            <v>1135.2</v>
          </cell>
          <cell r="Y871"/>
          <cell r="Z871">
            <v>0</v>
          </cell>
          <cell r="AA871">
            <v>784</v>
          </cell>
          <cell r="AB871">
            <v>3371.2</v>
          </cell>
          <cell r="AC871">
            <v>784</v>
          </cell>
          <cell r="AD871">
            <v>3371.2</v>
          </cell>
          <cell r="AE871"/>
          <cell r="AF871"/>
          <cell r="AG871"/>
          <cell r="AH871"/>
          <cell r="AI871"/>
          <cell r="AJ871">
            <v>0.06</v>
          </cell>
          <cell r="AK871" t="str">
            <v>3P</v>
          </cell>
          <cell r="AL871">
            <v>223</v>
          </cell>
          <cell r="AM871">
            <v>448</v>
          </cell>
          <cell r="AN871" t="str">
            <v>03 New Dealer</v>
          </cell>
          <cell r="AO871" t="str">
            <v>South Central</v>
          </cell>
          <cell r="AP871" t="str">
            <v>Central</v>
          </cell>
          <cell r="AQ871"/>
          <cell r="AR871">
            <v>0</v>
          </cell>
          <cell r="AS871">
            <v>113792</v>
          </cell>
        </row>
        <row r="872">
          <cell r="A872">
            <v>10674</v>
          </cell>
          <cell r="B872" t="str">
            <v>KING LINDSEY</v>
          </cell>
          <cell r="C872" t="str">
            <v>M10252</v>
          </cell>
          <cell r="D872" t="str">
            <v>NET 5, BT+</v>
          </cell>
          <cell r="E872" t="str">
            <v>CO</v>
          </cell>
          <cell r="F872" t="str">
            <v>Yes</v>
          </cell>
          <cell r="G872" t="str">
            <v>TX</v>
          </cell>
          <cell r="H872">
            <v>7</v>
          </cell>
          <cell r="I872">
            <v>0.66500000000000004</v>
          </cell>
          <cell r="J872" t="str">
            <v>Orphaned Acct</v>
          </cell>
          <cell r="K872" t="str">
            <v>CORDELL</v>
          </cell>
          <cell r="L872" t="str">
            <v>OK</v>
          </cell>
          <cell r="M872" t="str">
            <v>800-577-8858</v>
          </cell>
          <cell r="N872"/>
          <cell r="O872">
            <v>373</v>
          </cell>
          <cell r="P872">
            <v>1603.8999999999999</v>
          </cell>
          <cell r="Q872"/>
          <cell r="R872">
            <v>0</v>
          </cell>
          <cell r="S872"/>
          <cell r="T872">
            <v>0</v>
          </cell>
          <cell r="U872">
            <v>221</v>
          </cell>
          <cell r="V872">
            <v>950.3</v>
          </cell>
          <cell r="W872">
            <v>351</v>
          </cell>
          <cell r="X872">
            <v>1509.3</v>
          </cell>
          <cell r="Y872"/>
          <cell r="Z872">
            <v>0</v>
          </cell>
          <cell r="AA872"/>
          <cell r="AB872">
            <v>0</v>
          </cell>
          <cell r="AC872"/>
          <cell r="AD872">
            <v>0</v>
          </cell>
          <cell r="AE872"/>
          <cell r="AF872"/>
          <cell r="AG872"/>
          <cell r="AH872"/>
          <cell r="AI872"/>
          <cell r="AJ872">
            <v>0</v>
          </cell>
          <cell r="AK872" t="str">
            <v>3P</v>
          </cell>
          <cell r="AL872">
            <v>213</v>
          </cell>
          <cell r="AM872">
            <v>329</v>
          </cell>
          <cell r="AN872" t="str">
            <v>08 Inactive Dealer</v>
          </cell>
          <cell r="AO872" t="str">
            <v>South Central</v>
          </cell>
          <cell r="AP872" t="str">
            <v>Central</v>
          </cell>
          <cell r="AQ872"/>
          <cell r="AR872">
            <v>0</v>
          </cell>
          <cell r="AS872">
            <v>0</v>
          </cell>
        </row>
        <row r="873">
          <cell r="A873">
            <v>11827</v>
          </cell>
          <cell r="B873" t="str">
            <v>KING LINDSEY</v>
          </cell>
          <cell r="C873" t="str">
            <v>M10252</v>
          </cell>
          <cell r="D873" t="str">
            <v>NET 5, BT+</v>
          </cell>
          <cell r="E873" t="str">
            <v>FP - Wells Fargo</v>
          </cell>
          <cell r="F873" t="str">
            <v>Yes</v>
          </cell>
          <cell r="G873" t="str">
            <v>TX</v>
          </cell>
          <cell r="H873">
            <v>8</v>
          </cell>
          <cell r="I873">
            <v>0.66500000000000004</v>
          </cell>
          <cell r="J873" t="str">
            <v>Orphaned Acct</v>
          </cell>
          <cell r="K873" t="str">
            <v>CORDELL</v>
          </cell>
          <cell r="L873" t="str">
            <v>OK</v>
          </cell>
          <cell r="M873" t="str">
            <v>800-577-8858</v>
          </cell>
          <cell r="N873"/>
          <cell r="O873">
            <v>373</v>
          </cell>
          <cell r="P873">
            <v>1603.8999999999999</v>
          </cell>
          <cell r="Q873"/>
          <cell r="R873">
            <v>0</v>
          </cell>
          <cell r="S873"/>
          <cell r="T873">
            <v>0</v>
          </cell>
          <cell r="U873">
            <v>221</v>
          </cell>
          <cell r="V873">
            <v>950.3</v>
          </cell>
          <cell r="W873">
            <v>351</v>
          </cell>
          <cell r="X873">
            <v>1509.3</v>
          </cell>
          <cell r="Y873"/>
          <cell r="Z873">
            <v>0</v>
          </cell>
          <cell r="AA873"/>
          <cell r="AB873">
            <v>0</v>
          </cell>
          <cell r="AC873"/>
          <cell r="AD873">
            <v>0</v>
          </cell>
          <cell r="AE873"/>
          <cell r="AF873"/>
          <cell r="AG873"/>
          <cell r="AH873"/>
          <cell r="AI873"/>
          <cell r="AJ873">
            <v>0</v>
          </cell>
          <cell r="AK873" t="str">
            <v>3P</v>
          </cell>
          <cell r="AL873">
            <v>213</v>
          </cell>
          <cell r="AM873">
            <v>329</v>
          </cell>
          <cell r="AN873" t="str">
            <v>08 Inactive Dealer</v>
          </cell>
          <cell r="AO873" t="str">
            <v>South Central</v>
          </cell>
          <cell r="AP873" t="str">
            <v>Central</v>
          </cell>
          <cell r="AQ873"/>
          <cell r="AR873">
            <v>0</v>
          </cell>
          <cell r="AS873">
            <v>0</v>
          </cell>
        </row>
        <row r="874">
          <cell r="A874">
            <v>12962</v>
          </cell>
          <cell r="B874" t="str">
            <v>MCG EQUIPMENT, LLC</v>
          </cell>
          <cell r="C874" t="str">
            <v>M10498</v>
          </cell>
          <cell r="D874" t="str">
            <v>NET 5, BT+</v>
          </cell>
          <cell r="E874" t="str">
            <v>FP</v>
          </cell>
          <cell r="F874" t="str">
            <v>Yes</v>
          </cell>
          <cell r="G874" t="str">
            <v>TX</v>
          </cell>
          <cell r="H874">
            <v>8</v>
          </cell>
          <cell r="I874">
            <v>0.66500000000000004</v>
          </cell>
          <cell r="J874" t="str">
            <v>Orphaned Acct</v>
          </cell>
          <cell r="K874" t="str">
            <v>WOODWARD</v>
          </cell>
          <cell r="L874" t="str">
            <v>OK</v>
          </cell>
          <cell r="M874" t="str">
            <v>800-577-8858</v>
          </cell>
          <cell r="N874"/>
          <cell r="O874">
            <v>413</v>
          </cell>
          <cell r="P874">
            <v>1775.8999999999999</v>
          </cell>
          <cell r="Q874"/>
          <cell r="R874">
            <v>0</v>
          </cell>
          <cell r="S874"/>
          <cell r="T874">
            <v>0</v>
          </cell>
          <cell r="U874">
            <v>261</v>
          </cell>
          <cell r="V874">
            <v>1122.3</v>
          </cell>
          <cell r="W874">
            <v>391</v>
          </cell>
          <cell r="X874">
            <v>1681.3</v>
          </cell>
          <cell r="Y874"/>
          <cell r="Z874">
            <v>0</v>
          </cell>
          <cell r="AA874"/>
          <cell r="AB874">
            <v>0</v>
          </cell>
          <cell r="AC874"/>
          <cell r="AD874">
            <v>0</v>
          </cell>
          <cell r="AE874"/>
          <cell r="AF874"/>
          <cell r="AG874"/>
          <cell r="AH874"/>
          <cell r="AI874"/>
          <cell r="AJ874">
            <v>0</v>
          </cell>
          <cell r="AK874" t="str">
            <v>3P</v>
          </cell>
          <cell r="AL874">
            <v>213</v>
          </cell>
          <cell r="AM874">
            <v>329</v>
          </cell>
          <cell r="AN874" t="str">
            <v>01 Existing Dealer</v>
          </cell>
          <cell r="AO874" t="str">
            <v>South Central</v>
          </cell>
          <cell r="AP874" t="str">
            <v>Central</v>
          </cell>
          <cell r="AQ874"/>
          <cell r="AR874">
            <v>0</v>
          </cell>
          <cell r="AS874">
            <v>0</v>
          </cell>
        </row>
        <row r="875">
          <cell r="A875" t="str">
            <v>12962B</v>
          </cell>
          <cell r="B875" t="str">
            <v>MCG EQUIPMENT, LLC</v>
          </cell>
          <cell r="C875" t="str">
            <v>M10498</v>
          </cell>
          <cell r="D875" t="str">
            <v>NET 5, BT+</v>
          </cell>
          <cell r="E875" t="str">
            <v>FP</v>
          </cell>
          <cell r="F875" t="str">
            <v>Yes</v>
          </cell>
          <cell r="G875" t="str">
            <v>TX</v>
          </cell>
          <cell r="H875">
            <v>8</v>
          </cell>
          <cell r="I875">
            <v>0.66500000000000004</v>
          </cell>
          <cell r="J875" t="str">
            <v>Orphaned Acct</v>
          </cell>
          <cell r="K875" t="str">
            <v>WEATHERFORD</v>
          </cell>
          <cell r="L875" t="str">
            <v>OK</v>
          </cell>
          <cell r="M875" t="str">
            <v>800-577-8858</v>
          </cell>
          <cell r="N875"/>
          <cell r="O875">
            <v>342</v>
          </cell>
          <cell r="P875">
            <v>1470.6</v>
          </cell>
          <cell r="Q875"/>
          <cell r="R875">
            <v>0</v>
          </cell>
          <cell r="S875"/>
          <cell r="T875">
            <v>0</v>
          </cell>
          <cell r="U875">
            <v>191</v>
          </cell>
          <cell r="V875">
            <v>821.3</v>
          </cell>
          <cell r="W875">
            <v>320</v>
          </cell>
          <cell r="X875">
            <v>1376</v>
          </cell>
          <cell r="Y875"/>
          <cell r="Z875">
            <v>0</v>
          </cell>
          <cell r="AA875"/>
          <cell r="AB875">
            <v>0</v>
          </cell>
          <cell r="AC875"/>
          <cell r="AD875">
            <v>0</v>
          </cell>
          <cell r="AE875"/>
          <cell r="AF875"/>
          <cell r="AG875"/>
          <cell r="AH875"/>
          <cell r="AI875"/>
          <cell r="AJ875">
            <v>0</v>
          </cell>
          <cell r="AK875" t="str">
            <v>3P</v>
          </cell>
          <cell r="AL875">
            <v>213</v>
          </cell>
          <cell r="AM875">
            <v>329</v>
          </cell>
          <cell r="AN875" t="str">
            <v>01 Existing Dealer</v>
          </cell>
          <cell r="AO875" t="str">
            <v>South Central</v>
          </cell>
          <cell r="AP875" t="str">
            <v>Central</v>
          </cell>
          <cell r="AQ875"/>
          <cell r="AR875">
            <v>0</v>
          </cell>
          <cell r="AS875">
            <v>0</v>
          </cell>
        </row>
        <row r="876">
          <cell r="A876" t="str">
            <v>12796A</v>
          </cell>
          <cell r="B876" t="str">
            <v>NWA TULSA</v>
          </cell>
          <cell r="C876" t="str">
            <v>M10304</v>
          </cell>
          <cell r="D876" t="str">
            <v>NET 5, BT+</v>
          </cell>
          <cell r="E876" t="str">
            <v>F1 - Wells Fargo</v>
          </cell>
          <cell r="F876" t="str">
            <v>Yes</v>
          </cell>
          <cell r="G876" t="str">
            <v>TX</v>
          </cell>
          <cell r="H876">
            <v>8</v>
          </cell>
          <cell r="I876">
            <v>0.66500000000000004</v>
          </cell>
          <cell r="J876" t="str">
            <v>JL Smith</v>
          </cell>
          <cell r="K876" t="str">
            <v>TULSA</v>
          </cell>
          <cell r="L876" t="str">
            <v>OK</v>
          </cell>
          <cell r="M876" t="str">
            <v>800-577-8858</v>
          </cell>
          <cell r="N876"/>
          <cell r="O876">
            <v>245</v>
          </cell>
          <cell r="P876">
            <v>1053.5</v>
          </cell>
          <cell r="Q876"/>
          <cell r="R876">
            <v>0</v>
          </cell>
          <cell r="S876"/>
          <cell r="T876">
            <v>0</v>
          </cell>
          <cell r="U876">
            <v>199</v>
          </cell>
          <cell r="V876">
            <v>855.69999999999993</v>
          </cell>
          <cell r="W876">
            <v>307</v>
          </cell>
          <cell r="X876">
            <v>1320.1</v>
          </cell>
          <cell r="Y876"/>
          <cell r="Z876">
            <v>0</v>
          </cell>
          <cell r="AA876"/>
          <cell r="AB876">
            <v>0</v>
          </cell>
          <cell r="AC876"/>
          <cell r="AD876">
            <v>0</v>
          </cell>
          <cell r="AE876"/>
          <cell r="AF876"/>
          <cell r="AG876"/>
          <cell r="AH876"/>
          <cell r="AI876"/>
          <cell r="AJ876">
            <v>0.02</v>
          </cell>
          <cell r="AK876" t="str">
            <v>3P</v>
          </cell>
          <cell r="AL876">
            <v>151</v>
          </cell>
          <cell r="AM876">
            <v>448</v>
          </cell>
          <cell r="AN876" t="str">
            <v>01 Existing Dealer</v>
          </cell>
          <cell r="AO876" t="str">
            <v>South Central</v>
          </cell>
          <cell r="AP876" t="str">
            <v>Central</v>
          </cell>
          <cell r="AQ876"/>
          <cell r="AR876">
            <v>0</v>
          </cell>
          <cell r="AS876">
            <v>0</v>
          </cell>
        </row>
        <row r="877">
          <cell r="A877">
            <v>10589</v>
          </cell>
          <cell r="B877" t="str">
            <v>PETTIT MACHINERY, INC.</v>
          </cell>
          <cell r="C877" t="str">
            <v>M10324</v>
          </cell>
          <cell r="D877" t="str">
            <v>Return Mail, no pink card</v>
          </cell>
          <cell r="E877" t="str">
            <v>RM</v>
          </cell>
          <cell r="F877" t="str">
            <v>Yes</v>
          </cell>
          <cell r="G877" t="str">
            <v>TX</v>
          </cell>
          <cell r="H877">
            <v>7</v>
          </cell>
          <cell r="I877">
            <v>0.66500000000000004</v>
          </cell>
          <cell r="J877" t="str">
            <v>Orphaned Acct</v>
          </cell>
          <cell r="K877" t="str">
            <v>ARDMORE</v>
          </cell>
          <cell r="L877" t="str">
            <v>OK</v>
          </cell>
          <cell r="M877" t="str">
            <v>800-577-8858</v>
          </cell>
          <cell r="N877"/>
          <cell r="O877">
            <v>202</v>
          </cell>
          <cell r="P877">
            <v>868.59999999999991</v>
          </cell>
          <cell r="Q877"/>
          <cell r="R877">
            <v>0</v>
          </cell>
          <cell r="S877"/>
          <cell r="T877">
            <v>0</v>
          </cell>
          <cell r="U877">
            <v>23</v>
          </cell>
          <cell r="V877">
            <v>98.899999999999991</v>
          </cell>
          <cell r="W877">
            <v>158</v>
          </cell>
          <cell r="X877">
            <v>679.4</v>
          </cell>
          <cell r="Y877"/>
          <cell r="Z877">
            <v>0</v>
          </cell>
          <cell r="AA877"/>
          <cell r="AB877">
            <v>0</v>
          </cell>
          <cell r="AC877"/>
          <cell r="AD877">
            <v>0</v>
          </cell>
          <cell r="AE877"/>
          <cell r="AF877"/>
          <cell r="AG877"/>
          <cell r="AH877"/>
          <cell r="AI877"/>
          <cell r="AJ877">
            <v>0</v>
          </cell>
          <cell r="AK877" t="str">
            <v>3P</v>
          </cell>
          <cell r="AL877">
            <v>213</v>
          </cell>
          <cell r="AM877">
            <v>19</v>
          </cell>
          <cell r="AN877" t="str">
            <v>08 Inactive Dealer</v>
          </cell>
          <cell r="AO877" t="str">
            <v>South Central</v>
          </cell>
          <cell r="AP877" t="str">
            <v>Central</v>
          </cell>
          <cell r="AQ877"/>
          <cell r="AR877">
            <v>0</v>
          </cell>
          <cell r="AS877">
            <v>0</v>
          </cell>
        </row>
        <row r="878">
          <cell r="A878" t="str">
            <v>10589C</v>
          </cell>
          <cell r="B878" t="str">
            <v>PETTIT MACHINERY, INC.</v>
          </cell>
          <cell r="C878" t="str">
            <v>M10324</v>
          </cell>
          <cell r="D878" t="str">
            <v>Return Mail, no pink card</v>
          </cell>
          <cell r="E878" t="str">
            <v>RM</v>
          </cell>
          <cell r="F878" t="str">
            <v>Yes</v>
          </cell>
          <cell r="G878" t="str">
            <v>TX</v>
          </cell>
          <cell r="H878">
            <v>7</v>
          </cell>
          <cell r="I878">
            <v>0.66500000000000004</v>
          </cell>
          <cell r="J878" t="str">
            <v>Orphaned Acct</v>
          </cell>
          <cell r="K878" t="str">
            <v>DURANT</v>
          </cell>
          <cell r="L878" t="str">
            <v>OK</v>
          </cell>
          <cell r="M878" t="str">
            <v>800-577-8858</v>
          </cell>
          <cell r="N878"/>
          <cell r="O878">
            <v>142</v>
          </cell>
          <cell r="P878">
            <v>610.6</v>
          </cell>
          <cell r="Q878"/>
          <cell r="R878">
            <v>0</v>
          </cell>
          <cell r="S878"/>
          <cell r="T878">
            <v>0</v>
          </cell>
          <cell r="U878">
            <v>27</v>
          </cell>
          <cell r="V878">
            <v>116.1</v>
          </cell>
          <cell r="W878">
            <v>135</v>
          </cell>
          <cell r="X878">
            <v>580.5</v>
          </cell>
          <cell r="Y878"/>
          <cell r="Z878">
            <v>0</v>
          </cell>
          <cell r="AA878"/>
          <cell r="AB878">
            <v>0</v>
          </cell>
          <cell r="AC878"/>
          <cell r="AD878">
            <v>0</v>
          </cell>
          <cell r="AE878"/>
          <cell r="AF878"/>
          <cell r="AG878"/>
          <cell r="AH878"/>
          <cell r="AI878"/>
          <cell r="AJ878">
            <v>0</v>
          </cell>
          <cell r="AK878" t="str">
            <v>3P</v>
          </cell>
          <cell r="AL878">
            <v>213</v>
          </cell>
          <cell r="AM878">
            <v>418</v>
          </cell>
          <cell r="AN878" t="str">
            <v>08 Inactive Dealer</v>
          </cell>
          <cell r="AO878" t="str">
            <v>South Central</v>
          </cell>
          <cell r="AP878" t="str">
            <v>Central</v>
          </cell>
          <cell r="AQ878"/>
          <cell r="AR878">
            <v>0</v>
          </cell>
          <cell r="AS878">
            <v>0</v>
          </cell>
        </row>
        <row r="879">
          <cell r="A879" t="str">
            <v>10589D</v>
          </cell>
          <cell r="B879" t="str">
            <v>PETTIT MACHINERY, INC.</v>
          </cell>
          <cell r="C879" t="str">
            <v>M10324</v>
          </cell>
          <cell r="D879" t="str">
            <v>Return Mail, no pink card</v>
          </cell>
          <cell r="E879" t="str">
            <v>RM</v>
          </cell>
          <cell r="F879" t="str">
            <v>Yes</v>
          </cell>
          <cell r="G879" t="str">
            <v>TX</v>
          </cell>
          <cell r="H879">
            <v>7</v>
          </cell>
          <cell r="I879">
            <v>0.66500000000000004</v>
          </cell>
          <cell r="J879" t="str">
            <v>Orphaned Acct</v>
          </cell>
          <cell r="K879" t="str">
            <v>HUGO</v>
          </cell>
          <cell r="L879" t="str">
            <v>OK</v>
          </cell>
          <cell r="M879" t="str">
            <v>800-577-8858</v>
          </cell>
          <cell r="N879"/>
          <cell r="O879">
            <v>77</v>
          </cell>
          <cell r="P879">
            <v>331.09999999999997</v>
          </cell>
          <cell r="Q879"/>
          <cell r="R879">
            <v>0</v>
          </cell>
          <cell r="S879"/>
          <cell r="T879">
            <v>0</v>
          </cell>
          <cell r="U879">
            <v>80</v>
          </cell>
          <cell r="V879">
            <v>344</v>
          </cell>
          <cell r="W879">
            <v>109</v>
          </cell>
          <cell r="X879">
            <v>468.7</v>
          </cell>
          <cell r="Y879"/>
          <cell r="Z879">
            <v>0</v>
          </cell>
          <cell r="AA879"/>
          <cell r="AB879">
            <v>0</v>
          </cell>
          <cell r="AC879"/>
          <cell r="AD879">
            <v>0</v>
          </cell>
          <cell r="AE879"/>
          <cell r="AF879"/>
          <cell r="AG879"/>
          <cell r="AH879"/>
          <cell r="AI879"/>
          <cell r="AJ879">
            <v>0</v>
          </cell>
          <cell r="AK879" t="str">
            <v>3P</v>
          </cell>
          <cell r="AL879">
            <v>213</v>
          </cell>
          <cell r="AM879">
            <v>341</v>
          </cell>
          <cell r="AN879" t="str">
            <v>08 Inactive Dealer</v>
          </cell>
          <cell r="AO879" t="str">
            <v>South Central</v>
          </cell>
          <cell r="AP879" t="str">
            <v>Central</v>
          </cell>
          <cell r="AQ879"/>
          <cell r="AR879">
            <v>0</v>
          </cell>
          <cell r="AS879">
            <v>0</v>
          </cell>
        </row>
        <row r="880">
          <cell r="A880">
            <v>12522</v>
          </cell>
          <cell r="B880" t="str">
            <v>PHIL'S CYCLE &amp; ATV, LLC</v>
          </cell>
          <cell r="C880" t="str">
            <v>M10477</v>
          </cell>
          <cell r="D880" t="str">
            <v>NET 5, BT+</v>
          </cell>
          <cell r="E880" t="str">
            <v>CO</v>
          </cell>
          <cell r="F880" t="str">
            <v>Yes</v>
          </cell>
          <cell r="G880" t="str">
            <v>TX</v>
          </cell>
          <cell r="H880">
            <v>7</v>
          </cell>
          <cell r="I880">
            <v>0.66500000000000004</v>
          </cell>
          <cell r="J880" t="str">
            <v>Orphaned Acct</v>
          </cell>
          <cell r="K880" t="str">
            <v>EL RENO</v>
          </cell>
          <cell r="L880" t="str">
            <v>OK</v>
          </cell>
          <cell r="M880" t="str">
            <v>800-577-8858</v>
          </cell>
          <cell r="N880"/>
          <cell r="O880">
            <v>300</v>
          </cell>
          <cell r="P880">
            <v>1290</v>
          </cell>
          <cell r="Q880"/>
          <cell r="R880">
            <v>0</v>
          </cell>
          <cell r="S880"/>
          <cell r="T880">
            <v>0</v>
          </cell>
          <cell r="U880">
            <v>149</v>
          </cell>
          <cell r="V880">
            <v>640.69999999999993</v>
          </cell>
          <cell r="W880">
            <v>278</v>
          </cell>
          <cell r="X880">
            <v>1195.3999999999999</v>
          </cell>
          <cell r="Y880"/>
          <cell r="Z880">
            <v>0</v>
          </cell>
          <cell r="AA880"/>
          <cell r="AB880">
            <v>0</v>
          </cell>
          <cell r="AC880"/>
          <cell r="AD880">
            <v>0</v>
          </cell>
          <cell r="AE880"/>
          <cell r="AF880"/>
          <cell r="AG880"/>
          <cell r="AH880"/>
          <cell r="AI880"/>
          <cell r="AJ880">
            <v>0</v>
          </cell>
          <cell r="AK880" t="str">
            <v>3P</v>
          </cell>
          <cell r="AL880">
            <v>213</v>
          </cell>
          <cell r="AM880">
            <v>329</v>
          </cell>
          <cell r="AN880" t="str">
            <v>08 Inactive Dealer</v>
          </cell>
          <cell r="AO880" t="str">
            <v>South Central</v>
          </cell>
          <cell r="AP880" t="str">
            <v>Central</v>
          </cell>
          <cell r="AQ880"/>
          <cell r="AR880">
            <v>0</v>
          </cell>
          <cell r="AS880">
            <v>0</v>
          </cell>
        </row>
        <row r="881">
          <cell r="A881" t="str">
            <v>13233B</v>
          </cell>
          <cell r="B881" t="str">
            <v>PREMIER TRUCK RENTAL LLC</v>
          </cell>
          <cell r="C881" t="str">
            <v>M10874</v>
          </cell>
          <cell r="D881" t="str">
            <v>Net 30, no pink card</v>
          </cell>
          <cell r="E881">
            <v>30</v>
          </cell>
          <cell r="F881" t="str">
            <v>Yes</v>
          </cell>
          <cell r="G881" t="str">
            <v>TX</v>
          </cell>
          <cell r="H881">
            <v>5</v>
          </cell>
          <cell r="I881">
            <v>0.66500000000000004</v>
          </cell>
          <cell r="J881" t="str">
            <v>Dakota Nation</v>
          </cell>
          <cell r="K881" t="str">
            <v>NOBLE</v>
          </cell>
          <cell r="L881" t="str">
            <v>OK</v>
          </cell>
          <cell r="M881" t="str">
            <v>800-577-8858</v>
          </cell>
          <cell r="N881"/>
          <cell r="O881">
            <v>272</v>
          </cell>
          <cell r="P881">
            <v>1169.5999999999999</v>
          </cell>
          <cell r="Q881"/>
          <cell r="R881">
            <v>0</v>
          </cell>
          <cell r="S881"/>
          <cell r="T881">
            <v>0</v>
          </cell>
          <cell r="U881">
            <v>98</v>
          </cell>
          <cell r="V881">
            <v>421.4</v>
          </cell>
          <cell r="W881">
            <v>228</v>
          </cell>
          <cell r="X881">
            <v>980.4</v>
          </cell>
          <cell r="Y881"/>
          <cell r="Z881">
            <v>0</v>
          </cell>
          <cell r="AA881"/>
          <cell r="AB881">
            <v>0</v>
          </cell>
          <cell r="AC881"/>
          <cell r="AD881">
            <v>0</v>
          </cell>
          <cell r="AE881"/>
          <cell r="AF881"/>
          <cell r="AG881"/>
          <cell r="AH881"/>
          <cell r="AI881"/>
          <cell r="AJ881">
            <v>0</v>
          </cell>
          <cell r="AK881" t="str">
            <v>3P</v>
          </cell>
          <cell r="AL881">
            <v>223</v>
          </cell>
          <cell r="AM881">
            <v>329</v>
          </cell>
          <cell r="AN881" t="str">
            <v>11 National</v>
          </cell>
          <cell r="AO881" t="str">
            <v>South Central</v>
          </cell>
          <cell r="AP881" t="str">
            <v>Central</v>
          </cell>
          <cell r="AQ881"/>
          <cell r="AR881">
            <v>0</v>
          </cell>
          <cell r="AS881">
            <v>0</v>
          </cell>
        </row>
        <row r="882">
          <cell r="A882" t="str">
            <v>13233C</v>
          </cell>
          <cell r="B882" t="str">
            <v>PREMIER TRUCK RENTAL LLC</v>
          </cell>
          <cell r="C882" t="str">
            <v>M10874</v>
          </cell>
          <cell r="D882" t="str">
            <v>Net 30, no pink card</v>
          </cell>
          <cell r="E882">
            <v>30</v>
          </cell>
          <cell r="F882" t="str">
            <v>Yes</v>
          </cell>
          <cell r="G882" t="str">
            <v>TX</v>
          </cell>
          <cell r="H882">
            <v>5</v>
          </cell>
          <cell r="I882">
            <v>0.66500000000000004</v>
          </cell>
          <cell r="J882" t="str">
            <v>Dakota Nation</v>
          </cell>
          <cell r="K882" t="str">
            <v>OKLAHOMA CITY</v>
          </cell>
          <cell r="L882" t="str">
            <v>OK</v>
          </cell>
          <cell r="M882" t="str">
            <v>800-577-8858</v>
          </cell>
          <cell r="N882"/>
          <cell r="O882">
            <v>278</v>
          </cell>
          <cell r="P882">
            <v>1195.3999999999999</v>
          </cell>
          <cell r="Q882"/>
          <cell r="R882">
            <v>0</v>
          </cell>
          <cell r="S882"/>
          <cell r="T882">
            <v>0</v>
          </cell>
          <cell r="U882">
            <v>127</v>
          </cell>
          <cell r="V882">
            <v>546.1</v>
          </cell>
          <cell r="W882">
            <v>256</v>
          </cell>
          <cell r="X882">
            <v>1100.8</v>
          </cell>
          <cell r="Y882"/>
          <cell r="Z882">
            <v>0</v>
          </cell>
          <cell r="AA882"/>
          <cell r="AB882">
            <v>0</v>
          </cell>
          <cell r="AC882"/>
          <cell r="AD882">
            <v>0</v>
          </cell>
          <cell r="AE882"/>
          <cell r="AF882"/>
          <cell r="AG882"/>
          <cell r="AH882"/>
          <cell r="AI882"/>
          <cell r="AJ882">
            <v>0</v>
          </cell>
          <cell r="AK882" t="str">
            <v>3P</v>
          </cell>
          <cell r="AL882">
            <v>223</v>
          </cell>
          <cell r="AM882">
            <v>329</v>
          </cell>
          <cell r="AN882" t="str">
            <v>11 National</v>
          </cell>
          <cell r="AO882" t="str">
            <v>South Central</v>
          </cell>
          <cell r="AP882" t="str">
            <v>Central</v>
          </cell>
          <cell r="AQ882"/>
          <cell r="AR882">
            <v>0</v>
          </cell>
          <cell r="AS882">
            <v>0</v>
          </cell>
        </row>
        <row r="883">
          <cell r="A883">
            <v>11693</v>
          </cell>
          <cell r="B883" t="str">
            <v>ROGER KEY EQUIPMENT, INC.</v>
          </cell>
          <cell r="C883" t="str">
            <v>M10355</v>
          </cell>
          <cell r="D883" t="str">
            <v>NET 5, BT+</v>
          </cell>
          <cell r="E883" t="str">
            <v>CO</v>
          </cell>
          <cell r="F883" t="str">
            <v>Yes</v>
          </cell>
          <cell r="G883" t="str">
            <v>TX</v>
          </cell>
          <cell r="H883">
            <v>7</v>
          </cell>
          <cell r="I883">
            <v>0.66500000000000004</v>
          </cell>
          <cell r="J883" t="str">
            <v>Orphaned Acct</v>
          </cell>
          <cell r="K883" t="str">
            <v>MCALESTER</v>
          </cell>
          <cell r="L883" t="str">
            <v>OK</v>
          </cell>
          <cell r="M883" t="str">
            <v>800-577-8858</v>
          </cell>
          <cell r="N883"/>
          <cell r="O883">
            <v>148</v>
          </cell>
          <cell r="P883">
            <v>636.4</v>
          </cell>
          <cell r="Q883"/>
          <cell r="R883">
            <v>0</v>
          </cell>
          <cell r="S883"/>
          <cell r="T883">
            <v>0</v>
          </cell>
          <cell r="U883">
            <v>102</v>
          </cell>
          <cell r="V883">
            <v>438.59999999999997</v>
          </cell>
          <cell r="W883">
            <v>209</v>
          </cell>
          <cell r="X883">
            <v>898.69999999999993</v>
          </cell>
          <cell r="Y883"/>
          <cell r="Z883">
            <v>0</v>
          </cell>
          <cell r="AA883"/>
          <cell r="AB883">
            <v>0</v>
          </cell>
          <cell r="AC883"/>
          <cell r="AD883">
            <v>0</v>
          </cell>
          <cell r="AE883"/>
          <cell r="AF883"/>
          <cell r="AG883"/>
          <cell r="AH883"/>
          <cell r="AI883"/>
          <cell r="AJ883">
            <v>0</v>
          </cell>
          <cell r="AK883" t="str">
            <v>3P</v>
          </cell>
          <cell r="AL883">
            <v>213</v>
          </cell>
          <cell r="AM883">
            <v>267</v>
          </cell>
          <cell r="AN883" t="str">
            <v>08 Inactive Dealer</v>
          </cell>
          <cell r="AO883" t="str">
            <v>South Central</v>
          </cell>
          <cell r="AP883" t="str">
            <v>Central</v>
          </cell>
          <cell r="AQ883"/>
          <cell r="AR883">
            <v>0</v>
          </cell>
          <cell r="AS883">
            <v>0</v>
          </cell>
        </row>
        <row r="884">
          <cell r="A884">
            <v>12618</v>
          </cell>
          <cell r="B884" t="str">
            <v>SHULZ FARM AND RANCH SUPPLY</v>
          </cell>
          <cell r="C884" t="str">
            <v>M10367</v>
          </cell>
          <cell r="D884" t="str">
            <v>NET 5, BT+</v>
          </cell>
          <cell r="E884" t="str">
            <v>CF</v>
          </cell>
          <cell r="F884" t="str">
            <v>Yes</v>
          </cell>
          <cell r="G884" t="str">
            <v>TX</v>
          </cell>
          <cell r="H884">
            <v>7</v>
          </cell>
          <cell r="I884">
            <v>0.66500000000000004</v>
          </cell>
          <cell r="J884" t="str">
            <v>Orphaned Acct</v>
          </cell>
          <cell r="K884" t="str">
            <v>ELGIN</v>
          </cell>
          <cell r="L884" t="str">
            <v>OK</v>
          </cell>
          <cell r="M884" t="str">
            <v>800-577-8858</v>
          </cell>
          <cell r="N884"/>
          <cell r="O884">
            <v>304</v>
          </cell>
          <cell r="P884">
            <v>1307.2</v>
          </cell>
          <cell r="Q884"/>
          <cell r="R884">
            <v>0</v>
          </cell>
          <cell r="S884"/>
          <cell r="T884">
            <v>0</v>
          </cell>
          <cell r="U884">
            <v>149</v>
          </cell>
          <cell r="V884">
            <v>640.69999999999993</v>
          </cell>
          <cell r="W884">
            <v>255</v>
          </cell>
          <cell r="X884">
            <v>1096.5</v>
          </cell>
          <cell r="Y884"/>
          <cell r="Z884">
            <v>0</v>
          </cell>
          <cell r="AA884"/>
          <cell r="AB884">
            <v>0</v>
          </cell>
          <cell r="AC884"/>
          <cell r="AD884">
            <v>0</v>
          </cell>
          <cell r="AE884"/>
          <cell r="AF884"/>
          <cell r="AG884"/>
          <cell r="AH884"/>
          <cell r="AI884"/>
          <cell r="AJ884">
            <v>0</v>
          </cell>
          <cell r="AK884" t="str">
            <v>3P</v>
          </cell>
          <cell r="AL884">
            <v>213</v>
          </cell>
          <cell r="AM884">
            <v>248</v>
          </cell>
          <cell r="AN884" t="str">
            <v>08 Inactive Dealer</v>
          </cell>
          <cell r="AO884" t="str">
            <v>South Central</v>
          </cell>
          <cell r="AP884" t="str">
            <v>Central</v>
          </cell>
          <cell r="AQ884"/>
          <cell r="AR884">
            <v>0</v>
          </cell>
          <cell r="AS884">
            <v>0</v>
          </cell>
        </row>
        <row r="885">
          <cell r="A885">
            <v>12110</v>
          </cell>
          <cell r="B885" t="str">
            <v>SOUTHWEST TRAILERS &amp; EQUIPMENT</v>
          </cell>
          <cell r="C885" t="str">
            <v>M10381</v>
          </cell>
          <cell r="D885" t="str">
            <v>NET 5, BT+</v>
          </cell>
          <cell r="E885" t="str">
            <v>RM</v>
          </cell>
          <cell r="F885" t="str">
            <v>Yes</v>
          </cell>
          <cell r="G885" t="str">
            <v>TX</v>
          </cell>
          <cell r="H885">
            <v>7</v>
          </cell>
          <cell r="I885">
            <v>0.66500000000000004</v>
          </cell>
          <cell r="J885" t="str">
            <v>House</v>
          </cell>
          <cell r="K885" t="str">
            <v>OKLAHOMA CITY</v>
          </cell>
          <cell r="L885" t="str">
            <v>OK</v>
          </cell>
          <cell r="M885" t="str">
            <v>800-577-8858</v>
          </cell>
          <cell r="N885"/>
          <cell r="O885">
            <v>271</v>
          </cell>
          <cell r="P885">
            <v>1165.3</v>
          </cell>
          <cell r="Q885"/>
          <cell r="R885">
            <v>0</v>
          </cell>
          <cell r="S885"/>
          <cell r="T885">
            <v>0</v>
          </cell>
          <cell r="U885">
            <v>117</v>
          </cell>
          <cell r="V885">
            <v>503.09999999999997</v>
          </cell>
          <cell r="W885">
            <v>246</v>
          </cell>
          <cell r="X885">
            <v>1057.8</v>
          </cell>
          <cell r="Y885"/>
          <cell r="Z885">
            <v>0</v>
          </cell>
          <cell r="AA885"/>
          <cell r="AB885">
            <v>0</v>
          </cell>
          <cell r="AC885"/>
          <cell r="AD885">
            <v>0</v>
          </cell>
          <cell r="AE885"/>
          <cell r="AF885"/>
          <cell r="AG885"/>
          <cell r="AH885"/>
          <cell r="AI885"/>
          <cell r="AJ885">
            <v>0</v>
          </cell>
          <cell r="AK885" t="str">
            <v>3P</v>
          </cell>
          <cell r="AL885">
            <v>400</v>
          </cell>
          <cell r="AM885">
            <v>329</v>
          </cell>
          <cell r="AN885" t="str">
            <v>08 Inactive Dealer</v>
          </cell>
          <cell r="AO885" t="str">
            <v>South Central</v>
          </cell>
          <cell r="AP885" t="str">
            <v>Central</v>
          </cell>
          <cell r="AQ885"/>
          <cell r="AR885">
            <v>0</v>
          </cell>
          <cell r="AS885">
            <v>0</v>
          </cell>
        </row>
        <row r="886">
          <cell r="A886">
            <v>12798</v>
          </cell>
          <cell r="B886" t="str">
            <v>STACY TRAILER SALES</v>
          </cell>
          <cell r="C886" t="str">
            <v>M10384</v>
          </cell>
          <cell r="D886" t="str">
            <v>NET 5, BT+</v>
          </cell>
          <cell r="E886" t="str">
            <v>CF</v>
          </cell>
          <cell r="F886" t="str">
            <v>Yes</v>
          </cell>
          <cell r="G886" t="str">
            <v>TX</v>
          </cell>
          <cell r="H886">
            <v>7</v>
          </cell>
          <cell r="I886">
            <v>0.66500000000000004</v>
          </cell>
          <cell r="J886" t="str">
            <v>Orphaned Acct</v>
          </cell>
          <cell r="K886" t="str">
            <v>HOWE</v>
          </cell>
          <cell r="L886" t="str">
            <v>OK</v>
          </cell>
          <cell r="M886" t="str">
            <v>800-577-8858</v>
          </cell>
          <cell r="N886"/>
          <cell r="O886">
            <v>166</v>
          </cell>
          <cell r="P886">
            <v>713.8</v>
          </cell>
          <cell r="Q886"/>
          <cell r="R886">
            <v>0</v>
          </cell>
          <cell r="S886"/>
          <cell r="T886">
            <v>0</v>
          </cell>
          <cell r="U886">
            <v>179</v>
          </cell>
          <cell r="V886">
            <v>769.69999999999993</v>
          </cell>
          <cell r="W886">
            <v>247</v>
          </cell>
          <cell r="X886">
            <v>1062.0999999999999</v>
          </cell>
          <cell r="Y886"/>
          <cell r="Z886">
            <v>0</v>
          </cell>
          <cell r="AA886"/>
          <cell r="AB886">
            <v>0</v>
          </cell>
          <cell r="AC886"/>
          <cell r="AD886">
            <v>0</v>
          </cell>
          <cell r="AE886"/>
          <cell r="AF886"/>
          <cell r="AG886"/>
          <cell r="AH886"/>
          <cell r="AI886"/>
          <cell r="AJ886">
            <v>0</v>
          </cell>
          <cell r="AK886" t="str">
            <v>3P</v>
          </cell>
          <cell r="AL886">
            <v>213</v>
          </cell>
          <cell r="AM886">
            <v>153</v>
          </cell>
          <cell r="AN886" t="str">
            <v>08 Inactive Dealer</v>
          </cell>
          <cell r="AO886" t="str">
            <v>South Central</v>
          </cell>
          <cell r="AP886" t="str">
            <v>Central</v>
          </cell>
          <cell r="AQ886"/>
          <cell r="AR886">
            <v>0</v>
          </cell>
          <cell r="AS886">
            <v>0</v>
          </cell>
        </row>
        <row r="887">
          <cell r="A887">
            <v>13118</v>
          </cell>
          <cell r="B887" t="str">
            <v>STAUSS &amp; STAUSS INC d/b/a X-PRESS EQUIPMENT RENTAL &amp; Sales</v>
          </cell>
          <cell r="C887" t="str">
            <v>M11028</v>
          </cell>
          <cell r="D887" t="str">
            <v>NET 5, BT+</v>
          </cell>
          <cell r="E887" t="str">
            <v>F3 - Wells Fargo</v>
          </cell>
          <cell r="F887" t="str">
            <v>Yes</v>
          </cell>
          <cell r="G887" t="str">
            <v>TX</v>
          </cell>
          <cell r="H887">
            <v>8</v>
          </cell>
          <cell r="I887">
            <v>0.66500000000000004</v>
          </cell>
          <cell r="J887" t="str">
            <v>Orphaned Acct</v>
          </cell>
          <cell r="K887" t="str">
            <v>TAHLEQUAH</v>
          </cell>
          <cell r="L887" t="str">
            <v>OK</v>
          </cell>
          <cell r="M887" t="str">
            <v>800-577-8858</v>
          </cell>
          <cell r="N887"/>
          <cell r="O887">
            <v>241</v>
          </cell>
          <cell r="P887">
            <v>1036.3</v>
          </cell>
          <cell r="Q887"/>
          <cell r="R887">
            <v>0</v>
          </cell>
          <cell r="S887"/>
          <cell r="T887">
            <v>0</v>
          </cell>
          <cell r="U887">
            <v>195</v>
          </cell>
          <cell r="V887">
            <v>838.5</v>
          </cell>
          <cell r="W887">
            <v>302</v>
          </cell>
          <cell r="X887">
            <v>1298.5999999999999</v>
          </cell>
          <cell r="Y887"/>
          <cell r="Z887">
            <v>0</v>
          </cell>
          <cell r="AA887"/>
          <cell r="AB887">
            <v>0</v>
          </cell>
          <cell r="AC887"/>
          <cell r="AD887">
            <v>0</v>
          </cell>
          <cell r="AE887"/>
          <cell r="AF887"/>
          <cell r="AG887"/>
          <cell r="AH887"/>
          <cell r="AI887"/>
          <cell r="AJ887">
            <v>0</v>
          </cell>
          <cell r="AK887" t="str">
            <v>3P</v>
          </cell>
          <cell r="AL887">
            <v>213</v>
          </cell>
          <cell r="AM887">
            <v>311</v>
          </cell>
          <cell r="AN887" t="str">
            <v>01 Existing Dealer</v>
          </cell>
          <cell r="AO887" t="str">
            <v>South Central</v>
          </cell>
          <cell r="AP887" t="str">
            <v>Central</v>
          </cell>
          <cell r="AQ887"/>
          <cell r="AR887">
            <v>0</v>
          </cell>
          <cell r="AS887">
            <v>0</v>
          </cell>
        </row>
        <row r="888">
          <cell r="A888">
            <v>13023</v>
          </cell>
          <cell r="B888" t="str">
            <v>SWINFORD</v>
          </cell>
          <cell r="C888" t="str">
            <v>M10267</v>
          </cell>
          <cell r="D888" t="str">
            <v>Return Mail, no pink card</v>
          </cell>
          <cell r="E888" t="str">
            <v>FP - Wells Fargo</v>
          </cell>
          <cell r="F888" t="str">
            <v>Yes</v>
          </cell>
          <cell r="G888" t="str">
            <v>TX</v>
          </cell>
          <cell r="H888">
            <v>8</v>
          </cell>
          <cell r="I888">
            <v>0.66500000000000004</v>
          </cell>
          <cell r="J888" t="str">
            <v>Trent Evans</v>
          </cell>
          <cell r="K888" t="str">
            <v>MORRISON</v>
          </cell>
          <cell r="L888" t="str">
            <v>OK</v>
          </cell>
          <cell r="M888" t="str">
            <v>800-577-8858</v>
          </cell>
          <cell r="N888"/>
          <cell r="O888">
            <v>308</v>
          </cell>
          <cell r="P888">
            <v>1324.3999999999999</v>
          </cell>
          <cell r="Q888"/>
          <cell r="R888">
            <v>0</v>
          </cell>
          <cell r="S888"/>
          <cell r="T888">
            <v>0</v>
          </cell>
          <cell r="U888">
            <v>198</v>
          </cell>
          <cell r="V888">
            <v>851.4</v>
          </cell>
          <cell r="W888">
            <v>328</v>
          </cell>
          <cell r="X888">
            <v>1410.3999999999999</v>
          </cell>
          <cell r="Y888"/>
          <cell r="Z888">
            <v>0</v>
          </cell>
          <cell r="AA888"/>
          <cell r="AB888">
            <v>0</v>
          </cell>
          <cell r="AC888"/>
          <cell r="AD888">
            <v>0</v>
          </cell>
          <cell r="AE888"/>
          <cell r="AF888"/>
          <cell r="AG888"/>
          <cell r="AH888"/>
          <cell r="AI888"/>
          <cell r="AJ888">
            <v>0</v>
          </cell>
          <cell r="AK888" t="str">
            <v>3P</v>
          </cell>
          <cell r="AL888">
            <v>226</v>
          </cell>
          <cell r="AM888">
            <v>433</v>
          </cell>
          <cell r="AN888" t="str">
            <v>01 Existing Dealer</v>
          </cell>
          <cell r="AO888" t="str">
            <v>South Central</v>
          </cell>
          <cell r="AP888" t="str">
            <v>Central</v>
          </cell>
          <cell r="AQ888"/>
          <cell r="AR888">
            <v>17250</v>
          </cell>
          <cell r="AS888">
            <v>0</v>
          </cell>
          <cell r="AT888"/>
        </row>
        <row r="889">
          <cell r="A889" t="str">
            <v>13023A</v>
          </cell>
          <cell r="B889" t="str">
            <v>SWINFORD</v>
          </cell>
          <cell r="C889" t="str">
            <v>M10267</v>
          </cell>
          <cell r="D889" t="str">
            <v>Return Mail, no pink card</v>
          </cell>
          <cell r="E889" t="str">
            <v>FP - Wells Fargo</v>
          </cell>
          <cell r="F889" t="str">
            <v>Yes</v>
          </cell>
          <cell r="G889" t="str">
            <v>TX</v>
          </cell>
          <cell r="H889">
            <v>8</v>
          </cell>
          <cell r="I889">
            <v>0.66500000000000004</v>
          </cell>
          <cell r="J889" t="str">
            <v>Trent Evans</v>
          </cell>
          <cell r="K889" t="str">
            <v>ENID</v>
          </cell>
          <cell r="L889" t="str">
            <v>OK</v>
          </cell>
          <cell r="M889" t="str">
            <v>800-577-8858</v>
          </cell>
          <cell r="N889"/>
          <cell r="O889">
            <v>351</v>
          </cell>
          <cell r="P889">
            <v>1509.3</v>
          </cell>
          <cell r="Q889"/>
          <cell r="R889">
            <v>0</v>
          </cell>
          <cell r="S889"/>
          <cell r="T889">
            <v>0</v>
          </cell>
          <cell r="U889">
            <v>205</v>
          </cell>
          <cell r="V889">
            <v>881.5</v>
          </cell>
          <cell r="W889">
            <v>335</v>
          </cell>
          <cell r="X889">
            <v>1440.5</v>
          </cell>
          <cell r="Y889"/>
          <cell r="Z889">
            <v>0</v>
          </cell>
          <cell r="AA889"/>
          <cell r="AB889">
            <v>0</v>
          </cell>
          <cell r="AC889"/>
          <cell r="AD889">
            <v>0</v>
          </cell>
          <cell r="AE889"/>
          <cell r="AF889"/>
          <cell r="AG889"/>
          <cell r="AH889"/>
          <cell r="AI889"/>
          <cell r="AJ889">
            <v>0</v>
          </cell>
          <cell r="AK889" t="str">
            <v>3P</v>
          </cell>
          <cell r="AL889">
            <v>226</v>
          </cell>
          <cell r="AM889">
            <v>130</v>
          </cell>
          <cell r="AN889" t="str">
            <v>01 Existing Dealer</v>
          </cell>
          <cell r="AO889" t="str">
            <v>South Central</v>
          </cell>
          <cell r="AP889" t="str">
            <v>Central</v>
          </cell>
          <cell r="AQ889"/>
          <cell r="AR889">
            <v>0</v>
          </cell>
          <cell r="AS889">
            <v>0</v>
          </cell>
        </row>
        <row r="890">
          <cell r="A890">
            <v>12994</v>
          </cell>
          <cell r="B890" t="str">
            <v>SWINFORD</v>
          </cell>
          <cell r="C890" t="str">
            <v>M10267</v>
          </cell>
          <cell r="D890" t="str">
            <v>Return Mail, no pink card</v>
          </cell>
          <cell r="E890" t="str">
            <v>RM</v>
          </cell>
          <cell r="F890" t="str">
            <v>Yes</v>
          </cell>
          <cell r="G890" t="str">
            <v>TX</v>
          </cell>
          <cell r="H890">
            <v>7</v>
          </cell>
          <cell r="I890">
            <v>0.66500000000000004</v>
          </cell>
          <cell r="J890" t="str">
            <v>Trent Evans</v>
          </cell>
          <cell r="K890" t="str">
            <v>MORRISON</v>
          </cell>
          <cell r="L890" t="str">
            <v>OK</v>
          </cell>
          <cell r="M890" t="str">
            <v>800-577-8858</v>
          </cell>
          <cell r="N890"/>
          <cell r="O890">
            <v>308</v>
          </cell>
          <cell r="P890">
            <v>1324.3999999999999</v>
          </cell>
          <cell r="Q890"/>
          <cell r="R890">
            <v>0</v>
          </cell>
          <cell r="S890"/>
          <cell r="T890">
            <v>0</v>
          </cell>
          <cell r="U890">
            <v>198</v>
          </cell>
          <cell r="V890">
            <v>851.4</v>
          </cell>
          <cell r="W890">
            <v>328</v>
          </cell>
          <cell r="X890">
            <v>1410.3999999999999</v>
          </cell>
          <cell r="Y890"/>
          <cell r="Z890">
            <v>0</v>
          </cell>
          <cell r="AA890"/>
          <cell r="AB890">
            <v>0</v>
          </cell>
          <cell r="AC890"/>
          <cell r="AD890">
            <v>0</v>
          </cell>
          <cell r="AE890"/>
          <cell r="AF890"/>
          <cell r="AG890"/>
          <cell r="AH890"/>
          <cell r="AI890"/>
          <cell r="AJ890">
            <v>0</v>
          </cell>
          <cell r="AK890" t="str">
            <v>3P</v>
          </cell>
          <cell r="AL890">
            <v>226</v>
          </cell>
          <cell r="AM890">
            <v>433</v>
          </cell>
          <cell r="AN890" t="str">
            <v>01 Existing Dealer</v>
          </cell>
          <cell r="AO890" t="str">
            <v>South Central</v>
          </cell>
          <cell r="AP890" t="str">
            <v>Central</v>
          </cell>
          <cell r="AQ890"/>
          <cell r="AR890">
            <v>0</v>
          </cell>
          <cell r="AS890">
            <v>0</v>
          </cell>
        </row>
        <row r="891">
          <cell r="A891" t="str">
            <v>12994A</v>
          </cell>
          <cell r="B891" t="str">
            <v>SWINFORD</v>
          </cell>
          <cell r="C891" t="str">
            <v>M10267</v>
          </cell>
          <cell r="D891" t="str">
            <v>Return Mail, no pink card</v>
          </cell>
          <cell r="E891" t="str">
            <v>RM</v>
          </cell>
          <cell r="F891" t="str">
            <v>Yes</v>
          </cell>
          <cell r="G891" t="str">
            <v>TX</v>
          </cell>
          <cell r="H891">
            <v>7</v>
          </cell>
          <cell r="I891">
            <v>0.66500000000000004</v>
          </cell>
          <cell r="J891" t="str">
            <v>Trent Evans</v>
          </cell>
          <cell r="K891" t="str">
            <v>ENID</v>
          </cell>
          <cell r="L891" t="str">
            <v>OK</v>
          </cell>
          <cell r="M891" t="str">
            <v>800-577-8858</v>
          </cell>
          <cell r="N891"/>
          <cell r="O891">
            <v>351</v>
          </cell>
          <cell r="P891">
            <v>1509.3</v>
          </cell>
          <cell r="Q891"/>
          <cell r="R891">
            <v>0</v>
          </cell>
          <cell r="S891"/>
          <cell r="T891">
            <v>0</v>
          </cell>
          <cell r="U891">
            <v>205</v>
          </cell>
          <cell r="V891">
            <v>881.5</v>
          </cell>
          <cell r="W891">
            <v>335</v>
          </cell>
          <cell r="X891">
            <v>1440.5</v>
          </cell>
          <cell r="Y891"/>
          <cell r="Z891">
            <v>0</v>
          </cell>
          <cell r="AA891"/>
          <cell r="AB891">
            <v>0</v>
          </cell>
          <cell r="AC891"/>
          <cell r="AD891">
            <v>0</v>
          </cell>
          <cell r="AE891"/>
          <cell r="AF891"/>
          <cell r="AG891"/>
          <cell r="AH891"/>
          <cell r="AI891"/>
          <cell r="AJ891">
            <v>0</v>
          </cell>
          <cell r="AK891" t="str">
            <v>3P</v>
          </cell>
          <cell r="AL891">
            <v>226</v>
          </cell>
          <cell r="AM891">
            <v>130</v>
          </cell>
          <cell r="AN891" t="str">
            <v>01 Existing Dealer</v>
          </cell>
          <cell r="AO891" t="str">
            <v>South Central</v>
          </cell>
          <cell r="AP891" t="str">
            <v>Central</v>
          </cell>
          <cell r="AQ891"/>
          <cell r="AR891">
            <v>0</v>
          </cell>
          <cell r="AS891">
            <v>0</v>
          </cell>
          <cell r="AT891"/>
        </row>
        <row r="892">
          <cell r="A892">
            <v>11933</v>
          </cell>
          <cell r="B892" t="str">
            <v>SWINFORD EQUIPMENT CO</v>
          </cell>
          <cell r="C892" t="str">
            <v>M10267</v>
          </cell>
          <cell r="D892" t="str">
            <v>NET 5, BT+</v>
          </cell>
          <cell r="E892" t="str">
            <v>CO</v>
          </cell>
          <cell r="F892" t="str">
            <v>Yes</v>
          </cell>
          <cell r="G892" t="str">
            <v>TX</v>
          </cell>
          <cell r="H892">
            <v>7</v>
          </cell>
          <cell r="I892">
            <v>0.66500000000000004</v>
          </cell>
          <cell r="J892" t="str">
            <v>Orphaned Acct</v>
          </cell>
          <cell r="K892" t="str">
            <v>MORRISON</v>
          </cell>
          <cell r="L892" t="str">
            <v>OK</v>
          </cell>
          <cell r="M892" t="str">
            <v>800-577-8858</v>
          </cell>
          <cell r="N892"/>
          <cell r="O892">
            <v>308</v>
          </cell>
          <cell r="P892">
            <v>1324.3999999999999</v>
          </cell>
          <cell r="Q892"/>
          <cell r="R892">
            <v>0</v>
          </cell>
          <cell r="S892"/>
          <cell r="T892">
            <v>0</v>
          </cell>
          <cell r="U892">
            <v>198</v>
          </cell>
          <cell r="V892">
            <v>851.4</v>
          </cell>
          <cell r="W892">
            <v>328</v>
          </cell>
          <cell r="X892">
            <v>1410.3999999999999</v>
          </cell>
          <cell r="Y892"/>
          <cell r="Z892">
            <v>0</v>
          </cell>
          <cell r="AA892"/>
          <cell r="AB892">
            <v>0</v>
          </cell>
          <cell r="AC892"/>
          <cell r="AD892">
            <v>0</v>
          </cell>
          <cell r="AE892" t="str"/>
          <cell r="AF892"/>
          <cell r="AG892" t="str"/>
          <cell r="AH892" t="str"/>
          <cell r="AI892" t="str"/>
          <cell r="AJ892">
            <v>0</v>
          </cell>
          <cell r="AK892" t="str">
            <v>3P</v>
          </cell>
          <cell r="AL892">
            <v>213</v>
          </cell>
          <cell r="AM892">
            <v>433</v>
          </cell>
          <cell r="AN892" t="str">
            <v>01 Existing Dealer</v>
          </cell>
          <cell r="AO892" t="str">
            <v>South Central</v>
          </cell>
          <cell r="AP892" t="str">
            <v>Central</v>
          </cell>
          <cell r="AQ892"/>
          <cell r="AR892">
            <v>0</v>
          </cell>
          <cell r="AS892">
            <v>0</v>
          </cell>
          <cell r="AT892"/>
        </row>
        <row r="893">
          <cell r="A893">
            <v>11314</v>
          </cell>
          <cell r="B893" t="str">
            <v>SWINFORD EQUIPMENT CO</v>
          </cell>
          <cell r="C893" t="str">
            <v>M10267</v>
          </cell>
          <cell r="D893" t="str">
            <v>NET 5, BT+</v>
          </cell>
          <cell r="E893" t="str">
            <v>FP - Wells Fargo</v>
          </cell>
          <cell r="F893" t="str">
            <v>Yes</v>
          </cell>
          <cell r="G893" t="str">
            <v>TX</v>
          </cell>
          <cell r="H893">
            <v>8</v>
          </cell>
          <cell r="I893">
            <v>0.66500000000000004</v>
          </cell>
          <cell r="J893" t="str">
            <v>Orphaned Acct</v>
          </cell>
          <cell r="K893" t="str">
            <v>MORRISON</v>
          </cell>
          <cell r="L893" t="str">
            <v>OK</v>
          </cell>
          <cell r="M893" t="str">
            <v>800-577-8858</v>
          </cell>
          <cell r="N893"/>
          <cell r="O893">
            <v>308</v>
          </cell>
          <cell r="P893">
            <v>1324.3999999999999</v>
          </cell>
          <cell r="Q893"/>
          <cell r="R893">
            <v>0</v>
          </cell>
          <cell r="S893"/>
          <cell r="T893">
            <v>0</v>
          </cell>
          <cell r="U893">
            <v>198</v>
          </cell>
          <cell r="V893">
            <v>851.4</v>
          </cell>
          <cell r="W893">
            <v>328</v>
          </cell>
          <cell r="X893">
            <v>1410.3999999999999</v>
          </cell>
          <cell r="Y893"/>
          <cell r="Z893">
            <v>0</v>
          </cell>
          <cell r="AA893"/>
          <cell r="AB893">
            <v>0</v>
          </cell>
          <cell r="AC893"/>
          <cell r="AD893">
            <v>0</v>
          </cell>
          <cell r="AE893"/>
          <cell r="AF893"/>
          <cell r="AG893"/>
          <cell r="AH893"/>
          <cell r="AI893"/>
          <cell r="AJ893">
            <v>0</v>
          </cell>
          <cell r="AK893" t="str">
            <v>3P</v>
          </cell>
          <cell r="AL893">
            <v>213</v>
          </cell>
          <cell r="AM893">
            <v>433</v>
          </cell>
          <cell r="AN893" t="str">
            <v>01 Existing Dealer</v>
          </cell>
          <cell r="AO893" t="str">
            <v>South Central</v>
          </cell>
          <cell r="AP893" t="str">
            <v>Central</v>
          </cell>
          <cell r="AQ893"/>
          <cell r="AR893">
            <v>0</v>
          </cell>
          <cell r="AS893">
            <v>0</v>
          </cell>
          <cell r="AT893"/>
        </row>
        <row r="894">
          <cell r="A894">
            <v>12852</v>
          </cell>
          <cell r="B894" t="str">
            <v>LIVINGSTON MACHINERY COMPANY(SWINFORD)</v>
          </cell>
          <cell r="C894" t="str">
            <v>M10267</v>
          </cell>
          <cell r="D894" t="str">
            <v>NET 5, BT+</v>
          </cell>
          <cell r="E894" t="str">
            <v>F3 - Wells Fargo</v>
          </cell>
          <cell r="F894" t="str">
            <v>Yes</v>
          </cell>
          <cell r="G894" t="str">
            <v>TX</v>
          </cell>
          <cell r="H894">
            <v>8</v>
          </cell>
          <cell r="I894">
            <v>0.66500000000000004</v>
          </cell>
          <cell r="J894" t="str">
            <v>Orphaned Acct</v>
          </cell>
          <cell r="K894" t="str">
            <v>STILLWATER</v>
          </cell>
          <cell r="L894" t="str">
            <v>OK</v>
          </cell>
          <cell r="M894" t="str">
            <v>800-577-8858</v>
          </cell>
          <cell r="N894"/>
          <cell r="O894">
            <v>295</v>
          </cell>
          <cell r="P894">
            <v>1268.5</v>
          </cell>
          <cell r="Q894"/>
          <cell r="R894">
            <v>0</v>
          </cell>
          <cell r="S894"/>
          <cell r="T894">
            <v>0</v>
          </cell>
          <cell r="U894">
            <v>185</v>
          </cell>
          <cell r="V894">
            <v>795.5</v>
          </cell>
          <cell r="W894">
            <v>314</v>
          </cell>
          <cell r="X894">
            <v>1350.2</v>
          </cell>
          <cell r="Y894"/>
          <cell r="Z894">
            <v>0</v>
          </cell>
          <cell r="AA894"/>
          <cell r="AB894">
            <v>0</v>
          </cell>
          <cell r="AC894"/>
          <cell r="AD894">
            <v>0</v>
          </cell>
          <cell r="AE894"/>
          <cell r="AF894"/>
          <cell r="AG894"/>
          <cell r="AH894"/>
          <cell r="AI894"/>
          <cell r="AJ894">
            <v>0</v>
          </cell>
          <cell r="AK894" t="str">
            <v>3P</v>
          </cell>
          <cell r="AL894">
            <v>213</v>
          </cell>
          <cell r="AM894">
            <v>433</v>
          </cell>
          <cell r="AN894" t="str">
            <v>08 Inactive Dealer</v>
          </cell>
          <cell r="AO894" t="str">
            <v>South Central</v>
          </cell>
          <cell r="AP894" t="str">
            <v>Central</v>
          </cell>
          <cell r="AQ894"/>
          <cell r="AR894">
            <v>0</v>
          </cell>
          <cell r="AS894">
            <v>0</v>
          </cell>
          <cell r="AT894"/>
        </row>
        <row r="895">
          <cell r="A895">
            <v>12200</v>
          </cell>
          <cell r="B895" t="str">
            <v>TREVIN INC</v>
          </cell>
          <cell r="C895" t="str">
            <v>M10425</v>
          </cell>
          <cell r="D895" t="str">
            <v>NET 5, BT+</v>
          </cell>
          <cell r="E895" t="str">
            <v>CO</v>
          </cell>
          <cell r="F895" t="str">
            <v>Yes</v>
          </cell>
          <cell r="G895" t="str">
            <v>TX</v>
          </cell>
          <cell r="H895">
            <v>7</v>
          </cell>
          <cell r="I895">
            <v>0.66500000000000004</v>
          </cell>
          <cell r="J895" t="str">
            <v>Orphaned Acct</v>
          </cell>
          <cell r="K895" t="str">
            <v>DRUMMOND</v>
          </cell>
          <cell r="L895" t="str">
            <v>OK</v>
          </cell>
          <cell r="M895" t="str">
            <v>800-577-8858</v>
          </cell>
          <cell r="N895"/>
          <cell r="O895">
            <v>357</v>
          </cell>
          <cell r="P895">
            <v>1535.1</v>
          </cell>
          <cell r="Q895"/>
          <cell r="R895">
            <v>0</v>
          </cell>
          <cell r="S895"/>
          <cell r="T895">
            <v>0</v>
          </cell>
          <cell r="U895">
            <v>205</v>
          </cell>
          <cell r="V895">
            <v>881.5</v>
          </cell>
          <cell r="W895">
            <v>335</v>
          </cell>
          <cell r="X895">
            <v>1440.5</v>
          </cell>
          <cell r="Y895"/>
          <cell r="Z895">
            <v>0</v>
          </cell>
          <cell r="AA895"/>
          <cell r="AB895">
            <v>0</v>
          </cell>
          <cell r="AC895"/>
          <cell r="AD895">
            <v>0</v>
          </cell>
          <cell r="AE895"/>
          <cell r="AF895"/>
          <cell r="AG895"/>
          <cell r="AH895"/>
          <cell r="AI895"/>
          <cell r="AJ895">
            <v>0</v>
          </cell>
          <cell r="AK895" t="str">
            <v>3P</v>
          </cell>
          <cell r="AL895">
            <v>213</v>
          </cell>
          <cell r="AM895">
            <v>130</v>
          </cell>
          <cell r="AN895" t="str">
            <v>08 Inactive Dealer</v>
          </cell>
          <cell r="AO895" t="str">
            <v>South Central</v>
          </cell>
          <cell r="AP895" t="str">
            <v>Central</v>
          </cell>
          <cell r="AQ895"/>
          <cell r="AR895">
            <v>0</v>
          </cell>
          <cell r="AS895">
            <v>0</v>
          </cell>
          <cell r="AT895"/>
        </row>
        <row r="896">
          <cell r="A896">
            <v>12041</v>
          </cell>
          <cell r="B896" t="str">
            <v>TW NORMAN OK</v>
          </cell>
          <cell r="C896" t="str">
            <v>M10089</v>
          </cell>
          <cell r="D896" t="str">
            <v>Net 30, no pink card</v>
          </cell>
          <cell r="E896">
            <v>30</v>
          </cell>
          <cell r="F896" t="str">
            <v>Yes</v>
          </cell>
          <cell r="G896" t="str">
            <v>TX</v>
          </cell>
          <cell r="H896">
            <v>10</v>
          </cell>
          <cell r="I896">
            <v>0.66500000000000004</v>
          </cell>
          <cell r="J896" t="str">
            <v>Orphaned Acct</v>
          </cell>
          <cell r="K896" t="str">
            <v>NORMAN</v>
          </cell>
          <cell r="L896" t="str">
            <v>OK</v>
          </cell>
          <cell r="M896" t="str">
            <v>800-577-8858</v>
          </cell>
          <cell r="N896"/>
          <cell r="O896">
            <v>278</v>
          </cell>
          <cell r="P896">
            <v>1195.3999999999999</v>
          </cell>
          <cell r="Q896"/>
          <cell r="R896">
            <v>0</v>
          </cell>
          <cell r="S896"/>
          <cell r="T896">
            <v>0</v>
          </cell>
          <cell r="U896">
            <v>105</v>
          </cell>
          <cell r="V896">
            <v>451.5</v>
          </cell>
          <cell r="W896">
            <v>234</v>
          </cell>
          <cell r="X896">
            <v>1006.1999999999999</v>
          </cell>
          <cell r="Y896"/>
          <cell r="Z896">
            <v>0</v>
          </cell>
          <cell r="AA896"/>
          <cell r="AB896">
            <v>0</v>
          </cell>
          <cell r="AC896"/>
          <cell r="AD896">
            <v>0</v>
          </cell>
          <cell r="AE896">
            <v>2.4E-2</v>
          </cell>
          <cell r="AF896"/>
          <cell r="AG896">
            <v>2.1669999999999998E-2</v>
          </cell>
          <cell r="AH896">
            <v>2.1669999999999998E-2</v>
          </cell>
          <cell r="AI896">
            <v>2.1669999999999998E-2</v>
          </cell>
          <cell r="AJ896">
            <v>0.04</v>
          </cell>
          <cell r="AK896" t="str">
            <v>TW</v>
          </cell>
          <cell r="AL896">
            <v>213</v>
          </cell>
          <cell r="AM896">
            <v>329</v>
          </cell>
          <cell r="AN896" t="str">
            <v>09 Inactive Co Store</v>
          </cell>
          <cell r="AO896" t="str">
            <v>South Central</v>
          </cell>
          <cell r="AP896" t="str">
            <v>Central</v>
          </cell>
          <cell r="AQ896"/>
          <cell r="AR896">
            <v>0</v>
          </cell>
          <cell r="AS896">
            <v>0</v>
          </cell>
          <cell r="AT896"/>
        </row>
        <row r="897">
          <cell r="A897">
            <v>12960</v>
          </cell>
          <cell r="B897" t="str">
            <v>TW OKLAHOMA CITY</v>
          </cell>
          <cell r="C897" t="str">
            <v>M10493</v>
          </cell>
          <cell r="D897" t="str">
            <v>Net 30, no pink card</v>
          </cell>
          <cell r="E897">
            <v>30</v>
          </cell>
          <cell r="F897" t="str">
            <v>Yes</v>
          </cell>
          <cell r="G897" t="str">
            <v>TX</v>
          </cell>
          <cell r="H897">
            <v>10</v>
          </cell>
          <cell r="I897">
            <v>0.66500000000000004</v>
          </cell>
          <cell r="J897" t="str">
            <v>Jake McEntee</v>
          </cell>
          <cell r="K897" t="str">
            <v>OKLAHOMA CITY</v>
          </cell>
          <cell r="L897" t="str">
            <v>OK</v>
          </cell>
          <cell r="M897" t="str">
            <v>800-577-8858</v>
          </cell>
          <cell r="N897"/>
          <cell r="O897">
            <v>278</v>
          </cell>
          <cell r="P897">
            <v>1195.3999999999999</v>
          </cell>
          <cell r="Q897">
            <v>925</v>
          </cell>
          <cell r="R897">
            <v>3977.5</v>
          </cell>
          <cell r="S897"/>
          <cell r="T897">
            <v>0</v>
          </cell>
          <cell r="U897">
            <v>127</v>
          </cell>
          <cell r="V897">
            <v>546.1</v>
          </cell>
          <cell r="W897">
            <v>256</v>
          </cell>
          <cell r="X897">
            <v>1100.8</v>
          </cell>
          <cell r="Y897">
            <v>881</v>
          </cell>
          <cell r="Z897">
            <v>3788.2999999999997</v>
          </cell>
          <cell r="AA897">
            <v>881</v>
          </cell>
          <cell r="AB897">
            <v>3788.2999999999997</v>
          </cell>
          <cell r="AC897">
            <v>881</v>
          </cell>
          <cell r="AD897">
            <v>3788.2999999999997</v>
          </cell>
          <cell r="AE897">
            <v>2.4E-2</v>
          </cell>
          <cell r="AF897"/>
          <cell r="AG897">
            <v>2.1669999999999998E-2</v>
          </cell>
          <cell r="AH897">
            <v>2.1669999999999998E-2</v>
          </cell>
          <cell r="AI897">
            <v>2.1669999999999998E-2</v>
          </cell>
          <cell r="AJ897">
            <v>0.04</v>
          </cell>
          <cell r="AK897" t="str">
            <v>TW</v>
          </cell>
          <cell r="AL897">
            <v>161</v>
          </cell>
          <cell r="AM897">
            <v>329</v>
          </cell>
          <cell r="AN897" t="str">
            <v>04 Co.Store</v>
          </cell>
          <cell r="AO897" t="str">
            <v>South Central</v>
          </cell>
          <cell r="AP897" t="str">
            <v>Central</v>
          </cell>
          <cell r="AQ897"/>
          <cell r="AR897">
            <v>232963</v>
          </cell>
          <cell r="AS897">
            <v>-9840</v>
          </cell>
        </row>
        <row r="898">
          <cell r="A898" t="str">
            <v>13092V</v>
          </cell>
          <cell r="B898" t="str">
            <v>UNITED AG</v>
          </cell>
          <cell r="C898" t="str">
            <v>M10981</v>
          </cell>
          <cell r="D898" t="str">
            <v>Net 30, no pink card</v>
          </cell>
          <cell r="E898">
            <v>30</v>
          </cell>
          <cell r="F898" t="str">
            <v>See Note</v>
          </cell>
          <cell r="G898" t="str">
            <v>TX</v>
          </cell>
          <cell r="H898">
            <v>5</v>
          </cell>
          <cell r="I898">
            <v>0.66500000000000004</v>
          </cell>
          <cell r="J898" t="str">
            <v>Dakota Nation</v>
          </cell>
          <cell r="K898" t="str">
            <v>ARDMORE</v>
          </cell>
          <cell r="L898" t="str">
            <v>OK</v>
          </cell>
          <cell r="M898" t="str">
            <v>800-577-8858</v>
          </cell>
          <cell r="N898"/>
          <cell r="O898">
            <v>188</v>
          </cell>
          <cell r="P898">
            <v>808.4</v>
          </cell>
          <cell r="Q898"/>
          <cell r="R898">
            <v>0</v>
          </cell>
          <cell r="S898"/>
          <cell r="T898">
            <v>0</v>
          </cell>
          <cell r="U898">
            <v>27</v>
          </cell>
          <cell r="V898">
            <v>116.1</v>
          </cell>
          <cell r="W898">
            <v>163</v>
          </cell>
          <cell r="X898">
            <v>700.9</v>
          </cell>
          <cell r="Y898"/>
          <cell r="Z898">
            <v>0</v>
          </cell>
          <cell r="AA898"/>
          <cell r="AB898">
            <v>0</v>
          </cell>
          <cell r="AC898"/>
          <cell r="AD898">
            <v>0</v>
          </cell>
          <cell r="AE898"/>
          <cell r="AF898"/>
          <cell r="AG898"/>
          <cell r="AH898"/>
          <cell r="AI898"/>
          <cell r="AJ898">
            <v>0</v>
          </cell>
          <cell r="AK898" t="str">
            <v>3P</v>
          </cell>
          <cell r="AL898">
            <v>223</v>
          </cell>
          <cell r="AM898">
            <v>19</v>
          </cell>
          <cell r="AN898" t="str">
            <v>01 Existing Dealer</v>
          </cell>
          <cell r="AO898" t="str">
            <v>South Central</v>
          </cell>
          <cell r="AP898" t="str">
            <v>Central</v>
          </cell>
          <cell r="AQ898"/>
          <cell r="AR898">
            <v>0</v>
          </cell>
          <cell r="AS898">
            <v>0</v>
          </cell>
        </row>
        <row r="899">
          <cell r="A899" t="str">
            <v>13092X</v>
          </cell>
          <cell r="B899" t="str">
            <v>UNITED AG</v>
          </cell>
          <cell r="C899" t="str">
            <v>M10981</v>
          </cell>
          <cell r="D899" t="str">
            <v>Net 30, no pink card</v>
          </cell>
          <cell r="E899">
            <v>30</v>
          </cell>
          <cell r="F899" t="str">
            <v>See Note</v>
          </cell>
          <cell r="G899" t="str">
            <v>TX</v>
          </cell>
          <cell r="H899">
            <v>5</v>
          </cell>
          <cell r="I899">
            <v>0.66500000000000004</v>
          </cell>
          <cell r="J899" t="str">
            <v>Dakota Nation</v>
          </cell>
          <cell r="K899" t="str">
            <v>DURANT</v>
          </cell>
          <cell r="L899" t="str">
            <v>OK</v>
          </cell>
          <cell r="M899" t="str">
            <v>800-577-8858</v>
          </cell>
          <cell r="N899"/>
          <cell r="O899">
            <v>131</v>
          </cell>
          <cell r="P899">
            <v>563.29999999999995</v>
          </cell>
          <cell r="Q899"/>
          <cell r="R899">
            <v>0</v>
          </cell>
          <cell r="S899"/>
          <cell r="T899">
            <v>0</v>
          </cell>
          <cell r="U899">
            <v>30</v>
          </cell>
          <cell r="V899">
            <v>129</v>
          </cell>
          <cell r="W899">
            <v>118</v>
          </cell>
          <cell r="X899">
            <v>507.4</v>
          </cell>
          <cell r="Y899"/>
          <cell r="Z899">
            <v>0</v>
          </cell>
          <cell r="AA899"/>
          <cell r="AB899">
            <v>0</v>
          </cell>
          <cell r="AC899"/>
          <cell r="AD899">
            <v>0</v>
          </cell>
          <cell r="AE899"/>
          <cell r="AF899"/>
          <cell r="AG899"/>
          <cell r="AH899"/>
          <cell r="AI899"/>
          <cell r="AJ899">
            <v>0</v>
          </cell>
          <cell r="AK899" t="str">
            <v>3P</v>
          </cell>
          <cell r="AL899">
            <v>223</v>
          </cell>
          <cell r="AM899">
            <v>418</v>
          </cell>
          <cell r="AN899" t="str">
            <v>01 Existing Dealer</v>
          </cell>
          <cell r="AO899" t="str">
            <v>South Central</v>
          </cell>
          <cell r="AP899" t="str">
            <v>Central</v>
          </cell>
          <cell r="AQ899"/>
          <cell r="AR899">
            <v>0</v>
          </cell>
          <cell r="AS899">
            <v>0</v>
          </cell>
        </row>
        <row r="900">
          <cell r="A900" t="str">
            <v>13092Y</v>
          </cell>
          <cell r="B900" t="str">
            <v>UNITED AG</v>
          </cell>
          <cell r="C900" t="str">
            <v>M10981</v>
          </cell>
          <cell r="D900" t="str">
            <v>Net 30, no pink card</v>
          </cell>
          <cell r="E900">
            <v>30</v>
          </cell>
          <cell r="F900" t="str">
            <v>See Note</v>
          </cell>
          <cell r="G900" t="str">
            <v>TX</v>
          </cell>
          <cell r="H900">
            <v>5</v>
          </cell>
          <cell r="I900">
            <v>0.66500000000000004</v>
          </cell>
          <cell r="J900" t="str">
            <v>Dakota Nation</v>
          </cell>
          <cell r="K900" t="str">
            <v>HUGO</v>
          </cell>
          <cell r="L900" t="str">
            <v>OK</v>
          </cell>
          <cell r="M900" t="str">
            <v>800-577-8858</v>
          </cell>
          <cell r="N900"/>
          <cell r="O900">
            <v>81</v>
          </cell>
          <cell r="P900">
            <v>348.3</v>
          </cell>
          <cell r="Q900"/>
          <cell r="R900">
            <v>0</v>
          </cell>
          <cell r="S900"/>
          <cell r="T900">
            <v>0</v>
          </cell>
          <cell r="U900">
            <v>82</v>
          </cell>
          <cell r="V900">
            <v>352.59999999999997</v>
          </cell>
          <cell r="W900">
            <v>111</v>
          </cell>
          <cell r="X900">
            <v>477.29999999999995</v>
          </cell>
          <cell r="Y900"/>
          <cell r="Z900">
            <v>0</v>
          </cell>
          <cell r="AA900"/>
          <cell r="AB900">
            <v>0</v>
          </cell>
          <cell r="AC900"/>
          <cell r="AD900">
            <v>0</v>
          </cell>
          <cell r="AE900"/>
          <cell r="AF900"/>
          <cell r="AG900"/>
          <cell r="AH900"/>
          <cell r="AI900"/>
          <cell r="AJ900">
            <v>0</v>
          </cell>
          <cell r="AK900" t="str">
            <v>3P</v>
          </cell>
          <cell r="AL900">
            <v>223</v>
          </cell>
          <cell r="AM900">
            <v>341</v>
          </cell>
          <cell r="AN900" t="str">
            <v>01 Existing Dealer</v>
          </cell>
          <cell r="AO900" t="str">
            <v>South Central</v>
          </cell>
          <cell r="AP900" t="str">
            <v>Central</v>
          </cell>
          <cell r="AQ900"/>
          <cell r="AR900">
            <v>0</v>
          </cell>
          <cell r="AS900">
            <v>0</v>
          </cell>
        </row>
        <row r="901">
          <cell r="A901" t="str">
            <v>13092Z</v>
          </cell>
          <cell r="B901" t="str">
            <v>UNITED AG</v>
          </cell>
          <cell r="C901" t="str">
            <v>M10981</v>
          </cell>
          <cell r="D901" t="str">
            <v>Net 30, no pink card</v>
          </cell>
          <cell r="E901">
            <v>30</v>
          </cell>
          <cell r="F901" t="str">
            <v>See Note</v>
          </cell>
          <cell r="G901" t="str">
            <v>TX</v>
          </cell>
          <cell r="H901">
            <v>5</v>
          </cell>
          <cell r="I901">
            <v>0.66500000000000004</v>
          </cell>
          <cell r="J901" t="str">
            <v>Dakota Nation</v>
          </cell>
          <cell r="K901" t="str">
            <v>PAULS VALLEY</v>
          </cell>
          <cell r="L901" t="str">
            <v>OK</v>
          </cell>
          <cell r="M901" t="str">
            <v>800-577-8858</v>
          </cell>
          <cell r="N901"/>
          <cell r="O901">
            <v>229</v>
          </cell>
          <cell r="P901">
            <v>984.69999999999993</v>
          </cell>
          <cell r="Q901"/>
          <cell r="R901">
            <v>0</v>
          </cell>
          <cell r="S901"/>
          <cell r="T901">
            <v>0</v>
          </cell>
          <cell r="U901">
            <v>68</v>
          </cell>
          <cell r="V901">
            <v>292.39999999999998</v>
          </cell>
          <cell r="W901">
            <v>203</v>
          </cell>
          <cell r="X901">
            <v>872.9</v>
          </cell>
          <cell r="Y901"/>
          <cell r="Z901">
            <v>0</v>
          </cell>
          <cell r="AA901"/>
          <cell r="AB901">
            <v>0</v>
          </cell>
          <cell r="AC901"/>
          <cell r="AD901">
            <v>0</v>
          </cell>
          <cell r="AE901"/>
          <cell r="AF901"/>
          <cell r="AG901"/>
          <cell r="AH901"/>
          <cell r="AI901"/>
          <cell r="AJ901">
            <v>0</v>
          </cell>
          <cell r="AK901" t="str">
            <v>3P</v>
          </cell>
          <cell r="AL901">
            <v>223</v>
          </cell>
          <cell r="AM901">
            <v>329</v>
          </cell>
          <cell r="AN901" t="str">
            <v>01 Existing Dealer</v>
          </cell>
          <cell r="AO901" t="str">
            <v>South Central</v>
          </cell>
          <cell r="AP901" t="str">
            <v>Central</v>
          </cell>
          <cell r="AQ901"/>
          <cell r="AR901">
            <v>0</v>
          </cell>
          <cell r="AS901">
            <v>0</v>
          </cell>
        </row>
        <row r="902">
          <cell r="A902" t="str">
            <v>13397F</v>
          </cell>
          <cell r="B902" t="str">
            <v>BCMS / SILVERLINE</v>
          </cell>
          <cell r="C902" t="str">
            <v>M11363</v>
          </cell>
          <cell r="D902" t="str">
            <v>Return Mail, no pink card</v>
          </cell>
          <cell r="E902" t="str">
            <v>F3 - Wells Fargo</v>
          </cell>
          <cell r="F902" t="str">
            <v>Yes</v>
          </cell>
          <cell r="G902" t="str">
            <v>TX</v>
          </cell>
          <cell r="H902">
            <v>8</v>
          </cell>
          <cell r="I902">
            <v>0.66500000000000004</v>
          </cell>
          <cell r="J902" t="str">
            <v>Trent Evans</v>
          </cell>
          <cell r="K902" t="str">
            <v>PURCELL</v>
          </cell>
          <cell r="L902" t="str">
            <v>OK</v>
          </cell>
          <cell r="M902" t="str">
            <v>800-577-8858</v>
          </cell>
          <cell r="N902"/>
          <cell r="O902">
            <v>261</v>
          </cell>
          <cell r="P902">
            <v>1122.3</v>
          </cell>
          <cell r="Q902"/>
          <cell r="R902">
            <v>0</v>
          </cell>
          <cell r="S902"/>
          <cell r="T902">
            <v>0</v>
          </cell>
          <cell r="U902">
            <v>87</v>
          </cell>
          <cell r="V902">
            <v>374.09999999999997</v>
          </cell>
          <cell r="W902">
            <v>217</v>
          </cell>
          <cell r="X902">
            <v>933.09999999999991</v>
          </cell>
          <cell r="Y902">
            <v>913</v>
          </cell>
          <cell r="Z902">
            <v>3925.8999999999996</v>
          </cell>
          <cell r="AA902">
            <v>913</v>
          </cell>
          <cell r="AB902">
            <v>3925.8999999999996</v>
          </cell>
          <cell r="AC902">
            <v>913</v>
          </cell>
          <cell r="AD902">
            <v>3925.8999999999996</v>
          </cell>
          <cell r="AE902"/>
          <cell r="AF902"/>
          <cell r="AG902"/>
          <cell r="AH902"/>
          <cell r="AI902"/>
          <cell r="AJ902">
            <v>0.03</v>
          </cell>
          <cell r="AK902" t="str">
            <v>3P</v>
          </cell>
          <cell r="AL902">
            <v>226</v>
          </cell>
          <cell r="AM902">
            <v>0</v>
          </cell>
          <cell r="AN902" t="str">
            <v>01 Existing Dealer</v>
          </cell>
          <cell r="AO902" t="str">
            <v>South Central</v>
          </cell>
          <cell r="AP902" t="str">
            <v>Central</v>
          </cell>
          <cell r="AQ902"/>
          <cell r="AR902">
            <v>0</v>
          </cell>
          <cell r="AS902">
            <v>0</v>
          </cell>
        </row>
        <row r="903">
          <cell r="A903">
            <v>13414</v>
          </cell>
          <cell r="B903" t="str">
            <v>99 WEST TRAILERS (BENDER)</v>
          </cell>
          <cell r="C903" t="str">
            <v>M11380</v>
          </cell>
          <cell r="D903" t="str">
            <v>NET 5, BT+</v>
          </cell>
          <cell r="E903" t="str">
            <v>FP - Wells Fargo</v>
          </cell>
          <cell r="F903" t="str">
            <v>Yes</v>
          </cell>
          <cell r="G903" t="str">
            <v>ID</v>
          </cell>
          <cell r="H903">
            <v>8</v>
          </cell>
          <cell r="I903">
            <v>0.7</v>
          </cell>
          <cell r="J903" t="str">
            <v>Nate Erickson</v>
          </cell>
          <cell r="K903" t="str">
            <v>SHERWOOD</v>
          </cell>
          <cell r="L903" t="str">
            <v>OR</v>
          </cell>
          <cell r="M903" t="str">
            <v>208-459-0106</v>
          </cell>
          <cell r="N903"/>
          <cell r="O903">
            <v>2141</v>
          </cell>
          <cell r="P903">
            <v>9206.2999999999993</v>
          </cell>
          <cell r="Q903"/>
          <cell r="R903">
            <v>0</v>
          </cell>
          <cell r="S903">
            <v>419</v>
          </cell>
          <cell r="T903">
            <v>1801.6999999999998</v>
          </cell>
          <cell r="U903">
            <v>2062</v>
          </cell>
          <cell r="V903">
            <v>8866.6</v>
          </cell>
          <cell r="W903">
            <v>2093</v>
          </cell>
          <cell r="X903">
            <v>8999.9</v>
          </cell>
          <cell r="Y903"/>
          <cell r="Z903">
            <v>0</v>
          </cell>
          <cell r="AA903"/>
          <cell r="AB903">
            <v>0</v>
          </cell>
          <cell r="AC903"/>
          <cell r="AD903">
            <v>0</v>
          </cell>
          <cell r="AE903"/>
          <cell r="AF903"/>
          <cell r="AG903"/>
          <cell r="AH903"/>
          <cell r="AI903"/>
          <cell r="AJ903">
            <v>5.0000000000000001E-3</v>
          </cell>
          <cell r="AK903" t="str">
            <v>3P</v>
          </cell>
          <cell r="AL903">
            <v>187</v>
          </cell>
          <cell r="AM903">
            <v>358</v>
          </cell>
          <cell r="AN903" t="str">
            <v>03 New Dealer</v>
          </cell>
          <cell r="AO903" t="str">
            <v>Northwest</v>
          </cell>
          <cell r="AP903" t="str">
            <v>West</v>
          </cell>
          <cell r="AQ903"/>
          <cell r="AR903">
            <v>0</v>
          </cell>
          <cell r="AS903">
            <v>43868</v>
          </cell>
        </row>
        <row r="904">
          <cell r="A904">
            <v>12641</v>
          </cell>
          <cell r="B904" t="str">
            <v>AMERICA WEST TRAILERS</v>
          </cell>
          <cell r="C904" t="str">
            <v>M10027</v>
          </cell>
          <cell r="D904" t="str">
            <v>NET 5, BT+</v>
          </cell>
          <cell r="E904" t="str">
            <v>FP - Wells Fargo</v>
          </cell>
          <cell r="F904" t="str">
            <v>Yes</v>
          </cell>
          <cell r="G904" t="str">
            <v>ID</v>
          </cell>
          <cell r="H904">
            <v>8</v>
          </cell>
          <cell r="I904">
            <v>0.7</v>
          </cell>
          <cell r="J904" t="str">
            <v>Orphaned Acct</v>
          </cell>
          <cell r="K904" t="str">
            <v>HERMISTON</v>
          </cell>
          <cell r="L904" t="str">
            <v>OR</v>
          </cell>
          <cell r="M904" t="str">
            <v>208-459-0106</v>
          </cell>
          <cell r="N904"/>
          <cell r="O904">
            <v>1945</v>
          </cell>
          <cell r="P904">
            <v>8363.5</v>
          </cell>
          <cell r="Q904"/>
          <cell r="R904">
            <v>0</v>
          </cell>
          <cell r="S904">
            <v>224</v>
          </cell>
          <cell r="T904">
            <v>963.19999999999993</v>
          </cell>
          <cell r="U904">
            <v>1862</v>
          </cell>
          <cell r="V904">
            <v>8006.5999999999995</v>
          </cell>
          <cell r="W904">
            <v>1897</v>
          </cell>
          <cell r="X904">
            <v>8157.0999999999995</v>
          </cell>
          <cell r="Y904"/>
          <cell r="Z904">
            <v>0</v>
          </cell>
          <cell r="AA904"/>
          <cell r="AB904">
            <v>0</v>
          </cell>
          <cell r="AC904"/>
          <cell r="AD904">
            <v>0</v>
          </cell>
          <cell r="AE904"/>
          <cell r="AF904"/>
          <cell r="AG904"/>
          <cell r="AH904"/>
          <cell r="AI904"/>
          <cell r="AJ904">
            <v>0</v>
          </cell>
          <cell r="AK904" t="str">
            <v>3P</v>
          </cell>
          <cell r="AL904">
            <v>213</v>
          </cell>
          <cell r="AM904">
            <v>460</v>
          </cell>
          <cell r="AN904" t="str">
            <v>08 Inactive Dealer</v>
          </cell>
          <cell r="AO904" t="str">
            <v>Northwest</v>
          </cell>
          <cell r="AP904" t="str">
            <v>West</v>
          </cell>
          <cell r="AQ904"/>
          <cell r="AR904">
            <v>0</v>
          </cell>
          <cell r="AS904">
            <v>0</v>
          </cell>
        </row>
        <row r="905">
          <cell r="A905">
            <v>12753</v>
          </cell>
          <cell r="B905" t="str">
            <v>B&amp;V ENTERPRISES, INC</v>
          </cell>
          <cell r="C905" t="str">
            <v>M10040</v>
          </cell>
          <cell r="D905" t="str">
            <v>NET 5, BT+</v>
          </cell>
          <cell r="E905" t="str">
            <v>COD</v>
          </cell>
          <cell r="F905" t="str">
            <v>Yes</v>
          </cell>
          <cell r="G905" t="str">
            <v>ID</v>
          </cell>
          <cell r="H905">
            <v>7</v>
          </cell>
          <cell r="I905">
            <v>0.7</v>
          </cell>
          <cell r="J905" t="str">
            <v>House</v>
          </cell>
          <cell r="K905" t="str">
            <v>ROSEBURG</v>
          </cell>
          <cell r="L905" t="str">
            <v>OR</v>
          </cell>
          <cell r="M905" t="str">
            <v>208-459-0106</v>
          </cell>
          <cell r="N905"/>
          <cell r="O905">
            <v>2225</v>
          </cell>
          <cell r="P905">
            <v>9567.5</v>
          </cell>
          <cell r="Q905"/>
          <cell r="R905">
            <v>0</v>
          </cell>
          <cell r="S905">
            <v>487</v>
          </cell>
          <cell r="T905">
            <v>2094.1</v>
          </cell>
          <cell r="U905">
            <v>2144</v>
          </cell>
          <cell r="V905">
            <v>9219.1999999999989</v>
          </cell>
          <cell r="W905">
            <v>2177</v>
          </cell>
          <cell r="X905">
            <v>9361.1</v>
          </cell>
          <cell r="Y905"/>
          <cell r="Z905">
            <v>0</v>
          </cell>
          <cell r="AA905"/>
          <cell r="AB905">
            <v>0</v>
          </cell>
          <cell r="AC905"/>
          <cell r="AD905">
            <v>0</v>
          </cell>
          <cell r="AE905"/>
          <cell r="AF905"/>
          <cell r="AG905"/>
          <cell r="AH905"/>
          <cell r="AI905"/>
          <cell r="AJ905">
            <v>0</v>
          </cell>
          <cell r="AK905" t="str">
            <v>3P</v>
          </cell>
          <cell r="AL905">
            <v>400</v>
          </cell>
          <cell r="AM905">
            <v>385</v>
          </cell>
          <cell r="AN905" t="str">
            <v>08 Inactive Dealer</v>
          </cell>
          <cell r="AO905" t="str">
            <v>Northwest</v>
          </cell>
          <cell r="AP905" t="str">
            <v>West</v>
          </cell>
          <cell r="AQ905"/>
          <cell r="AR905">
            <v>0</v>
          </cell>
          <cell r="AS905">
            <v>0</v>
          </cell>
        </row>
        <row r="906">
          <cell r="A906">
            <v>11501</v>
          </cell>
          <cell r="B906" t="str">
            <v>BLASER</v>
          </cell>
          <cell r="C906" t="str">
            <v>M10104</v>
          </cell>
          <cell r="D906" t="str">
            <v>Return Mail, no pink card</v>
          </cell>
          <cell r="E906" t="str">
            <v>CF</v>
          </cell>
          <cell r="F906" t="str">
            <v>Yes</v>
          </cell>
          <cell r="G906" t="str">
            <v>ID</v>
          </cell>
          <cell r="H906">
            <v>8</v>
          </cell>
          <cell r="I906">
            <v>0.7</v>
          </cell>
          <cell r="J906" t="str">
            <v>Nate Erickson</v>
          </cell>
          <cell r="K906" t="str">
            <v>GERVAIS</v>
          </cell>
          <cell r="L906" t="str">
            <v>OR</v>
          </cell>
          <cell r="M906" t="str">
            <v>208-459-0106</v>
          </cell>
          <cell r="N906"/>
          <cell r="O906">
            <v>2163</v>
          </cell>
          <cell r="P906">
            <v>9300.9</v>
          </cell>
          <cell r="Q906"/>
          <cell r="R906">
            <v>0</v>
          </cell>
          <cell r="S906">
            <v>441</v>
          </cell>
          <cell r="T906">
            <v>1896.3</v>
          </cell>
          <cell r="U906">
            <v>2084</v>
          </cell>
          <cell r="V906">
            <v>8961.1999999999989</v>
          </cell>
          <cell r="W906">
            <v>2115</v>
          </cell>
          <cell r="X906">
            <v>9094.5</v>
          </cell>
          <cell r="Y906"/>
          <cell r="Z906">
            <v>0</v>
          </cell>
          <cell r="AA906"/>
          <cell r="AB906">
            <v>0</v>
          </cell>
          <cell r="AC906"/>
          <cell r="AD906">
            <v>0</v>
          </cell>
          <cell r="AE906"/>
          <cell r="AF906"/>
          <cell r="AG906"/>
          <cell r="AH906"/>
          <cell r="AI906"/>
          <cell r="AJ906">
            <v>0</v>
          </cell>
          <cell r="AK906" t="str">
            <v>3P</v>
          </cell>
          <cell r="AL906">
            <v>187</v>
          </cell>
          <cell r="AM906">
            <v>395</v>
          </cell>
          <cell r="AN906" t="str">
            <v>01 Existing Dealer</v>
          </cell>
          <cell r="AO906" t="str">
            <v>Northwest</v>
          </cell>
          <cell r="AP906" t="str">
            <v>West</v>
          </cell>
          <cell r="AQ906"/>
          <cell r="AR906">
            <v>0</v>
          </cell>
          <cell r="AS906">
            <v>0</v>
          </cell>
        </row>
        <row r="907">
          <cell r="A907" t="str">
            <v>11501A</v>
          </cell>
          <cell r="B907" t="str">
            <v>BLASER</v>
          </cell>
          <cell r="C907" t="str">
            <v>M10104</v>
          </cell>
          <cell r="D907" t="str">
            <v>Return Mail, no pink card</v>
          </cell>
          <cell r="E907" t="str">
            <v>F1 - Wells Fargo</v>
          </cell>
          <cell r="F907" t="str">
            <v>Yes</v>
          </cell>
          <cell r="G907" t="str">
            <v>ID</v>
          </cell>
          <cell r="H907">
            <v>8</v>
          </cell>
          <cell r="I907">
            <v>0.7</v>
          </cell>
          <cell r="J907" t="str">
            <v>Nate Erickson</v>
          </cell>
          <cell r="K907" t="str">
            <v>ALBANY</v>
          </cell>
          <cell r="L907" t="str">
            <v>OR</v>
          </cell>
          <cell r="M907" t="str">
            <v>208-459-0106</v>
          </cell>
          <cell r="N907"/>
          <cell r="O907">
            <v>2196</v>
          </cell>
          <cell r="P907">
            <v>9442.7999999999993</v>
          </cell>
          <cell r="Q907"/>
          <cell r="R907">
            <v>0</v>
          </cell>
          <cell r="S907">
            <v>475</v>
          </cell>
          <cell r="T907">
            <v>2042.5</v>
          </cell>
          <cell r="U907">
            <v>2113</v>
          </cell>
          <cell r="V907">
            <v>9085.9</v>
          </cell>
          <cell r="W907">
            <v>2148</v>
          </cell>
          <cell r="X907">
            <v>9236.4</v>
          </cell>
          <cell r="Y907"/>
          <cell r="Z907">
            <v>0</v>
          </cell>
          <cell r="AA907"/>
          <cell r="AB907">
            <v>0</v>
          </cell>
          <cell r="AC907"/>
          <cell r="AD907">
            <v>0</v>
          </cell>
          <cell r="AE907"/>
          <cell r="AF907"/>
          <cell r="AG907"/>
          <cell r="AH907"/>
          <cell r="AI907"/>
          <cell r="AJ907">
            <v>0.05</v>
          </cell>
          <cell r="AK907" t="str">
            <v>3P</v>
          </cell>
          <cell r="AL907">
            <v>187</v>
          </cell>
          <cell r="AM907">
            <v>395</v>
          </cell>
          <cell r="AN907" t="str">
            <v>01 Existing Dealer</v>
          </cell>
          <cell r="AO907" t="str">
            <v>Northwest</v>
          </cell>
          <cell r="AP907" t="str">
            <v>West</v>
          </cell>
          <cell r="AQ907"/>
          <cell r="AR907">
            <v>0</v>
          </cell>
          <cell r="AS907">
            <v>0</v>
          </cell>
        </row>
        <row r="908">
          <cell r="A908" t="str">
            <v>11501B</v>
          </cell>
          <cell r="B908" t="str">
            <v>BLASER</v>
          </cell>
          <cell r="C908" t="str">
            <v>M10104</v>
          </cell>
          <cell r="D908" t="str">
            <v>Return Mail, no pink card</v>
          </cell>
          <cell r="E908" t="str">
            <v>F1 - Wells Fargo</v>
          </cell>
          <cell r="F908" t="str">
            <v>Yes</v>
          </cell>
          <cell r="G908" t="str">
            <v>ID</v>
          </cell>
          <cell r="H908">
            <v>8</v>
          </cell>
          <cell r="I908">
            <v>0.7</v>
          </cell>
          <cell r="J908" t="str">
            <v>Nate Erickson</v>
          </cell>
          <cell r="K908" t="str">
            <v>BORING</v>
          </cell>
          <cell r="L908" t="str">
            <v>OR</v>
          </cell>
          <cell r="M908" t="str">
            <v>208-459-0106</v>
          </cell>
          <cell r="N908"/>
          <cell r="O908">
            <v>2122</v>
          </cell>
          <cell r="P908">
            <v>9124.6</v>
          </cell>
          <cell r="Q908"/>
          <cell r="R908">
            <v>0</v>
          </cell>
          <cell r="S908">
            <v>400</v>
          </cell>
          <cell r="T908">
            <v>1720</v>
          </cell>
          <cell r="U908">
            <v>2039</v>
          </cell>
          <cell r="V908">
            <v>8767.6999999999989</v>
          </cell>
          <cell r="W908">
            <v>2168</v>
          </cell>
          <cell r="X908">
            <v>9322.4</v>
          </cell>
          <cell r="Y908"/>
          <cell r="Z908">
            <v>0</v>
          </cell>
          <cell r="AA908"/>
          <cell r="AB908">
            <v>0</v>
          </cell>
          <cell r="AC908"/>
          <cell r="AD908">
            <v>0</v>
          </cell>
          <cell r="AE908"/>
          <cell r="AF908"/>
          <cell r="AG908"/>
          <cell r="AH908"/>
          <cell r="AI908"/>
          <cell r="AJ908">
            <v>0.05</v>
          </cell>
          <cell r="AK908" t="str">
            <v>3P</v>
          </cell>
          <cell r="AL908">
            <v>187</v>
          </cell>
          <cell r="AM908">
            <v>358</v>
          </cell>
          <cell r="AN908" t="str">
            <v>01 Existing Dealer</v>
          </cell>
          <cell r="AO908" t="str">
            <v>Northwest</v>
          </cell>
          <cell r="AP908" t="str">
            <v>West</v>
          </cell>
          <cell r="AQ908"/>
          <cell r="AR908">
            <v>0</v>
          </cell>
          <cell r="AS908">
            <v>0</v>
          </cell>
        </row>
        <row r="909">
          <cell r="A909" t="str">
            <v>11501C</v>
          </cell>
          <cell r="B909" t="str">
            <v>BLASER</v>
          </cell>
          <cell r="C909" t="str">
            <v>M10104</v>
          </cell>
          <cell r="D909" t="str">
            <v>Return Mail, no pink card</v>
          </cell>
          <cell r="E909" t="str">
            <v>F1 - Wells Fargo</v>
          </cell>
          <cell r="F909" t="str">
            <v>Yes</v>
          </cell>
          <cell r="G909" t="str">
            <v>ID</v>
          </cell>
          <cell r="H909">
            <v>8</v>
          </cell>
          <cell r="I909">
            <v>0.7</v>
          </cell>
          <cell r="J909" t="str">
            <v>Nate Erickson</v>
          </cell>
          <cell r="K909" t="str">
            <v>WOODBURN</v>
          </cell>
          <cell r="L909" t="str">
            <v>OR</v>
          </cell>
          <cell r="M909" t="str">
            <v>208-459-0106</v>
          </cell>
          <cell r="N909"/>
          <cell r="O909">
            <v>2158</v>
          </cell>
          <cell r="P909">
            <v>9279.4</v>
          </cell>
          <cell r="Q909"/>
          <cell r="R909">
            <v>0</v>
          </cell>
          <cell r="S909">
            <v>437</v>
          </cell>
          <cell r="T909">
            <v>1879.1</v>
          </cell>
          <cell r="U909">
            <v>2075</v>
          </cell>
          <cell r="V909">
            <v>8922.5</v>
          </cell>
          <cell r="W909">
            <v>2110</v>
          </cell>
          <cell r="X909">
            <v>9073</v>
          </cell>
          <cell r="Y909"/>
          <cell r="Z909">
            <v>0</v>
          </cell>
          <cell r="AA909"/>
          <cell r="AB909">
            <v>0</v>
          </cell>
          <cell r="AC909"/>
          <cell r="AD909">
            <v>0</v>
          </cell>
          <cell r="AE909"/>
          <cell r="AF909"/>
          <cell r="AG909"/>
          <cell r="AH909"/>
          <cell r="AI909"/>
          <cell r="AJ909">
            <v>0.05</v>
          </cell>
          <cell r="AK909" t="str">
            <v>3P</v>
          </cell>
          <cell r="AL909">
            <v>187</v>
          </cell>
          <cell r="AM909">
            <v>395</v>
          </cell>
          <cell r="AN909" t="str">
            <v>01 Existing Dealer</v>
          </cell>
          <cell r="AO909" t="str">
            <v>Northwest</v>
          </cell>
          <cell r="AP909" t="str">
            <v>West</v>
          </cell>
          <cell r="AQ909"/>
          <cell r="AR909">
            <v>0</v>
          </cell>
          <cell r="AS909">
            <v>0</v>
          </cell>
        </row>
        <row r="910">
          <cell r="A910" t="str">
            <v>11501D</v>
          </cell>
          <cell r="B910" t="str">
            <v>BLASER</v>
          </cell>
          <cell r="C910" t="str">
            <v>M10104</v>
          </cell>
          <cell r="D910" t="str">
            <v>Return Mail, no pink card</v>
          </cell>
          <cell r="E910" t="str">
            <v>F1 - Wells Fargo</v>
          </cell>
          <cell r="F910" t="str">
            <v>Yes</v>
          </cell>
          <cell r="G910" t="str">
            <v>ID</v>
          </cell>
          <cell r="H910">
            <v>8</v>
          </cell>
          <cell r="I910">
            <v>0.7</v>
          </cell>
          <cell r="J910" t="str">
            <v>Nate Erickson</v>
          </cell>
          <cell r="K910" t="str">
            <v>BEND</v>
          </cell>
          <cell r="L910" t="str">
            <v>OR</v>
          </cell>
          <cell r="M910" t="str">
            <v>208-459-0106</v>
          </cell>
          <cell r="N910"/>
          <cell r="O910">
            <v>2012</v>
          </cell>
          <cell r="P910">
            <v>8651.6</v>
          </cell>
          <cell r="Q910"/>
          <cell r="R910">
            <v>0</v>
          </cell>
          <cell r="S910">
            <v>291</v>
          </cell>
          <cell r="T910">
            <v>1251.3</v>
          </cell>
          <cell r="U910">
            <v>1929</v>
          </cell>
          <cell r="V910">
            <v>8294.6999999999989</v>
          </cell>
          <cell r="W910">
            <v>1964</v>
          </cell>
          <cell r="X910">
            <v>8445.1999999999989</v>
          </cell>
          <cell r="Y910"/>
          <cell r="Z910">
            <v>0</v>
          </cell>
          <cell r="AA910"/>
          <cell r="AB910">
            <v>0</v>
          </cell>
          <cell r="AC910"/>
          <cell r="AD910">
            <v>0</v>
          </cell>
          <cell r="AE910"/>
          <cell r="AF910"/>
          <cell r="AG910"/>
          <cell r="AH910"/>
          <cell r="AI910"/>
          <cell r="AJ910">
            <v>0.05</v>
          </cell>
          <cell r="AK910" t="str">
            <v>3P</v>
          </cell>
          <cell r="AL910">
            <v>187</v>
          </cell>
          <cell r="AM910">
            <v>38</v>
          </cell>
          <cell r="AN910" t="str">
            <v>01 Existing Dealer</v>
          </cell>
          <cell r="AO910" t="str">
            <v>Northwest</v>
          </cell>
          <cell r="AP910" t="str">
            <v>West</v>
          </cell>
          <cell r="AQ910"/>
          <cell r="AR910">
            <v>0</v>
          </cell>
          <cell r="AS910">
            <v>0</v>
          </cell>
        </row>
        <row r="911">
          <cell r="A911" t="str">
            <v>11501E</v>
          </cell>
          <cell r="B911" t="str">
            <v>BLASER</v>
          </cell>
          <cell r="C911" t="str">
            <v>M10104</v>
          </cell>
          <cell r="D911" t="str">
            <v>Return Mail, no pink card</v>
          </cell>
          <cell r="E911" t="str">
            <v>F1 - Wells Fargo</v>
          </cell>
          <cell r="F911" t="str">
            <v>Yes</v>
          </cell>
          <cell r="G911" t="str">
            <v>ID</v>
          </cell>
          <cell r="H911">
            <v>8</v>
          </cell>
          <cell r="I911">
            <v>0.7</v>
          </cell>
          <cell r="J911" t="str">
            <v>Nate Erickson</v>
          </cell>
          <cell r="K911" t="str">
            <v>ONTARIO</v>
          </cell>
          <cell r="L911" t="str">
            <v>OR</v>
          </cell>
          <cell r="M911" t="str">
            <v>208-459-0106</v>
          </cell>
          <cell r="N911"/>
          <cell r="O911">
            <v>1753</v>
          </cell>
          <cell r="P911">
            <v>7537.9</v>
          </cell>
          <cell r="Q911"/>
          <cell r="R911">
            <v>0</v>
          </cell>
          <cell r="S911">
            <v>31</v>
          </cell>
          <cell r="T911">
            <v>133.29999999999998</v>
          </cell>
          <cell r="U911">
            <v>1674</v>
          </cell>
          <cell r="V911">
            <v>7198.2</v>
          </cell>
          <cell r="W911">
            <v>1704</v>
          </cell>
          <cell r="X911">
            <v>7327.2</v>
          </cell>
          <cell r="Y911"/>
          <cell r="Z911">
            <v>0</v>
          </cell>
          <cell r="AA911"/>
          <cell r="AB911">
            <v>0</v>
          </cell>
          <cell r="AC911"/>
          <cell r="AD911">
            <v>0</v>
          </cell>
          <cell r="AE911"/>
          <cell r="AF911"/>
          <cell r="AG911"/>
          <cell r="AH911"/>
          <cell r="AI911"/>
          <cell r="AJ911">
            <v>0.05</v>
          </cell>
          <cell r="AK911" t="str">
            <v>3P</v>
          </cell>
          <cell r="AL911">
            <v>187</v>
          </cell>
          <cell r="AM911">
            <v>50</v>
          </cell>
          <cell r="AN911" t="str">
            <v>01 Existing Dealer</v>
          </cell>
          <cell r="AO911" t="str">
            <v>Northwest</v>
          </cell>
          <cell r="AP911" t="str">
            <v>West</v>
          </cell>
          <cell r="AQ911"/>
          <cell r="AR911">
            <v>0</v>
          </cell>
          <cell r="AS911">
            <v>0</v>
          </cell>
        </row>
        <row r="912">
          <cell r="A912" t="str">
            <v>11501F</v>
          </cell>
          <cell r="B912" t="str">
            <v>BLASER</v>
          </cell>
          <cell r="C912" t="str">
            <v>M10104</v>
          </cell>
          <cell r="D912" t="str">
            <v>Return Mail, no pink card</v>
          </cell>
          <cell r="E912" t="str">
            <v>F1 - Wells Fargo</v>
          </cell>
          <cell r="F912" t="str">
            <v>Yes</v>
          </cell>
          <cell r="G912" t="str">
            <v>ID</v>
          </cell>
          <cell r="H912">
            <v>8</v>
          </cell>
          <cell r="I912">
            <v>0.7</v>
          </cell>
          <cell r="J912" t="str">
            <v>Nate Erickson</v>
          </cell>
          <cell r="K912" t="str">
            <v>HERMISTON</v>
          </cell>
          <cell r="L912" t="str">
            <v>OR</v>
          </cell>
          <cell r="M912" t="str">
            <v>208-459-0106</v>
          </cell>
          <cell r="N912"/>
          <cell r="O912">
            <v>1945</v>
          </cell>
          <cell r="P912">
            <v>8363.5</v>
          </cell>
          <cell r="Q912"/>
          <cell r="R912">
            <v>0</v>
          </cell>
          <cell r="S912">
            <v>224</v>
          </cell>
          <cell r="T912">
            <v>963.19999999999993</v>
          </cell>
          <cell r="U912">
            <v>1867</v>
          </cell>
          <cell r="V912">
            <v>8028.0999999999995</v>
          </cell>
          <cell r="W912">
            <v>1897</v>
          </cell>
          <cell r="X912">
            <v>8157.0999999999995</v>
          </cell>
          <cell r="Y912"/>
          <cell r="Z912">
            <v>0</v>
          </cell>
          <cell r="AA912"/>
          <cell r="AB912">
            <v>0</v>
          </cell>
          <cell r="AC912"/>
          <cell r="AD912">
            <v>0</v>
          </cell>
          <cell r="AE912"/>
          <cell r="AF912"/>
          <cell r="AG912"/>
          <cell r="AH912"/>
          <cell r="AI912"/>
          <cell r="AJ912">
            <v>0.05</v>
          </cell>
          <cell r="AK912" t="str">
            <v>3P</v>
          </cell>
          <cell r="AL912">
            <v>187</v>
          </cell>
          <cell r="AM912">
            <v>460</v>
          </cell>
          <cell r="AN912" t="str">
            <v>01 Existing Dealer</v>
          </cell>
          <cell r="AO912" t="str">
            <v>Northwest</v>
          </cell>
          <cell r="AP912" t="str">
            <v>West</v>
          </cell>
          <cell r="AQ912"/>
          <cell r="AR912">
            <v>0</v>
          </cell>
          <cell r="AS912">
            <v>0</v>
          </cell>
        </row>
        <row r="913">
          <cell r="A913" t="str">
            <v>12019A</v>
          </cell>
          <cell r="B913" t="str">
            <v>BLASER</v>
          </cell>
          <cell r="C913" t="str">
            <v>M10104</v>
          </cell>
          <cell r="D913" t="str">
            <v>Return Mail, no pink card</v>
          </cell>
          <cell r="E913" t="str">
            <v>On Hold</v>
          </cell>
          <cell r="F913" t="str">
            <v>Yes</v>
          </cell>
          <cell r="G913" t="str">
            <v>ID</v>
          </cell>
          <cell r="H913">
            <v>6</v>
          </cell>
          <cell r="I913">
            <v>0.7</v>
          </cell>
          <cell r="J913" t="str">
            <v>House</v>
          </cell>
          <cell r="K913" t="str">
            <v>BORING</v>
          </cell>
          <cell r="L913" t="str">
            <v>OR</v>
          </cell>
          <cell r="M913" t="str">
            <v>208-459-0106</v>
          </cell>
          <cell r="N913"/>
          <cell r="O913">
            <v>2122</v>
          </cell>
          <cell r="P913">
            <v>9124.6</v>
          </cell>
          <cell r="Q913"/>
          <cell r="R913">
            <v>0</v>
          </cell>
          <cell r="S913">
            <v>400</v>
          </cell>
          <cell r="T913">
            <v>1720</v>
          </cell>
          <cell r="U913"/>
          <cell r="V913">
            <v>0</v>
          </cell>
          <cell r="W913"/>
          <cell r="X913">
            <v>0</v>
          </cell>
          <cell r="Y913"/>
          <cell r="Z913">
            <v>0</v>
          </cell>
          <cell r="AA913"/>
          <cell r="AB913">
            <v>0</v>
          </cell>
          <cell r="AC913"/>
          <cell r="AD913">
            <v>0</v>
          </cell>
          <cell r="AE913"/>
          <cell r="AF913"/>
          <cell r="AG913"/>
          <cell r="AH913"/>
          <cell r="AI913"/>
          <cell r="AJ913">
            <v>0.05</v>
          </cell>
          <cell r="AK913" t="str">
            <v>3P</v>
          </cell>
          <cell r="AL913">
            <v>400</v>
          </cell>
          <cell r="AM913">
            <v>358</v>
          </cell>
          <cell r="AN913" t="str">
            <v>01 Existing Dealer</v>
          </cell>
          <cell r="AO913" t="str">
            <v>Northwest</v>
          </cell>
          <cell r="AP913" t="str">
            <v>West</v>
          </cell>
          <cell r="AQ913"/>
          <cell r="AR913">
            <v>0</v>
          </cell>
          <cell r="AS913">
            <v>0</v>
          </cell>
          <cell r="AT913"/>
        </row>
        <row r="914">
          <cell r="A914" t="str">
            <v>12019B</v>
          </cell>
          <cell r="B914" t="str">
            <v>BLASER</v>
          </cell>
          <cell r="C914" t="str">
            <v>M10104</v>
          </cell>
          <cell r="D914" t="str">
            <v>Return Mail, no pink card</v>
          </cell>
          <cell r="E914" t="str">
            <v>On Hold</v>
          </cell>
          <cell r="F914" t="str">
            <v>Yes</v>
          </cell>
          <cell r="G914" t="str">
            <v>ID</v>
          </cell>
          <cell r="H914">
            <v>6</v>
          </cell>
          <cell r="I914">
            <v>0.7</v>
          </cell>
          <cell r="J914" t="str">
            <v>House</v>
          </cell>
          <cell r="K914" t="str">
            <v>WOODBURN</v>
          </cell>
          <cell r="L914" t="str">
            <v>OR</v>
          </cell>
          <cell r="M914" t="str">
            <v>208-459-0106</v>
          </cell>
          <cell r="N914"/>
          <cell r="O914">
            <v>2158</v>
          </cell>
          <cell r="P914">
            <v>9279.4</v>
          </cell>
          <cell r="Q914"/>
          <cell r="R914">
            <v>0</v>
          </cell>
          <cell r="S914">
            <v>437</v>
          </cell>
          <cell r="T914">
            <v>1879.1</v>
          </cell>
          <cell r="U914">
            <v>2075</v>
          </cell>
          <cell r="V914">
            <v>8922.5</v>
          </cell>
          <cell r="W914">
            <v>2110</v>
          </cell>
          <cell r="X914">
            <v>9073</v>
          </cell>
          <cell r="Y914"/>
          <cell r="Z914">
            <v>0</v>
          </cell>
          <cell r="AA914"/>
          <cell r="AB914">
            <v>0</v>
          </cell>
          <cell r="AC914"/>
          <cell r="AD914">
            <v>0</v>
          </cell>
          <cell r="AE914"/>
          <cell r="AF914"/>
          <cell r="AG914"/>
          <cell r="AH914"/>
          <cell r="AI914"/>
          <cell r="AJ914">
            <v>0.05</v>
          </cell>
          <cell r="AK914" t="str">
            <v>3P</v>
          </cell>
          <cell r="AL914">
            <v>400</v>
          </cell>
          <cell r="AM914">
            <v>395</v>
          </cell>
          <cell r="AN914" t="str">
            <v>01 Existing Dealer</v>
          </cell>
          <cell r="AO914" t="str">
            <v>Northwest</v>
          </cell>
          <cell r="AP914" t="str">
            <v>West</v>
          </cell>
          <cell r="AQ914"/>
          <cell r="AR914">
            <v>0</v>
          </cell>
          <cell r="AS914">
            <v>0</v>
          </cell>
          <cell r="AT914"/>
        </row>
        <row r="915">
          <cell r="A915" t="str">
            <v>12019C</v>
          </cell>
          <cell r="B915" t="str">
            <v>BLASER</v>
          </cell>
          <cell r="C915" t="str">
            <v>M10104</v>
          </cell>
          <cell r="D915" t="str">
            <v>Return Mail, no pink card</v>
          </cell>
          <cell r="E915" t="str">
            <v>On Hold</v>
          </cell>
          <cell r="F915" t="str">
            <v>Yes</v>
          </cell>
          <cell r="G915" t="str">
            <v>ID</v>
          </cell>
          <cell r="H915">
            <v>6</v>
          </cell>
          <cell r="I915">
            <v>0.7</v>
          </cell>
          <cell r="J915" t="str">
            <v>House</v>
          </cell>
          <cell r="K915" t="str">
            <v>BEND</v>
          </cell>
          <cell r="L915" t="str">
            <v>OR</v>
          </cell>
          <cell r="M915" t="str">
            <v>208-459-0106</v>
          </cell>
          <cell r="N915"/>
          <cell r="O915">
            <v>2035</v>
          </cell>
          <cell r="P915">
            <v>8750.5</v>
          </cell>
          <cell r="Q915"/>
          <cell r="R915">
            <v>0</v>
          </cell>
          <cell r="S915">
            <v>313</v>
          </cell>
          <cell r="T915">
            <v>1345.8999999999999</v>
          </cell>
          <cell r="U915">
            <v>1951</v>
          </cell>
          <cell r="V915">
            <v>8389.2999999999993</v>
          </cell>
          <cell r="W915"/>
          <cell r="X915">
            <v>0</v>
          </cell>
          <cell r="Y915"/>
          <cell r="Z915">
            <v>0</v>
          </cell>
          <cell r="AA915"/>
          <cell r="AB915">
            <v>0</v>
          </cell>
          <cell r="AC915"/>
          <cell r="AD915">
            <v>0</v>
          </cell>
          <cell r="AE915"/>
          <cell r="AF915"/>
          <cell r="AG915"/>
          <cell r="AH915"/>
          <cell r="AI915"/>
          <cell r="AJ915">
            <v>0.05</v>
          </cell>
          <cell r="AK915" t="str">
            <v>3P</v>
          </cell>
          <cell r="AL915">
            <v>400</v>
          </cell>
          <cell r="AM915">
            <v>38</v>
          </cell>
          <cell r="AN915" t="str">
            <v>01 Existing Dealer</v>
          </cell>
          <cell r="AO915" t="str">
            <v>Northwest</v>
          </cell>
          <cell r="AP915" t="str">
            <v>West</v>
          </cell>
          <cell r="AQ915"/>
          <cell r="AR915">
            <v>0</v>
          </cell>
          <cell r="AS915">
            <v>0</v>
          </cell>
        </row>
        <row r="916">
          <cell r="A916">
            <v>12019</v>
          </cell>
          <cell r="B916" t="str">
            <v>BLASER</v>
          </cell>
          <cell r="C916" t="str">
            <v>M10104</v>
          </cell>
          <cell r="D916" t="str">
            <v>Return Mail, no pink card</v>
          </cell>
          <cell r="E916" t="str">
            <v>On Hold</v>
          </cell>
          <cell r="F916" t="str">
            <v>No</v>
          </cell>
          <cell r="G916" t="str">
            <v>ID</v>
          </cell>
          <cell r="H916">
            <v>6</v>
          </cell>
          <cell r="I916">
            <v>0.7</v>
          </cell>
          <cell r="J916" t="str">
            <v>House</v>
          </cell>
          <cell r="K916" t="str">
            <v>GERVAIS</v>
          </cell>
          <cell r="L916" t="str">
            <v>OR</v>
          </cell>
          <cell r="M916" t="str">
            <v>208-459-0106</v>
          </cell>
          <cell r="N916"/>
          <cell r="O916">
            <v>2158</v>
          </cell>
          <cell r="P916">
            <v>9279.4</v>
          </cell>
          <cell r="Q916"/>
          <cell r="R916">
            <v>0</v>
          </cell>
          <cell r="S916">
            <v>437</v>
          </cell>
          <cell r="T916">
            <v>1879.1</v>
          </cell>
          <cell r="U916">
            <v>2075</v>
          </cell>
          <cell r="V916">
            <v>8922.5</v>
          </cell>
          <cell r="W916">
            <v>2110</v>
          </cell>
          <cell r="X916">
            <v>9073</v>
          </cell>
          <cell r="Y916"/>
          <cell r="Z916">
            <v>0</v>
          </cell>
          <cell r="AA916"/>
          <cell r="AB916">
            <v>0</v>
          </cell>
          <cell r="AC916"/>
          <cell r="AD916">
            <v>0</v>
          </cell>
          <cell r="AE916"/>
          <cell r="AF916"/>
          <cell r="AG916"/>
          <cell r="AH916"/>
          <cell r="AI916"/>
          <cell r="AJ916">
            <v>0.05</v>
          </cell>
          <cell r="AK916" t="str">
            <v>3P</v>
          </cell>
          <cell r="AL916">
            <v>400</v>
          </cell>
          <cell r="AM916">
            <v>395</v>
          </cell>
          <cell r="AN916" t="str">
            <v>01 Existing Dealer</v>
          </cell>
          <cell r="AO916" t="str">
            <v>Northwest</v>
          </cell>
          <cell r="AP916" t="str">
            <v>West</v>
          </cell>
          <cell r="AQ916"/>
          <cell r="AR916">
            <v>0</v>
          </cell>
          <cell r="AS916">
            <v>0</v>
          </cell>
        </row>
        <row r="917">
          <cell r="A917">
            <v>12923</v>
          </cell>
          <cell r="B917" t="str">
            <v>BLASER</v>
          </cell>
          <cell r="C917" t="str">
            <v>M10104</v>
          </cell>
          <cell r="D917" t="str">
            <v>NET 5, BT+</v>
          </cell>
          <cell r="E917" t="str">
            <v>CO</v>
          </cell>
          <cell r="F917" t="str">
            <v>Yes</v>
          </cell>
          <cell r="G917" t="str">
            <v>ID</v>
          </cell>
          <cell r="H917">
            <v>5</v>
          </cell>
          <cell r="I917">
            <v>0.7</v>
          </cell>
          <cell r="J917" t="str">
            <v>Nate Erickson</v>
          </cell>
          <cell r="K917" t="str">
            <v>GERVAIS</v>
          </cell>
          <cell r="L917" t="str">
            <v>OR</v>
          </cell>
          <cell r="M917" t="str">
            <v>208-459-0106</v>
          </cell>
          <cell r="N917"/>
          <cell r="O917">
            <v>2163</v>
          </cell>
          <cell r="P917">
            <v>9300.9</v>
          </cell>
          <cell r="Q917"/>
          <cell r="R917">
            <v>0</v>
          </cell>
          <cell r="S917">
            <v>441</v>
          </cell>
          <cell r="T917">
            <v>1896.3</v>
          </cell>
          <cell r="U917">
            <v>2084</v>
          </cell>
          <cell r="V917">
            <v>8961.1999999999989</v>
          </cell>
          <cell r="W917">
            <v>2115</v>
          </cell>
          <cell r="X917">
            <v>9094.5</v>
          </cell>
          <cell r="Y917"/>
          <cell r="Z917">
            <v>0</v>
          </cell>
          <cell r="AA917"/>
          <cell r="AB917">
            <v>0</v>
          </cell>
          <cell r="AC917"/>
          <cell r="AD917">
            <v>0</v>
          </cell>
          <cell r="AE917"/>
          <cell r="AF917"/>
          <cell r="AG917"/>
          <cell r="AH917"/>
          <cell r="AI917"/>
          <cell r="AJ917">
            <v>0.05</v>
          </cell>
          <cell r="AK917" t="str">
            <v>3P</v>
          </cell>
          <cell r="AL917">
            <v>187</v>
          </cell>
          <cell r="AM917">
            <v>395</v>
          </cell>
          <cell r="AN917" t="str">
            <v>01 Existing Dealer</v>
          </cell>
          <cell r="AO917" t="str">
            <v>Northwest</v>
          </cell>
          <cell r="AP917" t="str">
            <v>West</v>
          </cell>
          <cell r="AQ917"/>
          <cell r="AR917">
            <v>0</v>
          </cell>
          <cell r="AS917">
            <v>0</v>
          </cell>
        </row>
        <row r="918">
          <cell r="A918" t="str">
            <v>12923A</v>
          </cell>
          <cell r="B918" t="str">
            <v>BLASER</v>
          </cell>
          <cell r="C918" t="str">
            <v>M10104</v>
          </cell>
          <cell r="D918" t="str">
            <v>Return Mail, no pink card</v>
          </cell>
          <cell r="E918" t="str">
            <v>CO</v>
          </cell>
          <cell r="F918" t="str">
            <v>Yes</v>
          </cell>
          <cell r="G918" t="str">
            <v>ID</v>
          </cell>
          <cell r="H918">
            <v>5</v>
          </cell>
          <cell r="I918">
            <v>0.7</v>
          </cell>
          <cell r="J918" t="str">
            <v>Nate Erickson</v>
          </cell>
          <cell r="K918" t="str">
            <v>ALBANY</v>
          </cell>
          <cell r="L918" t="str">
            <v>OR</v>
          </cell>
          <cell r="M918" t="str">
            <v>208-459-0106</v>
          </cell>
          <cell r="N918"/>
          <cell r="O918">
            <v>2196</v>
          </cell>
          <cell r="P918">
            <v>9442.7999999999993</v>
          </cell>
          <cell r="Q918"/>
          <cell r="R918">
            <v>0</v>
          </cell>
          <cell r="S918">
            <v>475</v>
          </cell>
          <cell r="T918">
            <v>2042.5</v>
          </cell>
          <cell r="U918">
            <v>2113</v>
          </cell>
          <cell r="V918">
            <v>9085.9</v>
          </cell>
          <cell r="W918">
            <v>2148</v>
          </cell>
          <cell r="X918">
            <v>9236.4</v>
          </cell>
          <cell r="Y918"/>
          <cell r="Z918">
            <v>0</v>
          </cell>
          <cell r="AA918"/>
          <cell r="AB918">
            <v>0</v>
          </cell>
          <cell r="AC918"/>
          <cell r="AD918">
            <v>0</v>
          </cell>
          <cell r="AE918"/>
          <cell r="AF918"/>
          <cell r="AG918"/>
          <cell r="AH918"/>
          <cell r="AI918"/>
          <cell r="AJ918">
            <v>0.05</v>
          </cell>
          <cell r="AK918" t="str">
            <v>3P</v>
          </cell>
          <cell r="AL918">
            <v>187</v>
          </cell>
          <cell r="AM918">
            <v>395</v>
          </cell>
          <cell r="AN918" t="str">
            <v>01 Existing Dealer</v>
          </cell>
          <cell r="AO918" t="str">
            <v>Northwest</v>
          </cell>
          <cell r="AP918" t="str">
            <v>West</v>
          </cell>
          <cell r="AQ918"/>
          <cell r="AR918">
            <v>0</v>
          </cell>
          <cell r="AS918">
            <v>0</v>
          </cell>
        </row>
        <row r="919">
          <cell r="A919" t="str">
            <v>12923B</v>
          </cell>
          <cell r="B919" t="str">
            <v>BLASER</v>
          </cell>
          <cell r="C919" t="str">
            <v>M10104</v>
          </cell>
          <cell r="D919" t="str">
            <v>Return Mail, no pink card</v>
          </cell>
          <cell r="E919" t="str">
            <v>CO</v>
          </cell>
          <cell r="F919" t="str">
            <v>Yes</v>
          </cell>
          <cell r="G919" t="str">
            <v>ID</v>
          </cell>
          <cell r="H919">
            <v>5</v>
          </cell>
          <cell r="I919">
            <v>0.7</v>
          </cell>
          <cell r="J919" t="str">
            <v>Nate Erickson</v>
          </cell>
          <cell r="K919" t="str">
            <v>BORING</v>
          </cell>
          <cell r="L919" t="str">
            <v>OR</v>
          </cell>
          <cell r="M919" t="str">
            <v>208-459-0106</v>
          </cell>
          <cell r="N919"/>
          <cell r="O919">
            <v>2122</v>
          </cell>
          <cell r="P919">
            <v>9124.6</v>
          </cell>
          <cell r="Q919"/>
          <cell r="R919">
            <v>0</v>
          </cell>
          <cell r="S919">
            <v>400</v>
          </cell>
          <cell r="T919">
            <v>1720</v>
          </cell>
          <cell r="U919">
            <v>2039</v>
          </cell>
          <cell r="V919">
            <v>8767.6999999999989</v>
          </cell>
          <cell r="W919">
            <v>2168</v>
          </cell>
          <cell r="X919">
            <v>9322.4</v>
          </cell>
          <cell r="Y919"/>
          <cell r="Z919">
            <v>0</v>
          </cell>
          <cell r="AA919"/>
          <cell r="AB919">
            <v>0</v>
          </cell>
          <cell r="AC919"/>
          <cell r="AD919">
            <v>0</v>
          </cell>
          <cell r="AE919"/>
          <cell r="AF919"/>
          <cell r="AG919"/>
          <cell r="AH919"/>
          <cell r="AI919"/>
          <cell r="AJ919">
            <v>0.05</v>
          </cell>
          <cell r="AK919" t="str">
            <v>3P</v>
          </cell>
          <cell r="AL919">
            <v>187</v>
          </cell>
          <cell r="AM919">
            <v>358</v>
          </cell>
          <cell r="AN919" t="str">
            <v>01 Existing Dealer</v>
          </cell>
          <cell r="AO919" t="str">
            <v>Northwest</v>
          </cell>
          <cell r="AP919" t="str">
            <v>West</v>
          </cell>
          <cell r="AQ919"/>
          <cell r="AR919">
            <v>0</v>
          </cell>
          <cell r="AS919">
            <v>0</v>
          </cell>
        </row>
        <row r="920">
          <cell r="A920" t="str">
            <v>12923C</v>
          </cell>
          <cell r="B920" t="str">
            <v>BLASER</v>
          </cell>
          <cell r="C920" t="str">
            <v>M10104</v>
          </cell>
          <cell r="D920" t="str">
            <v>Return Mail, no pink card</v>
          </cell>
          <cell r="E920" t="str">
            <v>CO</v>
          </cell>
          <cell r="F920" t="str">
            <v>Yes</v>
          </cell>
          <cell r="G920" t="str">
            <v>ID</v>
          </cell>
          <cell r="H920">
            <v>5</v>
          </cell>
          <cell r="I920">
            <v>0.7</v>
          </cell>
          <cell r="J920" t="str">
            <v>Nate Erickson</v>
          </cell>
          <cell r="K920" t="str">
            <v>WOODBURN</v>
          </cell>
          <cell r="L920" t="str">
            <v>OR</v>
          </cell>
          <cell r="M920" t="str">
            <v>208-459-0106</v>
          </cell>
          <cell r="N920"/>
          <cell r="O920">
            <v>2158</v>
          </cell>
          <cell r="P920">
            <v>9279.4</v>
          </cell>
          <cell r="Q920"/>
          <cell r="R920">
            <v>0</v>
          </cell>
          <cell r="S920">
            <v>437</v>
          </cell>
          <cell r="T920">
            <v>1879.1</v>
          </cell>
          <cell r="U920">
            <v>2075</v>
          </cell>
          <cell r="V920">
            <v>8922.5</v>
          </cell>
          <cell r="W920">
            <v>2110</v>
          </cell>
          <cell r="X920">
            <v>9073</v>
          </cell>
          <cell r="Y920"/>
          <cell r="Z920">
            <v>0</v>
          </cell>
          <cell r="AA920"/>
          <cell r="AB920">
            <v>0</v>
          </cell>
          <cell r="AC920"/>
          <cell r="AD920">
            <v>0</v>
          </cell>
          <cell r="AE920"/>
          <cell r="AF920"/>
          <cell r="AG920"/>
          <cell r="AH920"/>
          <cell r="AI920"/>
          <cell r="AJ920">
            <v>0.05</v>
          </cell>
          <cell r="AK920" t="str">
            <v>3P</v>
          </cell>
          <cell r="AL920">
            <v>187</v>
          </cell>
          <cell r="AM920">
            <v>395</v>
          </cell>
          <cell r="AN920" t="str">
            <v>01 Existing Dealer</v>
          </cell>
          <cell r="AO920" t="str">
            <v>Northwest</v>
          </cell>
          <cell r="AP920" t="str">
            <v>West</v>
          </cell>
          <cell r="AQ920"/>
          <cell r="AR920">
            <v>0</v>
          </cell>
          <cell r="AS920">
            <v>0</v>
          </cell>
        </row>
        <row r="921">
          <cell r="A921" t="str">
            <v>12923D</v>
          </cell>
          <cell r="B921" t="str">
            <v>BLASER</v>
          </cell>
          <cell r="C921" t="str">
            <v>M10104</v>
          </cell>
          <cell r="D921" t="str">
            <v>Return Mail, no pink card</v>
          </cell>
          <cell r="E921" t="str">
            <v>CO</v>
          </cell>
          <cell r="F921" t="str">
            <v>Yes</v>
          </cell>
          <cell r="G921" t="str">
            <v>ID</v>
          </cell>
          <cell r="H921">
            <v>5</v>
          </cell>
          <cell r="I921">
            <v>0.7</v>
          </cell>
          <cell r="J921" t="str">
            <v>Nate Erickson</v>
          </cell>
          <cell r="K921" t="str">
            <v>BEND</v>
          </cell>
          <cell r="L921" t="str">
            <v>OR</v>
          </cell>
          <cell r="M921" t="str">
            <v>208-459-0106</v>
          </cell>
          <cell r="N921"/>
          <cell r="O921">
            <v>2012</v>
          </cell>
          <cell r="P921">
            <v>8651.6</v>
          </cell>
          <cell r="Q921"/>
          <cell r="R921">
            <v>0</v>
          </cell>
          <cell r="S921">
            <v>291</v>
          </cell>
          <cell r="T921">
            <v>1251.3</v>
          </cell>
          <cell r="U921">
            <v>1929</v>
          </cell>
          <cell r="V921">
            <v>8294.6999999999989</v>
          </cell>
          <cell r="W921">
            <v>1964</v>
          </cell>
          <cell r="X921">
            <v>8445.1999999999989</v>
          </cell>
          <cell r="Y921"/>
          <cell r="Z921">
            <v>0</v>
          </cell>
          <cell r="AA921"/>
          <cell r="AB921">
            <v>0</v>
          </cell>
          <cell r="AC921"/>
          <cell r="AD921">
            <v>0</v>
          </cell>
          <cell r="AE921"/>
          <cell r="AF921"/>
          <cell r="AG921"/>
          <cell r="AH921"/>
          <cell r="AI921"/>
          <cell r="AJ921">
            <v>0.05</v>
          </cell>
          <cell r="AK921" t="str">
            <v>3P</v>
          </cell>
          <cell r="AL921">
            <v>187</v>
          </cell>
          <cell r="AM921">
            <v>38</v>
          </cell>
          <cell r="AN921" t="str">
            <v>01 Existing Dealer</v>
          </cell>
          <cell r="AO921" t="str">
            <v>Northwest</v>
          </cell>
          <cell r="AP921" t="str">
            <v>West</v>
          </cell>
          <cell r="AQ921"/>
          <cell r="AR921">
            <v>0</v>
          </cell>
          <cell r="AS921">
            <v>0</v>
          </cell>
        </row>
        <row r="922">
          <cell r="A922" t="str">
            <v>12923E</v>
          </cell>
          <cell r="B922" t="str">
            <v>BLASER</v>
          </cell>
          <cell r="C922" t="str">
            <v>M10104</v>
          </cell>
          <cell r="D922" t="str">
            <v>Return Mail, no pink card</v>
          </cell>
          <cell r="E922" t="str">
            <v>CO</v>
          </cell>
          <cell r="F922" t="str">
            <v>Yes</v>
          </cell>
          <cell r="G922" t="str">
            <v>ID</v>
          </cell>
          <cell r="H922">
            <v>5</v>
          </cell>
          <cell r="I922">
            <v>0.7</v>
          </cell>
          <cell r="J922" t="str">
            <v>Nate Erickson</v>
          </cell>
          <cell r="K922" t="str">
            <v>ONTARIO</v>
          </cell>
          <cell r="L922" t="str">
            <v>OR</v>
          </cell>
          <cell r="M922" t="str">
            <v>208-459-0106</v>
          </cell>
          <cell r="N922"/>
          <cell r="O922">
            <v>1753</v>
          </cell>
          <cell r="P922">
            <v>7537.9</v>
          </cell>
          <cell r="Q922"/>
          <cell r="R922">
            <v>0</v>
          </cell>
          <cell r="S922">
            <v>31</v>
          </cell>
          <cell r="T922">
            <v>133.29999999999998</v>
          </cell>
          <cell r="U922">
            <v>1674</v>
          </cell>
          <cell r="V922">
            <v>7198.2</v>
          </cell>
          <cell r="W922">
            <v>1704</v>
          </cell>
          <cell r="X922">
            <v>7327.2</v>
          </cell>
          <cell r="Y922"/>
          <cell r="Z922">
            <v>0</v>
          </cell>
          <cell r="AA922"/>
          <cell r="AB922">
            <v>0</v>
          </cell>
          <cell r="AC922"/>
          <cell r="AD922">
            <v>0</v>
          </cell>
          <cell r="AE922"/>
          <cell r="AF922"/>
          <cell r="AG922"/>
          <cell r="AH922"/>
          <cell r="AI922"/>
          <cell r="AJ922">
            <v>0.05</v>
          </cell>
          <cell r="AK922" t="str">
            <v>3P</v>
          </cell>
          <cell r="AL922">
            <v>187</v>
          </cell>
          <cell r="AM922">
            <v>50</v>
          </cell>
          <cell r="AN922" t="str">
            <v>01 Existing Dealer</v>
          </cell>
          <cell r="AO922" t="str">
            <v>Northwest</v>
          </cell>
          <cell r="AP922" t="str">
            <v>West</v>
          </cell>
          <cell r="AQ922"/>
          <cell r="AR922">
            <v>0</v>
          </cell>
          <cell r="AS922">
            <v>0</v>
          </cell>
        </row>
        <row r="923">
          <cell r="A923" t="str">
            <v>12923F</v>
          </cell>
          <cell r="B923" t="str">
            <v>BLASER</v>
          </cell>
          <cell r="C923" t="str">
            <v>M10104</v>
          </cell>
          <cell r="D923" t="str">
            <v>Return Mail, no pink card</v>
          </cell>
          <cell r="E923" t="str">
            <v>CO</v>
          </cell>
          <cell r="F923" t="str">
            <v>Yes</v>
          </cell>
          <cell r="G923" t="str">
            <v>ID</v>
          </cell>
          <cell r="H923">
            <v>5</v>
          </cell>
          <cell r="I923">
            <v>0.7</v>
          </cell>
          <cell r="J923" t="str">
            <v>Nate Erickson</v>
          </cell>
          <cell r="K923" t="str">
            <v>HERMISTON</v>
          </cell>
          <cell r="L923" t="str">
            <v>OR</v>
          </cell>
          <cell r="M923" t="str">
            <v>208-459-0106</v>
          </cell>
          <cell r="N923"/>
          <cell r="O923">
            <v>1945</v>
          </cell>
          <cell r="P923">
            <v>8363.5</v>
          </cell>
          <cell r="Q923"/>
          <cell r="R923">
            <v>0</v>
          </cell>
          <cell r="S923">
            <v>224</v>
          </cell>
          <cell r="T923">
            <v>963.19999999999993</v>
          </cell>
          <cell r="U923">
            <v>1867</v>
          </cell>
          <cell r="V923">
            <v>8028.0999999999995</v>
          </cell>
          <cell r="W923">
            <v>1897</v>
          </cell>
          <cell r="X923">
            <v>8157.0999999999995</v>
          </cell>
          <cell r="Y923"/>
          <cell r="Z923">
            <v>0</v>
          </cell>
          <cell r="AA923"/>
          <cell r="AB923">
            <v>0</v>
          </cell>
          <cell r="AC923"/>
          <cell r="AD923">
            <v>0</v>
          </cell>
          <cell r="AE923"/>
          <cell r="AF923"/>
          <cell r="AG923"/>
          <cell r="AH923"/>
          <cell r="AI923"/>
          <cell r="AJ923">
            <v>0.05</v>
          </cell>
          <cell r="AK923" t="str">
            <v>3P</v>
          </cell>
          <cell r="AL923">
            <v>187</v>
          </cell>
          <cell r="AM923">
            <v>460</v>
          </cell>
          <cell r="AN923" t="str">
            <v>01 Existing Dealer</v>
          </cell>
          <cell r="AO923" t="str">
            <v>Northwest</v>
          </cell>
          <cell r="AP923" t="str">
            <v>West</v>
          </cell>
          <cell r="AQ923"/>
          <cell r="AR923">
            <v>0</v>
          </cell>
          <cell r="AS923">
            <v>0</v>
          </cell>
        </row>
        <row r="924">
          <cell r="A924">
            <v>12504</v>
          </cell>
          <cell r="B924" t="str">
            <v>C BAR C</v>
          </cell>
          <cell r="C924" t="str">
            <v>M10126</v>
          </cell>
          <cell r="D924" t="str">
            <v>NET 5, BT+</v>
          </cell>
          <cell r="E924" t="str">
            <v>CO</v>
          </cell>
          <cell r="F924" t="str">
            <v>Yes</v>
          </cell>
          <cell r="G924" t="str">
            <v>ID</v>
          </cell>
          <cell r="H924">
            <v>7</v>
          </cell>
          <cell r="I924">
            <v>0.7</v>
          </cell>
          <cell r="J924" t="str">
            <v>Nate Erickson</v>
          </cell>
          <cell r="K924" t="str">
            <v>WHITE CITY</v>
          </cell>
          <cell r="L924" t="str">
            <v>OR</v>
          </cell>
          <cell r="M924" t="str">
            <v>208-459-0106</v>
          </cell>
          <cell r="N924"/>
          <cell r="O924">
            <v>2137</v>
          </cell>
          <cell r="P924">
            <v>9189.1</v>
          </cell>
          <cell r="Q924"/>
          <cell r="R924">
            <v>0</v>
          </cell>
          <cell r="S924">
            <v>452</v>
          </cell>
          <cell r="T924">
            <v>1943.6</v>
          </cell>
          <cell r="U924">
            <v>2057</v>
          </cell>
          <cell r="V924">
            <v>8845.1</v>
          </cell>
          <cell r="W924">
            <v>2088</v>
          </cell>
          <cell r="X924">
            <v>8978.4</v>
          </cell>
          <cell r="Y924"/>
          <cell r="Z924">
            <v>0</v>
          </cell>
          <cell r="AA924"/>
          <cell r="AB924">
            <v>0</v>
          </cell>
          <cell r="AC924"/>
          <cell r="AD924">
            <v>0</v>
          </cell>
          <cell r="AE924"/>
          <cell r="AF924"/>
          <cell r="AG924"/>
          <cell r="AH924"/>
          <cell r="AI924"/>
          <cell r="AJ924">
            <v>0.04</v>
          </cell>
          <cell r="AK924" t="str">
            <v>3P</v>
          </cell>
          <cell r="AL924">
            <v>187</v>
          </cell>
          <cell r="AM924">
            <v>288</v>
          </cell>
          <cell r="AN924" t="str">
            <v>01 Existing Dealer</v>
          </cell>
          <cell r="AO924" t="str">
            <v>Northwest</v>
          </cell>
          <cell r="AP924" t="str">
            <v>West</v>
          </cell>
          <cell r="AQ924"/>
          <cell r="AR924">
            <v>0</v>
          </cell>
          <cell r="AS924">
            <v>0</v>
          </cell>
        </row>
        <row r="925">
          <cell r="A925">
            <v>12523</v>
          </cell>
          <cell r="B925" t="str">
            <v>C BAR C</v>
          </cell>
          <cell r="C925" t="str">
            <v>M10126</v>
          </cell>
          <cell r="D925" t="str">
            <v>NET 5, BT+</v>
          </cell>
          <cell r="E925" t="str">
            <v>FP - Wells Fargo</v>
          </cell>
          <cell r="F925" t="str">
            <v>Yes</v>
          </cell>
          <cell r="G925" t="str">
            <v>ID</v>
          </cell>
          <cell r="H925">
            <v>8</v>
          </cell>
          <cell r="I925">
            <v>0.7</v>
          </cell>
          <cell r="J925" t="str">
            <v>Nate Erickson</v>
          </cell>
          <cell r="K925" t="str">
            <v>WHITE CITY</v>
          </cell>
          <cell r="L925" t="str">
            <v>OR</v>
          </cell>
          <cell r="M925" t="str">
            <v>208-459-0106</v>
          </cell>
          <cell r="N925"/>
          <cell r="O925">
            <v>2137</v>
          </cell>
          <cell r="P925">
            <v>9189.1</v>
          </cell>
          <cell r="Q925"/>
          <cell r="R925">
            <v>0</v>
          </cell>
          <cell r="S925">
            <v>452</v>
          </cell>
          <cell r="T925">
            <v>1943.6</v>
          </cell>
          <cell r="U925">
            <v>2057</v>
          </cell>
          <cell r="V925">
            <v>8845.1</v>
          </cell>
          <cell r="W925">
            <v>2088</v>
          </cell>
          <cell r="X925">
            <v>8978.4</v>
          </cell>
          <cell r="Y925"/>
          <cell r="Z925">
            <v>0</v>
          </cell>
          <cell r="AA925"/>
          <cell r="AB925">
            <v>0</v>
          </cell>
          <cell r="AC925"/>
          <cell r="AD925">
            <v>0</v>
          </cell>
          <cell r="AE925"/>
          <cell r="AF925"/>
          <cell r="AG925"/>
          <cell r="AH925"/>
          <cell r="AI925"/>
          <cell r="AJ925">
            <v>0.04</v>
          </cell>
          <cell r="AK925" t="str">
            <v>3P</v>
          </cell>
          <cell r="AL925">
            <v>187</v>
          </cell>
          <cell r="AM925">
            <v>288</v>
          </cell>
          <cell r="AN925" t="str">
            <v>01 Existing Dealer</v>
          </cell>
          <cell r="AO925" t="str">
            <v>Northwest</v>
          </cell>
          <cell r="AP925" t="str">
            <v>West</v>
          </cell>
          <cell r="AQ925"/>
          <cell r="AR925">
            <v>300228</v>
          </cell>
          <cell r="AS925">
            <v>53759</v>
          </cell>
        </row>
        <row r="926">
          <cell r="A926">
            <v>12499</v>
          </cell>
          <cell r="B926" t="str">
            <v>CASCADE TRUCK BODY &amp; WELDING</v>
          </cell>
          <cell r="C926" t="str">
            <v>M10136</v>
          </cell>
          <cell r="D926" t="str">
            <v>Return Mail, no pink card</v>
          </cell>
          <cell r="E926" t="str">
            <v>RM</v>
          </cell>
          <cell r="F926" t="str">
            <v>Yes</v>
          </cell>
          <cell r="G926" t="str">
            <v>ID</v>
          </cell>
          <cell r="H926">
            <v>7</v>
          </cell>
          <cell r="I926">
            <v>0.7</v>
          </cell>
          <cell r="J926" t="str">
            <v>Nate Erickson</v>
          </cell>
          <cell r="K926" t="str">
            <v>EUGENE</v>
          </cell>
          <cell r="L926" t="str">
            <v>OR</v>
          </cell>
          <cell r="M926" t="str">
            <v>208-459-0106</v>
          </cell>
          <cell r="N926"/>
          <cell r="O926">
            <v>2296</v>
          </cell>
          <cell r="P926">
            <v>9872.7999999999993</v>
          </cell>
          <cell r="Q926"/>
          <cell r="R926">
            <v>0</v>
          </cell>
          <cell r="S926">
            <v>415</v>
          </cell>
          <cell r="T926">
            <v>1784.5</v>
          </cell>
          <cell r="U926">
            <v>2054</v>
          </cell>
          <cell r="V926">
            <v>8832.1999999999989</v>
          </cell>
          <cell r="W926">
            <v>2248</v>
          </cell>
          <cell r="X926">
            <v>9666.4</v>
          </cell>
          <cell r="Y926"/>
          <cell r="Z926">
            <v>0</v>
          </cell>
          <cell r="AA926"/>
          <cell r="AB926">
            <v>0</v>
          </cell>
          <cell r="AC926"/>
          <cell r="AD926">
            <v>0</v>
          </cell>
          <cell r="AE926"/>
          <cell r="AF926"/>
          <cell r="AG926"/>
          <cell r="AH926"/>
          <cell r="AI926"/>
          <cell r="AJ926">
            <v>3.5000000000000003E-2</v>
          </cell>
          <cell r="AK926" t="str">
            <v>3P</v>
          </cell>
          <cell r="AL926">
            <v>187</v>
          </cell>
          <cell r="AM926">
            <v>133</v>
          </cell>
          <cell r="AN926" t="str">
            <v>01 Existing Dealer</v>
          </cell>
          <cell r="AO926" t="str">
            <v>Northwest</v>
          </cell>
          <cell r="AP926" t="str">
            <v>West</v>
          </cell>
          <cell r="AQ926"/>
          <cell r="AR926">
            <v>0</v>
          </cell>
          <cell r="AS926">
            <v>0</v>
          </cell>
        </row>
        <row r="927">
          <cell r="A927" t="str">
            <v>12499A</v>
          </cell>
          <cell r="B927" t="str">
            <v>CASCADE TRUCK BODY &amp; WELDING</v>
          </cell>
          <cell r="C927" t="str">
            <v>M10136</v>
          </cell>
          <cell r="D927" t="str">
            <v>Return Mail, no pink card</v>
          </cell>
          <cell r="E927" t="str">
            <v>RM</v>
          </cell>
          <cell r="F927" t="str">
            <v>Yes</v>
          </cell>
          <cell r="G927" t="str">
            <v>ID</v>
          </cell>
          <cell r="H927">
            <v>7</v>
          </cell>
          <cell r="I927">
            <v>0.7</v>
          </cell>
          <cell r="J927" t="str">
            <v>Nate Erickson</v>
          </cell>
          <cell r="K927" t="str">
            <v>BEND</v>
          </cell>
          <cell r="L927" t="str">
            <v>OR</v>
          </cell>
          <cell r="M927" t="str">
            <v>208-459-0106</v>
          </cell>
          <cell r="N927"/>
          <cell r="O927">
            <v>2012</v>
          </cell>
          <cell r="P927">
            <v>8651.6</v>
          </cell>
          <cell r="Q927"/>
          <cell r="R927">
            <v>0</v>
          </cell>
          <cell r="S927">
            <v>291</v>
          </cell>
          <cell r="T927">
            <v>1251.3</v>
          </cell>
          <cell r="U927">
            <v>1929</v>
          </cell>
          <cell r="V927">
            <v>8294.6999999999989</v>
          </cell>
          <cell r="W927">
            <v>1964</v>
          </cell>
          <cell r="X927">
            <v>8445.1999999999989</v>
          </cell>
          <cell r="Y927"/>
          <cell r="Z927">
            <v>0</v>
          </cell>
          <cell r="AA927"/>
          <cell r="AB927">
            <v>0</v>
          </cell>
          <cell r="AC927"/>
          <cell r="AD927">
            <v>0</v>
          </cell>
          <cell r="AE927"/>
          <cell r="AF927"/>
          <cell r="AG927"/>
          <cell r="AH927"/>
          <cell r="AI927"/>
          <cell r="AJ927">
            <v>3.5000000000000003E-2</v>
          </cell>
          <cell r="AK927" t="str">
            <v>3P</v>
          </cell>
          <cell r="AL927">
            <v>187</v>
          </cell>
          <cell r="AM927">
            <v>38</v>
          </cell>
          <cell r="AN927" t="str">
            <v>01 Existing Dealer</v>
          </cell>
          <cell r="AO927" t="str">
            <v>Northwest</v>
          </cell>
          <cell r="AP927" t="str">
            <v>West</v>
          </cell>
          <cell r="AQ927"/>
          <cell r="AR927">
            <v>0</v>
          </cell>
          <cell r="AS927">
            <v>0</v>
          </cell>
        </row>
        <row r="928">
          <cell r="A928" t="str">
            <v>12499B</v>
          </cell>
          <cell r="B928" t="str">
            <v>CASCADE TRUCK BODY &amp; WELDING</v>
          </cell>
          <cell r="C928" t="str">
            <v>M10136</v>
          </cell>
          <cell r="D928" t="str">
            <v>Return Mail, no pink card</v>
          </cell>
          <cell r="E928" t="str">
            <v>RM</v>
          </cell>
          <cell r="F928" t="str">
            <v>Yes</v>
          </cell>
          <cell r="G928" t="str">
            <v>ID</v>
          </cell>
          <cell r="H928">
            <v>7</v>
          </cell>
          <cell r="I928">
            <v>0.7</v>
          </cell>
          <cell r="J928" t="str">
            <v>Nate Erickson</v>
          </cell>
          <cell r="K928" t="str">
            <v>SALEM</v>
          </cell>
          <cell r="L928" t="str">
            <v>OR</v>
          </cell>
          <cell r="M928" t="str">
            <v>208-459-0106</v>
          </cell>
          <cell r="N928"/>
          <cell r="O928">
            <v>2166</v>
          </cell>
          <cell r="P928">
            <v>9313.7999999999993</v>
          </cell>
          <cell r="Q928"/>
          <cell r="R928">
            <v>0</v>
          </cell>
          <cell r="S928">
            <v>444</v>
          </cell>
          <cell r="T928">
            <v>1909.1999999999998</v>
          </cell>
          <cell r="U928">
            <v>2087</v>
          </cell>
          <cell r="V928">
            <v>8974.1</v>
          </cell>
          <cell r="W928">
            <v>2118</v>
          </cell>
          <cell r="X928">
            <v>9107.4</v>
          </cell>
          <cell r="Y928"/>
          <cell r="Z928">
            <v>0</v>
          </cell>
          <cell r="AA928"/>
          <cell r="AB928">
            <v>0</v>
          </cell>
          <cell r="AC928"/>
          <cell r="AD928">
            <v>0</v>
          </cell>
          <cell r="AE928"/>
          <cell r="AF928"/>
          <cell r="AG928"/>
          <cell r="AH928"/>
          <cell r="AI928"/>
          <cell r="AJ928">
            <v>3.5000000000000003E-2</v>
          </cell>
          <cell r="AK928" t="str">
            <v>3P</v>
          </cell>
          <cell r="AL928">
            <v>187</v>
          </cell>
          <cell r="AM928">
            <v>38</v>
          </cell>
          <cell r="AN928" t="str">
            <v>01 Existing Dealer</v>
          </cell>
          <cell r="AO928" t="str">
            <v>Northwest</v>
          </cell>
          <cell r="AP928" t="str">
            <v>West</v>
          </cell>
          <cell r="AQ928"/>
          <cell r="AR928">
            <v>0</v>
          </cell>
          <cell r="AS928">
            <v>0</v>
          </cell>
        </row>
        <row r="929">
          <cell r="A929">
            <v>13495</v>
          </cell>
          <cell r="B929" t="str">
            <v>CASCADE TRUCK BODY &amp; WELDING</v>
          </cell>
          <cell r="C929" t="str">
            <v>M10136</v>
          </cell>
          <cell r="D929" t="str">
            <v>Return Mail, no pink card</v>
          </cell>
          <cell r="E929" t="str">
            <v>F4 - Northpoint</v>
          </cell>
          <cell r="F929" t="str">
            <v>Yes</v>
          </cell>
          <cell r="G929" t="str">
            <v>ID</v>
          </cell>
          <cell r="H929">
            <v>8</v>
          </cell>
          <cell r="I929">
            <v>0.7</v>
          </cell>
          <cell r="J929" t="str">
            <v>Nate Erickson</v>
          </cell>
          <cell r="K929" t="str">
            <v>EUGENE</v>
          </cell>
          <cell r="L929" t="str">
            <v>OR</v>
          </cell>
          <cell r="M929" t="str">
            <v>208-459-0106</v>
          </cell>
          <cell r="N929"/>
          <cell r="O929">
            <v>2296</v>
          </cell>
          <cell r="P929">
            <v>9872.7999999999993</v>
          </cell>
          <cell r="Q929"/>
          <cell r="R929">
            <v>0</v>
          </cell>
          <cell r="S929">
            <v>415</v>
          </cell>
          <cell r="T929">
            <v>1784.5</v>
          </cell>
          <cell r="U929">
            <v>2054</v>
          </cell>
          <cell r="V929">
            <v>8832.1999999999989</v>
          </cell>
          <cell r="W929">
            <v>2248</v>
          </cell>
          <cell r="X929">
            <v>9666.4</v>
          </cell>
          <cell r="Y929"/>
          <cell r="Z929">
            <v>0</v>
          </cell>
          <cell r="AA929"/>
          <cell r="AB929">
            <v>0</v>
          </cell>
          <cell r="AC929"/>
          <cell r="AD929">
            <v>0</v>
          </cell>
          <cell r="AE929"/>
          <cell r="AF929"/>
          <cell r="AG929"/>
          <cell r="AH929"/>
          <cell r="AI929"/>
          <cell r="AJ929">
            <v>3.5000000000000003E-2</v>
          </cell>
          <cell r="AK929" t="str">
            <v>3P</v>
          </cell>
          <cell r="AL929">
            <v>187</v>
          </cell>
          <cell r="AM929">
            <v>133</v>
          </cell>
          <cell r="AN929" t="str">
            <v>01 Existing Dealer</v>
          </cell>
          <cell r="AO929" t="str">
            <v>Northwest</v>
          </cell>
          <cell r="AP929" t="str">
            <v>West</v>
          </cell>
          <cell r="AQ929"/>
          <cell r="AR929">
            <v>161955</v>
          </cell>
          <cell r="AS929">
            <v>103975</v>
          </cell>
        </row>
        <row r="930">
          <cell r="A930" t="str">
            <v>13495A</v>
          </cell>
          <cell r="B930" t="str">
            <v>CASCADE TRUCK BODY &amp; WELDING</v>
          </cell>
          <cell r="C930" t="str">
            <v>M10136</v>
          </cell>
          <cell r="D930" t="str">
            <v>Return Mail, no pink card</v>
          </cell>
          <cell r="E930" t="str">
            <v>F4 - Northpoint</v>
          </cell>
          <cell r="F930" t="str">
            <v>Yes</v>
          </cell>
          <cell r="G930" t="str">
            <v>ID</v>
          </cell>
          <cell r="H930">
            <v>8</v>
          </cell>
          <cell r="I930">
            <v>0.7</v>
          </cell>
          <cell r="J930" t="str">
            <v>Nate Erickson</v>
          </cell>
          <cell r="K930" t="str">
            <v>BEND</v>
          </cell>
          <cell r="L930" t="str">
            <v>OR</v>
          </cell>
          <cell r="M930" t="str">
            <v>208-459-0106</v>
          </cell>
          <cell r="N930"/>
          <cell r="O930">
            <v>2012</v>
          </cell>
          <cell r="P930">
            <v>8651.6</v>
          </cell>
          <cell r="Q930"/>
          <cell r="R930">
            <v>0</v>
          </cell>
          <cell r="S930">
            <v>291</v>
          </cell>
          <cell r="T930">
            <v>1251.3</v>
          </cell>
          <cell r="U930">
            <v>1929</v>
          </cell>
          <cell r="V930">
            <v>8294.6999999999989</v>
          </cell>
          <cell r="W930">
            <v>1964</v>
          </cell>
          <cell r="X930">
            <v>8445.1999999999989</v>
          </cell>
          <cell r="Y930"/>
          <cell r="Z930">
            <v>0</v>
          </cell>
          <cell r="AA930"/>
          <cell r="AB930">
            <v>0</v>
          </cell>
          <cell r="AC930"/>
          <cell r="AD930">
            <v>0</v>
          </cell>
          <cell r="AE930"/>
          <cell r="AF930"/>
          <cell r="AG930"/>
          <cell r="AH930"/>
          <cell r="AI930"/>
          <cell r="AJ930">
            <v>3.5000000000000003E-2</v>
          </cell>
          <cell r="AK930" t="str">
            <v>3P</v>
          </cell>
          <cell r="AL930">
            <v>187</v>
          </cell>
          <cell r="AM930">
            <v>38</v>
          </cell>
          <cell r="AN930" t="str">
            <v>01 Existing Dealer</v>
          </cell>
          <cell r="AO930" t="str">
            <v>Northwest</v>
          </cell>
          <cell r="AP930" t="str">
            <v>West</v>
          </cell>
          <cell r="AQ930"/>
          <cell r="AR930">
            <v>0</v>
          </cell>
          <cell r="AS930">
            <v>0</v>
          </cell>
        </row>
        <row r="931">
          <cell r="A931" t="str">
            <v>13495B</v>
          </cell>
          <cell r="B931" t="str">
            <v>CASCADE TRUCK BODY &amp; WELDING</v>
          </cell>
          <cell r="C931" t="str">
            <v>M10136</v>
          </cell>
          <cell r="D931" t="str">
            <v>Return Mail, no pink card</v>
          </cell>
          <cell r="E931" t="str">
            <v>F4 - Northpoint</v>
          </cell>
          <cell r="F931" t="str">
            <v>Yes</v>
          </cell>
          <cell r="G931" t="str">
            <v>ID</v>
          </cell>
          <cell r="H931">
            <v>8</v>
          </cell>
          <cell r="I931">
            <v>0.7</v>
          </cell>
          <cell r="J931" t="str">
            <v>Nate Erickson</v>
          </cell>
          <cell r="K931" t="str">
            <v>SALEM</v>
          </cell>
          <cell r="L931" t="str">
            <v>OR</v>
          </cell>
          <cell r="M931" t="str">
            <v>208-459-0106</v>
          </cell>
          <cell r="N931"/>
          <cell r="O931">
            <v>2166</v>
          </cell>
          <cell r="P931">
            <v>9313.7999999999993</v>
          </cell>
          <cell r="Q931"/>
          <cell r="R931">
            <v>0</v>
          </cell>
          <cell r="S931">
            <v>444</v>
          </cell>
          <cell r="T931">
            <v>1909.1999999999998</v>
          </cell>
          <cell r="U931">
            <v>2087</v>
          </cell>
          <cell r="V931">
            <v>8974.1</v>
          </cell>
          <cell r="W931">
            <v>2118</v>
          </cell>
          <cell r="X931">
            <v>9107.4</v>
          </cell>
          <cell r="Y931"/>
          <cell r="Z931">
            <v>0</v>
          </cell>
          <cell r="AA931"/>
          <cell r="AB931">
            <v>0</v>
          </cell>
          <cell r="AC931"/>
          <cell r="AD931">
            <v>0</v>
          </cell>
          <cell r="AE931"/>
          <cell r="AF931"/>
          <cell r="AG931"/>
          <cell r="AH931"/>
          <cell r="AI931"/>
          <cell r="AJ931">
            <v>3.5000000000000003E-2</v>
          </cell>
          <cell r="AK931" t="str">
            <v>3P</v>
          </cell>
          <cell r="AL931">
            <v>187</v>
          </cell>
          <cell r="AM931">
            <v>38</v>
          </cell>
          <cell r="AN931" t="str">
            <v>01 Existing Dealer</v>
          </cell>
          <cell r="AO931" t="str">
            <v>Northwest</v>
          </cell>
          <cell r="AP931" t="str">
            <v>West</v>
          </cell>
          <cell r="AQ931"/>
          <cell r="AR931">
            <v>0</v>
          </cell>
          <cell r="AS931">
            <v>0</v>
          </cell>
        </row>
        <row r="932">
          <cell r="A932" t="str">
            <v>13495C</v>
          </cell>
          <cell r="B932" t="str">
            <v>CASCADE TRUCK BODY &amp; WELDING</v>
          </cell>
          <cell r="C932" t="str">
            <v>M10136</v>
          </cell>
          <cell r="D932" t="str">
            <v>Return Mail, no pink card</v>
          </cell>
          <cell r="E932" t="str">
            <v>F4 - Northpoint</v>
          </cell>
          <cell r="F932" t="str">
            <v>Yes</v>
          </cell>
          <cell r="G932" t="str">
            <v>ID</v>
          </cell>
          <cell r="H932">
            <v>8</v>
          </cell>
          <cell r="I932">
            <v>0.7</v>
          </cell>
          <cell r="J932" t="str">
            <v>Nate Erickson</v>
          </cell>
          <cell r="K932" t="str">
            <v>REDMOND</v>
          </cell>
          <cell r="L932" t="str">
            <v>OR</v>
          </cell>
          <cell r="M932" t="str">
            <v>208-459-0106</v>
          </cell>
          <cell r="N932"/>
          <cell r="O932">
            <v>2003</v>
          </cell>
          <cell r="P932">
            <v>8612.9</v>
          </cell>
          <cell r="Q932"/>
          <cell r="R932">
            <v>0</v>
          </cell>
          <cell r="S932">
            <v>307</v>
          </cell>
          <cell r="T932">
            <v>1320.1</v>
          </cell>
          <cell r="U932">
            <v>1878</v>
          </cell>
          <cell r="V932">
            <v>8075.4</v>
          </cell>
          <cell r="W932">
            <v>1961</v>
          </cell>
          <cell r="X932">
            <v>8432.2999999999993</v>
          </cell>
          <cell r="Y932"/>
          <cell r="Z932">
            <v>0</v>
          </cell>
          <cell r="AA932"/>
          <cell r="AB932">
            <v>0</v>
          </cell>
          <cell r="AC932"/>
          <cell r="AD932">
            <v>0</v>
          </cell>
          <cell r="AE932"/>
          <cell r="AF932"/>
          <cell r="AG932"/>
          <cell r="AH932"/>
          <cell r="AI932"/>
          <cell r="AJ932">
            <v>3.5000000000000003E-2</v>
          </cell>
          <cell r="AK932" t="str">
            <v>3P</v>
          </cell>
          <cell r="AL932">
            <v>187</v>
          </cell>
          <cell r="AM932">
            <v>38</v>
          </cell>
          <cell r="AN932" t="str">
            <v>01 Existing Dealer</v>
          </cell>
          <cell r="AO932" t="str">
            <v>Northwest</v>
          </cell>
          <cell r="AP932" t="str">
            <v>West</v>
          </cell>
          <cell r="AQ932"/>
          <cell r="AR932">
            <v>0</v>
          </cell>
          <cell r="AS932">
            <v>0</v>
          </cell>
        </row>
        <row r="933">
          <cell r="A933">
            <v>12595</v>
          </cell>
          <cell r="B933" t="str">
            <v>PIONEER WEST INC.</v>
          </cell>
          <cell r="C933" t="str">
            <v>M10330</v>
          </cell>
          <cell r="D933" t="str">
            <v>NET 5, BT+</v>
          </cell>
          <cell r="E933" t="str">
            <v>FP - Northpoint</v>
          </cell>
          <cell r="F933" t="str">
            <v>Yes</v>
          </cell>
          <cell r="G933" t="str">
            <v>ID</v>
          </cell>
          <cell r="H933">
            <v>7</v>
          </cell>
          <cell r="I933">
            <v>0.7</v>
          </cell>
          <cell r="J933" t="str">
            <v>Nate Erickson</v>
          </cell>
          <cell r="K933" t="str">
            <v>LA GRANDE</v>
          </cell>
          <cell r="L933" t="str">
            <v>OR</v>
          </cell>
          <cell r="M933" t="str">
            <v>208-459-0106</v>
          </cell>
          <cell r="N933"/>
          <cell r="O933">
            <v>1866</v>
          </cell>
          <cell r="P933">
            <v>8023.7999999999993</v>
          </cell>
          <cell r="Q933"/>
          <cell r="R933">
            <v>0</v>
          </cell>
          <cell r="S933">
            <v>145</v>
          </cell>
          <cell r="T933">
            <v>623.5</v>
          </cell>
          <cell r="U933">
            <v>1783</v>
          </cell>
          <cell r="V933">
            <v>7666.9</v>
          </cell>
          <cell r="W933">
            <v>1818</v>
          </cell>
          <cell r="X933">
            <v>7817.4</v>
          </cell>
          <cell r="Y933"/>
          <cell r="Z933">
            <v>0</v>
          </cell>
          <cell r="AA933"/>
          <cell r="AB933">
            <v>0</v>
          </cell>
          <cell r="AC933"/>
          <cell r="AD933">
            <v>0</v>
          </cell>
          <cell r="AE933"/>
          <cell r="AF933"/>
          <cell r="AG933"/>
          <cell r="AH933"/>
          <cell r="AI933"/>
          <cell r="AJ933">
            <v>0</v>
          </cell>
          <cell r="AK933" t="str">
            <v>3P</v>
          </cell>
          <cell r="AL933">
            <v>187</v>
          </cell>
          <cell r="AM933">
            <v>460</v>
          </cell>
          <cell r="AN933" t="str">
            <v>01 Existing Dealer</v>
          </cell>
          <cell r="AO933" t="str">
            <v>Northwest</v>
          </cell>
          <cell r="AP933" t="str">
            <v>West</v>
          </cell>
          <cell r="AQ933"/>
          <cell r="AR933">
            <v>0</v>
          </cell>
          <cell r="AS933">
            <v>-27425</v>
          </cell>
        </row>
        <row r="934">
          <cell r="A934">
            <v>12397</v>
          </cell>
          <cell r="B934" t="str">
            <v>PIONEER WEST INC.</v>
          </cell>
          <cell r="C934" t="str">
            <v>M10330</v>
          </cell>
          <cell r="D934" t="str">
            <v>NET 5, BT+</v>
          </cell>
          <cell r="E934" t="str">
            <v>CO</v>
          </cell>
          <cell r="F934" t="str">
            <v>Yes</v>
          </cell>
          <cell r="G934" t="str">
            <v>ID</v>
          </cell>
          <cell r="H934">
            <v>7</v>
          </cell>
          <cell r="I934">
            <v>0.7</v>
          </cell>
          <cell r="J934" t="str">
            <v>Nate Erickson</v>
          </cell>
          <cell r="K934" t="str">
            <v>LA GRANDE</v>
          </cell>
          <cell r="L934" t="str">
            <v>OR</v>
          </cell>
          <cell r="M934" t="str">
            <v>208-459-0106</v>
          </cell>
          <cell r="N934"/>
          <cell r="O934">
            <v>1866</v>
          </cell>
          <cell r="P934">
            <v>8023.7999999999993</v>
          </cell>
          <cell r="Q934"/>
          <cell r="R934">
            <v>0</v>
          </cell>
          <cell r="S934">
            <v>145</v>
          </cell>
          <cell r="T934">
            <v>623.5</v>
          </cell>
          <cell r="U934">
            <v>1783</v>
          </cell>
          <cell r="V934">
            <v>7666.9</v>
          </cell>
          <cell r="W934">
            <v>1818</v>
          </cell>
          <cell r="X934">
            <v>7817.4</v>
          </cell>
          <cell r="Y934"/>
          <cell r="Z934">
            <v>0</v>
          </cell>
          <cell r="AA934"/>
          <cell r="AB934">
            <v>0</v>
          </cell>
          <cell r="AC934"/>
          <cell r="AD934">
            <v>0</v>
          </cell>
          <cell r="AE934"/>
          <cell r="AF934"/>
          <cell r="AG934"/>
          <cell r="AH934"/>
          <cell r="AI934"/>
          <cell r="AJ934">
            <v>0</v>
          </cell>
          <cell r="AK934" t="str">
            <v>3P</v>
          </cell>
          <cell r="AL934">
            <v>187</v>
          </cell>
          <cell r="AM934">
            <v>460</v>
          </cell>
          <cell r="AN934" t="str">
            <v>01 Existing Dealer</v>
          </cell>
          <cell r="AO934" t="str">
            <v>Northwest</v>
          </cell>
          <cell r="AP934" t="str">
            <v>West</v>
          </cell>
          <cell r="AQ934"/>
          <cell r="AR934">
            <v>0</v>
          </cell>
          <cell r="AS934">
            <v>0</v>
          </cell>
        </row>
        <row r="935">
          <cell r="A935" t="str">
            <v>11412C</v>
          </cell>
          <cell r="B935" t="str">
            <v>AMERICAN TRAILER</v>
          </cell>
          <cell r="C935" t="str">
            <v>M10029</v>
          </cell>
          <cell r="D935" t="str">
            <v>Return Mail, no pink card</v>
          </cell>
          <cell r="E935" t="str">
            <v>F1 - Wells Fargo</v>
          </cell>
          <cell r="F935" t="str">
            <v>Yes</v>
          </cell>
          <cell r="G935" t="str">
            <v>ID</v>
          </cell>
          <cell r="H935">
            <v>8</v>
          </cell>
          <cell r="I935">
            <v>0.7</v>
          </cell>
          <cell r="J935" t="str">
            <v>Nate Erickson</v>
          </cell>
          <cell r="K935" t="str">
            <v>HERMISTON</v>
          </cell>
          <cell r="L935" t="str">
            <v>OR</v>
          </cell>
          <cell r="M935" t="str">
            <v>208-459-0106</v>
          </cell>
          <cell r="N935"/>
          <cell r="O935">
            <v>1945</v>
          </cell>
          <cell r="P935">
            <v>8363.5</v>
          </cell>
          <cell r="Q935"/>
          <cell r="R935">
            <v>0</v>
          </cell>
          <cell r="S935">
            <v>224</v>
          </cell>
          <cell r="T935">
            <v>963.19999999999993</v>
          </cell>
          <cell r="U935">
            <v>1867</v>
          </cell>
          <cell r="V935">
            <v>8028.0999999999995</v>
          </cell>
          <cell r="W935">
            <v>1897</v>
          </cell>
          <cell r="X935">
            <v>8157.0999999999995</v>
          </cell>
          <cell r="Y935"/>
          <cell r="Z935">
            <v>0</v>
          </cell>
          <cell r="AA935"/>
          <cell r="AB935">
            <v>0</v>
          </cell>
          <cell r="AC935"/>
          <cell r="AD935">
            <v>0</v>
          </cell>
          <cell r="AE935"/>
          <cell r="AF935"/>
          <cell r="AG935"/>
          <cell r="AH935"/>
          <cell r="AI935"/>
          <cell r="AJ935">
            <v>0.05</v>
          </cell>
          <cell r="AK935" t="str">
            <v>3P</v>
          </cell>
          <cell r="AL935">
            <v>187</v>
          </cell>
          <cell r="AM935">
            <v>460</v>
          </cell>
          <cell r="AN935" t="str">
            <v>01 Existing Dealer</v>
          </cell>
          <cell r="AO935" t="str">
            <v>Northwest</v>
          </cell>
          <cell r="AP935" t="str">
            <v>West</v>
          </cell>
          <cell r="AQ935"/>
          <cell r="AR935">
            <v>0</v>
          </cell>
          <cell r="AS935">
            <v>0</v>
          </cell>
        </row>
        <row r="936">
          <cell r="A936">
            <v>12613</v>
          </cell>
          <cell r="B936" t="str">
            <v>ALL PRO SUPERSTORE</v>
          </cell>
          <cell r="C936" t="str">
            <v>M10021</v>
          </cell>
          <cell r="D936" t="str">
            <v>NET 5, BT+</v>
          </cell>
          <cell r="E936" t="str">
            <v>F1 - Northpoint</v>
          </cell>
          <cell r="F936" t="str">
            <v>Yes</v>
          </cell>
          <cell r="G936" t="str">
            <v>OH</v>
          </cell>
          <cell r="H936">
            <v>8</v>
          </cell>
          <cell r="I936">
            <v>0.66500000000000004</v>
          </cell>
          <cell r="J936" t="str">
            <v>Dakota Nation</v>
          </cell>
          <cell r="K936" t="str">
            <v>MECHANICSBURG</v>
          </cell>
          <cell r="L936" t="str">
            <v>PA</v>
          </cell>
          <cell r="M936" t="str">
            <v>800-577-8858</v>
          </cell>
          <cell r="N936"/>
          <cell r="O936">
            <v>1258</v>
          </cell>
          <cell r="P936">
            <v>5409.4</v>
          </cell>
          <cell r="Q936">
            <v>822</v>
          </cell>
          <cell r="R936">
            <v>3534.6</v>
          </cell>
          <cell r="S936"/>
          <cell r="T936">
            <v>0</v>
          </cell>
          <cell r="U936">
            <v>1349</v>
          </cell>
          <cell r="V936">
            <v>5800.7</v>
          </cell>
          <cell r="W936">
            <v>1338</v>
          </cell>
          <cell r="X936">
            <v>5753.4</v>
          </cell>
          <cell r="Y936">
            <v>448</v>
          </cell>
          <cell r="Z936">
            <v>1926.3999999999999</v>
          </cell>
          <cell r="AA936">
            <v>448</v>
          </cell>
          <cell r="AB936">
            <v>1926.3999999999999</v>
          </cell>
          <cell r="AC936">
            <v>448</v>
          </cell>
          <cell r="AD936">
            <v>1926.3999999999999</v>
          </cell>
          <cell r="AE936"/>
          <cell r="AF936"/>
          <cell r="AG936"/>
          <cell r="AH936"/>
          <cell r="AI936"/>
          <cell r="AJ936">
            <v>0.03</v>
          </cell>
          <cell r="AK936" t="str">
            <v>3P</v>
          </cell>
          <cell r="AL936">
            <v>223</v>
          </cell>
          <cell r="AM936">
            <v>181</v>
          </cell>
          <cell r="AN936" t="str">
            <v>01 Existing Dealer</v>
          </cell>
          <cell r="AO936" t="str">
            <v>Northeast</v>
          </cell>
          <cell r="AP936" t="str">
            <v>North</v>
          </cell>
          <cell r="AQ936"/>
          <cell r="AR936">
            <v>55377</v>
          </cell>
          <cell r="AS936">
            <v>89022</v>
          </cell>
        </row>
        <row r="937">
          <cell r="A937">
            <v>12233</v>
          </cell>
          <cell r="B937" t="str">
            <v>ALL PRO SUPERSTORE</v>
          </cell>
          <cell r="C937" t="str">
            <v>M10021</v>
          </cell>
          <cell r="D937" t="str">
            <v>Net 60, no pink card</v>
          </cell>
          <cell r="E937">
            <v>60</v>
          </cell>
          <cell r="F937" t="str">
            <v>Yes</v>
          </cell>
          <cell r="G937" t="str">
            <v>OH</v>
          </cell>
          <cell r="H937">
            <v>5</v>
          </cell>
          <cell r="I937">
            <v>0.66500000000000004</v>
          </cell>
          <cell r="J937" t="str">
            <v>Dakota Nation</v>
          </cell>
          <cell r="K937" t="str">
            <v>MECHANICSBURG</v>
          </cell>
          <cell r="L937" t="str">
            <v>PA</v>
          </cell>
          <cell r="M937" t="str">
            <v>800-577-8858</v>
          </cell>
          <cell r="N937"/>
          <cell r="O937">
            <v>1258</v>
          </cell>
          <cell r="P937">
            <v>5409.4</v>
          </cell>
          <cell r="Q937">
            <v>822</v>
          </cell>
          <cell r="R937">
            <v>3534.6</v>
          </cell>
          <cell r="S937"/>
          <cell r="T937">
            <v>0</v>
          </cell>
          <cell r="U937">
            <v>1349</v>
          </cell>
          <cell r="V937">
            <v>5800.7</v>
          </cell>
          <cell r="W937">
            <v>1338</v>
          </cell>
          <cell r="X937">
            <v>5753.4</v>
          </cell>
          <cell r="Y937">
            <v>448</v>
          </cell>
          <cell r="Z937">
            <v>1926.3999999999999</v>
          </cell>
          <cell r="AA937">
            <v>448</v>
          </cell>
          <cell r="AB937">
            <v>1926.3999999999999</v>
          </cell>
          <cell r="AC937">
            <v>448</v>
          </cell>
          <cell r="AD937">
            <v>1926.3999999999999</v>
          </cell>
          <cell r="AE937"/>
          <cell r="AF937"/>
          <cell r="AG937"/>
          <cell r="AH937"/>
          <cell r="AI937"/>
          <cell r="AJ937">
            <v>0.03</v>
          </cell>
          <cell r="AK937" t="str">
            <v>3P</v>
          </cell>
          <cell r="AL937">
            <v>223</v>
          </cell>
          <cell r="AM937">
            <v>181</v>
          </cell>
          <cell r="AN937" t="str">
            <v>01 Existing Dealer</v>
          </cell>
          <cell r="AO937" t="str">
            <v>Northeast</v>
          </cell>
          <cell r="AP937" t="str">
            <v>North</v>
          </cell>
          <cell r="AQ937"/>
          <cell r="AR937">
            <v>0</v>
          </cell>
          <cell r="AS937">
            <v>0</v>
          </cell>
        </row>
        <row r="938">
          <cell r="A938">
            <v>12475</v>
          </cell>
          <cell r="B938" t="str">
            <v>ALL PRO SUPERSTORE</v>
          </cell>
          <cell r="C938" t="str">
            <v>M10021</v>
          </cell>
          <cell r="D938" t="str">
            <v>NET 5, BT+</v>
          </cell>
          <cell r="E938" t="str">
            <v>C6</v>
          </cell>
          <cell r="F938" t="str">
            <v>No</v>
          </cell>
          <cell r="G938" t="str">
            <v>OH</v>
          </cell>
          <cell r="H938">
            <v>6</v>
          </cell>
          <cell r="I938">
            <v>0.66500000000000004</v>
          </cell>
          <cell r="J938" t="str">
            <v>Orphaned Acct</v>
          </cell>
          <cell r="K938" t="str">
            <v>MECHANICSBURG</v>
          </cell>
          <cell r="L938" t="str">
            <v>PA</v>
          </cell>
          <cell r="M938" t="str">
            <v>800-577-8858</v>
          </cell>
          <cell r="N938"/>
          <cell r="O938">
            <v>1258</v>
          </cell>
          <cell r="P938">
            <v>5409.4</v>
          </cell>
          <cell r="Q938">
            <v>822</v>
          </cell>
          <cell r="R938">
            <v>3534.6</v>
          </cell>
          <cell r="S938"/>
          <cell r="T938">
            <v>0</v>
          </cell>
          <cell r="U938">
            <v>1349</v>
          </cell>
          <cell r="V938">
            <v>5800.7</v>
          </cell>
          <cell r="W938">
            <v>1338</v>
          </cell>
          <cell r="X938">
            <v>5753.4</v>
          </cell>
          <cell r="Y938">
            <v>448</v>
          </cell>
          <cell r="Z938">
            <v>1926.3999999999999</v>
          </cell>
          <cell r="AA938">
            <v>448</v>
          </cell>
          <cell r="AB938">
            <v>1926.3999999999999</v>
          </cell>
          <cell r="AC938">
            <v>448</v>
          </cell>
          <cell r="AD938">
            <v>1926.3999999999999</v>
          </cell>
          <cell r="AE938"/>
          <cell r="AF938"/>
          <cell r="AG938"/>
          <cell r="AH938"/>
          <cell r="AI938"/>
          <cell r="AJ938">
            <v>0.03</v>
          </cell>
          <cell r="AK938" t="str">
            <v>3P</v>
          </cell>
          <cell r="AL938">
            <v>213</v>
          </cell>
          <cell r="AM938">
            <v>181</v>
          </cell>
          <cell r="AN938" t="str">
            <v>01 Existing Dealer</v>
          </cell>
          <cell r="AO938" t="str">
            <v>Northeast</v>
          </cell>
          <cell r="AP938" t="str">
            <v>North</v>
          </cell>
          <cell r="AQ938"/>
          <cell r="AR938">
            <v>0</v>
          </cell>
          <cell r="AS938">
            <v>0</v>
          </cell>
        </row>
        <row r="939">
          <cell r="A939">
            <v>12232</v>
          </cell>
          <cell r="B939" t="str">
            <v>ANDRE &amp; SON POWER SPORTS, LLC</v>
          </cell>
          <cell r="C939" t="str">
            <v>M10031</v>
          </cell>
          <cell r="D939" t="str">
            <v>NET 5, BT+</v>
          </cell>
          <cell r="E939" t="str">
            <v>CO</v>
          </cell>
          <cell r="F939" t="str">
            <v>Yes</v>
          </cell>
          <cell r="G939" t="str">
            <v>OH</v>
          </cell>
          <cell r="H939">
            <v>7</v>
          </cell>
          <cell r="I939">
            <v>0.66500000000000004</v>
          </cell>
          <cell r="J939" t="str">
            <v>Orphaned Acct</v>
          </cell>
          <cell r="K939" t="str">
            <v>MONTROSE</v>
          </cell>
          <cell r="L939" t="str">
            <v>PA</v>
          </cell>
          <cell r="M939" t="str">
            <v>800-577-8858</v>
          </cell>
          <cell r="N939"/>
          <cell r="O939">
            <v>1431</v>
          </cell>
          <cell r="P939">
            <v>6153.3</v>
          </cell>
          <cell r="Q939">
            <v>995</v>
          </cell>
          <cell r="R939">
            <v>4278.5</v>
          </cell>
          <cell r="S939"/>
          <cell r="T939">
            <v>0</v>
          </cell>
          <cell r="U939">
            <v>1504</v>
          </cell>
          <cell r="V939">
            <v>6467.2</v>
          </cell>
          <cell r="W939">
            <v>1511</v>
          </cell>
          <cell r="X939">
            <v>6497.3</v>
          </cell>
          <cell r="Y939">
            <v>576</v>
          </cell>
          <cell r="Z939">
            <v>2476.7999999999997</v>
          </cell>
          <cell r="AA939">
            <v>576</v>
          </cell>
          <cell r="AB939">
            <v>2476.7999999999997</v>
          </cell>
          <cell r="AC939">
            <v>576</v>
          </cell>
          <cell r="AD939">
            <v>2476.7999999999997</v>
          </cell>
          <cell r="AE939"/>
          <cell r="AF939"/>
          <cell r="AG939"/>
          <cell r="AH939"/>
          <cell r="AI939"/>
          <cell r="AJ939">
            <v>0</v>
          </cell>
          <cell r="AK939" t="str">
            <v>3P</v>
          </cell>
          <cell r="AL939">
            <v>213</v>
          </cell>
          <cell r="AM939">
            <v>43</v>
          </cell>
          <cell r="AN939" t="str">
            <v>08 Inactive Dealer</v>
          </cell>
          <cell r="AO939" t="str">
            <v>Northeast</v>
          </cell>
          <cell r="AP939" t="str">
            <v>North</v>
          </cell>
          <cell r="AQ939"/>
          <cell r="AR939">
            <v>0</v>
          </cell>
          <cell r="AS939">
            <v>0</v>
          </cell>
        </row>
        <row r="940">
          <cell r="A940">
            <v>12945</v>
          </cell>
          <cell r="B940" t="str">
            <v>Bernie Cap's dba TRAILER CORNER</v>
          </cell>
          <cell r="C940" t="str">
            <v>M10053</v>
          </cell>
          <cell r="D940" t="str">
            <v>NET 5, BT+</v>
          </cell>
          <cell r="E940" t="str">
            <v>CF - ON HOLD</v>
          </cell>
          <cell r="F940" t="str">
            <v>No</v>
          </cell>
          <cell r="G940" t="str">
            <v>OH</v>
          </cell>
          <cell r="H940">
            <v>9</v>
          </cell>
          <cell r="I940">
            <v>0.66500000000000004</v>
          </cell>
          <cell r="J940" t="str">
            <v>Dakota Nation</v>
          </cell>
          <cell r="K940" t="str">
            <v>TAYLOR</v>
          </cell>
          <cell r="L940" t="str">
            <v>PA</v>
          </cell>
          <cell r="M940" t="str">
            <v>800-577-8858</v>
          </cell>
          <cell r="N940"/>
          <cell r="O940">
            <v>1362</v>
          </cell>
          <cell r="P940">
            <v>5856.5999999999995</v>
          </cell>
          <cell r="Q940">
            <v>946</v>
          </cell>
          <cell r="R940">
            <v>4067.7999999999997</v>
          </cell>
          <cell r="S940"/>
          <cell r="T940">
            <v>0</v>
          </cell>
          <cell r="U940">
            <v>1456</v>
          </cell>
          <cell r="V940">
            <v>6260.8</v>
          </cell>
          <cell r="W940">
            <v>1463</v>
          </cell>
          <cell r="X940">
            <v>6290.9</v>
          </cell>
          <cell r="Y940">
            <v>564</v>
          </cell>
          <cell r="Z940">
            <v>2425.1999999999998</v>
          </cell>
          <cell r="AA940">
            <v>564</v>
          </cell>
          <cell r="AB940">
            <v>2425.1999999999998</v>
          </cell>
          <cell r="AC940">
            <v>564</v>
          </cell>
          <cell r="AD940">
            <v>2425.1999999999998</v>
          </cell>
          <cell r="AE940"/>
          <cell r="AF940"/>
          <cell r="AG940"/>
          <cell r="AH940"/>
          <cell r="AI940"/>
          <cell r="AJ940">
            <v>0</v>
          </cell>
          <cell r="AK940" t="str">
            <v>3P</v>
          </cell>
          <cell r="AL940">
            <v>223</v>
          </cell>
          <cell r="AM940">
            <v>412</v>
          </cell>
          <cell r="AN940" t="str">
            <v>01 Existing Dealer</v>
          </cell>
          <cell r="AO940" t="str">
            <v>Northeast</v>
          </cell>
          <cell r="AP940" t="str">
            <v>North</v>
          </cell>
          <cell r="AQ940"/>
          <cell r="AR940">
            <v>0</v>
          </cell>
          <cell r="AS940">
            <v>0</v>
          </cell>
        </row>
        <row r="941">
          <cell r="A941">
            <v>12946</v>
          </cell>
          <cell r="B941" t="str">
            <v>Bernie Cap's dba TRAILER CORNER</v>
          </cell>
          <cell r="C941" t="str">
            <v>M10053</v>
          </cell>
          <cell r="D941" t="str">
            <v>NET 5, BT+</v>
          </cell>
          <cell r="E941" t="str">
            <v>F3 - Wells Fargo</v>
          </cell>
          <cell r="F941" t="str">
            <v>Yes</v>
          </cell>
          <cell r="G941" t="str">
            <v>OH</v>
          </cell>
          <cell r="H941">
            <v>8</v>
          </cell>
          <cell r="I941">
            <v>0.66500000000000004</v>
          </cell>
          <cell r="J941" t="str">
            <v>Dakota Nation</v>
          </cell>
          <cell r="K941" t="str">
            <v>TAYLOR</v>
          </cell>
          <cell r="L941" t="str">
            <v>PA</v>
          </cell>
          <cell r="M941" t="str">
            <v>800-577-8858</v>
          </cell>
          <cell r="N941"/>
          <cell r="O941">
            <v>1362</v>
          </cell>
          <cell r="P941">
            <v>5856.5999999999995</v>
          </cell>
          <cell r="Q941">
            <v>946</v>
          </cell>
          <cell r="R941">
            <v>4067.7999999999997</v>
          </cell>
          <cell r="S941"/>
          <cell r="T941">
            <v>0</v>
          </cell>
          <cell r="U941">
            <v>1456</v>
          </cell>
          <cell r="V941">
            <v>6260.8</v>
          </cell>
          <cell r="W941">
            <v>1463</v>
          </cell>
          <cell r="X941">
            <v>6290.9</v>
          </cell>
          <cell r="Y941">
            <v>564</v>
          </cell>
          <cell r="Z941">
            <v>2425.1999999999998</v>
          </cell>
          <cell r="AA941">
            <v>564</v>
          </cell>
          <cell r="AB941">
            <v>2425.1999999999998</v>
          </cell>
          <cell r="AC941">
            <v>564</v>
          </cell>
          <cell r="AD941">
            <v>2425.1999999999998</v>
          </cell>
          <cell r="AE941"/>
          <cell r="AF941"/>
          <cell r="AG941"/>
          <cell r="AH941"/>
          <cell r="AI941"/>
          <cell r="AJ941">
            <v>0</v>
          </cell>
          <cell r="AK941" t="str">
            <v>3P</v>
          </cell>
          <cell r="AL941">
            <v>223</v>
          </cell>
          <cell r="AM941">
            <v>412</v>
          </cell>
          <cell r="AN941" t="str">
            <v>01 Existing Dealer</v>
          </cell>
          <cell r="AO941" t="str">
            <v>Northeast</v>
          </cell>
          <cell r="AP941" t="str">
            <v>North</v>
          </cell>
          <cell r="AQ941"/>
          <cell r="AR941">
            <v>0</v>
          </cell>
          <cell r="AS941">
            <v>0</v>
          </cell>
        </row>
        <row r="942">
          <cell r="A942">
            <v>13516</v>
          </cell>
          <cell r="B942" t="str">
            <v>BEST CHOICE TRAILERS</v>
          </cell>
          <cell r="C942" t="str">
            <v>M11488</v>
          </cell>
          <cell r="D942" t="str">
            <v>Return Mail, no pink card</v>
          </cell>
          <cell r="E942" t="str">
            <v>RM</v>
          </cell>
          <cell r="F942" t="str">
            <v>Yes</v>
          </cell>
          <cell r="G942" t="str">
            <v>OH</v>
          </cell>
          <cell r="H942">
            <v>8</v>
          </cell>
          <cell r="I942">
            <v>0.66500000000000004</v>
          </cell>
          <cell r="J942" t="str">
            <v>Dakota Nation</v>
          </cell>
          <cell r="K942" t="str">
            <v>IRWIN</v>
          </cell>
          <cell r="L942" t="str">
            <v>PA</v>
          </cell>
          <cell r="M942" t="str">
            <v>800-577-8858</v>
          </cell>
          <cell r="N942"/>
          <cell r="O942">
            <v>1128</v>
          </cell>
          <cell r="P942">
            <v>4850.3999999999996</v>
          </cell>
          <cell r="Q942">
            <v>787</v>
          </cell>
          <cell r="R942">
            <v>3384.1</v>
          </cell>
          <cell r="S942"/>
          <cell r="T942">
            <v>0</v>
          </cell>
          <cell r="U942">
            <v>1190</v>
          </cell>
          <cell r="V942">
            <v>5117</v>
          </cell>
          <cell r="W942">
            <v>1206</v>
          </cell>
          <cell r="X942">
            <v>5185.8</v>
          </cell>
          <cell r="Y942">
            <v>300</v>
          </cell>
          <cell r="Z942">
            <v>1290</v>
          </cell>
          <cell r="AA942">
            <v>300</v>
          </cell>
          <cell r="AB942">
            <v>1290</v>
          </cell>
          <cell r="AC942">
            <v>300</v>
          </cell>
          <cell r="AD942">
            <v>1290</v>
          </cell>
          <cell r="AE942"/>
          <cell r="AF942"/>
          <cell r="AG942"/>
          <cell r="AH942"/>
          <cell r="AI942"/>
          <cell r="AJ942">
            <v>0</v>
          </cell>
          <cell r="AK942" t="str">
            <v>3P</v>
          </cell>
          <cell r="AL942">
            <v>223</v>
          </cell>
          <cell r="AM942">
            <v>350</v>
          </cell>
          <cell r="AN942" t="str">
            <v>03 New Dealer</v>
          </cell>
          <cell r="AO942" t="str">
            <v>Northeast</v>
          </cell>
          <cell r="AP942" t="str">
            <v>North</v>
          </cell>
          <cell r="AQ942"/>
          <cell r="AR942">
            <v>0</v>
          </cell>
          <cell r="AS942">
            <v>0</v>
          </cell>
        </row>
        <row r="943">
          <cell r="A943" t="str">
            <v>13516A</v>
          </cell>
          <cell r="B943" t="str">
            <v>BEST CHOICE TRAILERS</v>
          </cell>
          <cell r="C943" t="str">
            <v>M11488</v>
          </cell>
          <cell r="D943" t="str">
            <v>Return Mail, no pink card</v>
          </cell>
          <cell r="E943" t="str">
            <v>RM</v>
          </cell>
          <cell r="F943" t="str">
            <v>Yes</v>
          </cell>
          <cell r="G943" t="str">
            <v>OH</v>
          </cell>
          <cell r="H943">
            <v>8</v>
          </cell>
          <cell r="I943">
            <v>0.66500000000000004</v>
          </cell>
          <cell r="J943" t="str">
            <v>Dakota Nation</v>
          </cell>
          <cell r="K943" t="str">
            <v>EVANS CITY</v>
          </cell>
          <cell r="L943" t="str">
            <v>PA</v>
          </cell>
          <cell r="M943" t="str">
            <v>800-577-8858</v>
          </cell>
          <cell r="N943"/>
          <cell r="O943">
            <v>1133</v>
          </cell>
          <cell r="P943">
            <v>4871.8999999999996</v>
          </cell>
          <cell r="Q943">
            <v>822</v>
          </cell>
          <cell r="R943">
            <v>3534.6</v>
          </cell>
          <cell r="S943"/>
          <cell r="T943">
            <v>0</v>
          </cell>
          <cell r="U943">
            <v>1197</v>
          </cell>
          <cell r="V943">
            <v>5147.0999999999995</v>
          </cell>
          <cell r="W943">
            <v>1211</v>
          </cell>
          <cell r="X943">
            <v>5207.3</v>
          </cell>
          <cell r="Y943"/>
          <cell r="Z943">
            <v>0</v>
          </cell>
          <cell r="AA943">
            <v>320</v>
          </cell>
          <cell r="AB943">
            <v>1376</v>
          </cell>
          <cell r="AC943">
            <v>320</v>
          </cell>
          <cell r="AD943">
            <v>1376</v>
          </cell>
          <cell r="AE943"/>
          <cell r="AF943"/>
          <cell r="AG943"/>
          <cell r="AH943"/>
          <cell r="AI943"/>
          <cell r="AJ943">
            <v>0</v>
          </cell>
          <cell r="AK943" t="str">
            <v>3P</v>
          </cell>
          <cell r="AL943">
            <v>223</v>
          </cell>
          <cell r="AM943">
            <v>350</v>
          </cell>
          <cell r="AN943" t="str">
            <v>03 New Dealer</v>
          </cell>
          <cell r="AO943" t="str">
            <v>Northeast</v>
          </cell>
          <cell r="AP943" t="str">
            <v>North</v>
          </cell>
          <cell r="AQ943"/>
          <cell r="AR943">
            <v>0</v>
          </cell>
          <cell r="AS943">
            <v>0</v>
          </cell>
        </row>
        <row r="944">
          <cell r="A944" t="str">
            <v>13516B</v>
          </cell>
          <cell r="B944" t="str">
            <v>BEST CHOICE TRAILERS</v>
          </cell>
          <cell r="C944" t="str">
            <v>M11488</v>
          </cell>
          <cell r="D944" t="str">
            <v>Return Mail, no pink card</v>
          </cell>
          <cell r="E944" t="str">
            <v>RM</v>
          </cell>
          <cell r="F944" t="str">
            <v>Yes</v>
          </cell>
          <cell r="G944" t="str">
            <v>OH</v>
          </cell>
          <cell r="H944">
            <v>8</v>
          </cell>
          <cell r="I944">
            <v>0.66500000000000004</v>
          </cell>
          <cell r="J944" t="str">
            <v>Dakota Nation</v>
          </cell>
          <cell r="K944" t="str">
            <v>WEST MIDDLESEX</v>
          </cell>
          <cell r="L944" t="str">
            <v>PA</v>
          </cell>
          <cell r="M944" t="str">
            <v>800-577-8858</v>
          </cell>
          <cell r="N944"/>
          <cell r="O944">
            <v>1110</v>
          </cell>
          <cell r="P944">
            <v>4773</v>
          </cell>
          <cell r="Q944">
            <v>895</v>
          </cell>
          <cell r="R944">
            <v>3848.5</v>
          </cell>
          <cell r="S944"/>
          <cell r="T944">
            <v>0</v>
          </cell>
          <cell r="U944">
            <v>1172</v>
          </cell>
          <cell r="V944">
            <v>5039.5999999999995</v>
          </cell>
          <cell r="W944">
            <v>1188</v>
          </cell>
          <cell r="X944">
            <v>5108.3999999999996</v>
          </cell>
          <cell r="Y944"/>
          <cell r="Z944">
            <v>0</v>
          </cell>
          <cell r="AA944">
            <v>297</v>
          </cell>
          <cell r="AB944">
            <v>1277.0999999999999</v>
          </cell>
          <cell r="AC944">
            <v>297</v>
          </cell>
          <cell r="AD944">
            <v>1277.0999999999999</v>
          </cell>
          <cell r="AE944"/>
          <cell r="AF944"/>
          <cell r="AG944"/>
          <cell r="AH944"/>
          <cell r="AI944"/>
          <cell r="AJ944">
            <v>0</v>
          </cell>
          <cell r="AK944" t="str">
            <v>3P</v>
          </cell>
          <cell r="AL944">
            <v>223</v>
          </cell>
          <cell r="AM944">
            <v>416</v>
          </cell>
          <cell r="AN944" t="str">
            <v>03 New Dealer</v>
          </cell>
          <cell r="AO944" t="str">
            <v>Northeast</v>
          </cell>
          <cell r="AP944" t="str">
            <v>North</v>
          </cell>
          <cell r="AQ944"/>
          <cell r="AR944">
            <v>0</v>
          </cell>
          <cell r="AS944">
            <v>0</v>
          </cell>
        </row>
        <row r="945">
          <cell r="A945">
            <v>13159</v>
          </cell>
          <cell r="B945" t="str">
            <v>BRECHBILL TRAILER SALES LLC</v>
          </cell>
          <cell r="C945" t="str">
            <v>M11097</v>
          </cell>
          <cell r="D945" t="str">
            <v>Return Mail, no pink card</v>
          </cell>
          <cell r="E945" t="str">
            <v>FP - Wells Fargo</v>
          </cell>
          <cell r="F945" t="str">
            <v>Yes</v>
          </cell>
          <cell r="G945" t="str">
            <v>OH</v>
          </cell>
          <cell r="H945">
            <v>8</v>
          </cell>
          <cell r="I945">
            <v>0.66500000000000004</v>
          </cell>
          <cell r="J945" t="str">
            <v>Dakota Nation</v>
          </cell>
          <cell r="K945" t="str">
            <v>CHAMBERSBURG</v>
          </cell>
          <cell r="L945" t="str">
            <v>PA</v>
          </cell>
          <cell r="M945" t="str">
            <v>800-577-8858</v>
          </cell>
          <cell r="N945"/>
          <cell r="O945">
            <v>1267</v>
          </cell>
          <cell r="P945">
            <v>5448.0999999999995</v>
          </cell>
          <cell r="Q945">
            <v>831</v>
          </cell>
          <cell r="R945">
            <v>3573.2999999999997</v>
          </cell>
          <cell r="S945"/>
          <cell r="T945">
            <v>0</v>
          </cell>
          <cell r="U945">
            <v>1357</v>
          </cell>
          <cell r="V945">
            <v>5835.0999999999995</v>
          </cell>
          <cell r="W945">
            <v>1347</v>
          </cell>
          <cell r="X945">
            <v>5792.0999999999995</v>
          </cell>
          <cell r="Y945">
            <v>426</v>
          </cell>
          <cell r="Z945">
            <v>1831.8</v>
          </cell>
          <cell r="AA945">
            <v>426</v>
          </cell>
          <cell r="AB945">
            <v>1831.8</v>
          </cell>
          <cell r="AC945">
            <v>426</v>
          </cell>
          <cell r="AD945">
            <v>1831.8</v>
          </cell>
          <cell r="AE945"/>
          <cell r="AF945"/>
          <cell r="AG945"/>
          <cell r="AH945"/>
          <cell r="AI945"/>
          <cell r="AJ945">
            <v>0.03</v>
          </cell>
          <cell r="AK945" t="str">
            <v>3P</v>
          </cell>
          <cell r="AL945">
            <v>223</v>
          </cell>
          <cell r="AM945">
            <v>179</v>
          </cell>
          <cell r="AN945" t="str">
            <v>01 Existing Dealer</v>
          </cell>
          <cell r="AO945" t="str">
            <v>Northeast</v>
          </cell>
          <cell r="AP945" t="str">
            <v>North</v>
          </cell>
          <cell r="AQ945"/>
          <cell r="AR945">
            <v>110238</v>
          </cell>
          <cell r="AS945">
            <v>111273</v>
          </cell>
        </row>
        <row r="946">
          <cell r="A946">
            <v>10956</v>
          </cell>
          <cell r="B946" t="str">
            <v>BRIAN KONOPINSKI</v>
          </cell>
          <cell r="C946" t="str">
            <v>M10112</v>
          </cell>
          <cell r="D946" t="str">
            <v>NET 5, BT+</v>
          </cell>
          <cell r="E946" t="str">
            <v>FP</v>
          </cell>
          <cell r="F946" t="str">
            <v>Yes</v>
          </cell>
          <cell r="G946" t="str">
            <v>OH</v>
          </cell>
          <cell r="H946">
            <v>8</v>
          </cell>
          <cell r="I946">
            <v>0.66500000000000004</v>
          </cell>
          <cell r="J946" t="str">
            <v>Orphaned Acct</v>
          </cell>
          <cell r="K946" t="str">
            <v>TRUCKSVILLE</v>
          </cell>
          <cell r="L946" t="str">
            <v>PA</v>
          </cell>
          <cell r="M946" t="str">
            <v>800-577-8858</v>
          </cell>
          <cell r="N946"/>
          <cell r="O946">
            <v>1378</v>
          </cell>
          <cell r="P946">
            <v>5925.4</v>
          </cell>
          <cell r="Q946">
            <v>941</v>
          </cell>
          <cell r="R946">
            <v>4046.2999999999997</v>
          </cell>
          <cell r="S946"/>
          <cell r="T946">
            <v>0</v>
          </cell>
          <cell r="U946">
            <v>1451</v>
          </cell>
          <cell r="V946">
            <v>6239.3</v>
          </cell>
          <cell r="W946">
            <v>1458</v>
          </cell>
          <cell r="X946">
            <v>6269.4</v>
          </cell>
          <cell r="Y946">
            <v>557</v>
          </cell>
          <cell r="Z946">
            <v>2395.1</v>
          </cell>
          <cell r="AA946">
            <v>557</v>
          </cell>
          <cell r="AB946">
            <v>2395.1</v>
          </cell>
          <cell r="AC946">
            <v>557</v>
          </cell>
          <cell r="AD946">
            <v>2395.1</v>
          </cell>
          <cell r="AE946"/>
          <cell r="AF946"/>
          <cell r="AG946"/>
          <cell r="AH946"/>
          <cell r="AI946"/>
          <cell r="AJ946">
            <v>0</v>
          </cell>
          <cell r="AK946" t="str">
            <v>3P</v>
          </cell>
          <cell r="AL946">
            <v>213</v>
          </cell>
          <cell r="AM946">
            <v>412</v>
          </cell>
          <cell r="AN946" t="str">
            <v>01 Existing Dealer</v>
          </cell>
          <cell r="AO946" t="str">
            <v>Northeast</v>
          </cell>
          <cell r="AP946" t="str">
            <v>North</v>
          </cell>
          <cell r="AQ946"/>
          <cell r="AR946">
            <v>0</v>
          </cell>
          <cell r="AS946">
            <v>0</v>
          </cell>
        </row>
        <row r="947">
          <cell r="A947">
            <v>12690</v>
          </cell>
          <cell r="B947" t="str">
            <v>BRIAN KONOPINSKI</v>
          </cell>
          <cell r="C947" t="str">
            <v>M10112</v>
          </cell>
          <cell r="D947" t="str">
            <v>NET 5, BT+</v>
          </cell>
          <cell r="E947" t="str">
            <v>S1</v>
          </cell>
          <cell r="F947" t="str">
            <v>No</v>
          </cell>
          <cell r="G947" t="str">
            <v>OH</v>
          </cell>
          <cell r="H947">
            <v>9</v>
          </cell>
          <cell r="I947">
            <v>0.66500000000000004</v>
          </cell>
          <cell r="J947" t="str">
            <v>Orphaned Acct</v>
          </cell>
          <cell r="K947" t="str">
            <v>TRUCKSVILLE</v>
          </cell>
          <cell r="L947" t="str">
            <v>PA</v>
          </cell>
          <cell r="M947" t="str">
            <v>800-577-8858</v>
          </cell>
          <cell r="N947"/>
          <cell r="O947">
            <v>1378</v>
          </cell>
          <cell r="P947">
            <v>5925.4</v>
          </cell>
          <cell r="Q947">
            <v>941</v>
          </cell>
          <cell r="R947">
            <v>4046.2999999999997</v>
          </cell>
          <cell r="S947"/>
          <cell r="T947">
            <v>0</v>
          </cell>
          <cell r="U947">
            <v>1451</v>
          </cell>
          <cell r="V947">
            <v>6239.3</v>
          </cell>
          <cell r="W947">
            <v>1458</v>
          </cell>
          <cell r="X947">
            <v>6269.4</v>
          </cell>
          <cell r="Y947">
            <v>557</v>
          </cell>
          <cell r="Z947">
            <v>2395.1</v>
          </cell>
          <cell r="AA947">
            <v>557</v>
          </cell>
          <cell r="AB947">
            <v>2395.1</v>
          </cell>
          <cell r="AC947">
            <v>557</v>
          </cell>
          <cell r="AD947">
            <v>2395.1</v>
          </cell>
          <cell r="AE947"/>
          <cell r="AF947"/>
          <cell r="AG947"/>
          <cell r="AH947"/>
          <cell r="AI947"/>
          <cell r="AJ947">
            <v>0</v>
          </cell>
          <cell r="AK947" t="str">
            <v>3P</v>
          </cell>
          <cell r="AL947">
            <v>213</v>
          </cell>
          <cell r="AM947">
            <v>412</v>
          </cell>
          <cell r="AN947" t="str">
            <v>01 Existing Dealer</v>
          </cell>
          <cell r="AO947" t="str">
            <v>Northeast</v>
          </cell>
          <cell r="AP947" t="str">
            <v>North</v>
          </cell>
          <cell r="AQ947"/>
          <cell r="AR947">
            <v>0</v>
          </cell>
          <cell r="AS947">
            <v>0</v>
          </cell>
        </row>
        <row r="948">
          <cell r="A948">
            <v>13163</v>
          </cell>
          <cell r="B948" t="str">
            <v>CARR'S TRAILERS &amp; SUPPLIES</v>
          </cell>
          <cell r="C948" t="str">
            <v>M11098</v>
          </cell>
          <cell r="D948" t="str">
            <v>NET 5, BT+</v>
          </cell>
          <cell r="E948" t="str">
            <v>F3 - Northpoint</v>
          </cell>
          <cell r="F948" t="str">
            <v>Yes</v>
          </cell>
          <cell r="G948" t="str">
            <v>OH</v>
          </cell>
          <cell r="H948">
            <v>8</v>
          </cell>
          <cell r="I948">
            <v>0.66500000000000004</v>
          </cell>
          <cell r="J948" t="str">
            <v>Lane Davis</v>
          </cell>
          <cell r="K948" t="str">
            <v>MUNCY</v>
          </cell>
          <cell r="L948" t="str">
            <v>PA</v>
          </cell>
          <cell r="M948" t="str">
            <v>800-577-8858</v>
          </cell>
          <cell r="N948"/>
          <cell r="O948">
            <v>1332</v>
          </cell>
          <cell r="P948">
            <v>5727.5999999999995</v>
          </cell>
          <cell r="Q948">
            <v>902</v>
          </cell>
          <cell r="R948">
            <v>3878.6</v>
          </cell>
          <cell r="S948"/>
          <cell r="T948">
            <v>0</v>
          </cell>
          <cell r="U948">
            <v>1386</v>
          </cell>
          <cell r="V948">
            <v>5959.8</v>
          </cell>
          <cell r="W948">
            <v>1413</v>
          </cell>
          <cell r="X948">
            <v>6075.9</v>
          </cell>
          <cell r="Y948">
            <v>494</v>
          </cell>
          <cell r="Z948">
            <v>2124.1999999999998</v>
          </cell>
          <cell r="AA948">
            <v>494</v>
          </cell>
          <cell r="AB948">
            <v>2124.1999999999998</v>
          </cell>
          <cell r="AC948">
            <v>494</v>
          </cell>
          <cell r="AD948">
            <v>2124.1999999999998</v>
          </cell>
          <cell r="AE948"/>
          <cell r="AF948"/>
          <cell r="AG948"/>
          <cell r="AH948"/>
          <cell r="AI948"/>
          <cell r="AJ948">
            <v>0.02</v>
          </cell>
          <cell r="AK948" t="str">
            <v>3P</v>
          </cell>
          <cell r="AL948">
            <v>275</v>
          </cell>
          <cell r="AM948">
            <v>475</v>
          </cell>
          <cell r="AN948" t="str">
            <v>01 Existing Dealer</v>
          </cell>
          <cell r="AO948" t="str">
            <v>Northeast</v>
          </cell>
          <cell r="AP948" t="str">
            <v>North</v>
          </cell>
          <cell r="AQ948"/>
          <cell r="AR948">
            <v>0</v>
          </cell>
          <cell r="AS948">
            <v>0</v>
          </cell>
          <cell r="AT948"/>
        </row>
        <row r="949">
          <cell r="A949">
            <v>11410</v>
          </cell>
          <cell r="B949" t="str">
            <v>FRALEY EQUIPMENT SALES</v>
          </cell>
          <cell r="C949" t="str">
            <v>M10466</v>
          </cell>
          <cell r="D949" t="str">
            <v>NET 5, BT+</v>
          </cell>
          <cell r="E949" t="str">
            <v>CO</v>
          </cell>
          <cell r="F949" t="str">
            <v>Yes</v>
          </cell>
          <cell r="G949" t="str">
            <v>OH</v>
          </cell>
          <cell r="H949">
            <v>7</v>
          </cell>
          <cell r="I949">
            <v>0.66500000000000004</v>
          </cell>
          <cell r="J949" t="str">
            <v>Orphaned Acct</v>
          </cell>
          <cell r="K949" t="str">
            <v>MUNCY</v>
          </cell>
          <cell r="L949" t="str">
            <v>PA</v>
          </cell>
          <cell r="M949" t="str">
            <v>800-577-8858</v>
          </cell>
          <cell r="N949"/>
          <cell r="O949">
            <v>1332</v>
          </cell>
          <cell r="P949">
            <v>5727.5999999999995</v>
          </cell>
          <cell r="Q949">
            <v>902</v>
          </cell>
          <cell r="R949">
            <v>3878.6</v>
          </cell>
          <cell r="S949"/>
          <cell r="T949">
            <v>0</v>
          </cell>
          <cell r="U949">
            <v>1386</v>
          </cell>
          <cell r="V949">
            <v>5959.8</v>
          </cell>
          <cell r="W949">
            <v>1413</v>
          </cell>
          <cell r="X949">
            <v>6075.9</v>
          </cell>
          <cell r="Y949">
            <v>494</v>
          </cell>
          <cell r="Z949">
            <v>2124.1999999999998</v>
          </cell>
          <cell r="AA949">
            <v>494</v>
          </cell>
          <cell r="AB949">
            <v>2124.1999999999998</v>
          </cell>
          <cell r="AC949">
            <v>494</v>
          </cell>
          <cell r="AD949">
            <v>2124.1999999999998</v>
          </cell>
          <cell r="AE949"/>
          <cell r="AF949"/>
          <cell r="AG949"/>
          <cell r="AH949"/>
          <cell r="AI949"/>
          <cell r="AJ949">
            <v>0</v>
          </cell>
          <cell r="AK949" t="str">
            <v>3P</v>
          </cell>
          <cell r="AL949">
            <v>213</v>
          </cell>
          <cell r="AM949">
            <v>475</v>
          </cell>
          <cell r="AN949" t="str">
            <v>01 Existing Dealer</v>
          </cell>
          <cell r="AO949" t="str">
            <v>Northeast</v>
          </cell>
          <cell r="AP949" t="str">
            <v>North</v>
          </cell>
          <cell r="AQ949"/>
          <cell r="AR949">
            <v>0</v>
          </cell>
          <cell r="AS949">
            <v>0</v>
          </cell>
          <cell r="AT949"/>
        </row>
        <row r="950">
          <cell r="A950">
            <v>11184</v>
          </cell>
          <cell r="B950" t="str">
            <v>INTERCON TRUCK EQUIPMENT, INC</v>
          </cell>
          <cell r="C950" t="str">
            <v>M10229</v>
          </cell>
          <cell r="D950" t="str">
            <v>NET 5, BT+</v>
          </cell>
          <cell r="E950" t="str">
            <v>CO</v>
          </cell>
          <cell r="F950" t="str">
            <v>Yes</v>
          </cell>
          <cell r="G950" t="str">
            <v>OH</v>
          </cell>
          <cell r="H950">
            <v>7</v>
          </cell>
          <cell r="I950">
            <v>0.66500000000000004</v>
          </cell>
          <cell r="J950" t="str">
            <v>Orphaned Acct</v>
          </cell>
          <cell r="K950" t="str">
            <v>ASTON</v>
          </cell>
          <cell r="L950" t="str">
            <v>PA</v>
          </cell>
          <cell r="M950" t="str">
            <v>800-577-8858</v>
          </cell>
          <cell r="N950"/>
          <cell r="O950">
            <v>1334</v>
          </cell>
          <cell r="P950">
            <v>5736.2</v>
          </cell>
          <cell r="Q950">
            <v>874</v>
          </cell>
          <cell r="R950">
            <v>3758.2</v>
          </cell>
          <cell r="S950"/>
          <cell r="T950">
            <v>0</v>
          </cell>
          <cell r="U950">
            <v>1431</v>
          </cell>
          <cell r="V950">
            <v>6153.3</v>
          </cell>
          <cell r="W950">
            <v>1415</v>
          </cell>
          <cell r="X950">
            <v>6084.5</v>
          </cell>
          <cell r="Y950">
            <v>557</v>
          </cell>
          <cell r="Z950">
            <v>2395.1</v>
          </cell>
          <cell r="AA950">
            <v>557</v>
          </cell>
          <cell r="AB950">
            <v>2395.1</v>
          </cell>
          <cell r="AC950">
            <v>557</v>
          </cell>
          <cell r="AD950">
            <v>2395.1</v>
          </cell>
          <cell r="AE950"/>
          <cell r="AF950"/>
          <cell r="AG950"/>
          <cell r="AH950"/>
          <cell r="AI950"/>
          <cell r="AJ950">
            <v>0</v>
          </cell>
          <cell r="AK950" t="str">
            <v>3P</v>
          </cell>
          <cell r="AL950">
            <v>213</v>
          </cell>
          <cell r="AM950">
            <v>346</v>
          </cell>
          <cell r="AN950" t="str">
            <v>08 Inactive Dealer</v>
          </cell>
          <cell r="AO950" t="str">
            <v>Northeast</v>
          </cell>
          <cell r="AP950" t="str">
            <v>North</v>
          </cell>
          <cell r="AQ950"/>
          <cell r="AR950">
            <v>0</v>
          </cell>
          <cell r="AS950">
            <v>0</v>
          </cell>
          <cell r="AT950"/>
        </row>
        <row r="951">
          <cell r="A951">
            <v>13238</v>
          </cell>
          <cell r="B951" t="str">
            <v>MARSHALL MACHINERY, INC</v>
          </cell>
          <cell r="C951" t="str">
            <v>M11183</v>
          </cell>
          <cell r="D951" t="str">
            <v>NET 5, BT+</v>
          </cell>
          <cell r="E951" t="str">
            <v>CO</v>
          </cell>
          <cell r="F951" t="str">
            <v>Yes</v>
          </cell>
          <cell r="G951" t="str">
            <v>OH</v>
          </cell>
          <cell r="H951">
            <v>7</v>
          </cell>
          <cell r="I951">
            <v>0.66500000000000004</v>
          </cell>
          <cell r="J951" t="str">
            <v>JL Smith</v>
          </cell>
          <cell r="K951" t="str">
            <v>HONESDALE</v>
          </cell>
          <cell r="L951" t="str">
            <v>PA</v>
          </cell>
          <cell r="M951" t="str">
            <v>800-577-8858</v>
          </cell>
          <cell r="N951"/>
          <cell r="O951">
            <v>1412</v>
          </cell>
          <cell r="P951">
            <v>6071.5999999999995</v>
          </cell>
          <cell r="Q951">
            <v>976</v>
          </cell>
          <cell r="R951">
            <v>4196.8</v>
          </cell>
          <cell r="S951"/>
          <cell r="T951">
            <v>0</v>
          </cell>
          <cell r="U951">
            <v>1485</v>
          </cell>
          <cell r="V951">
            <v>6385.5</v>
          </cell>
          <cell r="W951">
            <v>1493</v>
          </cell>
          <cell r="X951">
            <v>6419.9</v>
          </cell>
          <cell r="Y951">
            <v>594</v>
          </cell>
          <cell r="Z951">
            <v>2554.1999999999998</v>
          </cell>
          <cell r="AA951">
            <v>594</v>
          </cell>
          <cell r="AB951">
            <v>2554.1999999999998</v>
          </cell>
          <cell r="AC951">
            <v>594</v>
          </cell>
          <cell r="AD951">
            <v>2554.1999999999998</v>
          </cell>
          <cell r="AE951"/>
          <cell r="AF951"/>
          <cell r="AG951"/>
          <cell r="AH951"/>
          <cell r="AI951"/>
          <cell r="AJ951">
            <v>0</v>
          </cell>
          <cell r="AK951" t="str">
            <v>3P</v>
          </cell>
          <cell r="AL951">
            <v>151</v>
          </cell>
          <cell r="AM951">
            <v>412</v>
          </cell>
          <cell r="AN951" t="str">
            <v>02 Ramping</v>
          </cell>
          <cell r="AO951" t="str">
            <v>Northeast</v>
          </cell>
          <cell r="AP951" t="str">
            <v>North</v>
          </cell>
          <cell r="AQ951"/>
          <cell r="AR951">
            <v>0</v>
          </cell>
          <cell r="AS951">
            <v>0</v>
          </cell>
          <cell r="AT951"/>
        </row>
        <row r="952">
          <cell r="A952">
            <v>13147</v>
          </cell>
          <cell r="B952" t="str">
            <v>MATTAS MOTORS INC dba MATTAS MOTORSPORTS</v>
          </cell>
          <cell r="C952" t="str">
            <v>M11081</v>
          </cell>
          <cell r="D952" t="str">
            <v>NET 5, BT+</v>
          </cell>
          <cell r="E952" t="str">
            <v>F1 - Wells Fargo</v>
          </cell>
          <cell r="F952" t="str">
            <v>Yes</v>
          </cell>
          <cell r="G952" t="str">
            <v>OH</v>
          </cell>
          <cell r="H952">
            <v>7</v>
          </cell>
          <cell r="I952">
            <v>0.66500000000000004</v>
          </cell>
          <cell r="J952" t="str">
            <v>Lane Davis</v>
          </cell>
          <cell r="K952" t="str">
            <v>ALTOONA</v>
          </cell>
          <cell r="L952" t="str">
            <v>PA</v>
          </cell>
          <cell r="M952" t="str">
            <v>800-577-8858</v>
          </cell>
          <cell r="N952"/>
          <cell r="O952">
            <v>1213</v>
          </cell>
          <cell r="P952">
            <v>5215.8999999999996</v>
          </cell>
          <cell r="Q952">
            <v>833</v>
          </cell>
          <cell r="R952">
            <v>3581.8999999999996</v>
          </cell>
          <cell r="S952"/>
          <cell r="T952">
            <v>0</v>
          </cell>
          <cell r="U952">
            <v>1281</v>
          </cell>
          <cell r="V952">
            <v>5508.3</v>
          </cell>
          <cell r="W952">
            <v>1293</v>
          </cell>
          <cell r="X952">
            <v>5559.9</v>
          </cell>
          <cell r="Y952">
            <v>373</v>
          </cell>
          <cell r="Z952">
            <v>1603.8999999999999</v>
          </cell>
          <cell r="AA952">
            <v>373</v>
          </cell>
          <cell r="AB952">
            <v>1603.8999999999999</v>
          </cell>
          <cell r="AC952">
            <v>373</v>
          </cell>
          <cell r="AD952">
            <v>1603.8999999999999</v>
          </cell>
          <cell r="AE952"/>
          <cell r="AF952"/>
          <cell r="AG952"/>
          <cell r="AH952"/>
          <cell r="AI952"/>
          <cell r="AJ952">
            <v>0.02</v>
          </cell>
          <cell r="AK952" t="str">
            <v>3P</v>
          </cell>
          <cell r="AL952">
            <v>275</v>
          </cell>
          <cell r="AM952">
            <v>12</v>
          </cell>
          <cell r="AN952" t="str">
            <v>01 Existing Dealer</v>
          </cell>
          <cell r="AO952" t="str">
            <v>Northeast</v>
          </cell>
          <cell r="AP952" t="str">
            <v>North</v>
          </cell>
          <cell r="AQ952"/>
          <cell r="AR952">
            <v>0</v>
          </cell>
          <cell r="AS952">
            <v>54657</v>
          </cell>
          <cell r="AT952"/>
        </row>
        <row r="953">
          <cell r="A953">
            <v>10333</v>
          </cell>
          <cell r="B953" t="str">
            <v>MGS INC</v>
          </cell>
          <cell r="C953" t="str">
            <v>M10277</v>
          </cell>
          <cell r="D953" t="str">
            <v>Net 30, no pink card</v>
          </cell>
          <cell r="E953">
            <v>30</v>
          </cell>
          <cell r="F953" t="str">
            <v>Yes</v>
          </cell>
          <cell r="G953" t="str">
            <v>OH</v>
          </cell>
          <cell r="H953">
            <v>5</v>
          </cell>
          <cell r="I953">
            <v>0.66500000000000004</v>
          </cell>
          <cell r="J953" t="str">
            <v>Dakota Nation</v>
          </cell>
          <cell r="K953" t="str">
            <v>DENVER</v>
          </cell>
          <cell r="L953" t="str">
            <v>PA</v>
          </cell>
          <cell r="M953" t="str">
            <v>800-577-8858</v>
          </cell>
          <cell r="N953"/>
          <cell r="O953">
            <v>1308</v>
          </cell>
          <cell r="P953">
            <v>5624.4</v>
          </cell>
          <cell r="Q953">
            <v>871</v>
          </cell>
          <cell r="R953">
            <v>3745.2999999999997</v>
          </cell>
          <cell r="S953"/>
          <cell r="T953">
            <v>0</v>
          </cell>
          <cell r="U953">
            <v>1395</v>
          </cell>
          <cell r="V953">
            <v>5998.5</v>
          </cell>
          <cell r="W953">
            <v>1388</v>
          </cell>
          <cell r="X953">
            <v>5968.4</v>
          </cell>
          <cell r="Y953">
            <v>504</v>
          </cell>
          <cell r="Z953">
            <v>2167.1999999999998</v>
          </cell>
          <cell r="AA953">
            <v>504</v>
          </cell>
          <cell r="AB953">
            <v>2167.1999999999998</v>
          </cell>
          <cell r="AC953">
            <v>504</v>
          </cell>
          <cell r="AD953">
            <v>2167.1999999999998</v>
          </cell>
          <cell r="AE953"/>
          <cell r="AF953"/>
          <cell r="AG953"/>
          <cell r="AH953"/>
          <cell r="AI953"/>
          <cell r="AJ953">
            <v>0.02</v>
          </cell>
          <cell r="AK953" t="str">
            <v>3P</v>
          </cell>
          <cell r="AL953">
            <v>223</v>
          </cell>
          <cell r="AM953">
            <v>240</v>
          </cell>
          <cell r="AN953" t="str">
            <v>01 Existing Dealer</v>
          </cell>
          <cell r="AO953" t="str">
            <v>Northeast</v>
          </cell>
          <cell r="AP953" t="str">
            <v>North</v>
          </cell>
          <cell r="AQ953"/>
          <cell r="AR953">
            <v>0</v>
          </cell>
          <cell r="AS953">
            <v>0</v>
          </cell>
          <cell r="AT953"/>
        </row>
        <row r="954">
          <cell r="A954">
            <v>12531</v>
          </cell>
          <cell r="B954" t="str">
            <v>MGS INC</v>
          </cell>
          <cell r="C954" t="str">
            <v>M10277</v>
          </cell>
          <cell r="D954" t="str">
            <v>Return Mail, no pink card</v>
          </cell>
          <cell r="E954" t="str">
            <v>F1 - Northpoint</v>
          </cell>
          <cell r="F954" t="str">
            <v>Yes</v>
          </cell>
          <cell r="G954" t="str">
            <v>OH</v>
          </cell>
          <cell r="H954">
            <v>8</v>
          </cell>
          <cell r="I954">
            <v>0.66500000000000004</v>
          </cell>
          <cell r="J954" t="str">
            <v>Dakota Nation</v>
          </cell>
          <cell r="K954" t="str">
            <v>DENVER</v>
          </cell>
          <cell r="L954" t="str">
            <v>PA</v>
          </cell>
          <cell r="M954" t="str">
            <v>800-577-8858</v>
          </cell>
          <cell r="N954"/>
          <cell r="O954">
            <v>1308</v>
          </cell>
          <cell r="P954">
            <v>5624.4</v>
          </cell>
          <cell r="Q954">
            <v>871</v>
          </cell>
          <cell r="R954">
            <v>3745.2999999999997</v>
          </cell>
          <cell r="S954"/>
          <cell r="T954">
            <v>0</v>
          </cell>
          <cell r="U954">
            <v>1395</v>
          </cell>
          <cell r="V954">
            <v>5998.5</v>
          </cell>
          <cell r="W954">
            <v>1388</v>
          </cell>
          <cell r="X954">
            <v>5968.4</v>
          </cell>
          <cell r="Y954">
            <v>504</v>
          </cell>
          <cell r="Z954">
            <v>2167.1999999999998</v>
          </cell>
          <cell r="AA954">
            <v>504</v>
          </cell>
          <cell r="AB954">
            <v>2167.1999999999998</v>
          </cell>
          <cell r="AC954">
            <v>504</v>
          </cell>
          <cell r="AD954">
            <v>2167.1999999999998</v>
          </cell>
          <cell r="AE954"/>
          <cell r="AF954"/>
          <cell r="AG954"/>
          <cell r="AH954"/>
          <cell r="AI954"/>
          <cell r="AJ954">
            <v>3.5000000000000003E-2</v>
          </cell>
          <cell r="AK954" t="str">
            <v>3P</v>
          </cell>
          <cell r="AL954">
            <v>223</v>
          </cell>
          <cell r="AM954">
            <v>240</v>
          </cell>
          <cell r="AN954" t="str">
            <v>01 Existing Dealer</v>
          </cell>
          <cell r="AO954" t="str">
            <v>Northeast</v>
          </cell>
          <cell r="AP954" t="str">
            <v>North</v>
          </cell>
          <cell r="AQ954"/>
          <cell r="AR954">
            <v>38739</v>
          </cell>
          <cell r="AS954">
            <v>0</v>
          </cell>
          <cell r="AT954"/>
        </row>
        <row r="955">
          <cell r="A955">
            <v>11791</v>
          </cell>
          <cell r="B955" t="str">
            <v>MGS INC</v>
          </cell>
          <cell r="C955" t="str">
            <v>M10277</v>
          </cell>
          <cell r="D955" t="str">
            <v>Return Mail, no pink card</v>
          </cell>
          <cell r="E955" t="str">
            <v>C6</v>
          </cell>
          <cell r="F955" t="str">
            <v>Yes</v>
          </cell>
          <cell r="G955" t="str">
            <v>OH</v>
          </cell>
          <cell r="H955">
            <v>9</v>
          </cell>
          <cell r="I955">
            <v>0.66500000000000004</v>
          </cell>
          <cell r="J955" t="str">
            <v>Dakota Nation</v>
          </cell>
          <cell r="K955" t="str">
            <v>DENVER</v>
          </cell>
          <cell r="L955" t="str">
            <v>PA</v>
          </cell>
          <cell r="M955" t="str">
            <v>800-577-8858</v>
          </cell>
          <cell r="N955"/>
          <cell r="O955">
            <v>1308</v>
          </cell>
          <cell r="P955">
            <v>5624.4</v>
          </cell>
          <cell r="Q955">
            <v>871</v>
          </cell>
          <cell r="R955">
            <v>3745.2999999999997</v>
          </cell>
          <cell r="S955"/>
          <cell r="T955">
            <v>0</v>
          </cell>
          <cell r="U955">
            <v>1395</v>
          </cell>
          <cell r="V955">
            <v>5998.5</v>
          </cell>
          <cell r="W955">
            <v>1388</v>
          </cell>
          <cell r="X955">
            <v>5968.4</v>
          </cell>
          <cell r="Y955">
            <v>504</v>
          </cell>
          <cell r="Z955">
            <v>2167.1999999999998</v>
          </cell>
          <cell r="AA955">
            <v>504</v>
          </cell>
          <cell r="AB955">
            <v>2167.1999999999998</v>
          </cell>
          <cell r="AC955">
            <v>504</v>
          </cell>
          <cell r="AD955">
            <v>2167.1999999999998</v>
          </cell>
          <cell r="AE955"/>
          <cell r="AF955"/>
          <cell r="AG955"/>
          <cell r="AH955"/>
          <cell r="AI955"/>
          <cell r="AJ955">
            <v>0.02</v>
          </cell>
          <cell r="AK955" t="str">
            <v>3P</v>
          </cell>
          <cell r="AL955">
            <v>223</v>
          </cell>
          <cell r="AM955">
            <v>240</v>
          </cell>
          <cell r="AN955" t="str">
            <v>01 Existing Dealer</v>
          </cell>
          <cell r="AO955" t="str">
            <v>Northeast</v>
          </cell>
          <cell r="AP955" t="str">
            <v>North</v>
          </cell>
          <cell r="AQ955"/>
          <cell r="AR955">
            <v>0</v>
          </cell>
          <cell r="AS955">
            <v>0</v>
          </cell>
          <cell r="AT955"/>
        </row>
        <row r="956">
          <cell r="A956">
            <v>13052</v>
          </cell>
          <cell r="B956" t="str">
            <v>NORTHPOINT AUTO &amp; EQUIPMENT, LLC</v>
          </cell>
          <cell r="C956" t="str">
            <v>M10922</v>
          </cell>
          <cell r="D956" t="str">
            <v>NET 5, BT+</v>
          </cell>
          <cell r="E956" t="str">
            <v>CO</v>
          </cell>
          <cell r="F956" t="str">
            <v>Yes</v>
          </cell>
          <cell r="G956" t="str">
            <v>OH</v>
          </cell>
          <cell r="H956">
            <v>7</v>
          </cell>
          <cell r="I956">
            <v>0.66500000000000004</v>
          </cell>
          <cell r="J956" t="str">
            <v>Orphaned Acct</v>
          </cell>
          <cell r="K956" t="str">
            <v>NORTHUMBERLAND</v>
          </cell>
          <cell r="L956" t="str">
            <v>PA</v>
          </cell>
          <cell r="M956" t="str">
            <v>800-577-8858</v>
          </cell>
          <cell r="N956"/>
          <cell r="O956">
            <v>1314</v>
          </cell>
          <cell r="P956">
            <v>5650.2</v>
          </cell>
          <cell r="Q956">
            <v>878</v>
          </cell>
          <cell r="R956">
            <v>3775.3999999999996</v>
          </cell>
          <cell r="S956"/>
          <cell r="T956">
            <v>0</v>
          </cell>
          <cell r="U956">
            <v>1387</v>
          </cell>
          <cell r="V956">
            <v>5964.0999999999995</v>
          </cell>
          <cell r="W956">
            <v>1395</v>
          </cell>
          <cell r="X956">
            <v>5998.5</v>
          </cell>
          <cell r="Y956">
            <v>496</v>
          </cell>
          <cell r="Z956">
            <v>2132.7999999999997</v>
          </cell>
          <cell r="AA956">
            <v>496</v>
          </cell>
          <cell r="AB956">
            <v>2132.7999999999997</v>
          </cell>
          <cell r="AC956">
            <v>496</v>
          </cell>
          <cell r="AD956">
            <v>2132.7999999999997</v>
          </cell>
          <cell r="AE956"/>
          <cell r="AF956"/>
          <cell r="AG956"/>
          <cell r="AH956"/>
          <cell r="AI956"/>
          <cell r="AJ956">
            <v>0</v>
          </cell>
          <cell r="AK956" t="str">
            <v>3P</v>
          </cell>
          <cell r="AL956">
            <v>213</v>
          </cell>
          <cell r="AM956">
            <v>437</v>
          </cell>
          <cell r="AN956" t="str">
            <v>01 Existing Dealer</v>
          </cell>
          <cell r="AO956" t="str">
            <v>Northeast</v>
          </cell>
          <cell r="AP956" t="str">
            <v>North</v>
          </cell>
          <cell r="AQ956"/>
          <cell r="AR956">
            <v>0</v>
          </cell>
          <cell r="AS956">
            <v>0</v>
          </cell>
          <cell r="AT956"/>
        </row>
        <row r="957">
          <cell r="A957">
            <v>12851</v>
          </cell>
          <cell r="B957" t="str">
            <v>PERKINS - T.P. TRAILERS, INC</v>
          </cell>
          <cell r="C957" t="str">
            <v>M10323</v>
          </cell>
          <cell r="D957" t="str">
            <v>NET 5, BT+</v>
          </cell>
          <cell r="E957" t="str">
            <v>CO</v>
          </cell>
          <cell r="F957" t="str">
            <v>Yes</v>
          </cell>
          <cell r="G957" t="str">
            <v>OH</v>
          </cell>
          <cell r="H957">
            <v>7</v>
          </cell>
          <cell r="I957">
            <v>0.66500000000000004</v>
          </cell>
          <cell r="J957" t="str">
            <v>Orphaned Acct</v>
          </cell>
          <cell r="K957" t="str">
            <v>LIMERICK</v>
          </cell>
          <cell r="L957" t="str">
            <v>PA</v>
          </cell>
          <cell r="M957" t="str">
            <v>800-577-8858</v>
          </cell>
          <cell r="N957"/>
          <cell r="O957">
            <v>1359</v>
          </cell>
          <cell r="P957">
            <v>5843.7</v>
          </cell>
          <cell r="Q957">
            <v>897</v>
          </cell>
          <cell r="R957">
            <v>3857.1</v>
          </cell>
          <cell r="S957"/>
          <cell r="T957">
            <v>0</v>
          </cell>
          <cell r="U957">
            <v>1447</v>
          </cell>
          <cell r="V957">
            <v>6222.0999999999995</v>
          </cell>
          <cell r="W957">
            <v>1439</v>
          </cell>
          <cell r="X957">
            <v>6187.7</v>
          </cell>
          <cell r="Y957">
            <v>535</v>
          </cell>
          <cell r="Z957">
            <v>2300.5</v>
          </cell>
          <cell r="AA957">
            <v>535</v>
          </cell>
          <cell r="AB957">
            <v>2300.5</v>
          </cell>
          <cell r="AC957">
            <v>535</v>
          </cell>
          <cell r="AD957">
            <v>2300.5</v>
          </cell>
          <cell r="AE957"/>
          <cell r="AF957"/>
          <cell r="AG957"/>
          <cell r="AH957"/>
          <cell r="AI957"/>
          <cell r="AJ957">
            <v>0</v>
          </cell>
          <cell r="AK957" t="str">
            <v>3P</v>
          </cell>
          <cell r="AL957">
            <v>213</v>
          </cell>
          <cell r="AM957">
            <v>346</v>
          </cell>
          <cell r="AN957" t="str">
            <v>08 Inactive Dealer</v>
          </cell>
          <cell r="AO957" t="str">
            <v>Northeast</v>
          </cell>
          <cell r="AP957" t="str">
            <v>North</v>
          </cell>
          <cell r="AQ957"/>
          <cell r="AR957">
            <v>0</v>
          </cell>
          <cell r="AS957">
            <v>0</v>
          </cell>
          <cell r="AT957"/>
        </row>
        <row r="958">
          <cell r="A958">
            <v>10427</v>
          </cell>
          <cell r="B958" t="str">
            <v>RUSS' AUTO &amp; TRAILER SALES, LLC</v>
          </cell>
          <cell r="C958" t="str">
            <v>M10361</v>
          </cell>
          <cell r="D958" t="str">
            <v>Net 30, no pink card</v>
          </cell>
          <cell r="E958">
            <v>30</v>
          </cell>
          <cell r="F958" t="str">
            <v>Yes</v>
          </cell>
          <cell r="G958" t="str">
            <v>OH</v>
          </cell>
          <cell r="H958">
            <v>5</v>
          </cell>
          <cell r="I958">
            <v>0.66500000000000004</v>
          </cell>
          <cell r="J958" t="str">
            <v>Orphaned Acct</v>
          </cell>
          <cell r="K958" t="str">
            <v>ENOLA</v>
          </cell>
          <cell r="L958" t="str">
            <v>PA</v>
          </cell>
          <cell r="M958" t="str">
            <v>800-577-8858</v>
          </cell>
          <cell r="N958"/>
          <cell r="O958">
            <v>1262</v>
          </cell>
          <cell r="P958">
            <v>5426.5999999999995</v>
          </cell>
          <cell r="Q958">
            <v>826</v>
          </cell>
          <cell r="R958">
            <v>3551.7999999999997</v>
          </cell>
          <cell r="S958"/>
          <cell r="T958">
            <v>0</v>
          </cell>
          <cell r="U958">
            <v>1354</v>
          </cell>
          <cell r="V958">
            <v>5822.2</v>
          </cell>
          <cell r="W958">
            <v>1343</v>
          </cell>
          <cell r="X958">
            <v>5774.9</v>
          </cell>
          <cell r="Y958">
            <v>453</v>
          </cell>
          <cell r="Z958">
            <v>1947.8999999999999</v>
          </cell>
          <cell r="AA958">
            <v>453</v>
          </cell>
          <cell r="AB958">
            <v>1947.8999999999999</v>
          </cell>
          <cell r="AC958">
            <v>453</v>
          </cell>
          <cell r="AD958">
            <v>1947.8999999999999</v>
          </cell>
          <cell r="AE958"/>
          <cell r="AF958"/>
          <cell r="AG958"/>
          <cell r="AH958"/>
          <cell r="AI958"/>
          <cell r="AJ958">
            <v>0</v>
          </cell>
          <cell r="AK958" t="str">
            <v>3P</v>
          </cell>
          <cell r="AL958">
            <v>213</v>
          </cell>
          <cell r="AM958">
            <v>181</v>
          </cell>
          <cell r="AN958" t="str">
            <v>08 Inactive Dealer</v>
          </cell>
          <cell r="AO958" t="str">
            <v>Northeast</v>
          </cell>
          <cell r="AP958" t="str">
            <v>North</v>
          </cell>
          <cell r="AQ958"/>
          <cell r="AR958">
            <v>0</v>
          </cell>
          <cell r="AS958">
            <v>0</v>
          </cell>
          <cell r="AT958"/>
        </row>
        <row r="959">
          <cell r="A959">
            <v>12195</v>
          </cell>
          <cell r="B959" t="str">
            <v>RUSS' AUTO &amp; TRAILER SALES, LLC</v>
          </cell>
          <cell r="C959" t="str">
            <v>M10361</v>
          </cell>
          <cell r="D959" t="str">
            <v>NET 5, BT+</v>
          </cell>
          <cell r="E959" t="str">
            <v>F1 - Wells Fargo</v>
          </cell>
          <cell r="F959" t="str">
            <v>Yes</v>
          </cell>
          <cell r="G959" t="str">
            <v>OH</v>
          </cell>
          <cell r="H959">
            <v>8</v>
          </cell>
          <cell r="I959">
            <v>0.66500000000000004</v>
          </cell>
          <cell r="J959" t="str">
            <v>Orphaned Acct</v>
          </cell>
          <cell r="K959" t="str">
            <v>ENOLA</v>
          </cell>
          <cell r="L959" t="str">
            <v>PA</v>
          </cell>
          <cell r="M959" t="str">
            <v>800-577-8858</v>
          </cell>
          <cell r="N959"/>
          <cell r="O959">
            <v>1262</v>
          </cell>
          <cell r="P959">
            <v>5426.5999999999995</v>
          </cell>
          <cell r="Q959">
            <v>826</v>
          </cell>
          <cell r="R959">
            <v>3551.7999999999997</v>
          </cell>
          <cell r="S959"/>
          <cell r="T959">
            <v>0</v>
          </cell>
          <cell r="U959">
            <v>1354</v>
          </cell>
          <cell r="V959">
            <v>5822.2</v>
          </cell>
          <cell r="W959">
            <v>1343</v>
          </cell>
          <cell r="X959">
            <v>5774.9</v>
          </cell>
          <cell r="Y959">
            <v>453</v>
          </cell>
          <cell r="Z959">
            <v>1947.8999999999999</v>
          </cell>
          <cell r="AA959">
            <v>453</v>
          </cell>
          <cell r="AB959">
            <v>1947.8999999999999</v>
          </cell>
          <cell r="AC959">
            <v>453</v>
          </cell>
          <cell r="AD959">
            <v>1947.8999999999999</v>
          </cell>
          <cell r="AE959"/>
          <cell r="AF959"/>
          <cell r="AG959"/>
          <cell r="AH959"/>
          <cell r="AI959"/>
          <cell r="AJ959">
            <v>0</v>
          </cell>
          <cell r="AK959" t="str">
            <v>3P</v>
          </cell>
          <cell r="AL959">
            <v>213</v>
          </cell>
          <cell r="AM959">
            <v>181</v>
          </cell>
          <cell r="AN959" t="str">
            <v>08 Inactive Dealer</v>
          </cell>
          <cell r="AO959" t="str">
            <v>Northeast</v>
          </cell>
          <cell r="AP959" t="str">
            <v>North</v>
          </cell>
          <cell r="AQ959"/>
          <cell r="AR959">
            <v>0</v>
          </cell>
          <cell r="AS959">
            <v>0</v>
          </cell>
          <cell r="AT959"/>
        </row>
        <row r="960">
          <cell r="A960">
            <v>12979</v>
          </cell>
          <cell r="B960" t="str">
            <v>RVT SALES INC</v>
          </cell>
          <cell r="C960" t="str">
            <v>M10473</v>
          </cell>
          <cell r="D960" t="str">
            <v>NET 5, BT+</v>
          </cell>
          <cell r="E960" t="str">
            <v>FP - Wells Fargo</v>
          </cell>
          <cell r="F960" t="str">
            <v>Yes</v>
          </cell>
          <cell r="G960" t="str">
            <v>OH</v>
          </cell>
          <cell r="H960">
            <v>8</v>
          </cell>
          <cell r="I960">
            <v>0.66500000000000004</v>
          </cell>
          <cell r="J960" t="str">
            <v>Orphaned Acct</v>
          </cell>
          <cell r="K960" t="str">
            <v>BELLEFONTE</v>
          </cell>
          <cell r="L960" t="str">
            <v>PA</v>
          </cell>
          <cell r="M960" t="str">
            <v>800-577-8858</v>
          </cell>
          <cell r="N960"/>
          <cell r="O960">
            <v>1261</v>
          </cell>
          <cell r="P960">
            <v>5422.3</v>
          </cell>
          <cell r="Q960">
            <v>882</v>
          </cell>
          <cell r="R960">
            <v>3792.6</v>
          </cell>
          <cell r="S960"/>
          <cell r="T960">
            <v>0</v>
          </cell>
          <cell r="U960">
            <v>1324</v>
          </cell>
          <cell r="V960">
            <v>5693.2</v>
          </cell>
          <cell r="W960">
            <v>1342</v>
          </cell>
          <cell r="X960">
            <v>5770.5999999999995</v>
          </cell>
          <cell r="Y960">
            <v>432</v>
          </cell>
          <cell r="Z960">
            <v>1857.6</v>
          </cell>
          <cell r="AA960">
            <v>432</v>
          </cell>
          <cell r="AB960">
            <v>1857.6</v>
          </cell>
          <cell r="AC960">
            <v>432</v>
          </cell>
          <cell r="AD960">
            <v>1857.6</v>
          </cell>
          <cell r="AE960"/>
          <cell r="AF960"/>
          <cell r="AG960"/>
          <cell r="AH960"/>
          <cell r="AI960"/>
          <cell r="AJ960">
            <v>0</v>
          </cell>
          <cell r="AK960" t="str">
            <v>3P</v>
          </cell>
          <cell r="AL960">
            <v>213</v>
          </cell>
          <cell r="AM960">
            <v>429</v>
          </cell>
          <cell r="AN960" t="str">
            <v>08 Inactive Dealer</v>
          </cell>
          <cell r="AO960" t="str">
            <v>Northeast</v>
          </cell>
          <cell r="AP960" t="str">
            <v>North</v>
          </cell>
          <cell r="AQ960"/>
          <cell r="AR960">
            <v>0</v>
          </cell>
          <cell r="AS960">
            <v>0</v>
          </cell>
        </row>
        <row r="961">
          <cell r="A961">
            <v>13053</v>
          </cell>
          <cell r="B961" t="str">
            <v>STIVENSON CAMPER SALES INC</v>
          </cell>
          <cell r="C961" t="str">
            <v>M10926</v>
          </cell>
          <cell r="D961" t="str">
            <v>NET 5, BT+</v>
          </cell>
          <cell r="E961" t="str">
            <v>FP - Northpoint</v>
          </cell>
          <cell r="F961" t="str">
            <v>Yes</v>
          </cell>
          <cell r="G961" t="str">
            <v>OH</v>
          </cell>
          <cell r="H961">
            <v>8</v>
          </cell>
          <cell r="I961">
            <v>0.66500000000000004</v>
          </cell>
          <cell r="J961" t="str">
            <v>Orphaned Acct</v>
          </cell>
          <cell r="K961" t="str">
            <v>BUTLER</v>
          </cell>
          <cell r="L961" t="str">
            <v>PA</v>
          </cell>
          <cell r="M961" t="str">
            <v>800-577-8858</v>
          </cell>
          <cell r="N961"/>
          <cell r="O961">
            <v>1140</v>
          </cell>
          <cell r="P961">
            <v>4902</v>
          </cell>
          <cell r="Q961">
            <v>834</v>
          </cell>
          <cell r="R961">
            <v>3586.2</v>
          </cell>
          <cell r="S961"/>
          <cell r="T961">
            <v>0</v>
          </cell>
          <cell r="U961">
            <v>1208</v>
          </cell>
          <cell r="V961">
            <v>5194.3999999999996</v>
          </cell>
          <cell r="W961">
            <v>1220</v>
          </cell>
          <cell r="X961">
            <v>5246</v>
          </cell>
          <cell r="Y961">
            <v>309</v>
          </cell>
          <cell r="Z961">
            <v>1328.7</v>
          </cell>
          <cell r="AA961">
            <v>309</v>
          </cell>
          <cell r="AB961">
            <v>1328.7</v>
          </cell>
          <cell r="AC961">
            <v>309</v>
          </cell>
          <cell r="AD961">
            <v>1328.7</v>
          </cell>
          <cell r="AE961"/>
          <cell r="AF961"/>
          <cell r="AG961"/>
          <cell r="AH961"/>
          <cell r="AI961"/>
          <cell r="AJ961">
            <v>0</v>
          </cell>
          <cell r="AK961" t="str">
            <v>3P</v>
          </cell>
          <cell r="AL961">
            <v>213</v>
          </cell>
          <cell r="AM961">
            <v>350</v>
          </cell>
          <cell r="AN961" t="str">
            <v>08 Inactive Dealer</v>
          </cell>
          <cell r="AO961" t="str">
            <v>Northeast</v>
          </cell>
          <cell r="AP961" t="str">
            <v>North</v>
          </cell>
          <cell r="AQ961"/>
          <cell r="AR961">
            <v>0</v>
          </cell>
          <cell r="AS961">
            <v>0</v>
          </cell>
        </row>
        <row r="962">
          <cell r="A962">
            <v>13403</v>
          </cell>
          <cell r="B962" t="str">
            <v>HITCH MAN - PA</v>
          </cell>
          <cell r="C962" t="str">
            <v>M11369</v>
          </cell>
          <cell r="D962" t="str">
            <v>Return Mail, no pink card</v>
          </cell>
          <cell r="E962" t="str">
            <v>F3 - Wells Fargo</v>
          </cell>
          <cell r="F962" t="str">
            <v>Yes</v>
          </cell>
          <cell r="G962" t="str">
            <v>OH</v>
          </cell>
          <cell r="H962">
            <v>8</v>
          </cell>
          <cell r="I962">
            <v>0.66500000000000004</v>
          </cell>
          <cell r="J962" t="str">
            <v>Lane Davis</v>
          </cell>
          <cell r="K962" t="str">
            <v>BOOTHWYN</v>
          </cell>
          <cell r="L962" t="str">
            <v>PA</v>
          </cell>
          <cell r="M962" t="str">
            <v>800-577-8858</v>
          </cell>
          <cell r="N962"/>
          <cell r="O962">
            <v>1330</v>
          </cell>
          <cell r="P962">
            <v>5719</v>
          </cell>
          <cell r="Q962">
            <v>869</v>
          </cell>
          <cell r="R962">
            <v>3736.7</v>
          </cell>
          <cell r="S962"/>
          <cell r="T962">
            <v>0</v>
          </cell>
          <cell r="U962">
            <v>1427</v>
          </cell>
          <cell r="V962">
            <v>6136.0999999999995</v>
          </cell>
          <cell r="W962">
            <v>1410</v>
          </cell>
          <cell r="X962">
            <v>6063</v>
          </cell>
          <cell r="Y962">
            <v>550</v>
          </cell>
          <cell r="Z962">
            <v>2365</v>
          </cell>
          <cell r="AA962">
            <v>550</v>
          </cell>
          <cell r="AB962">
            <v>2365</v>
          </cell>
          <cell r="AC962">
            <v>550</v>
          </cell>
          <cell r="AD962">
            <v>2365</v>
          </cell>
          <cell r="AE962"/>
          <cell r="AF962"/>
          <cell r="AG962"/>
          <cell r="AH962"/>
          <cell r="AI962"/>
          <cell r="AJ962">
            <v>0.02</v>
          </cell>
          <cell r="AK962" t="str">
            <v>3P</v>
          </cell>
          <cell r="AL962">
            <v>275</v>
          </cell>
          <cell r="AM962">
            <v>346</v>
          </cell>
          <cell r="AN962" t="str">
            <v>01 Existing Dealer</v>
          </cell>
          <cell r="AO962" t="str">
            <v>Northeast</v>
          </cell>
          <cell r="AP962" t="str">
            <v>North</v>
          </cell>
          <cell r="AQ962"/>
          <cell r="AR962">
            <v>43512</v>
          </cell>
          <cell r="AS962">
            <v>30729</v>
          </cell>
        </row>
        <row r="963">
          <cell r="A963">
            <v>11959</v>
          </cell>
          <cell r="B963" t="str">
            <v>TOMEO FARMS</v>
          </cell>
          <cell r="C963" t="str">
            <v>M10412</v>
          </cell>
          <cell r="D963" t="str">
            <v>NET 5, BT+</v>
          </cell>
          <cell r="E963" t="str">
            <v>CF</v>
          </cell>
          <cell r="F963" t="str">
            <v>Yes</v>
          </cell>
          <cell r="G963" t="str">
            <v>OH</v>
          </cell>
          <cell r="H963">
            <v>7</v>
          </cell>
          <cell r="I963">
            <v>0.66500000000000004</v>
          </cell>
          <cell r="J963" t="str">
            <v>Orphaned Acct</v>
          </cell>
          <cell r="K963" t="str">
            <v>MERCER</v>
          </cell>
          <cell r="L963" t="str">
            <v>PA</v>
          </cell>
          <cell r="M963" t="str">
            <v>800-577-8858</v>
          </cell>
          <cell r="N963"/>
          <cell r="O963">
            <v>1126</v>
          </cell>
          <cell r="P963">
            <v>4841.8</v>
          </cell>
          <cell r="Q963">
            <v>859</v>
          </cell>
          <cell r="R963">
            <v>3693.7</v>
          </cell>
          <cell r="S963"/>
          <cell r="T963">
            <v>0</v>
          </cell>
          <cell r="U963">
            <v>1180</v>
          </cell>
          <cell r="V963">
            <v>5074</v>
          </cell>
          <cell r="W963">
            <v>1207</v>
          </cell>
          <cell r="X963">
            <v>5190.0999999999995</v>
          </cell>
          <cell r="Y963">
            <v>289</v>
          </cell>
          <cell r="Z963">
            <v>1242.7</v>
          </cell>
          <cell r="AA963">
            <v>289</v>
          </cell>
          <cell r="AB963">
            <v>1242.7</v>
          </cell>
          <cell r="AC963">
            <v>289</v>
          </cell>
          <cell r="AD963">
            <v>1242.7</v>
          </cell>
          <cell r="AE963"/>
          <cell r="AF963"/>
          <cell r="AG963"/>
          <cell r="AH963"/>
          <cell r="AI963"/>
          <cell r="AJ963">
            <v>0</v>
          </cell>
          <cell r="AK963" t="str">
            <v>3P</v>
          </cell>
          <cell r="AL963">
            <v>213</v>
          </cell>
          <cell r="AM963">
            <v>416</v>
          </cell>
          <cell r="AN963" t="str">
            <v>01 Existing Dealer</v>
          </cell>
          <cell r="AO963" t="str">
            <v>Northeast</v>
          </cell>
          <cell r="AP963" t="str">
            <v>North</v>
          </cell>
          <cell r="AQ963"/>
          <cell r="AR963">
            <v>0</v>
          </cell>
          <cell r="AS963">
            <v>0</v>
          </cell>
        </row>
        <row r="964">
          <cell r="A964">
            <v>12853</v>
          </cell>
          <cell r="B964" t="str">
            <v>TOMEO FARMS</v>
          </cell>
          <cell r="C964" t="str">
            <v>M10412</v>
          </cell>
          <cell r="D964" t="str">
            <v>NET 5, BT+</v>
          </cell>
          <cell r="E964" t="str">
            <v>FP - Wells Fargo</v>
          </cell>
          <cell r="F964" t="str">
            <v>Yes</v>
          </cell>
          <cell r="G964" t="str">
            <v>OH</v>
          </cell>
          <cell r="H964">
            <v>7</v>
          </cell>
          <cell r="I964">
            <v>0.66500000000000004</v>
          </cell>
          <cell r="J964" t="str">
            <v>Orphaned Acct</v>
          </cell>
          <cell r="K964" t="str">
            <v>MERCER</v>
          </cell>
          <cell r="L964" t="str">
            <v>PA</v>
          </cell>
          <cell r="M964" t="str">
            <v>800-577-8858</v>
          </cell>
          <cell r="N964"/>
          <cell r="O964">
            <v>1126</v>
          </cell>
          <cell r="P964">
            <v>4841.8</v>
          </cell>
          <cell r="Q964">
            <v>859</v>
          </cell>
          <cell r="R964">
            <v>3693.7</v>
          </cell>
          <cell r="S964"/>
          <cell r="T964">
            <v>0</v>
          </cell>
          <cell r="U964">
            <v>1180</v>
          </cell>
          <cell r="V964">
            <v>5074</v>
          </cell>
          <cell r="W964">
            <v>1207</v>
          </cell>
          <cell r="X964">
            <v>5190.0999999999995</v>
          </cell>
          <cell r="Y964">
            <v>289</v>
          </cell>
          <cell r="Z964">
            <v>1242.7</v>
          </cell>
          <cell r="AA964">
            <v>289</v>
          </cell>
          <cell r="AB964">
            <v>1242.7</v>
          </cell>
          <cell r="AC964">
            <v>289</v>
          </cell>
          <cell r="AD964">
            <v>1242.7</v>
          </cell>
          <cell r="AE964"/>
          <cell r="AF964"/>
          <cell r="AG964"/>
          <cell r="AH964"/>
          <cell r="AI964"/>
          <cell r="AJ964">
            <v>0</v>
          </cell>
          <cell r="AK964" t="str">
            <v>3P</v>
          </cell>
          <cell r="AL964">
            <v>213</v>
          </cell>
          <cell r="AM964">
            <v>416</v>
          </cell>
          <cell r="AN964" t="str">
            <v>01 Existing Dealer</v>
          </cell>
          <cell r="AO964" t="str">
            <v>Northeast</v>
          </cell>
          <cell r="AP964" t="str">
            <v>North</v>
          </cell>
          <cell r="AQ964"/>
          <cell r="AR964">
            <v>0</v>
          </cell>
          <cell r="AS964">
            <v>0</v>
          </cell>
        </row>
        <row r="965">
          <cell r="A965">
            <v>12805</v>
          </cell>
          <cell r="B965" t="str">
            <v>WALLACE TRACTOR &amp; EQUIPMENT</v>
          </cell>
          <cell r="C965" t="str">
            <v>M10444</v>
          </cell>
          <cell r="D965" t="str">
            <v>NET 5, BT+</v>
          </cell>
          <cell r="E965" t="str">
            <v>F1 - Wells Fargo</v>
          </cell>
          <cell r="F965" t="str">
            <v>Yes</v>
          </cell>
          <cell r="G965" t="str">
            <v>OH</v>
          </cell>
          <cell r="H965">
            <v>8</v>
          </cell>
          <cell r="I965">
            <v>0.66500000000000004</v>
          </cell>
          <cell r="J965" t="str">
            <v>Orphaned Acct</v>
          </cell>
          <cell r="K965" t="str">
            <v>JEFFERSON TWP</v>
          </cell>
          <cell r="L965" t="str">
            <v>PA</v>
          </cell>
          <cell r="M965" t="str">
            <v>800-577-8858</v>
          </cell>
          <cell r="N965"/>
          <cell r="O965">
            <v>1403</v>
          </cell>
          <cell r="P965">
            <v>6032.9</v>
          </cell>
          <cell r="Q965">
            <v>966</v>
          </cell>
          <cell r="R965">
            <v>4153.8</v>
          </cell>
          <cell r="S965"/>
          <cell r="T965">
            <v>0</v>
          </cell>
          <cell r="U965">
            <v>1476</v>
          </cell>
          <cell r="V965">
            <v>6346.8</v>
          </cell>
          <cell r="W965">
            <v>1483</v>
          </cell>
          <cell r="X965">
            <v>6376.9</v>
          </cell>
          <cell r="Y965">
            <v>273</v>
          </cell>
          <cell r="Z965">
            <v>1173.8999999999999</v>
          </cell>
          <cell r="AA965">
            <v>273</v>
          </cell>
          <cell r="AB965">
            <v>1173.8999999999999</v>
          </cell>
          <cell r="AC965">
            <v>273</v>
          </cell>
          <cell r="AD965">
            <v>1173.8999999999999</v>
          </cell>
          <cell r="AE965"/>
          <cell r="AF965"/>
          <cell r="AG965"/>
          <cell r="AH965"/>
          <cell r="AI965"/>
          <cell r="AJ965">
            <v>0</v>
          </cell>
          <cell r="AK965" t="str">
            <v>3P</v>
          </cell>
          <cell r="AL965">
            <v>213</v>
          </cell>
          <cell r="AM965">
            <v>412</v>
          </cell>
          <cell r="AN965" t="str">
            <v>08 Inactive Dealer</v>
          </cell>
          <cell r="AO965" t="str">
            <v>Northeast</v>
          </cell>
          <cell r="AP965" t="str">
            <v>North</v>
          </cell>
          <cell r="AQ965"/>
          <cell r="AR965">
            <v>0</v>
          </cell>
          <cell r="AS965">
            <v>0</v>
          </cell>
        </row>
        <row r="966">
          <cell r="A966">
            <v>12930</v>
          </cell>
          <cell r="B966" t="str">
            <v>WENDELL H STONE dba MUSTANG TRAILERS</v>
          </cell>
          <cell r="C966" t="str">
            <v>M10449</v>
          </cell>
          <cell r="D966" t="str">
            <v>NET 5, BT+</v>
          </cell>
          <cell r="E966" t="str">
            <v>FP</v>
          </cell>
          <cell r="F966" t="str">
            <v>Yes</v>
          </cell>
          <cell r="G966" t="str">
            <v>OH</v>
          </cell>
          <cell r="H966">
            <v>8</v>
          </cell>
          <cell r="I966">
            <v>0.66500000000000004</v>
          </cell>
          <cell r="J966" t="str">
            <v>Orphaned Acct</v>
          </cell>
          <cell r="K966" t="str">
            <v>GLASSPORT</v>
          </cell>
          <cell r="L966" t="str">
            <v>PA</v>
          </cell>
          <cell r="M966" t="str">
            <v>800-577-8858</v>
          </cell>
          <cell r="N966"/>
          <cell r="O966">
            <v>1109</v>
          </cell>
          <cell r="P966">
            <v>4768.7</v>
          </cell>
          <cell r="Q966">
            <v>787</v>
          </cell>
          <cell r="R966">
            <v>3384.1</v>
          </cell>
          <cell r="S966"/>
          <cell r="T966">
            <v>0</v>
          </cell>
          <cell r="U966">
            <v>1177</v>
          </cell>
          <cell r="V966">
            <v>5061.0999999999995</v>
          </cell>
          <cell r="W966">
            <v>1189</v>
          </cell>
          <cell r="X966">
            <v>5112.7</v>
          </cell>
          <cell r="Y966">
            <v>278</v>
          </cell>
          <cell r="Z966">
            <v>1195.3999999999999</v>
          </cell>
          <cell r="AA966">
            <v>278</v>
          </cell>
          <cell r="AB966">
            <v>1195.3999999999999</v>
          </cell>
          <cell r="AC966">
            <v>278</v>
          </cell>
          <cell r="AD966">
            <v>1195.3999999999999</v>
          </cell>
          <cell r="AE966"/>
          <cell r="AF966"/>
          <cell r="AG966"/>
          <cell r="AH966"/>
          <cell r="AI966"/>
          <cell r="AJ966">
            <v>0</v>
          </cell>
          <cell r="AK966" t="str">
            <v>3P</v>
          </cell>
          <cell r="AL966">
            <v>213</v>
          </cell>
          <cell r="AM966">
            <v>350</v>
          </cell>
          <cell r="AN966" t="str">
            <v>08 Inactive Dealer</v>
          </cell>
          <cell r="AO966" t="str">
            <v>Northeast</v>
          </cell>
          <cell r="AP966" t="str">
            <v>North</v>
          </cell>
          <cell r="AQ966"/>
          <cell r="AR966">
            <v>0</v>
          </cell>
          <cell r="AS966">
            <v>0</v>
          </cell>
        </row>
        <row r="967">
          <cell r="A967">
            <v>13102</v>
          </cell>
          <cell r="B967" t="str">
            <v>WYSOCKI INC</v>
          </cell>
          <cell r="C967" t="str">
            <v>M11008</v>
          </cell>
          <cell r="D967" t="str">
            <v>NET 5, BT+</v>
          </cell>
          <cell r="E967" t="str">
            <v>F1 - Northpoint</v>
          </cell>
          <cell r="F967" t="str">
            <v>Yes</v>
          </cell>
          <cell r="G967" t="str">
            <v>OH</v>
          </cell>
          <cell r="H967">
            <v>8</v>
          </cell>
          <cell r="I967">
            <v>0.66500000000000004</v>
          </cell>
          <cell r="J967" t="str">
            <v>Orphaned Acct</v>
          </cell>
          <cell r="K967" t="str">
            <v>BURGETTSTOWN</v>
          </cell>
          <cell r="L967" t="str">
            <v>PA</v>
          </cell>
          <cell r="M967" t="str">
            <v>800-577-8858</v>
          </cell>
          <cell r="N967"/>
          <cell r="O967">
            <v>1086</v>
          </cell>
          <cell r="P967">
            <v>4669.8</v>
          </cell>
          <cell r="Q967">
            <v>795</v>
          </cell>
          <cell r="R967">
            <v>3418.5</v>
          </cell>
          <cell r="S967"/>
          <cell r="T967">
            <v>0</v>
          </cell>
          <cell r="U967">
            <v>1154</v>
          </cell>
          <cell r="V967">
            <v>4962.2</v>
          </cell>
          <cell r="W967">
            <v>1166</v>
          </cell>
          <cell r="X967">
            <v>5013.8</v>
          </cell>
          <cell r="Y967">
            <v>255</v>
          </cell>
          <cell r="Z967">
            <v>1096.5</v>
          </cell>
          <cell r="AA967">
            <v>255</v>
          </cell>
          <cell r="AB967">
            <v>1096.5</v>
          </cell>
          <cell r="AC967">
            <v>255</v>
          </cell>
          <cell r="AD967">
            <v>1096.5</v>
          </cell>
          <cell r="AE967"/>
          <cell r="AF967"/>
          <cell r="AG967"/>
          <cell r="AH967"/>
          <cell r="AI967"/>
          <cell r="AJ967">
            <v>0.02</v>
          </cell>
          <cell r="AK967" t="str">
            <v>3P</v>
          </cell>
          <cell r="AL967">
            <v>213</v>
          </cell>
          <cell r="AM967">
            <v>350</v>
          </cell>
          <cell r="AN967" t="str">
            <v>01 Existing Dealer</v>
          </cell>
          <cell r="AO967" t="str">
            <v>Northeast</v>
          </cell>
          <cell r="AP967" t="str">
            <v>North</v>
          </cell>
          <cell r="AQ967"/>
          <cell r="AR967">
            <v>0</v>
          </cell>
          <cell r="AS967">
            <v>0</v>
          </cell>
        </row>
        <row r="968">
          <cell r="A968">
            <v>10576</v>
          </cell>
          <cell r="B968" t="str">
            <v>ZORESCO EQUIPMENT CO.</v>
          </cell>
          <cell r="C968" t="str">
            <v>M10462</v>
          </cell>
          <cell r="D968" t="str">
            <v>NET 5, BT+</v>
          </cell>
          <cell r="E968" t="str">
            <v>CF</v>
          </cell>
          <cell r="F968" t="str">
            <v>Yes</v>
          </cell>
          <cell r="G968" t="str">
            <v>OH</v>
          </cell>
          <cell r="H968">
            <v>5</v>
          </cell>
          <cell r="I968">
            <v>0.66500000000000004</v>
          </cell>
          <cell r="J968" t="str">
            <v>Orphaned Acct</v>
          </cell>
          <cell r="K968" t="str">
            <v>TURTLECREEK</v>
          </cell>
          <cell r="L968" t="str">
            <v>PA</v>
          </cell>
          <cell r="M968" t="str">
            <v>800-577-8858</v>
          </cell>
          <cell r="N968"/>
          <cell r="O968">
            <v>1116</v>
          </cell>
          <cell r="P968">
            <v>4798.8</v>
          </cell>
          <cell r="Q968">
            <v>797</v>
          </cell>
          <cell r="R968">
            <v>3427.1</v>
          </cell>
          <cell r="S968"/>
          <cell r="T968">
            <v>0</v>
          </cell>
          <cell r="U968">
            <v>1184</v>
          </cell>
          <cell r="V968">
            <v>5091.2</v>
          </cell>
          <cell r="W968">
            <v>1196</v>
          </cell>
          <cell r="X968">
            <v>5142.8</v>
          </cell>
          <cell r="Y968">
            <v>286</v>
          </cell>
          <cell r="Z968">
            <v>1229.8</v>
          </cell>
          <cell r="AA968">
            <v>286</v>
          </cell>
          <cell r="AB968">
            <v>1229.8</v>
          </cell>
          <cell r="AC968">
            <v>286</v>
          </cell>
          <cell r="AD968">
            <v>1229.8</v>
          </cell>
          <cell r="AE968"/>
          <cell r="AF968"/>
          <cell r="AG968"/>
          <cell r="AH968"/>
          <cell r="AI968"/>
          <cell r="AJ968">
            <v>0</v>
          </cell>
          <cell r="AK968" t="str">
            <v>3P</v>
          </cell>
          <cell r="AL968">
            <v>213</v>
          </cell>
          <cell r="AM968">
            <v>350</v>
          </cell>
          <cell r="AN968" t="str">
            <v>01 Existing Dealer</v>
          </cell>
          <cell r="AO968" t="str">
            <v>Northeast</v>
          </cell>
          <cell r="AP968" t="str">
            <v>North</v>
          </cell>
          <cell r="AQ968"/>
          <cell r="AR968">
            <v>0</v>
          </cell>
          <cell r="AS968">
            <v>0</v>
          </cell>
        </row>
        <row r="969">
          <cell r="A969" t="str">
            <v>10576A</v>
          </cell>
          <cell r="B969" t="str">
            <v>ZORESCO EQUIPMENT CO.</v>
          </cell>
          <cell r="C969" t="str">
            <v>M10462</v>
          </cell>
          <cell r="D969" t="str">
            <v>NET 5, BT+</v>
          </cell>
          <cell r="E969" t="str">
            <v>CF</v>
          </cell>
          <cell r="F969" t="str">
            <v>Yes</v>
          </cell>
          <cell r="G969" t="str">
            <v>OH</v>
          </cell>
          <cell r="H969">
            <v>5</v>
          </cell>
          <cell r="I969">
            <v>0.66500000000000004</v>
          </cell>
          <cell r="J969" t="str">
            <v>Orphaned Acct</v>
          </cell>
          <cell r="K969" t="str">
            <v>TURTLECREEK</v>
          </cell>
          <cell r="L969" t="str">
            <v>PA</v>
          </cell>
          <cell r="M969" t="str">
            <v>800-577-8858</v>
          </cell>
          <cell r="N969"/>
          <cell r="O969">
            <v>1116</v>
          </cell>
          <cell r="P969">
            <v>4798.8</v>
          </cell>
          <cell r="Q969">
            <v>797</v>
          </cell>
          <cell r="R969">
            <v>3427.1</v>
          </cell>
          <cell r="S969"/>
          <cell r="T969">
            <v>0</v>
          </cell>
          <cell r="U969">
            <v>1184</v>
          </cell>
          <cell r="V969">
            <v>5091.2</v>
          </cell>
          <cell r="W969">
            <v>1196</v>
          </cell>
          <cell r="X969">
            <v>5142.8</v>
          </cell>
          <cell r="Y969">
            <v>286</v>
          </cell>
          <cell r="Z969">
            <v>1229.8</v>
          </cell>
          <cell r="AA969">
            <v>286</v>
          </cell>
          <cell r="AB969">
            <v>1229.8</v>
          </cell>
          <cell r="AC969">
            <v>286</v>
          </cell>
          <cell r="AD969">
            <v>1229.8</v>
          </cell>
          <cell r="AE969"/>
          <cell r="AF969"/>
          <cell r="AG969"/>
          <cell r="AH969"/>
          <cell r="AI969"/>
          <cell r="AJ969">
            <v>0</v>
          </cell>
          <cell r="AK969" t="str">
            <v>3P</v>
          </cell>
          <cell r="AL969">
            <v>213</v>
          </cell>
          <cell r="AM969">
            <v>350</v>
          </cell>
          <cell r="AN969" t="str">
            <v>01 Existing Dealer</v>
          </cell>
          <cell r="AO969" t="str">
            <v>Northeast</v>
          </cell>
          <cell r="AP969" t="str">
            <v>North</v>
          </cell>
          <cell r="AQ969"/>
          <cell r="AR969">
            <v>0</v>
          </cell>
          <cell r="AS969">
            <v>0</v>
          </cell>
        </row>
        <row r="970">
          <cell r="A970" t="str">
            <v>10576B</v>
          </cell>
          <cell r="B970" t="str">
            <v>ZORESCO EQUIPMENT CO.</v>
          </cell>
          <cell r="C970" t="str">
            <v>M10462</v>
          </cell>
          <cell r="D970" t="str">
            <v>NET 5, BT+</v>
          </cell>
          <cell r="E970" t="str">
            <v>CF</v>
          </cell>
          <cell r="F970" t="str">
            <v>Yes</v>
          </cell>
          <cell r="G970" t="str">
            <v>OH</v>
          </cell>
          <cell r="H970">
            <v>5</v>
          </cell>
          <cell r="I970">
            <v>0.66500000000000004</v>
          </cell>
          <cell r="J970" t="str">
            <v>Orphaned Acct</v>
          </cell>
          <cell r="K970" t="str">
            <v>Cranberry Township</v>
          </cell>
          <cell r="L970" t="str">
            <v>PA</v>
          </cell>
          <cell r="M970" t="str">
            <v>800-577-8858</v>
          </cell>
          <cell r="N970"/>
          <cell r="O970">
            <v>1119</v>
          </cell>
          <cell r="P970">
            <v>4811.7</v>
          </cell>
          <cell r="Q970">
            <v>814</v>
          </cell>
          <cell r="R970">
            <v>3500.2</v>
          </cell>
          <cell r="S970"/>
          <cell r="T970">
            <v>0</v>
          </cell>
          <cell r="U970">
            <v>1187</v>
          </cell>
          <cell r="V970">
            <v>5104.0999999999995</v>
          </cell>
          <cell r="W970"/>
          <cell r="X970">
            <v>0</v>
          </cell>
          <cell r="Y970">
            <v>288</v>
          </cell>
          <cell r="Z970">
            <v>1238.3999999999999</v>
          </cell>
          <cell r="AA970">
            <v>288</v>
          </cell>
          <cell r="AB970">
            <v>1238.3999999999999</v>
          </cell>
          <cell r="AC970">
            <v>288</v>
          </cell>
          <cell r="AD970">
            <v>1238.3999999999999</v>
          </cell>
          <cell r="AE970"/>
          <cell r="AF970"/>
          <cell r="AG970"/>
          <cell r="AH970"/>
          <cell r="AI970"/>
          <cell r="AJ970">
            <v>0</v>
          </cell>
          <cell r="AK970" t="str">
            <v>3P</v>
          </cell>
          <cell r="AL970">
            <v>213</v>
          </cell>
          <cell r="AM970">
            <v>350</v>
          </cell>
          <cell r="AN970" t="str">
            <v>01 Existing Dealer</v>
          </cell>
          <cell r="AO970" t="str">
            <v>Northeast</v>
          </cell>
          <cell r="AP970" t="str">
            <v>North</v>
          </cell>
          <cell r="AQ970"/>
          <cell r="AR970">
            <v>0</v>
          </cell>
          <cell r="AS970">
            <v>0</v>
          </cell>
        </row>
        <row r="971">
          <cell r="A971" t="str">
            <v>10576D</v>
          </cell>
          <cell r="B971" t="str">
            <v>ZORESCO EQUIPMENT CO.</v>
          </cell>
          <cell r="C971" t="str">
            <v>M10462</v>
          </cell>
          <cell r="D971" t="str">
            <v>NET 5, BT+</v>
          </cell>
          <cell r="E971" t="str">
            <v>CF</v>
          </cell>
          <cell r="F971" t="str">
            <v>Yes</v>
          </cell>
          <cell r="G971" t="str">
            <v>OH</v>
          </cell>
          <cell r="H971">
            <v>5</v>
          </cell>
          <cell r="I971">
            <v>0.66500000000000004</v>
          </cell>
          <cell r="J971" t="str">
            <v>Orphaned Acct</v>
          </cell>
          <cell r="K971" t="str">
            <v>ALTONIA</v>
          </cell>
          <cell r="L971" t="str">
            <v>PA</v>
          </cell>
          <cell r="M971" t="str">
            <v>800-577-8858</v>
          </cell>
          <cell r="N971"/>
          <cell r="O971">
            <v>1211</v>
          </cell>
          <cell r="P971">
            <v>5207.3</v>
          </cell>
          <cell r="Q971">
            <v>831</v>
          </cell>
          <cell r="R971">
            <v>3573.2999999999997</v>
          </cell>
          <cell r="S971"/>
          <cell r="T971">
            <v>0</v>
          </cell>
          <cell r="U971">
            <v>1279</v>
          </cell>
          <cell r="V971">
            <v>5499.7</v>
          </cell>
          <cell r="W971">
            <v>1291</v>
          </cell>
          <cell r="X971">
            <v>5551.3</v>
          </cell>
          <cell r="Y971">
            <v>373</v>
          </cell>
          <cell r="Z971">
            <v>1603.8999999999999</v>
          </cell>
          <cell r="AA971">
            <v>373</v>
          </cell>
          <cell r="AB971">
            <v>1603.8999999999999</v>
          </cell>
          <cell r="AC971">
            <v>373</v>
          </cell>
          <cell r="AD971">
            <v>1603.8999999999999</v>
          </cell>
          <cell r="AE971"/>
          <cell r="AF971"/>
          <cell r="AG971"/>
          <cell r="AH971"/>
          <cell r="AI971"/>
          <cell r="AJ971">
            <v>0</v>
          </cell>
          <cell r="AK971" t="str">
            <v>3P</v>
          </cell>
          <cell r="AL971">
            <v>213</v>
          </cell>
          <cell r="AM971">
            <v>12</v>
          </cell>
          <cell r="AN971" t="str">
            <v>01 Existing Dealer</v>
          </cell>
          <cell r="AO971" t="str">
            <v>Northeast</v>
          </cell>
          <cell r="AP971" t="str">
            <v>North</v>
          </cell>
          <cell r="AQ971"/>
          <cell r="AR971">
            <v>0</v>
          </cell>
          <cell r="AS971">
            <v>0</v>
          </cell>
        </row>
        <row r="972">
          <cell r="A972">
            <v>12036</v>
          </cell>
          <cell r="B972" t="str">
            <v>WIMAT ENTERPRISES INC</v>
          </cell>
          <cell r="C972" t="str">
            <v>M10462</v>
          </cell>
          <cell r="D972" t="str">
            <v>NET 5, BT+</v>
          </cell>
          <cell r="E972" t="str">
            <v>CF</v>
          </cell>
          <cell r="F972" t="str">
            <v>Yes</v>
          </cell>
          <cell r="G972" t="str">
            <v>TX</v>
          </cell>
          <cell r="H972">
            <v>7</v>
          </cell>
          <cell r="I972">
            <v>0.66500000000000004</v>
          </cell>
          <cell r="J972" t="str">
            <v>House</v>
          </cell>
          <cell r="K972" t="str">
            <v>SAN JUAN</v>
          </cell>
          <cell r="L972" t="str">
            <v>PUERTO RICO</v>
          </cell>
          <cell r="M972" t="str">
            <v>800-577-8858</v>
          </cell>
          <cell r="N972"/>
          <cell r="O972"/>
          <cell r="P972">
            <v>0</v>
          </cell>
          <cell r="Q972"/>
          <cell r="R972">
            <v>0</v>
          </cell>
          <cell r="S972"/>
          <cell r="T972">
            <v>0</v>
          </cell>
          <cell r="U972"/>
          <cell r="V972">
            <v>0</v>
          </cell>
          <cell r="W972"/>
          <cell r="X972">
            <v>0</v>
          </cell>
          <cell r="Y972"/>
          <cell r="Z972">
            <v>0</v>
          </cell>
          <cell r="AA972"/>
          <cell r="AB972">
            <v>0</v>
          </cell>
          <cell r="AC972"/>
          <cell r="AD972">
            <v>0</v>
          </cell>
          <cell r="AE972"/>
          <cell r="AF972"/>
          <cell r="AG972"/>
          <cell r="AH972"/>
          <cell r="AI972"/>
          <cell r="AJ972">
            <v>0</v>
          </cell>
          <cell r="AK972" t="str">
            <v>3P</v>
          </cell>
          <cell r="AL972">
            <v>400</v>
          </cell>
          <cell r="AM972">
            <v>488</v>
          </cell>
          <cell r="AN972" t="str">
            <v>08 Inactive Dealer</v>
          </cell>
          <cell r="AO972"/>
          <cell r="AQ972"/>
          <cell r="AR972">
            <v>0</v>
          </cell>
          <cell r="AS972">
            <v>0</v>
          </cell>
        </row>
        <row r="973">
          <cell r="A973">
            <v>12906</v>
          </cell>
          <cell r="B973" t="str">
            <v>BH TRAILER</v>
          </cell>
          <cell r="C973" t="str">
            <v>M10042</v>
          </cell>
          <cell r="D973" t="str">
            <v>NET 5, BT+</v>
          </cell>
          <cell r="E973" t="str">
            <v>F1 - Northpoint</v>
          </cell>
          <cell r="F973" t="str">
            <v>Yes</v>
          </cell>
          <cell r="G973" t="str">
            <v>OH</v>
          </cell>
          <cell r="H973">
            <v>8</v>
          </cell>
          <cell r="I973">
            <v>0.66500000000000004</v>
          </cell>
          <cell r="J973" t="str">
            <v>Dakota Nation</v>
          </cell>
          <cell r="K973" t="str">
            <v>JOHNSTON</v>
          </cell>
          <cell r="L973" t="str">
            <v>RI</v>
          </cell>
          <cell r="M973" t="str">
            <v>800-577-8858</v>
          </cell>
          <cell r="N973"/>
          <cell r="O973">
            <v>1613</v>
          </cell>
          <cell r="P973">
            <v>6935.9</v>
          </cell>
          <cell r="Q973">
            <v>1157</v>
          </cell>
          <cell r="R973">
            <v>4975.0999999999995</v>
          </cell>
          <cell r="S973"/>
          <cell r="T973">
            <v>0</v>
          </cell>
          <cell r="U973">
            <v>1718</v>
          </cell>
          <cell r="V973">
            <v>7387.4</v>
          </cell>
          <cell r="W973">
            <v>1693</v>
          </cell>
          <cell r="X973">
            <v>7279.9</v>
          </cell>
          <cell r="Y973">
            <v>804</v>
          </cell>
          <cell r="Z973">
            <v>3457.2</v>
          </cell>
          <cell r="AA973">
            <v>804</v>
          </cell>
          <cell r="AB973">
            <v>3457.2</v>
          </cell>
          <cell r="AC973">
            <v>804</v>
          </cell>
          <cell r="AD973">
            <v>3457.2</v>
          </cell>
          <cell r="AE973"/>
          <cell r="AF973"/>
          <cell r="AG973"/>
          <cell r="AH973"/>
          <cell r="AI973"/>
          <cell r="AJ973">
            <v>0.02</v>
          </cell>
          <cell r="AK973" t="str">
            <v>3P</v>
          </cell>
          <cell r="AL973">
            <v>223</v>
          </cell>
          <cell r="AM973">
            <v>364</v>
          </cell>
          <cell r="AN973" t="str">
            <v>01 Existing Dealer</v>
          </cell>
          <cell r="AO973" t="str">
            <v>Northeast</v>
          </cell>
          <cell r="AP973" t="str">
            <v>North</v>
          </cell>
          <cell r="AQ973"/>
          <cell r="AR973">
            <v>55259</v>
          </cell>
          <cell r="AS973">
            <v>104125</v>
          </cell>
        </row>
        <row r="974">
          <cell r="A974">
            <v>12560</v>
          </cell>
          <cell r="B974" t="str">
            <v>AFFORDABLE TRAILERS</v>
          </cell>
          <cell r="C974" t="str">
            <v>M10014</v>
          </cell>
          <cell r="D974" t="str">
            <v>NET 5, BT+</v>
          </cell>
          <cell r="E974" t="str">
            <v>CO</v>
          </cell>
          <cell r="F974" t="str">
            <v>Yes</v>
          </cell>
          <cell r="G974" t="str">
            <v>GA</v>
          </cell>
          <cell r="H974">
            <v>7</v>
          </cell>
          <cell r="I974">
            <v>0.66500000000000004</v>
          </cell>
          <cell r="J974" t="str">
            <v>Orphaned Acct</v>
          </cell>
          <cell r="K974" t="str">
            <v>NORTH MYRTLE BEACH</v>
          </cell>
          <cell r="L974" t="str">
            <v>SC</v>
          </cell>
          <cell r="M974" t="str">
            <v>800-577-8858</v>
          </cell>
          <cell r="N974"/>
          <cell r="O974">
            <v>1100</v>
          </cell>
          <cell r="P974">
            <v>4730</v>
          </cell>
          <cell r="Q974">
            <v>424</v>
          </cell>
          <cell r="R974">
            <v>1823.1999999999998</v>
          </cell>
          <cell r="S974"/>
          <cell r="T974">
            <v>0</v>
          </cell>
          <cell r="U974">
            <v>1197</v>
          </cell>
          <cell r="V974">
            <v>5147.0999999999995</v>
          </cell>
          <cell r="W974">
            <v>1120</v>
          </cell>
          <cell r="X974">
            <v>4816</v>
          </cell>
          <cell r="Y974"/>
          <cell r="Z974">
            <v>0</v>
          </cell>
          <cell r="AA974"/>
          <cell r="AB974">
            <v>0</v>
          </cell>
          <cell r="AC974"/>
          <cell r="AD974">
            <v>0</v>
          </cell>
          <cell r="AE974"/>
          <cell r="AF974"/>
          <cell r="AG974"/>
          <cell r="AH974"/>
          <cell r="AI974"/>
          <cell r="AJ974">
            <v>0</v>
          </cell>
          <cell r="AK974" t="str">
            <v>3P</v>
          </cell>
          <cell r="AL974">
            <v>213</v>
          </cell>
          <cell r="AM974">
            <v>312</v>
          </cell>
          <cell r="AN974" t="str">
            <v>08 Inactive Dealer</v>
          </cell>
          <cell r="AO974" t="str">
            <v>Southeast</v>
          </cell>
          <cell r="AP974" t="str">
            <v>South</v>
          </cell>
          <cell r="AQ974"/>
          <cell r="AR974">
            <v>0</v>
          </cell>
          <cell r="AS974">
            <v>0</v>
          </cell>
        </row>
        <row r="975">
          <cell r="A975" t="str">
            <v>12619V</v>
          </cell>
          <cell r="B975" t="str">
            <v>AG PRO</v>
          </cell>
          <cell r="C975" t="str">
            <v>M10016</v>
          </cell>
          <cell r="D975" t="str">
            <v>Net 60, no pink card</v>
          </cell>
          <cell r="E975">
            <v>60</v>
          </cell>
          <cell r="F975" t="str">
            <v>Yes</v>
          </cell>
          <cell r="G975" t="str">
            <v>GA</v>
          </cell>
          <cell r="H975">
            <v>5</v>
          </cell>
          <cell r="I975">
            <v>0.66500000000000004</v>
          </cell>
          <cell r="J975" t="str">
            <v>Dakota Nation</v>
          </cell>
          <cell r="K975" t="str">
            <v>SPARTANBURG</v>
          </cell>
          <cell r="L975" t="str">
            <v>SC</v>
          </cell>
          <cell r="M975" t="str">
            <v>800-577-8858</v>
          </cell>
          <cell r="N975"/>
          <cell r="O975"/>
          <cell r="P975">
            <v>0</v>
          </cell>
          <cell r="Q975">
            <v>247</v>
          </cell>
          <cell r="R975">
            <v>1062.0999999999999</v>
          </cell>
          <cell r="S975"/>
          <cell r="T975">
            <v>0</v>
          </cell>
          <cell r="U975"/>
          <cell r="V975">
            <v>0</v>
          </cell>
          <cell r="W975"/>
          <cell r="X975">
            <v>0</v>
          </cell>
          <cell r="Y975"/>
          <cell r="Z975">
            <v>0</v>
          </cell>
          <cell r="AA975"/>
          <cell r="AB975">
            <v>0</v>
          </cell>
          <cell r="AC975"/>
          <cell r="AD975">
            <v>0</v>
          </cell>
          <cell r="AE975"/>
          <cell r="AF975"/>
          <cell r="AG975"/>
          <cell r="AH975"/>
          <cell r="AI975"/>
          <cell r="AJ975">
            <v>0</v>
          </cell>
          <cell r="AK975" t="str">
            <v>3P</v>
          </cell>
          <cell r="AL975">
            <v>223</v>
          </cell>
          <cell r="AM975">
            <v>177</v>
          </cell>
          <cell r="AN975" t="str">
            <v>01 Existing Dealer</v>
          </cell>
          <cell r="AO975" t="str">
            <v>Southeast</v>
          </cell>
          <cell r="AP975" t="str">
            <v>South</v>
          </cell>
          <cell r="AQ975"/>
          <cell r="AR975">
            <v>0</v>
          </cell>
          <cell r="AS975">
            <v>0</v>
          </cell>
        </row>
        <row r="976">
          <cell r="A976" t="str">
            <v>12619W</v>
          </cell>
          <cell r="B976" t="str">
            <v>AG PRO</v>
          </cell>
          <cell r="C976" t="str">
            <v>M10016</v>
          </cell>
          <cell r="D976" t="str">
            <v>Net 60, no pink card</v>
          </cell>
          <cell r="E976">
            <v>60</v>
          </cell>
          <cell r="F976" t="str">
            <v>Yes</v>
          </cell>
          <cell r="G976" t="str">
            <v>GA</v>
          </cell>
          <cell r="H976">
            <v>5</v>
          </cell>
          <cell r="I976">
            <v>0.66500000000000004</v>
          </cell>
          <cell r="J976" t="str">
            <v>Dakota Nation</v>
          </cell>
          <cell r="K976" t="str">
            <v>SENECA</v>
          </cell>
          <cell r="L976" t="str">
            <v>SC</v>
          </cell>
          <cell r="M976" t="str">
            <v>800-577-8858</v>
          </cell>
          <cell r="N976"/>
          <cell r="O976"/>
          <cell r="P976">
            <v>0</v>
          </cell>
          <cell r="Q976">
            <v>311</v>
          </cell>
          <cell r="R976">
            <v>1337.3</v>
          </cell>
          <cell r="S976"/>
          <cell r="T976">
            <v>0</v>
          </cell>
          <cell r="U976"/>
          <cell r="V976">
            <v>0</v>
          </cell>
          <cell r="W976"/>
          <cell r="X976">
            <v>0</v>
          </cell>
          <cell r="Y976"/>
          <cell r="Z976">
            <v>0</v>
          </cell>
          <cell r="AA976"/>
          <cell r="AB976">
            <v>0</v>
          </cell>
          <cell r="AC976"/>
          <cell r="AD976">
            <v>0</v>
          </cell>
          <cell r="AE976"/>
          <cell r="AF976"/>
          <cell r="AG976"/>
          <cell r="AH976"/>
          <cell r="AI976"/>
          <cell r="AJ976">
            <v>0</v>
          </cell>
          <cell r="AK976" t="str">
            <v>3P</v>
          </cell>
          <cell r="AL976">
            <v>223</v>
          </cell>
          <cell r="AM976">
            <v>16</v>
          </cell>
          <cell r="AN976" t="str">
            <v>01 Existing Dealer</v>
          </cell>
          <cell r="AO976" t="str">
            <v>Southeast</v>
          </cell>
          <cell r="AP976" t="str">
            <v>South</v>
          </cell>
          <cell r="AQ976"/>
          <cell r="AR976">
            <v>0</v>
          </cell>
          <cell r="AS976">
            <v>0</v>
          </cell>
        </row>
        <row r="977">
          <cell r="A977" t="str">
            <v>12619X</v>
          </cell>
          <cell r="B977" t="str">
            <v>AG PRO</v>
          </cell>
          <cell r="C977" t="str">
            <v>M10016</v>
          </cell>
          <cell r="D977" t="str">
            <v>Net 60, no pink card</v>
          </cell>
          <cell r="E977">
            <v>60</v>
          </cell>
          <cell r="F977" t="str">
            <v>Yes</v>
          </cell>
          <cell r="G977" t="str">
            <v>GA</v>
          </cell>
          <cell r="H977">
            <v>5</v>
          </cell>
          <cell r="I977">
            <v>0.66500000000000004</v>
          </cell>
          <cell r="J977" t="str">
            <v>Dakota Nation</v>
          </cell>
          <cell r="K977" t="str">
            <v>ANDERSON</v>
          </cell>
          <cell r="L977" t="str">
            <v>SC</v>
          </cell>
          <cell r="M977" t="str">
            <v>800-577-8858</v>
          </cell>
          <cell r="N977"/>
          <cell r="O977"/>
          <cell r="P977">
            <v>0</v>
          </cell>
          <cell r="Q977">
            <v>258</v>
          </cell>
          <cell r="R977">
            <v>1109.3999999999999</v>
          </cell>
          <cell r="S977"/>
          <cell r="T977">
            <v>0</v>
          </cell>
          <cell r="U977"/>
          <cell r="V977">
            <v>0</v>
          </cell>
          <cell r="W977"/>
          <cell r="X977">
            <v>0</v>
          </cell>
          <cell r="Y977"/>
          <cell r="Z977">
            <v>0</v>
          </cell>
          <cell r="AA977"/>
          <cell r="AB977">
            <v>0</v>
          </cell>
          <cell r="AC977"/>
          <cell r="AD977">
            <v>0</v>
          </cell>
          <cell r="AE977"/>
          <cell r="AF977"/>
          <cell r="AG977"/>
          <cell r="AH977"/>
          <cell r="AI977"/>
          <cell r="AJ977">
            <v>0</v>
          </cell>
          <cell r="AK977" t="str">
            <v>3P</v>
          </cell>
          <cell r="AL977">
            <v>223</v>
          </cell>
          <cell r="AM977">
            <v>16</v>
          </cell>
          <cell r="AN977" t="str">
            <v>01 Existing Dealer</v>
          </cell>
          <cell r="AO977" t="str">
            <v>Southeast</v>
          </cell>
          <cell r="AP977" t="str">
            <v>South</v>
          </cell>
          <cell r="AQ977"/>
          <cell r="AR977">
            <v>0</v>
          </cell>
          <cell r="AS977">
            <v>0</v>
          </cell>
        </row>
        <row r="978">
          <cell r="A978" t="str">
            <v>12619Y</v>
          </cell>
          <cell r="B978" t="str">
            <v>AG PRO</v>
          </cell>
          <cell r="C978" t="str">
            <v>M10016</v>
          </cell>
          <cell r="D978" t="str">
            <v>Net 60, no pink card</v>
          </cell>
          <cell r="E978">
            <v>60</v>
          </cell>
          <cell r="F978" t="str">
            <v>Yes</v>
          </cell>
          <cell r="G978" t="str">
            <v>GA</v>
          </cell>
          <cell r="H978">
            <v>5</v>
          </cell>
          <cell r="I978">
            <v>0.66500000000000004</v>
          </cell>
          <cell r="J978" t="str">
            <v>Dakota Nation</v>
          </cell>
          <cell r="K978" t="str">
            <v>WILLIAMSTON</v>
          </cell>
          <cell r="L978" t="str">
            <v>SC</v>
          </cell>
          <cell r="M978" t="str">
            <v>800-577-8858</v>
          </cell>
          <cell r="N978"/>
          <cell r="O978">
            <v>825</v>
          </cell>
          <cell r="P978">
            <v>3547.5</v>
          </cell>
          <cell r="Q978">
            <v>272</v>
          </cell>
          <cell r="R978">
            <v>1169.5999999999999</v>
          </cell>
          <cell r="S978"/>
          <cell r="T978">
            <v>0</v>
          </cell>
          <cell r="U978"/>
          <cell r="V978">
            <v>0</v>
          </cell>
          <cell r="W978"/>
          <cell r="X978">
            <v>0</v>
          </cell>
          <cell r="Y978"/>
          <cell r="Z978">
            <v>0</v>
          </cell>
          <cell r="AA978"/>
          <cell r="AB978">
            <v>0</v>
          </cell>
          <cell r="AC978"/>
          <cell r="AD978">
            <v>0</v>
          </cell>
          <cell r="AE978"/>
          <cell r="AF978"/>
          <cell r="AG978"/>
          <cell r="AH978"/>
          <cell r="AI978"/>
          <cell r="AJ978">
            <v>0</v>
          </cell>
          <cell r="AK978" t="str">
            <v>3P</v>
          </cell>
          <cell r="AL978">
            <v>223</v>
          </cell>
          <cell r="AM978">
            <v>16</v>
          </cell>
          <cell r="AN978" t="str">
            <v>01 Existing Dealer</v>
          </cell>
          <cell r="AO978" t="str">
            <v>Southeast</v>
          </cell>
          <cell r="AP978" t="str">
            <v>South</v>
          </cell>
          <cell r="AQ978"/>
          <cell r="AR978">
            <v>0</v>
          </cell>
          <cell r="AS978">
            <v>0</v>
          </cell>
        </row>
        <row r="979">
          <cell r="A979">
            <v>12986</v>
          </cell>
          <cell r="B979" t="str">
            <v>AT THE BEACH RV, LLC</v>
          </cell>
          <cell r="C979" t="str">
            <v>M10782</v>
          </cell>
          <cell r="D979" t="str">
            <v>NET 5, BT+</v>
          </cell>
          <cell r="E979" t="str">
            <v>CO</v>
          </cell>
          <cell r="F979" t="str">
            <v>Yes</v>
          </cell>
          <cell r="G979" t="str">
            <v>GA</v>
          </cell>
          <cell r="H979">
            <v>7</v>
          </cell>
          <cell r="I979">
            <v>0.66500000000000004</v>
          </cell>
          <cell r="J979" t="str">
            <v>JL Smith</v>
          </cell>
          <cell r="K979" t="str">
            <v>CONWAY</v>
          </cell>
          <cell r="L979" t="str">
            <v>SC</v>
          </cell>
          <cell r="M979" t="str">
            <v>800-577-8858</v>
          </cell>
          <cell r="N979"/>
          <cell r="O979">
            <v>1071</v>
          </cell>
          <cell r="P979">
            <v>4605.3</v>
          </cell>
          <cell r="Q979">
            <v>395</v>
          </cell>
          <cell r="R979">
            <v>1698.5</v>
          </cell>
          <cell r="S979"/>
          <cell r="T979">
            <v>0</v>
          </cell>
          <cell r="U979">
            <v>1168</v>
          </cell>
          <cell r="V979">
            <v>5022.3999999999996</v>
          </cell>
          <cell r="W979">
            <v>1092</v>
          </cell>
          <cell r="X979">
            <v>4695.5999999999995</v>
          </cell>
          <cell r="Y979">
            <v>599</v>
          </cell>
          <cell r="Z979">
            <v>2575.6999999999998</v>
          </cell>
          <cell r="AA979">
            <v>599</v>
          </cell>
          <cell r="AB979">
            <v>2575.6999999999998</v>
          </cell>
          <cell r="AC979">
            <v>599</v>
          </cell>
          <cell r="AD979">
            <v>2575.6999999999998</v>
          </cell>
          <cell r="AE979"/>
          <cell r="AF979"/>
          <cell r="AG979"/>
          <cell r="AH979"/>
          <cell r="AI979"/>
          <cell r="AJ979">
            <v>0</v>
          </cell>
          <cell r="AK979" t="str">
            <v>3P</v>
          </cell>
          <cell r="AL979">
            <v>151</v>
          </cell>
          <cell r="AM979">
            <v>312</v>
          </cell>
          <cell r="AN979" t="str">
            <v>01 Existing Dealer</v>
          </cell>
          <cell r="AO979" t="str">
            <v>Southeast</v>
          </cell>
          <cell r="AP979" t="str">
            <v>South</v>
          </cell>
          <cell r="AQ979"/>
          <cell r="AR979">
            <v>0</v>
          </cell>
          <cell r="AS979">
            <v>0</v>
          </cell>
        </row>
        <row r="980">
          <cell r="A980" t="str">
            <v>12986A</v>
          </cell>
          <cell r="B980" t="str">
            <v>AT THE BEACH RV, LLC</v>
          </cell>
          <cell r="C980" t="str">
            <v>M10782</v>
          </cell>
          <cell r="D980" t="str">
            <v>NET 5, BT+</v>
          </cell>
          <cell r="E980" t="str">
            <v>CO</v>
          </cell>
          <cell r="F980" t="str">
            <v>Yes</v>
          </cell>
          <cell r="G980" t="str">
            <v>GA</v>
          </cell>
          <cell r="H980">
            <v>7</v>
          </cell>
          <cell r="I980">
            <v>0.66500000000000004</v>
          </cell>
          <cell r="J980" t="str">
            <v>JL Smith</v>
          </cell>
          <cell r="K980" t="str">
            <v>CONWAY</v>
          </cell>
          <cell r="L980" t="str">
            <v>SC</v>
          </cell>
          <cell r="M980" t="str">
            <v>800-577-8858</v>
          </cell>
          <cell r="N980"/>
          <cell r="O980">
            <v>1071</v>
          </cell>
          <cell r="P980">
            <v>4605.3</v>
          </cell>
          <cell r="Q980">
            <v>395</v>
          </cell>
          <cell r="R980">
            <v>1698.5</v>
          </cell>
          <cell r="S980"/>
          <cell r="T980">
            <v>0</v>
          </cell>
          <cell r="U980">
            <v>1168</v>
          </cell>
          <cell r="V980">
            <v>5022.3999999999996</v>
          </cell>
          <cell r="W980">
            <v>1092</v>
          </cell>
          <cell r="X980">
            <v>4695.5999999999995</v>
          </cell>
          <cell r="Y980">
            <v>599</v>
          </cell>
          <cell r="Z980">
            <v>2575.6999999999998</v>
          </cell>
          <cell r="AA980">
            <v>599</v>
          </cell>
          <cell r="AB980">
            <v>2575.6999999999998</v>
          </cell>
          <cell r="AC980">
            <v>599</v>
          </cell>
          <cell r="AD980">
            <v>2575.6999999999998</v>
          </cell>
          <cell r="AE980"/>
          <cell r="AF980"/>
          <cell r="AG980"/>
          <cell r="AH980"/>
          <cell r="AI980"/>
          <cell r="AJ980">
            <v>0</v>
          </cell>
          <cell r="AK980" t="str">
            <v>3P</v>
          </cell>
          <cell r="AL980">
            <v>151</v>
          </cell>
          <cell r="AM980">
            <v>312</v>
          </cell>
          <cell r="AN980" t="str">
            <v>01 Existing Dealer</v>
          </cell>
          <cell r="AO980" t="str">
            <v>Southeast</v>
          </cell>
          <cell r="AP980" t="str">
            <v>South</v>
          </cell>
          <cell r="AQ980"/>
          <cell r="AR980">
            <v>0</v>
          </cell>
          <cell r="AS980">
            <v>0</v>
          </cell>
        </row>
        <row r="981">
          <cell r="A981">
            <v>12320</v>
          </cell>
          <cell r="B981" t="str">
            <v>B &amp; E TRUCKS &amp; EQUIPMENT, LLC</v>
          </cell>
          <cell r="C981" t="str">
            <v>M10037</v>
          </cell>
          <cell r="D981" t="str">
            <v>NET 5, BT+</v>
          </cell>
          <cell r="E981" t="str">
            <v>CO</v>
          </cell>
          <cell r="F981" t="str">
            <v>Yes</v>
          </cell>
          <cell r="G981" t="str">
            <v>GA</v>
          </cell>
          <cell r="H981">
            <v>7</v>
          </cell>
          <cell r="I981">
            <v>0.66500000000000004</v>
          </cell>
          <cell r="J981" t="str">
            <v>Orphaned Acct</v>
          </cell>
          <cell r="K981" t="str">
            <v>CAYCE</v>
          </cell>
          <cell r="L981" t="str">
            <v>SC</v>
          </cell>
          <cell r="M981" t="str">
            <v>800-577-8858</v>
          </cell>
          <cell r="N981"/>
          <cell r="O981">
            <v>938</v>
          </cell>
          <cell r="P981">
            <v>4033.3999999999996</v>
          </cell>
          <cell r="Q981">
            <v>262</v>
          </cell>
          <cell r="R981">
            <v>1126.5999999999999</v>
          </cell>
          <cell r="S981"/>
          <cell r="T981">
            <v>0</v>
          </cell>
          <cell r="U981">
            <v>1035</v>
          </cell>
          <cell r="V981">
            <v>4450.5</v>
          </cell>
          <cell r="W981">
            <v>959</v>
          </cell>
          <cell r="X981">
            <v>4123.7</v>
          </cell>
          <cell r="Y981"/>
          <cell r="Z981">
            <v>0</v>
          </cell>
          <cell r="AA981"/>
          <cell r="AB981">
            <v>0</v>
          </cell>
          <cell r="AC981"/>
          <cell r="AD981">
            <v>0</v>
          </cell>
          <cell r="AE981"/>
          <cell r="AF981"/>
          <cell r="AG981"/>
          <cell r="AH981"/>
          <cell r="AI981"/>
          <cell r="AJ981">
            <v>0</v>
          </cell>
          <cell r="AK981" t="str">
            <v>3P</v>
          </cell>
          <cell r="AL981">
            <v>213</v>
          </cell>
          <cell r="AM981">
            <v>91</v>
          </cell>
          <cell r="AN981" t="str">
            <v>01 Existing Dealer</v>
          </cell>
          <cell r="AO981" t="str">
            <v>Southeast</v>
          </cell>
          <cell r="AP981" t="str">
            <v>South</v>
          </cell>
          <cell r="AQ981"/>
          <cell r="AR981">
            <v>0</v>
          </cell>
          <cell r="AS981">
            <v>0</v>
          </cell>
        </row>
        <row r="982">
          <cell r="A982">
            <v>12910</v>
          </cell>
          <cell r="B982" t="str">
            <v>B &amp; E TRUCKS &amp; EQUIPMENT, LLC</v>
          </cell>
          <cell r="C982" t="str">
            <v>M10037</v>
          </cell>
          <cell r="D982" t="str">
            <v>NET 5, BT+</v>
          </cell>
          <cell r="E982" t="str">
            <v>FP</v>
          </cell>
          <cell r="F982" t="str">
            <v>Yes</v>
          </cell>
          <cell r="G982" t="str">
            <v>GA</v>
          </cell>
          <cell r="H982">
            <v>7</v>
          </cell>
          <cell r="I982">
            <v>0.66500000000000004</v>
          </cell>
          <cell r="J982" t="str">
            <v>Orphaned Acct</v>
          </cell>
          <cell r="K982" t="str">
            <v>CAYCE</v>
          </cell>
          <cell r="L982" t="str">
            <v>SC</v>
          </cell>
          <cell r="M982" t="str">
            <v>800-577-8858</v>
          </cell>
          <cell r="N982"/>
          <cell r="O982">
            <v>938</v>
          </cell>
          <cell r="P982">
            <v>4033.3999999999996</v>
          </cell>
          <cell r="Q982">
            <v>262</v>
          </cell>
          <cell r="R982">
            <v>1126.5999999999999</v>
          </cell>
          <cell r="S982"/>
          <cell r="T982">
            <v>0</v>
          </cell>
          <cell r="U982">
            <v>1035</v>
          </cell>
          <cell r="V982">
            <v>4450.5</v>
          </cell>
          <cell r="W982">
            <v>959</v>
          </cell>
          <cell r="X982">
            <v>4123.7</v>
          </cell>
          <cell r="Y982"/>
          <cell r="Z982">
            <v>0</v>
          </cell>
          <cell r="AA982"/>
          <cell r="AB982">
            <v>0</v>
          </cell>
          <cell r="AC982"/>
          <cell r="AD982">
            <v>0</v>
          </cell>
          <cell r="AE982"/>
          <cell r="AF982"/>
          <cell r="AG982"/>
          <cell r="AH982"/>
          <cell r="AI982"/>
          <cell r="AJ982">
            <v>0</v>
          </cell>
          <cell r="AK982" t="str">
            <v>3P</v>
          </cell>
          <cell r="AL982">
            <v>213</v>
          </cell>
          <cell r="AM982">
            <v>91</v>
          </cell>
          <cell r="AN982" t="str">
            <v>01 Existing Dealer</v>
          </cell>
          <cell r="AO982" t="str">
            <v>Southeast</v>
          </cell>
          <cell r="AP982" t="str">
            <v>South</v>
          </cell>
          <cell r="AQ982"/>
          <cell r="AR982">
            <v>0</v>
          </cell>
          <cell r="AS982">
            <v>0</v>
          </cell>
        </row>
        <row r="983">
          <cell r="A983" t="str">
            <v>13397N</v>
          </cell>
          <cell r="B983" t="str">
            <v>BCMS / SILVERLINE</v>
          </cell>
          <cell r="C983" t="str">
            <v>M11363</v>
          </cell>
          <cell r="D983" t="str">
            <v>NET 5, BT+</v>
          </cell>
          <cell r="E983" t="str">
            <v>F3 - Wells Fargo</v>
          </cell>
          <cell r="F983" t="str">
            <v>Yes</v>
          </cell>
          <cell r="G983" t="str">
            <v>GA</v>
          </cell>
          <cell r="H983">
            <v>8</v>
          </cell>
          <cell r="I983">
            <v>0.66500000000000004</v>
          </cell>
          <cell r="J983" t="str">
            <v>Trent Evans</v>
          </cell>
          <cell r="K983" t="str">
            <v>WALTERBORO</v>
          </cell>
          <cell r="L983" t="str">
            <v>SC</v>
          </cell>
          <cell r="M983" t="str">
            <v>800-577-8858</v>
          </cell>
          <cell r="N983"/>
          <cell r="O983">
            <v>946</v>
          </cell>
          <cell r="P983">
            <v>4067.7999999999997</v>
          </cell>
          <cell r="Q983">
            <v>250</v>
          </cell>
          <cell r="R983">
            <v>1075</v>
          </cell>
          <cell r="S983"/>
          <cell r="T983">
            <v>0</v>
          </cell>
          <cell r="U983">
            <v>1110</v>
          </cell>
          <cell r="V983">
            <v>4773</v>
          </cell>
          <cell r="W983">
            <v>985</v>
          </cell>
          <cell r="X983">
            <v>4235.5</v>
          </cell>
          <cell r="Y983"/>
          <cell r="Z983">
            <v>0</v>
          </cell>
          <cell r="AA983">
            <v>620</v>
          </cell>
          <cell r="AB983">
            <v>2666</v>
          </cell>
          <cell r="AC983">
            <v>620</v>
          </cell>
          <cell r="AD983">
            <v>2666</v>
          </cell>
          <cell r="AE983"/>
          <cell r="AF983"/>
          <cell r="AG983"/>
          <cell r="AH983"/>
          <cell r="AI983"/>
          <cell r="AJ983">
            <v>0.03</v>
          </cell>
          <cell r="AK983" t="str">
            <v>3P</v>
          </cell>
          <cell r="AL983">
            <v>226</v>
          </cell>
          <cell r="AM983">
            <v>72</v>
          </cell>
          <cell r="AN983" t="str">
            <v>01 Existing Dealer</v>
          </cell>
          <cell r="AO983" t="str">
            <v>Southeast</v>
          </cell>
          <cell r="AP983" t="str">
            <v>South</v>
          </cell>
          <cell r="AQ983"/>
          <cell r="AR983">
            <v>0</v>
          </cell>
          <cell r="AS983">
            <v>0</v>
          </cell>
        </row>
        <row r="984">
          <cell r="A984">
            <v>12774</v>
          </cell>
          <cell r="B984" t="str">
            <v>BLADES OUTDOOR EQUIPMENT, LLC</v>
          </cell>
          <cell r="C984" t="str">
            <v>M10102</v>
          </cell>
          <cell r="D984" t="str">
            <v>Return Mail, no pink card</v>
          </cell>
          <cell r="E984" t="str">
            <v>F6 - Northpoint</v>
          </cell>
          <cell r="F984" t="str">
            <v>Yes</v>
          </cell>
          <cell r="G984" t="str">
            <v>GA</v>
          </cell>
          <cell r="H984">
            <v>8</v>
          </cell>
          <cell r="I984">
            <v>0.66500000000000004</v>
          </cell>
          <cell r="J984" t="str">
            <v>Dakota Nation</v>
          </cell>
          <cell r="K984" t="str">
            <v>FOUNTAIN INN</v>
          </cell>
          <cell r="L984" t="str">
            <v>SC</v>
          </cell>
          <cell r="M984" t="str">
            <v>800-577-8858</v>
          </cell>
          <cell r="N984"/>
          <cell r="O984">
            <v>879</v>
          </cell>
          <cell r="P984">
            <v>3779.7</v>
          </cell>
          <cell r="Q984">
            <v>296</v>
          </cell>
          <cell r="R984">
            <v>1272.8</v>
          </cell>
          <cell r="S984"/>
          <cell r="T984">
            <v>0</v>
          </cell>
          <cell r="U984">
            <v>975</v>
          </cell>
          <cell r="V984">
            <v>4192.5</v>
          </cell>
          <cell r="W984">
            <v>899</v>
          </cell>
          <cell r="X984">
            <v>3865.7</v>
          </cell>
          <cell r="Y984"/>
          <cell r="Z984">
            <v>0</v>
          </cell>
          <cell r="AA984"/>
          <cell r="AB984">
            <v>0</v>
          </cell>
          <cell r="AC984"/>
          <cell r="AD984">
            <v>0</v>
          </cell>
          <cell r="AE984"/>
          <cell r="AF984"/>
          <cell r="AG984"/>
          <cell r="AH984"/>
          <cell r="AI984"/>
          <cell r="AJ984">
            <v>0.01</v>
          </cell>
          <cell r="AK984" t="str">
            <v>3P</v>
          </cell>
          <cell r="AL984">
            <v>223</v>
          </cell>
          <cell r="AM984">
            <v>177</v>
          </cell>
          <cell r="AN984" t="str">
            <v>01 Existing Dealer</v>
          </cell>
          <cell r="AO984" t="str">
            <v>Southeast</v>
          </cell>
          <cell r="AP984" t="str">
            <v>South</v>
          </cell>
          <cell r="AQ984"/>
          <cell r="AR984">
            <v>0</v>
          </cell>
          <cell r="AS984">
            <v>0</v>
          </cell>
        </row>
        <row r="985">
          <cell r="A985">
            <v>12823</v>
          </cell>
          <cell r="B985" t="str">
            <v>CAROLINA EARTH MOVERS EQUIPMENT SALES &amp; SERVICE, LLC</v>
          </cell>
          <cell r="C985" t="str">
            <v>M10133</v>
          </cell>
          <cell r="D985" t="str">
            <v>NET 5, BT+</v>
          </cell>
          <cell r="E985" t="str">
            <v>F3 - Wells Fargo</v>
          </cell>
          <cell r="F985" t="str">
            <v>Yes</v>
          </cell>
          <cell r="G985" t="str">
            <v>GA</v>
          </cell>
          <cell r="H985">
            <v>5</v>
          </cell>
          <cell r="I985">
            <v>0.66500000000000004</v>
          </cell>
          <cell r="J985" t="str">
            <v>Dakota Nation</v>
          </cell>
          <cell r="K985" t="str">
            <v>RICHBURG</v>
          </cell>
          <cell r="L985" t="str">
            <v>SC</v>
          </cell>
          <cell r="M985" t="str">
            <v>800-577-8858</v>
          </cell>
          <cell r="N985"/>
          <cell r="O985">
            <v>960</v>
          </cell>
          <cell r="P985">
            <v>4128</v>
          </cell>
          <cell r="Q985">
            <v>316</v>
          </cell>
          <cell r="R985">
            <v>1358.8</v>
          </cell>
          <cell r="S985"/>
          <cell r="T985">
            <v>0</v>
          </cell>
          <cell r="U985">
            <v>1090</v>
          </cell>
          <cell r="V985">
            <v>4687</v>
          </cell>
          <cell r="W985">
            <v>976</v>
          </cell>
          <cell r="X985">
            <v>4196.8</v>
          </cell>
          <cell r="Y985">
            <v>483</v>
          </cell>
          <cell r="Z985">
            <v>2076.9</v>
          </cell>
          <cell r="AA985">
            <v>483</v>
          </cell>
          <cell r="AB985">
            <v>2076.9</v>
          </cell>
          <cell r="AC985">
            <v>483</v>
          </cell>
          <cell r="AD985">
            <v>2076.9</v>
          </cell>
          <cell r="AE985"/>
          <cell r="AF985"/>
          <cell r="AG985"/>
          <cell r="AH985"/>
          <cell r="AI985"/>
          <cell r="AJ985">
            <v>0</v>
          </cell>
          <cell r="AK985" t="str">
            <v>3P</v>
          </cell>
          <cell r="AL985">
            <v>223</v>
          </cell>
          <cell r="AM985">
            <v>74</v>
          </cell>
          <cell r="AN985" t="str">
            <v>01 Existing Dealer</v>
          </cell>
          <cell r="AO985" t="str">
            <v>Southeast</v>
          </cell>
          <cell r="AP985" t="str">
            <v>South</v>
          </cell>
          <cell r="AQ985"/>
          <cell r="AR985">
            <v>0</v>
          </cell>
          <cell r="AS985">
            <v>0</v>
          </cell>
        </row>
        <row r="986">
          <cell r="A986">
            <v>13077</v>
          </cell>
          <cell r="B986" t="str">
            <v>CAROLINA TRAILER, LLC</v>
          </cell>
          <cell r="C986" t="str">
            <v>M10954</v>
          </cell>
          <cell r="D986" t="str">
            <v>NET 5, BT+</v>
          </cell>
          <cell r="E986" t="str">
            <v>F3 - Northpoint</v>
          </cell>
          <cell r="F986" t="str">
            <v>Yes</v>
          </cell>
          <cell r="G986" t="str">
            <v>GA</v>
          </cell>
          <cell r="H986">
            <v>5</v>
          </cell>
          <cell r="I986">
            <v>0.66500000000000004</v>
          </cell>
          <cell r="J986" t="str">
            <v>Orphaned Acct</v>
          </cell>
          <cell r="K986" t="str">
            <v>YORK</v>
          </cell>
          <cell r="L986" t="str">
            <v>SC</v>
          </cell>
          <cell r="M986" t="str">
            <v>800-577-8858</v>
          </cell>
          <cell r="N986"/>
          <cell r="O986">
            <v>940</v>
          </cell>
          <cell r="P986">
            <v>4042</v>
          </cell>
          <cell r="Q986">
            <v>358</v>
          </cell>
          <cell r="R986">
            <v>1539.3999999999999</v>
          </cell>
          <cell r="S986"/>
          <cell r="T986">
            <v>0</v>
          </cell>
          <cell r="U986">
            <v>1038</v>
          </cell>
          <cell r="V986">
            <v>4463.3999999999996</v>
          </cell>
          <cell r="W986">
            <v>961</v>
          </cell>
          <cell r="X986">
            <v>4132.3</v>
          </cell>
          <cell r="Y986"/>
          <cell r="Z986">
            <v>0</v>
          </cell>
          <cell r="AA986"/>
          <cell r="AB986">
            <v>0</v>
          </cell>
          <cell r="AC986"/>
          <cell r="AD986">
            <v>0</v>
          </cell>
          <cell r="AE986"/>
          <cell r="AF986"/>
          <cell r="AG986"/>
          <cell r="AH986"/>
          <cell r="AI986"/>
          <cell r="AJ986">
            <v>0</v>
          </cell>
          <cell r="AK986" t="str">
            <v>3P</v>
          </cell>
          <cell r="AL986">
            <v>213</v>
          </cell>
          <cell r="AM986">
            <v>483</v>
          </cell>
          <cell r="AN986" t="str">
            <v>01 Existing Dealer</v>
          </cell>
          <cell r="AO986" t="str">
            <v>Southeast</v>
          </cell>
          <cell r="AP986" t="str">
            <v>South</v>
          </cell>
          <cell r="AQ986"/>
          <cell r="AR986">
            <v>0</v>
          </cell>
          <cell r="AS986">
            <v>0</v>
          </cell>
        </row>
        <row r="987">
          <cell r="A987">
            <v>12721</v>
          </cell>
          <cell r="B987" t="str">
            <v>COASTAL CAROLINA TRAILERS OF HARDEEVILLE, LLC.</v>
          </cell>
          <cell r="C987" t="str">
            <v>M10151</v>
          </cell>
          <cell r="D987" t="str">
            <v>NET 5, BT+</v>
          </cell>
          <cell r="E987" t="str">
            <v>FP</v>
          </cell>
          <cell r="F987" t="str">
            <v>Yes</v>
          </cell>
          <cell r="G987" t="str">
            <v>GA</v>
          </cell>
          <cell r="H987">
            <v>8</v>
          </cell>
          <cell r="I987">
            <v>0.66500000000000004</v>
          </cell>
          <cell r="J987" t="str">
            <v>Orphaned Acct</v>
          </cell>
          <cell r="K987" t="str">
            <v>HARDEEVILLE</v>
          </cell>
          <cell r="L987" t="str">
            <v>SC</v>
          </cell>
          <cell r="M987" t="str">
            <v>800-577-8858</v>
          </cell>
          <cell r="N987"/>
          <cell r="O987">
            <v>976</v>
          </cell>
          <cell r="P987">
            <v>4196.8</v>
          </cell>
          <cell r="Q987">
            <v>197</v>
          </cell>
          <cell r="R987">
            <v>847.09999999999991</v>
          </cell>
          <cell r="S987"/>
          <cell r="T987">
            <v>0</v>
          </cell>
          <cell r="U987">
            <v>1073</v>
          </cell>
          <cell r="V987">
            <v>4613.8999999999996</v>
          </cell>
          <cell r="W987">
            <v>997</v>
          </cell>
          <cell r="X987">
            <v>4287.0999999999995</v>
          </cell>
          <cell r="Y987"/>
          <cell r="Z987">
            <v>0</v>
          </cell>
          <cell r="AA987"/>
          <cell r="AB987">
            <v>0</v>
          </cell>
          <cell r="AC987"/>
          <cell r="AD987">
            <v>0</v>
          </cell>
          <cell r="AE987"/>
          <cell r="AF987"/>
          <cell r="AG987"/>
          <cell r="AH987"/>
          <cell r="AI987"/>
          <cell r="AJ987">
            <v>0</v>
          </cell>
          <cell r="AK987" t="str">
            <v>3P</v>
          </cell>
          <cell r="AL987">
            <v>213</v>
          </cell>
          <cell r="AM987">
            <v>410</v>
          </cell>
          <cell r="AN987" t="str">
            <v>08 Inactive Dealer</v>
          </cell>
          <cell r="AO987" t="str">
            <v>Southeast</v>
          </cell>
          <cell r="AP987" t="str">
            <v>South</v>
          </cell>
          <cell r="AQ987"/>
          <cell r="AR987">
            <v>0</v>
          </cell>
          <cell r="AS987">
            <v>0</v>
          </cell>
        </row>
        <row r="988">
          <cell r="A988" t="str">
            <v>12721A</v>
          </cell>
          <cell r="B988" t="str">
            <v>COASTAL CAROLINA TRAILERS OF HARDEEVILLE, LLC.</v>
          </cell>
          <cell r="C988" t="str">
            <v>M10151</v>
          </cell>
          <cell r="D988" t="str">
            <v>NET 5, BT+</v>
          </cell>
          <cell r="E988" t="str">
            <v>FP</v>
          </cell>
          <cell r="F988" t="str">
            <v>Yes</v>
          </cell>
          <cell r="G988" t="str">
            <v>GA</v>
          </cell>
          <cell r="H988">
            <v>8</v>
          </cell>
          <cell r="I988">
            <v>0.66500000000000004</v>
          </cell>
          <cell r="J988" t="str">
            <v>Orphaned Acct</v>
          </cell>
          <cell r="K988" t="str">
            <v>WESTMINSTER</v>
          </cell>
          <cell r="L988" t="str">
            <v>SC</v>
          </cell>
          <cell r="M988" t="str">
            <v>800-577-8858</v>
          </cell>
          <cell r="N988"/>
          <cell r="O988">
            <v>828</v>
          </cell>
          <cell r="P988">
            <v>3560.3999999999996</v>
          </cell>
          <cell r="Q988">
            <v>250</v>
          </cell>
          <cell r="R988">
            <v>1075</v>
          </cell>
          <cell r="S988"/>
          <cell r="T988">
            <v>0</v>
          </cell>
          <cell r="U988">
            <v>978</v>
          </cell>
          <cell r="V988">
            <v>4205.3999999999996</v>
          </cell>
          <cell r="W988">
            <v>854</v>
          </cell>
          <cell r="X988">
            <v>3672.2</v>
          </cell>
          <cell r="Y988"/>
          <cell r="Z988">
            <v>0</v>
          </cell>
          <cell r="AA988"/>
          <cell r="AB988">
            <v>0</v>
          </cell>
          <cell r="AC988"/>
          <cell r="AD988">
            <v>0</v>
          </cell>
          <cell r="AE988"/>
          <cell r="AF988"/>
          <cell r="AG988"/>
          <cell r="AH988"/>
          <cell r="AI988"/>
          <cell r="AJ988">
            <v>0</v>
          </cell>
          <cell r="AK988" t="str">
            <v>3P</v>
          </cell>
          <cell r="AL988">
            <v>213</v>
          </cell>
          <cell r="AM988">
            <v>16</v>
          </cell>
          <cell r="AN988" t="str">
            <v>08 Inactive Dealer</v>
          </cell>
          <cell r="AO988" t="str">
            <v>Southeast</v>
          </cell>
          <cell r="AP988" t="str">
            <v>South</v>
          </cell>
          <cell r="AQ988"/>
          <cell r="AR988">
            <v>0</v>
          </cell>
          <cell r="AS988">
            <v>0</v>
          </cell>
        </row>
        <row r="989">
          <cell r="A989" t="str">
            <v>12721B</v>
          </cell>
          <cell r="B989" t="str">
            <v>COASTAL CAROLINA TRAILERS OF HARDEEVILLE, LLC.</v>
          </cell>
          <cell r="C989" t="str">
            <v>M10151</v>
          </cell>
          <cell r="D989" t="str">
            <v>NET 5, BT+</v>
          </cell>
          <cell r="E989" t="str">
            <v>FP</v>
          </cell>
          <cell r="F989" t="str">
            <v>Yes</v>
          </cell>
          <cell r="G989" t="str">
            <v>GA</v>
          </cell>
          <cell r="H989">
            <v>8</v>
          </cell>
          <cell r="I989">
            <v>0.66500000000000004</v>
          </cell>
          <cell r="J989" t="str">
            <v>Orphaned Acct</v>
          </cell>
          <cell r="K989" t="str">
            <v>SENECA</v>
          </cell>
          <cell r="L989" t="str">
            <v>SC</v>
          </cell>
          <cell r="M989" t="str">
            <v>800-577-8858</v>
          </cell>
          <cell r="N989"/>
          <cell r="O989"/>
          <cell r="P989">
            <v>0</v>
          </cell>
          <cell r="Q989">
            <v>252</v>
          </cell>
          <cell r="R989">
            <v>1083.5999999999999</v>
          </cell>
          <cell r="S989"/>
          <cell r="T989">
            <v>0</v>
          </cell>
          <cell r="U989"/>
          <cell r="V989">
            <v>0</v>
          </cell>
          <cell r="W989"/>
          <cell r="X989">
            <v>0</v>
          </cell>
          <cell r="Y989"/>
          <cell r="Z989">
            <v>0</v>
          </cell>
          <cell r="AA989"/>
          <cell r="AB989">
            <v>0</v>
          </cell>
          <cell r="AC989"/>
          <cell r="AD989">
            <v>0</v>
          </cell>
          <cell r="AE989"/>
          <cell r="AF989"/>
          <cell r="AG989"/>
          <cell r="AH989"/>
          <cell r="AI989"/>
          <cell r="AJ989">
            <v>0</v>
          </cell>
          <cell r="AK989" t="str">
            <v>3P</v>
          </cell>
          <cell r="AL989">
            <v>213</v>
          </cell>
          <cell r="AM989">
            <v>16</v>
          </cell>
          <cell r="AN989" t="str">
            <v>08 Inactive Dealer</v>
          </cell>
          <cell r="AO989" t="str">
            <v>Southeast</v>
          </cell>
          <cell r="AP989" t="str">
            <v>South</v>
          </cell>
          <cell r="AQ989"/>
          <cell r="AR989">
            <v>0</v>
          </cell>
          <cell r="AS989">
            <v>0</v>
          </cell>
        </row>
        <row r="990">
          <cell r="A990">
            <v>13623</v>
          </cell>
          <cell r="B990" t="str">
            <v>COUNTRY LAWN AND TRACTOR</v>
          </cell>
          <cell r="C990" t="str">
            <v>M11591</v>
          </cell>
          <cell r="D990" t="str">
            <v>NET 5, BT+</v>
          </cell>
          <cell r="E990" t="str">
            <v>CO</v>
          </cell>
          <cell r="F990" t="str">
            <v>Yes</v>
          </cell>
          <cell r="G990" t="str">
            <v>GA</v>
          </cell>
          <cell r="H990">
            <v>7</v>
          </cell>
          <cell r="I990">
            <v>0.66500000000000004</v>
          </cell>
          <cell r="J990" t="str">
            <v>JL Smith</v>
          </cell>
          <cell r="K990" t="str">
            <v>WOODRUFF</v>
          </cell>
          <cell r="L990" t="str">
            <v>SC</v>
          </cell>
          <cell r="M990" t="str">
            <v>800-577-8858</v>
          </cell>
          <cell r="N990"/>
          <cell r="O990">
            <v>864</v>
          </cell>
          <cell r="P990">
            <v>3715.2</v>
          </cell>
          <cell r="Q990">
            <v>227</v>
          </cell>
          <cell r="R990">
            <v>976.09999999999991</v>
          </cell>
          <cell r="S990"/>
          <cell r="T990">
            <v>0</v>
          </cell>
          <cell r="U990">
            <v>1038</v>
          </cell>
          <cell r="V990">
            <v>4463.3999999999996</v>
          </cell>
          <cell r="W990">
            <v>901</v>
          </cell>
          <cell r="X990">
            <v>3874.2999999999997</v>
          </cell>
          <cell r="Y990"/>
          <cell r="Z990">
            <v>0</v>
          </cell>
          <cell r="AA990">
            <v>459</v>
          </cell>
          <cell r="AB990">
            <v>1973.6999999999998</v>
          </cell>
          <cell r="AC990">
            <v>459</v>
          </cell>
          <cell r="AD990">
            <v>1973.6999999999998</v>
          </cell>
          <cell r="AE990"/>
          <cell r="AF990"/>
          <cell r="AG990"/>
          <cell r="AH990"/>
          <cell r="AI990"/>
          <cell r="AJ990">
            <v>0</v>
          </cell>
          <cell r="AK990" t="str">
            <v>3P</v>
          </cell>
          <cell r="AL990">
            <v>151</v>
          </cell>
          <cell r="AM990">
            <v>177</v>
          </cell>
          <cell r="AN990" t="str">
            <v>03 New Dealer</v>
          </cell>
          <cell r="AO990" t="str">
            <v>Southeast</v>
          </cell>
          <cell r="AP990" t="str">
            <v>South</v>
          </cell>
          <cell r="AQ990">
            <v>29388</v>
          </cell>
          <cell r="AR990">
            <v>-72610</v>
          </cell>
          <cell r="AS990">
            <v>0</v>
          </cell>
          <cell r="AT990"/>
        </row>
        <row r="991">
          <cell r="A991">
            <v>13613</v>
          </cell>
          <cell r="B991" t="str">
            <v>COUNTRY LAWN AND TRACTOR</v>
          </cell>
          <cell r="C991" t="str">
            <v>M11591</v>
          </cell>
          <cell r="D991" t="str">
            <v>NET 5, BT+</v>
          </cell>
          <cell r="E991" t="str">
            <v>FP-Northpoint</v>
          </cell>
          <cell r="F991" t="str">
            <v>Yes</v>
          </cell>
          <cell r="G991" t="str">
            <v>GA</v>
          </cell>
          <cell r="H991">
            <v>8</v>
          </cell>
          <cell r="I991">
            <v>0.66500000000000004</v>
          </cell>
          <cell r="J991" t="str">
            <v>JL Smith</v>
          </cell>
          <cell r="K991" t="str">
            <v>WOODRUFF</v>
          </cell>
          <cell r="L991" t="str">
            <v>SC</v>
          </cell>
          <cell r="M991" t="str">
            <v>800-577-8858</v>
          </cell>
          <cell r="N991"/>
          <cell r="O991">
            <v>864</v>
          </cell>
          <cell r="P991">
            <v>3715.2</v>
          </cell>
          <cell r="Q991">
            <v>227</v>
          </cell>
          <cell r="R991">
            <v>976.09999999999991</v>
          </cell>
          <cell r="S991"/>
          <cell r="T991">
            <v>0</v>
          </cell>
          <cell r="U991">
            <v>1038</v>
          </cell>
          <cell r="V991">
            <v>4463.3999999999996</v>
          </cell>
          <cell r="W991">
            <v>901</v>
          </cell>
          <cell r="X991">
            <v>3874.2999999999997</v>
          </cell>
          <cell r="Y991"/>
          <cell r="Z991">
            <v>0</v>
          </cell>
          <cell r="AA991">
            <v>459</v>
          </cell>
          <cell r="AB991">
            <v>1973.6999999999998</v>
          </cell>
          <cell r="AC991">
            <v>459</v>
          </cell>
          <cell r="AD991">
            <v>1973.6999999999998</v>
          </cell>
          <cell r="AE991"/>
          <cell r="AF991"/>
          <cell r="AG991"/>
          <cell r="AH991"/>
          <cell r="AI991"/>
          <cell r="AJ991">
            <v>0</v>
          </cell>
          <cell r="AK991" t="str">
            <v>3P</v>
          </cell>
          <cell r="AL991">
            <v>151</v>
          </cell>
          <cell r="AM991">
            <v>177</v>
          </cell>
          <cell r="AN991" t="str">
            <v>03 New Dealer</v>
          </cell>
          <cell r="AO991" t="str">
            <v>Southeast</v>
          </cell>
          <cell r="AP991" t="str">
            <v>South</v>
          </cell>
          <cell r="AQ991">
            <v>29388</v>
          </cell>
          <cell r="AR991">
            <v>70400</v>
          </cell>
          <cell r="AS991">
            <v>0</v>
          </cell>
          <cell r="AT991"/>
        </row>
        <row r="992">
          <cell r="A992">
            <v>13035</v>
          </cell>
          <cell r="B992" t="str">
            <v>LINE-X OF THE CAROLINAS</v>
          </cell>
          <cell r="C992" t="str">
            <v>M10886</v>
          </cell>
          <cell r="D992" t="str">
            <v>NET 5, BT+</v>
          </cell>
          <cell r="E992" t="str">
            <v>FP - Wells Fargo</v>
          </cell>
          <cell r="F992" t="str">
            <v>Yes</v>
          </cell>
          <cell r="G992" t="str">
            <v>GA</v>
          </cell>
          <cell r="H992">
            <v>8</v>
          </cell>
          <cell r="I992">
            <v>0.66500000000000004</v>
          </cell>
          <cell r="J992" t="str">
            <v>JL Smith</v>
          </cell>
          <cell r="K992" t="str">
            <v>GREENWOOD</v>
          </cell>
          <cell r="L992" t="str">
            <v>SC</v>
          </cell>
          <cell r="M992" t="str">
            <v>800-577-8858</v>
          </cell>
          <cell r="N992"/>
          <cell r="O992">
            <v>885</v>
          </cell>
          <cell r="P992">
            <v>3805.5</v>
          </cell>
          <cell r="Q992">
            <v>214</v>
          </cell>
          <cell r="R992">
            <v>920.19999999999993</v>
          </cell>
          <cell r="S992"/>
          <cell r="T992">
            <v>0</v>
          </cell>
          <cell r="U992">
            <v>982</v>
          </cell>
          <cell r="V992">
            <v>4222.5999999999995</v>
          </cell>
          <cell r="W992">
            <v>906</v>
          </cell>
          <cell r="X992">
            <v>3895.7999999999997</v>
          </cell>
          <cell r="Y992"/>
          <cell r="Z992">
            <v>0</v>
          </cell>
          <cell r="AA992">
            <v>530</v>
          </cell>
          <cell r="AB992">
            <v>2279</v>
          </cell>
          <cell r="AC992">
            <v>530</v>
          </cell>
          <cell r="AD992">
            <v>2279</v>
          </cell>
          <cell r="AE992"/>
          <cell r="AF992"/>
          <cell r="AG992"/>
          <cell r="AH992"/>
          <cell r="AI992"/>
          <cell r="AJ992">
            <v>0</v>
          </cell>
          <cell r="AK992" t="str">
            <v>3P</v>
          </cell>
          <cell r="AL992">
            <v>151</v>
          </cell>
          <cell r="AM992">
            <v>178</v>
          </cell>
          <cell r="AN992" t="str">
            <v>01 Existing Dealer</v>
          </cell>
          <cell r="AO992" t="str">
            <v>Southeast</v>
          </cell>
          <cell r="AP992" t="str">
            <v>South</v>
          </cell>
          <cell r="AQ992"/>
          <cell r="AR992">
            <v>0</v>
          </cell>
          <cell r="AS992">
            <v>0</v>
          </cell>
        </row>
        <row r="993">
          <cell r="A993">
            <v>13030</v>
          </cell>
          <cell r="B993" t="str">
            <v>LINE-X OF THE CAROLINAS</v>
          </cell>
          <cell r="C993" t="str">
            <v>M10886</v>
          </cell>
          <cell r="D993" t="str">
            <v>NET 5, BT+</v>
          </cell>
          <cell r="E993" t="str">
            <v>CO</v>
          </cell>
          <cell r="F993" t="str">
            <v>Yes</v>
          </cell>
          <cell r="G993" t="str">
            <v>GA</v>
          </cell>
          <cell r="H993">
            <v>7</v>
          </cell>
          <cell r="I993">
            <v>0.66500000000000004</v>
          </cell>
          <cell r="J993" t="str">
            <v>JL Smith</v>
          </cell>
          <cell r="K993" t="str">
            <v>GREENWOOD</v>
          </cell>
          <cell r="L993" t="str">
            <v>SC</v>
          </cell>
          <cell r="M993" t="str">
            <v>800-577-8858</v>
          </cell>
          <cell r="N993"/>
          <cell r="O993">
            <v>885</v>
          </cell>
          <cell r="P993">
            <v>3805.5</v>
          </cell>
          <cell r="Q993">
            <v>214</v>
          </cell>
          <cell r="R993">
            <v>920.19999999999993</v>
          </cell>
          <cell r="S993"/>
          <cell r="T993">
            <v>0</v>
          </cell>
          <cell r="U993">
            <v>982</v>
          </cell>
          <cell r="V993">
            <v>4222.5999999999995</v>
          </cell>
          <cell r="W993">
            <v>906</v>
          </cell>
          <cell r="X993">
            <v>3895.7999999999997</v>
          </cell>
          <cell r="Y993"/>
          <cell r="Z993">
            <v>0</v>
          </cell>
          <cell r="AA993">
            <v>530</v>
          </cell>
          <cell r="AB993">
            <v>2279</v>
          </cell>
          <cell r="AC993">
            <v>530</v>
          </cell>
          <cell r="AD993">
            <v>2279</v>
          </cell>
          <cell r="AE993"/>
          <cell r="AF993"/>
          <cell r="AG993"/>
          <cell r="AH993"/>
          <cell r="AI993"/>
          <cell r="AJ993">
            <v>0</v>
          </cell>
          <cell r="AK993" t="str">
            <v>3P</v>
          </cell>
          <cell r="AL993">
            <v>213</v>
          </cell>
          <cell r="AM993">
            <v>178</v>
          </cell>
          <cell r="AN993" t="str">
            <v>01 Existing Dealer</v>
          </cell>
          <cell r="AO993" t="str">
            <v>Southeast</v>
          </cell>
          <cell r="AP993" t="str">
            <v>South</v>
          </cell>
          <cell r="AQ993"/>
          <cell r="AR993">
            <v>0</v>
          </cell>
          <cell r="AS993">
            <v>0</v>
          </cell>
        </row>
        <row r="994">
          <cell r="A994">
            <v>12966</v>
          </cell>
          <cell r="B994" t="str">
            <v>LOWCOUNTRY EQUIPMENT SALES AND SERVISE, LLC</v>
          </cell>
          <cell r="C994" t="str">
            <v>M10786</v>
          </cell>
          <cell r="D994" t="str">
            <v>NET 5, BT+</v>
          </cell>
          <cell r="E994" t="str">
            <v>F3 - Northpoint</v>
          </cell>
          <cell r="F994" t="str">
            <v>Yes</v>
          </cell>
          <cell r="G994" t="str">
            <v>GA</v>
          </cell>
          <cell r="H994">
            <v>8</v>
          </cell>
          <cell r="I994">
            <v>0.66500000000000004</v>
          </cell>
          <cell r="J994" t="str">
            <v>JL Smith</v>
          </cell>
          <cell r="K994" t="str">
            <v>WALTERBORO</v>
          </cell>
          <cell r="L994" t="str">
            <v>SC</v>
          </cell>
          <cell r="M994" t="str">
            <v>800-577-8858</v>
          </cell>
          <cell r="N994"/>
          <cell r="O994">
            <v>969</v>
          </cell>
          <cell r="P994">
            <v>4166.7</v>
          </cell>
          <cell r="Q994">
            <v>247</v>
          </cell>
          <cell r="R994">
            <v>1062.0999999999999</v>
          </cell>
          <cell r="S994"/>
          <cell r="T994">
            <v>0</v>
          </cell>
          <cell r="U994">
            <v>1065</v>
          </cell>
          <cell r="V994">
            <v>4579.5</v>
          </cell>
          <cell r="W994">
            <v>989</v>
          </cell>
          <cell r="X994">
            <v>4252.7</v>
          </cell>
          <cell r="Y994">
            <v>617</v>
          </cell>
          <cell r="Z994">
            <v>2653.1</v>
          </cell>
          <cell r="AA994">
            <v>617</v>
          </cell>
          <cell r="AB994">
            <v>2653.1</v>
          </cell>
          <cell r="AC994">
            <v>617</v>
          </cell>
          <cell r="AD994">
            <v>2653.1</v>
          </cell>
          <cell r="AE994"/>
          <cell r="AF994"/>
          <cell r="AG994"/>
          <cell r="AH994"/>
          <cell r="AI994"/>
          <cell r="AJ994">
            <v>0</v>
          </cell>
          <cell r="AK994" t="str">
            <v>3P</v>
          </cell>
          <cell r="AL994">
            <v>151</v>
          </cell>
          <cell r="AM994">
            <v>72</v>
          </cell>
          <cell r="AN994" t="str">
            <v>01 Existing Dealer</v>
          </cell>
          <cell r="AO994" t="str">
            <v>Southeast</v>
          </cell>
          <cell r="AP994" t="str">
            <v>South</v>
          </cell>
          <cell r="AQ994"/>
          <cell r="AR994">
            <v>0</v>
          </cell>
          <cell r="AS994">
            <v>0</v>
          </cell>
        </row>
        <row r="995">
          <cell r="A995" t="str">
            <v>12966B</v>
          </cell>
          <cell r="B995" t="str">
            <v>LOWCOUNTRY EQUIPMENT SALES AND SERVISE, LLC</v>
          </cell>
          <cell r="C995" t="str">
            <v>M10786</v>
          </cell>
          <cell r="D995" t="str">
            <v>NET 5, BT+</v>
          </cell>
          <cell r="E995" t="str">
            <v>F3 - Northpoint</v>
          </cell>
          <cell r="F995" t="str">
            <v>Yes</v>
          </cell>
          <cell r="G995" t="str">
            <v>GA</v>
          </cell>
          <cell r="H995">
            <v>8</v>
          </cell>
          <cell r="I995">
            <v>0.66500000000000004</v>
          </cell>
          <cell r="J995" t="str">
            <v>JL Smith</v>
          </cell>
          <cell r="K995" t="str">
            <v>LEXINGTON</v>
          </cell>
          <cell r="L995" t="str">
            <v>SC</v>
          </cell>
          <cell r="M995" t="str">
            <v>800-577-8858</v>
          </cell>
          <cell r="N995"/>
          <cell r="O995">
            <v>929</v>
          </cell>
          <cell r="P995">
            <v>3994.7</v>
          </cell>
          <cell r="Q995">
            <v>253</v>
          </cell>
          <cell r="R995">
            <v>1087.8999999999999</v>
          </cell>
          <cell r="S995"/>
          <cell r="T995">
            <v>0</v>
          </cell>
          <cell r="U995">
            <v>1026</v>
          </cell>
          <cell r="V995">
            <v>4411.8</v>
          </cell>
          <cell r="W995">
            <v>949</v>
          </cell>
          <cell r="X995">
            <v>4080.7</v>
          </cell>
          <cell r="Y995">
            <v>617</v>
          </cell>
          <cell r="Z995">
            <v>2653.1</v>
          </cell>
          <cell r="AA995">
            <v>617</v>
          </cell>
          <cell r="AB995">
            <v>2653.1</v>
          </cell>
          <cell r="AC995">
            <v>617</v>
          </cell>
          <cell r="AD995">
            <v>2653.1</v>
          </cell>
          <cell r="AE995"/>
          <cell r="AF995"/>
          <cell r="AG995"/>
          <cell r="AH995"/>
          <cell r="AI995"/>
          <cell r="AJ995">
            <v>0</v>
          </cell>
          <cell r="AK995" t="str">
            <v>3P</v>
          </cell>
          <cell r="AL995">
            <v>151</v>
          </cell>
          <cell r="AM995">
            <v>91</v>
          </cell>
          <cell r="AN995" t="str">
            <v>01 Existing Dealer</v>
          </cell>
          <cell r="AO995" t="str">
            <v>Southeast</v>
          </cell>
          <cell r="AP995" t="str">
            <v>South</v>
          </cell>
          <cell r="AQ995"/>
          <cell r="AR995">
            <v>0</v>
          </cell>
          <cell r="AS995">
            <v>0</v>
          </cell>
        </row>
        <row r="996">
          <cell r="A996">
            <v>12632</v>
          </cell>
          <cell r="B996" t="str">
            <v>OLD SOUTH</v>
          </cell>
          <cell r="C996" t="str">
            <v>M10307</v>
          </cell>
          <cell r="D996" t="str">
            <v>NET 5, BT+</v>
          </cell>
          <cell r="E996" t="str">
            <v>F1 - Wells Fargo</v>
          </cell>
          <cell r="F996" t="str">
            <v>Yes</v>
          </cell>
          <cell r="G996" t="str">
            <v>GA</v>
          </cell>
          <cell r="H996">
            <v>7</v>
          </cell>
          <cell r="I996">
            <v>0.66500000000000004</v>
          </cell>
          <cell r="J996" t="str">
            <v>JL Smith</v>
          </cell>
          <cell r="K996" t="str">
            <v>PROSPERITY</v>
          </cell>
          <cell r="L996" t="str">
            <v>SC</v>
          </cell>
          <cell r="M996" t="str">
            <v>800-577-8858</v>
          </cell>
          <cell r="N996"/>
          <cell r="O996">
            <v>931</v>
          </cell>
          <cell r="P996">
            <v>4003.2999999999997</v>
          </cell>
          <cell r="Q996">
            <v>262</v>
          </cell>
          <cell r="R996">
            <v>1126.5999999999999</v>
          </cell>
          <cell r="S996"/>
          <cell r="T996">
            <v>0</v>
          </cell>
          <cell r="U996">
            <v>1027</v>
          </cell>
          <cell r="V996">
            <v>4416.0999999999995</v>
          </cell>
          <cell r="W996">
            <v>951</v>
          </cell>
          <cell r="X996">
            <v>4089.2999999999997</v>
          </cell>
          <cell r="Y996">
            <v>501</v>
          </cell>
          <cell r="Z996">
            <v>2154.2999999999997</v>
          </cell>
          <cell r="AA996">
            <v>501</v>
          </cell>
          <cell r="AB996">
            <v>2154.2999999999997</v>
          </cell>
          <cell r="AC996">
            <v>501</v>
          </cell>
          <cell r="AD996">
            <v>2154.2999999999997</v>
          </cell>
          <cell r="AE996"/>
          <cell r="AF996"/>
          <cell r="AG996"/>
          <cell r="AH996"/>
          <cell r="AI996"/>
          <cell r="AJ996">
            <v>0.03</v>
          </cell>
          <cell r="AK996" t="str">
            <v>3P</v>
          </cell>
          <cell r="AL996">
            <v>151</v>
          </cell>
          <cell r="AM996">
            <v>91</v>
          </cell>
          <cell r="AN996" t="str">
            <v>01 Existing Dealer</v>
          </cell>
          <cell r="AO996" t="str">
            <v>Southeast</v>
          </cell>
          <cell r="AP996" t="str">
            <v>South</v>
          </cell>
          <cell r="AQ996"/>
          <cell r="AR996">
            <v>41934</v>
          </cell>
          <cell r="AS996">
            <v>44178</v>
          </cell>
        </row>
        <row r="997">
          <cell r="A997">
            <v>12633</v>
          </cell>
          <cell r="B997" t="str">
            <v>OLD SOUTH</v>
          </cell>
          <cell r="C997" t="str">
            <v>M10307</v>
          </cell>
          <cell r="D997" t="str">
            <v>NET 5, BT+</v>
          </cell>
          <cell r="E997" t="str">
            <v>CO</v>
          </cell>
          <cell r="F997" t="str">
            <v>Yes</v>
          </cell>
          <cell r="G997" t="str">
            <v>GA</v>
          </cell>
          <cell r="H997">
            <v>7</v>
          </cell>
          <cell r="I997">
            <v>0.66500000000000004</v>
          </cell>
          <cell r="J997" t="str">
            <v>JL Smith</v>
          </cell>
          <cell r="K997" t="str">
            <v>PROSPERITY</v>
          </cell>
          <cell r="L997" t="str">
            <v>SC</v>
          </cell>
          <cell r="M997" t="str">
            <v>800-577-8858</v>
          </cell>
          <cell r="N997"/>
          <cell r="O997">
            <v>931</v>
          </cell>
          <cell r="P997">
            <v>4003.2999999999997</v>
          </cell>
          <cell r="Q997">
            <v>262</v>
          </cell>
          <cell r="R997">
            <v>1126.5999999999999</v>
          </cell>
          <cell r="S997"/>
          <cell r="T997">
            <v>0</v>
          </cell>
          <cell r="U997">
            <v>1027</v>
          </cell>
          <cell r="V997">
            <v>4416.0999999999995</v>
          </cell>
          <cell r="W997">
            <v>951</v>
          </cell>
          <cell r="X997">
            <v>4089.2999999999997</v>
          </cell>
          <cell r="Y997">
            <v>501</v>
          </cell>
          <cell r="Z997">
            <v>2154.2999999999997</v>
          </cell>
          <cell r="AA997">
            <v>501</v>
          </cell>
          <cell r="AB997">
            <v>2154.2999999999997</v>
          </cell>
          <cell r="AC997">
            <v>501</v>
          </cell>
          <cell r="AD997">
            <v>2154.2999999999997</v>
          </cell>
          <cell r="AE997"/>
          <cell r="AF997"/>
          <cell r="AG997"/>
          <cell r="AH997"/>
          <cell r="AI997"/>
          <cell r="AJ997">
            <v>0.03</v>
          </cell>
          <cell r="AK997" t="str">
            <v>3P</v>
          </cell>
          <cell r="AL997">
            <v>151</v>
          </cell>
          <cell r="AM997">
            <v>91</v>
          </cell>
          <cell r="AN997" t="str">
            <v>01 Existing Dealer</v>
          </cell>
          <cell r="AO997" t="str">
            <v>Southeast</v>
          </cell>
          <cell r="AP997" t="str">
            <v>South</v>
          </cell>
          <cell r="AQ997"/>
          <cell r="AR997">
            <v>0</v>
          </cell>
          <cell r="AS997">
            <v>0</v>
          </cell>
        </row>
        <row r="998">
          <cell r="A998">
            <v>13614</v>
          </cell>
          <cell r="B998" t="str">
            <v>PALMETTO TRAILER WORLD</v>
          </cell>
          <cell r="C998" t="str">
            <v>M11593</v>
          </cell>
          <cell r="D998" t="str">
            <v>NET 5, BT+</v>
          </cell>
          <cell r="E998" t="str">
            <v>CO</v>
          </cell>
          <cell r="F998" t="str">
            <v>Yes</v>
          </cell>
          <cell r="G998" t="str">
            <v>GA</v>
          </cell>
          <cell r="H998">
            <v>7</v>
          </cell>
          <cell r="I998">
            <v>0.66500000000000004</v>
          </cell>
          <cell r="J998" t="str">
            <v>JL Smith</v>
          </cell>
          <cell r="K998" t="str">
            <v>SUMMERVILLE</v>
          </cell>
          <cell r="L998" t="str">
            <v>SC</v>
          </cell>
          <cell r="M998" t="str">
            <v>800-577-8858</v>
          </cell>
          <cell r="N998"/>
          <cell r="O998">
            <v>974</v>
          </cell>
          <cell r="P998">
            <v>4188.2</v>
          </cell>
          <cell r="Q998">
            <v>305</v>
          </cell>
          <cell r="R998">
            <v>1311.5</v>
          </cell>
          <cell r="S998"/>
          <cell r="T998">
            <v>0</v>
          </cell>
          <cell r="U998">
            <v>1149</v>
          </cell>
          <cell r="V998">
            <v>4940.7</v>
          </cell>
          <cell r="W998">
            <v>1012</v>
          </cell>
          <cell r="X998">
            <v>4351.5999999999995</v>
          </cell>
          <cell r="Y998"/>
          <cell r="Z998">
            <v>0</v>
          </cell>
          <cell r="AA998">
            <v>624</v>
          </cell>
          <cell r="AB998">
            <v>2683.2</v>
          </cell>
          <cell r="AC998">
            <v>624</v>
          </cell>
          <cell r="AD998">
            <v>2683.2</v>
          </cell>
          <cell r="AE998"/>
          <cell r="AF998"/>
          <cell r="AG998"/>
          <cell r="AH998"/>
          <cell r="AI998"/>
          <cell r="AJ998">
            <v>0</v>
          </cell>
          <cell r="AK998" t="str">
            <v>3P</v>
          </cell>
          <cell r="AL998">
            <v>151</v>
          </cell>
          <cell r="AM998">
            <v>72</v>
          </cell>
          <cell r="AN998" t="str">
            <v>01 Existing Dealer</v>
          </cell>
          <cell r="AO998" t="str">
            <v>Southeast</v>
          </cell>
          <cell r="AP998" t="str">
            <v>South</v>
          </cell>
          <cell r="AQ998">
            <v>29486</v>
          </cell>
          <cell r="AR998">
            <v>57995</v>
          </cell>
          <cell r="AS998">
            <v>99389</v>
          </cell>
        </row>
        <row r="999">
          <cell r="A999" t="str">
            <v>13614A</v>
          </cell>
          <cell r="B999" t="str">
            <v>PALMETTO TRAILER WORLD</v>
          </cell>
          <cell r="C999" t="str">
            <v>M11593</v>
          </cell>
          <cell r="D999" t="str">
            <v>NET 5, BT+</v>
          </cell>
          <cell r="E999" t="str">
            <v>CO</v>
          </cell>
          <cell r="F999" t="str">
            <v>Yes</v>
          </cell>
          <cell r="G999" t="str">
            <v>GA</v>
          </cell>
          <cell r="H999">
            <v>7</v>
          </cell>
          <cell r="I999">
            <v>0.66500000000000004</v>
          </cell>
          <cell r="J999" t="str">
            <v>JL Smith</v>
          </cell>
          <cell r="K999" t="str">
            <v>RAVENEL</v>
          </cell>
          <cell r="L999" t="str">
            <v>SC</v>
          </cell>
          <cell r="M999" t="str">
            <v>800-577-8858</v>
          </cell>
          <cell r="N999"/>
          <cell r="O999">
            <v>980</v>
          </cell>
          <cell r="P999">
            <v>4214</v>
          </cell>
          <cell r="Q999">
            <v>269</v>
          </cell>
          <cell r="R999">
            <v>1156.7</v>
          </cell>
          <cell r="S999"/>
          <cell r="T999">
            <v>0</v>
          </cell>
          <cell r="U999">
            <v>1154</v>
          </cell>
          <cell r="V999">
            <v>4962.2</v>
          </cell>
          <cell r="W999">
            <v>1017</v>
          </cell>
          <cell r="X999">
            <v>4373.0999999999995</v>
          </cell>
          <cell r="Y999"/>
          <cell r="Z999">
            <v>0</v>
          </cell>
          <cell r="AA999">
            <v>648</v>
          </cell>
          <cell r="AB999">
            <v>2786.4</v>
          </cell>
          <cell r="AC999">
            <v>648</v>
          </cell>
          <cell r="AD999">
            <v>2786.4</v>
          </cell>
          <cell r="AE999"/>
          <cell r="AF999"/>
          <cell r="AG999"/>
          <cell r="AH999"/>
          <cell r="AI999"/>
          <cell r="AJ999">
            <v>0</v>
          </cell>
          <cell r="AK999" t="str">
            <v>3P</v>
          </cell>
          <cell r="AL999">
            <v>151</v>
          </cell>
          <cell r="AM999">
            <v>72</v>
          </cell>
          <cell r="AN999" t="str">
            <v>03 New Dealer</v>
          </cell>
          <cell r="AO999" t="str">
            <v>Southeast</v>
          </cell>
          <cell r="AP999" t="str">
            <v>South</v>
          </cell>
          <cell r="AQ999">
            <v>29470</v>
          </cell>
          <cell r="AR999">
            <v>0</v>
          </cell>
          <cell r="AS999">
            <v>0</v>
          </cell>
        </row>
        <row r="1000">
          <cell r="A1000">
            <v>12625</v>
          </cell>
          <cell r="B1000" t="str">
            <v>PEE DEE TRAILER SALES</v>
          </cell>
          <cell r="C1000" t="str">
            <v>M10321</v>
          </cell>
          <cell r="D1000" t="str">
            <v>NET 5, BT+</v>
          </cell>
          <cell r="E1000" t="str">
            <v>CO</v>
          </cell>
          <cell r="F1000" t="str">
            <v>Yes</v>
          </cell>
          <cell r="G1000" t="str">
            <v>GA</v>
          </cell>
          <cell r="H1000">
            <v>7</v>
          </cell>
          <cell r="I1000">
            <v>0.66500000000000004</v>
          </cell>
          <cell r="J1000" t="str">
            <v>Orphaned Acct</v>
          </cell>
          <cell r="K1000" t="str">
            <v>FLORENCE</v>
          </cell>
          <cell r="L1000" t="str">
            <v>SC</v>
          </cell>
          <cell r="M1000" t="str">
            <v>800-577-8858</v>
          </cell>
          <cell r="N1000"/>
          <cell r="O1000">
            <v>1016</v>
          </cell>
          <cell r="P1000">
            <v>4368.8</v>
          </cell>
          <cell r="Q1000">
            <v>340</v>
          </cell>
          <cell r="R1000">
            <v>1462</v>
          </cell>
          <cell r="S1000"/>
          <cell r="T1000">
            <v>0</v>
          </cell>
          <cell r="U1000">
            <v>1113</v>
          </cell>
          <cell r="V1000">
            <v>4785.8999999999996</v>
          </cell>
          <cell r="W1000">
            <v>1037</v>
          </cell>
          <cell r="X1000">
            <v>4459.0999999999995</v>
          </cell>
          <cell r="Y1000"/>
          <cell r="Z1000">
            <v>0</v>
          </cell>
          <cell r="AA1000"/>
          <cell r="AB1000">
            <v>0</v>
          </cell>
          <cell r="AC1000"/>
          <cell r="AD1000">
            <v>0</v>
          </cell>
          <cell r="AE1000"/>
          <cell r="AF1000"/>
          <cell r="AG1000"/>
          <cell r="AH1000"/>
          <cell r="AI1000"/>
          <cell r="AJ1000">
            <v>0</v>
          </cell>
          <cell r="AK1000" t="str">
            <v>3P</v>
          </cell>
          <cell r="AL1000">
            <v>213</v>
          </cell>
          <cell r="AM1000">
            <v>147</v>
          </cell>
          <cell r="AN1000" t="str">
            <v>03 New Dealer</v>
          </cell>
          <cell r="AO1000" t="str">
            <v>Southeast</v>
          </cell>
          <cell r="AP1000" t="str">
            <v>South</v>
          </cell>
          <cell r="AQ1000"/>
          <cell r="AR1000">
            <v>0</v>
          </cell>
          <cell r="AS1000">
            <v>0</v>
          </cell>
        </row>
        <row r="1001">
          <cell r="A1001">
            <v>12631</v>
          </cell>
          <cell r="B1001" t="str">
            <v>PEE DEE - INACTIVE ACCT</v>
          </cell>
          <cell r="C1001" t="str">
            <v>M10321</v>
          </cell>
          <cell r="D1001" t="str">
            <v>NET 5, BT+</v>
          </cell>
          <cell r="E1001" t="str">
            <v>INACTIVE</v>
          </cell>
          <cell r="F1001" t="str">
            <v>NO</v>
          </cell>
          <cell r="G1001" t="str">
            <v>GA</v>
          </cell>
          <cell r="H1001">
            <v>6</v>
          </cell>
          <cell r="I1001">
            <v>0.66500000000000004</v>
          </cell>
          <cell r="J1001" t="str">
            <v>Orphaned Acct</v>
          </cell>
          <cell r="K1001" t="str">
            <v>FLORENCE</v>
          </cell>
          <cell r="L1001" t="str">
            <v>SC</v>
          </cell>
          <cell r="M1001" t="str">
            <v>800-577-8858</v>
          </cell>
          <cell r="N1001"/>
          <cell r="O1001">
            <v>1016</v>
          </cell>
          <cell r="P1001">
            <v>4368.8</v>
          </cell>
          <cell r="Q1001">
            <v>340</v>
          </cell>
          <cell r="R1001">
            <v>1462</v>
          </cell>
          <cell r="S1001"/>
          <cell r="T1001">
            <v>0</v>
          </cell>
          <cell r="U1001">
            <v>1113</v>
          </cell>
          <cell r="V1001">
            <v>4785.8999999999996</v>
          </cell>
          <cell r="W1001">
            <v>1037</v>
          </cell>
          <cell r="X1001">
            <v>4459.0999999999995</v>
          </cell>
          <cell r="Y1001"/>
          <cell r="Z1001">
            <v>0</v>
          </cell>
          <cell r="AA1001"/>
          <cell r="AB1001">
            <v>0</v>
          </cell>
          <cell r="AC1001"/>
          <cell r="AD1001">
            <v>0</v>
          </cell>
          <cell r="AE1001"/>
          <cell r="AF1001"/>
          <cell r="AG1001"/>
          <cell r="AH1001"/>
          <cell r="AI1001"/>
          <cell r="AJ1001">
            <v>0</v>
          </cell>
          <cell r="AK1001" t="str">
            <v>3P</v>
          </cell>
          <cell r="AL1001">
            <v>213</v>
          </cell>
          <cell r="AM1001">
            <v>147</v>
          </cell>
          <cell r="AN1001" t="str">
            <v>01 Existing Dealer</v>
          </cell>
          <cell r="AO1001" t="str">
            <v>Southeast</v>
          </cell>
          <cell r="AP1001" t="str">
            <v>South</v>
          </cell>
          <cell r="AQ1001"/>
          <cell r="AR1001">
            <v>0</v>
          </cell>
          <cell r="AS1001">
            <v>0</v>
          </cell>
        </row>
        <row r="1002">
          <cell r="A1002">
            <v>12461</v>
          </cell>
          <cell r="B1002" t="str">
            <v>SCOTT SALES, LLC</v>
          </cell>
          <cell r="C1002" t="str">
            <v>M10368</v>
          </cell>
          <cell r="D1002" t="str">
            <v>NET 5, BT+</v>
          </cell>
          <cell r="E1002" t="str">
            <v>CO</v>
          </cell>
          <cell r="F1002" t="str">
            <v>Yes</v>
          </cell>
          <cell r="G1002" t="str">
            <v>GA</v>
          </cell>
          <cell r="H1002">
            <v>7</v>
          </cell>
          <cell r="I1002">
            <v>0.66500000000000004</v>
          </cell>
          <cell r="J1002" t="str">
            <v>Orphaned Acct</v>
          </cell>
          <cell r="K1002" t="str">
            <v>GREENWOOD</v>
          </cell>
          <cell r="L1002" t="str">
            <v>SC</v>
          </cell>
          <cell r="M1002" t="str">
            <v>800-577-8858</v>
          </cell>
          <cell r="N1002"/>
          <cell r="O1002">
            <v>885</v>
          </cell>
          <cell r="P1002">
            <v>3805.5</v>
          </cell>
          <cell r="Q1002">
            <v>214</v>
          </cell>
          <cell r="R1002">
            <v>920.19999999999993</v>
          </cell>
          <cell r="S1002"/>
          <cell r="T1002">
            <v>0</v>
          </cell>
          <cell r="U1002">
            <v>982</v>
          </cell>
          <cell r="V1002">
            <v>4222.5999999999995</v>
          </cell>
          <cell r="W1002">
            <v>906</v>
          </cell>
          <cell r="X1002">
            <v>3895.7999999999997</v>
          </cell>
          <cell r="Y1002"/>
          <cell r="Z1002">
            <v>0</v>
          </cell>
          <cell r="AA1002"/>
          <cell r="AB1002">
            <v>0</v>
          </cell>
          <cell r="AC1002"/>
          <cell r="AD1002">
            <v>0</v>
          </cell>
          <cell r="AE1002"/>
          <cell r="AF1002"/>
          <cell r="AG1002"/>
          <cell r="AH1002"/>
          <cell r="AI1002"/>
          <cell r="AJ1002">
            <v>0</v>
          </cell>
          <cell r="AK1002" t="str">
            <v>3P</v>
          </cell>
          <cell r="AL1002">
            <v>213</v>
          </cell>
          <cell r="AM1002">
            <v>178</v>
          </cell>
          <cell r="AN1002" t="str">
            <v>08 Inactive Dealer</v>
          </cell>
          <cell r="AO1002" t="str">
            <v>Southeast</v>
          </cell>
          <cell r="AP1002" t="str">
            <v>South</v>
          </cell>
          <cell r="AQ1002"/>
          <cell r="AR1002">
            <v>0</v>
          </cell>
          <cell r="AS1002">
            <v>0</v>
          </cell>
          <cell r="AT1002"/>
        </row>
        <row r="1003">
          <cell r="A1003">
            <v>12476</v>
          </cell>
          <cell r="B1003" t="str">
            <v>SCOTT SALES, LLC</v>
          </cell>
          <cell r="C1003" t="str">
            <v>M10368</v>
          </cell>
          <cell r="D1003" t="str">
            <v>NET 5, BT+</v>
          </cell>
          <cell r="E1003" t="str">
            <v>FP - Wells Fargo</v>
          </cell>
          <cell r="F1003" t="str">
            <v>Yes</v>
          </cell>
          <cell r="G1003" t="str">
            <v>GA</v>
          </cell>
          <cell r="H1003">
            <v>8</v>
          </cell>
          <cell r="I1003">
            <v>0.66500000000000004</v>
          </cell>
          <cell r="J1003" t="str">
            <v>Orphaned Acct</v>
          </cell>
          <cell r="K1003" t="str">
            <v>GREENWOOD</v>
          </cell>
          <cell r="L1003" t="str">
            <v>SC</v>
          </cell>
          <cell r="M1003" t="str">
            <v>800-577-8858</v>
          </cell>
          <cell r="N1003"/>
          <cell r="O1003">
            <v>885</v>
          </cell>
          <cell r="P1003">
            <v>3805.5</v>
          </cell>
          <cell r="Q1003">
            <v>214</v>
          </cell>
          <cell r="R1003">
            <v>920.19999999999993</v>
          </cell>
          <cell r="S1003"/>
          <cell r="T1003">
            <v>0</v>
          </cell>
          <cell r="U1003">
            <v>982</v>
          </cell>
          <cell r="V1003">
            <v>4222.5999999999995</v>
          </cell>
          <cell r="W1003">
            <v>906</v>
          </cell>
          <cell r="X1003">
            <v>3895.7999999999997</v>
          </cell>
          <cell r="Y1003"/>
          <cell r="Z1003">
            <v>0</v>
          </cell>
          <cell r="AA1003"/>
          <cell r="AB1003">
            <v>0</v>
          </cell>
          <cell r="AC1003"/>
          <cell r="AD1003">
            <v>0</v>
          </cell>
          <cell r="AE1003"/>
          <cell r="AF1003"/>
          <cell r="AG1003"/>
          <cell r="AH1003"/>
          <cell r="AI1003"/>
          <cell r="AJ1003">
            <v>0</v>
          </cell>
          <cell r="AK1003" t="str">
            <v>3P</v>
          </cell>
          <cell r="AL1003">
            <v>213</v>
          </cell>
          <cell r="AM1003">
            <v>178</v>
          </cell>
          <cell r="AN1003" t="str">
            <v>08 Inactive Dealer</v>
          </cell>
          <cell r="AO1003" t="str">
            <v>Southeast</v>
          </cell>
          <cell r="AP1003" t="str">
            <v>South</v>
          </cell>
          <cell r="AQ1003"/>
          <cell r="AR1003">
            <v>0</v>
          </cell>
          <cell r="AS1003">
            <v>0</v>
          </cell>
          <cell r="AT1003"/>
        </row>
        <row r="1004">
          <cell r="A1004" t="str">
            <v>12476A</v>
          </cell>
          <cell r="B1004" t="str">
            <v>SCOTT SALES, LLC</v>
          </cell>
          <cell r="C1004" t="str">
            <v>M10368</v>
          </cell>
          <cell r="D1004" t="str">
            <v>NET 5, BT+</v>
          </cell>
          <cell r="E1004" t="str">
            <v>FP - Wells Fargo</v>
          </cell>
          <cell r="F1004" t="str">
            <v>Yes</v>
          </cell>
          <cell r="G1004" t="str">
            <v>GA</v>
          </cell>
          <cell r="H1004">
            <v>8</v>
          </cell>
          <cell r="I1004">
            <v>0.66500000000000004</v>
          </cell>
          <cell r="J1004" t="str">
            <v>Orphaned Acct</v>
          </cell>
          <cell r="K1004" t="str">
            <v>PIEDMONT</v>
          </cell>
          <cell r="L1004" t="str">
            <v>SC</v>
          </cell>
          <cell r="M1004" t="str">
            <v>800-577-8858</v>
          </cell>
          <cell r="N1004"/>
          <cell r="O1004">
            <v>855</v>
          </cell>
          <cell r="P1004">
            <v>3676.5</v>
          </cell>
          <cell r="Q1004">
            <v>272</v>
          </cell>
          <cell r="R1004">
            <v>1169.5999999999999</v>
          </cell>
          <cell r="S1004"/>
          <cell r="T1004">
            <v>0</v>
          </cell>
          <cell r="U1004">
            <v>951</v>
          </cell>
          <cell r="V1004">
            <v>4089.2999999999997</v>
          </cell>
          <cell r="W1004">
            <v>875</v>
          </cell>
          <cell r="X1004">
            <v>3762.5</v>
          </cell>
          <cell r="Y1004"/>
          <cell r="Z1004">
            <v>0</v>
          </cell>
          <cell r="AA1004"/>
          <cell r="AB1004">
            <v>0</v>
          </cell>
          <cell r="AC1004"/>
          <cell r="AD1004">
            <v>0</v>
          </cell>
          <cell r="AE1004"/>
          <cell r="AF1004"/>
          <cell r="AG1004"/>
          <cell r="AH1004"/>
          <cell r="AI1004"/>
          <cell r="AJ1004">
            <v>0</v>
          </cell>
          <cell r="AK1004" t="str">
            <v>3P</v>
          </cell>
          <cell r="AL1004">
            <v>213</v>
          </cell>
          <cell r="AM1004">
            <v>16</v>
          </cell>
          <cell r="AN1004" t="str">
            <v>08 Inactive Dealer</v>
          </cell>
          <cell r="AO1004" t="str">
            <v>Southeast</v>
          </cell>
          <cell r="AP1004" t="str">
            <v>South</v>
          </cell>
          <cell r="AQ1004"/>
          <cell r="AR1004">
            <v>0</v>
          </cell>
          <cell r="AS1004">
            <v>0</v>
          </cell>
          <cell r="AT1004"/>
        </row>
        <row r="1005">
          <cell r="A1005">
            <v>12797</v>
          </cell>
          <cell r="B1005" t="str">
            <v>STEC EQUPMENT</v>
          </cell>
          <cell r="C1005" t="str">
            <v>M10385</v>
          </cell>
          <cell r="D1005" t="str">
            <v>NET 5, BT+</v>
          </cell>
          <cell r="E1005" t="str">
            <v>FP - Wells Fargo</v>
          </cell>
          <cell r="F1005" t="str">
            <v>Yes</v>
          </cell>
          <cell r="G1005" t="str">
            <v>GA</v>
          </cell>
          <cell r="H1005">
            <v>8</v>
          </cell>
          <cell r="I1005">
            <v>0.66500000000000004</v>
          </cell>
          <cell r="J1005" t="str">
            <v>Orphaned Acct</v>
          </cell>
          <cell r="K1005" t="str">
            <v>SANDY SPRINGS</v>
          </cell>
          <cell r="L1005" t="str">
            <v>SC</v>
          </cell>
          <cell r="M1005" t="str">
            <v>800-577-8858</v>
          </cell>
          <cell r="N1005"/>
          <cell r="O1005">
            <v>840</v>
          </cell>
          <cell r="P1005">
            <v>3612</v>
          </cell>
          <cell r="Q1005">
            <v>258</v>
          </cell>
          <cell r="R1005">
            <v>1109.3999999999999</v>
          </cell>
          <cell r="S1005"/>
          <cell r="T1005">
            <v>0</v>
          </cell>
          <cell r="U1005">
            <v>937</v>
          </cell>
          <cell r="V1005">
            <v>4029.1</v>
          </cell>
          <cell r="W1005">
            <v>861</v>
          </cell>
          <cell r="X1005">
            <v>3702.2999999999997</v>
          </cell>
          <cell r="Y1005"/>
          <cell r="Z1005">
            <v>0</v>
          </cell>
          <cell r="AA1005"/>
          <cell r="AB1005">
            <v>0</v>
          </cell>
          <cell r="AC1005"/>
          <cell r="AD1005">
            <v>0</v>
          </cell>
          <cell r="AE1005"/>
          <cell r="AF1005"/>
          <cell r="AG1005"/>
          <cell r="AH1005"/>
          <cell r="AI1005"/>
          <cell r="AJ1005">
            <v>0</v>
          </cell>
          <cell r="AK1005" t="str">
            <v>3P</v>
          </cell>
          <cell r="AL1005">
            <v>213</v>
          </cell>
          <cell r="AM1005">
            <v>16</v>
          </cell>
          <cell r="AN1005" t="str">
            <v>08 Inactive Dealer</v>
          </cell>
          <cell r="AO1005" t="str">
            <v>Southeast</v>
          </cell>
          <cell r="AP1005" t="str">
            <v>South</v>
          </cell>
          <cell r="AQ1005"/>
          <cell r="AR1005">
            <v>0</v>
          </cell>
          <cell r="AS1005">
            <v>0</v>
          </cell>
          <cell r="AT1005"/>
        </row>
        <row r="1006">
          <cell r="A1006">
            <v>12977</v>
          </cell>
          <cell r="B1006" t="str">
            <v>TRAILER DEPOT LLC</v>
          </cell>
          <cell r="C1006" t="str">
            <v>M10810</v>
          </cell>
          <cell r="D1006" t="str">
            <v>NET 5, BT+</v>
          </cell>
          <cell r="E1006" t="str">
            <v>F1 - Wells Fargo</v>
          </cell>
          <cell r="F1006" t="str">
            <v>Yes</v>
          </cell>
          <cell r="G1006" t="str">
            <v>GA</v>
          </cell>
          <cell r="H1006">
            <v>8</v>
          </cell>
          <cell r="I1006">
            <v>0.66500000000000004</v>
          </cell>
          <cell r="J1006" t="str">
            <v>Orphaned Acct</v>
          </cell>
          <cell r="K1006" t="str">
            <v>LADSON</v>
          </cell>
          <cell r="L1006" t="str">
            <v>SC</v>
          </cell>
          <cell r="M1006" t="str">
            <v>800-577-8858</v>
          </cell>
          <cell r="N1006"/>
          <cell r="O1006">
            <v>1028</v>
          </cell>
          <cell r="P1006">
            <v>4420.3999999999996</v>
          </cell>
          <cell r="Q1006">
            <v>284</v>
          </cell>
          <cell r="R1006">
            <v>1221.2</v>
          </cell>
          <cell r="S1006"/>
          <cell r="T1006">
            <v>0</v>
          </cell>
          <cell r="U1006">
            <v>1125</v>
          </cell>
          <cell r="V1006">
            <v>4837.5</v>
          </cell>
          <cell r="W1006">
            <v>1049</v>
          </cell>
          <cell r="X1006">
            <v>4510.7</v>
          </cell>
          <cell r="Y1006"/>
          <cell r="Z1006">
            <v>0</v>
          </cell>
          <cell r="AA1006"/>
          <cell r="AB1006">
            <v>0</v>
          </cell>
          <cell r="AC1006"/>
          <cell r="AD1006">
            <v>0</v>
          </cell>
          <cell r="AE1006"/>
          <cell r="AF1006"/>
          <cell r="AG1006"/>
          <cell r="AH1006"/>
          <cell r="AI1006"/>
          <cell r="AJ1006">
            <v>0</v>
          </cell>
          <cell r="AK1006" t="str">
            <v>3P</v>
          </cell>
          <cell r="AL1006">
            <v>213</v>
          </cell>
          <cell r="AM1006">
            <v>72</v>
          </cell>
          <cell r="AN1006" t="str">
            <v>08 Inactive Dealer</v>
          </cell>
          <cell r="AO1006" t="str">
            <v>Southeast</v>
          </cell>
          <cell r="AP1006" t="str">
            <v>South</v>
          </cell>
          <cell r="AQ1006"/>
          <cell r="AR1006">
            <v>0</v>
          </cell>
          <cell r="AS1006">
            <v>0</v>
          </cell>
        </row>
        <row r="1007">
          <cell r="A1007">
            <v>12718</v>
          </cell>
          <cell r="B1007" t="str">
            <v>WATEREE TRAILER &amp; SUPPLY</v>
          </cell>
          <cell r="C1007" t="str">
            <v>M10446</v>
          </cell>
          <cell r="D1007" t="str">
            <v>NET 5, BT+</v>
          </cell>
          <cell r="E1007" t="str">
            <v>CO</v>
          </cell>
          <cell r="F1007" t="str">
            <v>Yes</v>
          </cell>
          <cell r="G1007" t="str">
            <v>GA</v>
          </cell>
          <cell r="H1007">
            <v>7</v>
          </cell>
          <cell r="I1007">
            <v>0.66500000000000004</v>
          </cell>
          <cell r="J1007" t="str">
            <v>Orphaned Acct</v>
          </cell>
          <cell r="K1007" t="str">
            <v>LUGOFF</v>
          </cell>
          <cell r="L1007" t="str">
            <v>SC</v>
          </cell>
          <cell r="M1007" t="str">
            <v>800-577-8858</v>
          </cell>
          <cell r="N1007"/>
          <cell r="O1007">
            <v>967</v>
          </cell>
          <cell r="P1007">
            <v>4158.0999999999995</v>
          </cell>
          <cell r="Q1007">
            <v>291</v>
          </cell>
          <cell r="R1007">
            <v>1251.3</v>
          </cell>
          <cell r="S1007"/>
          <cell r="T1007">
            <v>0</v>
          </cell>
          <cell r="U1007">
            <v>1064</v>
          </cell>
          <cell r="V1007">
            <v>4575.2</v>
          </cell>
          <cell r="W1007">
            <v>988</v>
          </cell>
          <cell r="X1007">
            <v>4248.3999999999996</v>
          </cell>
          <cell r="Y1007"/>
          <cell r="Z1007">
            <v>0</v>
          </cell>
          <cell r="AA1007"/>
          <cell r="AB1007">
            <v>0</v>
          </cell>
          <cell r="AC1007"/>
          <cell r="AD1007">
            <v>0</v>
          </cell>
          <cell r="AE1007"/>
          <cell r="AF1007"/>
          <cell r="AG1007"/>
          <cell r="AH1007"/>
          <cell r="AI1007"/>
          <cell r="AJ1007">
            <v>0.01</v>
          </cell>
          <cell r="AK1007" t="str">
            <v>3P</v>
          </cell>
          <cell r="AL1007">
            <v>213</v>
          </cell>
          <cell r="AM1007">
            <v>91</v>
          </cell>
          <cell r="AN1007" t="str">
            <v>01 Existing Dealer</v>
          </cell>
          <cell r="AO1007" t="str">
            <v>Southeast</v>
          </cell>
          <cell r="AP1007" t="str">
            <v>South</v>
          </cell>
          <cell r="AQ1007"/>
          <cell r="AR1007">
            <v>0</v>
          </cell>
          <cell r="AS1007">
            <v>0</v>
          </cell>
        </row>
        <row r="1008">
          <cell r="A1008">
            <v>12795</v>
          </cell>
          <cell r="B1008" t="str">
            <v>WATEREE TRAILER &amp; SUPPLY</v>
          </cell>
          <cell r="C1008" t="str">
            <v>M10446</v>
          </cell>
          <cell r="D1008" t="str">
            <v>NET 5, BT+</v>
          </cell>
          <cell r="E1008" t="str">
            <v>F6 - Wells Fargo</v>
          </cell>
          <cell r="F1008" t="str">
            <v>Yes</v>
          </cell>
          <cell r="G1008" t="str">
            <v>GA</v>
          </cell>
          <cell r="H1008">
            <v>8</v>
          </cell>
          <cell r="I1008">
            <v>0.66500000000000004</v>
          </cell>
          <cell r="J1008" t="str">
            <v>Orphaned Acct</v>
          </cell>
          <cell r="K1008" t="str">
            <v>LUGOFF</v>
          </cell>
          <cell r="L1008" t="str">
            <v>SC</v>
          </cell>
          <cell r="M1008" t="str">
            <v>800-577-8858</v>
          </cell>
          <cell r="N1008"/>
          <cell r="O1008">
            <v>967</v>
          </cell>
          <cell r="P1008">
            <v>4158.0999999999995</v>
          </cell>
          <cell r="Q1008">
            <v>291</v>
          </cell>
          <cell r="R1008">
            <v>1251.3</v>
          </cell>
          <cell r="S1008"/>
          <cell r="T1008">
            <v>0</v>
          </cell>
          <cell r="U1008">
            <v>1064</v>
          </cell>
          <cell r="V1008">
            <v>4575.2</v>
          </cell>
          <cell r="W1008">
            <v>988</v>
          </cell>
          <cell r="X1008">
            <v>4248.3999999999996</v>
          </cell>
          <cell r="Y1008"/>
          <cell r="Z1008">
            <v>0</v>
          </cell>
          <cell r="AA1008"/>
          <cell r="AB1008">
            <v>0</v>
          </cell>
          <cell r="AC1008"/>
          <cell r="AD1008">
            <v>0</v>
          </cell>
          <cell r="AE1008"/>
          <cell r="AF1008"/>
          <cell r="AG1008"/>
          <cell r="AH1008"/>
          <cell r="AI1008"/>
          <cell r="AJ1008">
            <v>0.01</v>
          </cell>
          <cell r="AK1008" t="str">
            <v>3P</v>
          </cell>
          <cell r="AL1008">
            <v>213</v>
          </cell>
          <cell r="AM1008">
            <v>91</v>
          </cell>
          <cell r="AN1008" t="str">
            <v>01 Existing Dealer</v>
          </cell>
          <cell r="AO1008" t="str">
            <v>Southeast</v>
          </cell>
          <cell r="AP1008" t="str">
            <v>South</v>
          </cell>
          <cell r="AQ1008"/>
          <cell r="AR1008">
            <v>0</v>
          </cell>
          <cell r="AS1008">
            <v>0</v>
          </cell>
        </row>
        <row r="1009">
          <cell r="A1009" t="str">
            <v>13080B</v>
          </cell>
          <cell r="B1009" t="str">
            <v>WIRELESS IRR dba YANMAR SOUTHERN</v>
          </cell>
          <cell r="C1009" t="str">
            <v>M10959</v>
          </cell>
          <cell r="D1009" t="str">
            <v>Return Mail, no pink card</v>
          </cell>
          <cell r="E1009" t="str">
            <v>RM</v>
          </cell>
          <cell r="F1009" t="str">
            <v>Yes</v>
          </cell>
          <cell r="G1009" t="str">
            <v>GA</v>
          </cell>
          <cell r="H1009">
            <v>5</v>
          </cell>
          <cell r="I1009">
            <v>0.66500000000000004</v>
          </cell>
          <cell r="J1009" t="str">
            <v>Trent Evans</v>
          </cell>
          <cell r="K1009" t="str">
            <v>AIKEN</v>
          </cell>
          <cell r="L1009" t="str">
            <v>SC</v>
          </cell>
          <cell r="M1009" t="str">
            <v>800-577-8858</v>
          </cell>
          <cell r="N1009"/>
          <cell r="O1009">
            <v>868</v>
          </cell>
          <cell r="P1009">
            <v>3732.3999999999996</v>
          </cell>
          <cell r="Q1009">
            <v>218</v>
          </cell>
          <cell r="R1009">
            <v>937.4</v>
          </cell>
          <cell r="S1009"/>
          <cell r="T1009">
            <v>0</v>
          </cell>
          <cell r="U1009">
            <v>1059</v>
          </cell>
          <cell r="V1009">
            <v>4553.7</v>
          </cell>
          <cell r="W1009">
            <v>905</v>
          </cell>
          <cell r="X1009">
            <v>3891.5</v>
          </cell>
          <cell r="Y1009"/>
          <cell r="Z1009">
            <v>0</v>
          </cell>
          <cell r="AA1009"/>
          <cell r="AB1009">
            <v>0</v>
          </cell>
          <cell r="AC1009"/>
          <cell r="AD1009">
            <v>0</v>
          </cell>
          <cell r="AE1009"/>
          <cell r="AF1009"/>
          <cell r="AG1009"/>
          <cell r="AH1009"/>
          <cell r="AI1009"/>
          <cell r="AJ1009">
            <v>0</v>
          </cell>
          <cell r="AK1009" t="str">
            <v>3P</v>
          </cell>
          <cell r="AL1009">
            <v>226</v>
          </cell>
          <cell r="AM1009">
            <v>26</v>
          </cell>
          <cell r="AN1009" t="str">
            <v>01 Existing Dealer</v>
          </cell>
          <cell r="AO1009" t="str">
            <v>Southeast</v>
          </cell>
          <cell r="AP1009" t="str">
            <v>South</v>
          </cell>
          <cell r="AQ1009"/>
          <cell r="AR1009">
            <v>0</v>
          </cell>
          <cell r="AS1009">
            <v>0</v>
          </cell>
          <cell r="AT1009"/>
        </row>
        <row r="1010">
          <cell r="A1010">
            <v>13496</v>
          </cell>
          <cell r="B1010" t="str">
            <v>JIMMY JONES POLARIS (CAMCAR)</v>
          </cell>
          <cell r="C1010" t="str">
            <v>M11471</v>
          </cell>
          <cell r="D1010" t="str">
            <v>NET 5, BT+</v>
          </cell>
          <cell r="E1010" t="str">
            <v>F3 - Wells Fargo</v>
          </cell>
          <cell r="F1010" t="str">
            <v>Yes</v>
          </cell>
          <cell r="G1010" t="str">
            <v>GA</v>
          </cell>
          <cell r="H1010">
            <v>8</v>
          </cell>
          <cell r="I1010">
            <v>0.66500000000000004</v>
          </cell>
          <cell r="J1010" t="str">
            <v>Lane Davis</v>
          </cell>
          <cell r="K1010" t="str">
            <v>ORANGEBURG</v>
          </cell>
          <cell r="L1010" t="str">
            <v>SC</v>
          </cell>
          <cell r="M1010" t="str">
            <v>800-577-8858</v>
          </cell>
          <cell r="N1010"/>
          <cell r="O1010">
            <v>919</v>
          </cell>
          <cell r="P1010">
            <v>3951.7</v>
          </cell>
          <cell r="Q1010">
            <v>237</v>
          </cell>
          <cell r="R1010">
            <v>1019.0999999999999</v>
          </cell>
          <cell r="S1010"/>
          <cell r="T1010">
            <v>0</v>
          </cell>
          <cell r="U1010">
            <v>1082</v>
          </cell>
          <cell r="V1010">
            <v>4652.5999999999995</v>
          </cell>
          <cell r="W1010">
            <v>958</v>
          </cell>
          <cell r="X1010">
            <v>4119.3999999999996</v>
          </cell>
          <cell r="Y1010">
            <v>567</v>
          </cell>
          <cell r="Z1010">
            <v>2438.1</v>
          </cell>
          <cell r="AA1010">
            <v>567</v>
          </cell>
          <cell r="AB1010">
            <v>2438.1</v>
          </cell>
          <cell r="AC1010">
            <v>567</v>
          </cell>
          <cell r="AD1010">
            <v>2438.1</v>
          </cell>
          <cell r="AE1010"/>
          <cell r="AF1010"/>
          <cell r="AG1010"/>
          <cell r="AH1010"/>
          <cell r="AI1010"/>
          <cell r="AJ1010">
            <v>0.02</v>
          </cell>
          <cell r="AK1010" t="str">
            <v>3P</v>
          </cell>
          <cell r="AL1010">
            <v>275</v>
          </cell>
          <cell r="AM1010">
            <v>335</v>
          </cell>
          <cell r="AN1010" t="str">
            <v>03 New Dealer</v>
          </cell>
          <cell r="AO1010" t="str">
            <v>Southeast</v>
          </cell>
          <cell r="AP1010" t="str">
            <v>South</v>
          </cell>
          <cell r="AQ1010"/>
          <cell r="AR1010">
            <v>88459</v>
          </cell>
          <cell r="AS1010">
            <v>99128</v>
          </cell>
          <cell r="AT1010"/>
        </row>
        <row r="1011">
          <cell r="A1011">
            <v>12841</v>
          </cell>
          <cell r="B1011" t="str">
            <v>J GROSS EQUIPMENT</v>
          </cell>
          <cell r="C1011" t="str">
            <v>M10233</v>
          </cell>
          <cell r="D1011" t="str">
            <v>NET 5, BT+</v>
          </cell>
          <cell r="E1011" t="str">
            <v>FP - Wells Fargo</v>
          </cell>
          <cell r="F1011" t="str">
            <v>Yes</v>
          </cell>
          <cell r="G1011" t="str">
            <v>TX</v>
          </cell>
          <cell r="H1011">
            <v>8</v>
          </cell>
          <cell r="I1011">
            <v>0.66500000000000004</v>
          </cell>
          <cell r="J1011" t="str">
            <v>Orphaned Acct</v>
          </cell>
          <cell r="K1011" t="str">
            <v>ABERDEEN</v>
          </cell>
          <cell r="L1011" t="str">
            <v>SD</v>
          </cell>
          <cell r="M1011" t="str">
            <v>208-459-0106</v>
          </cell>
          <cell r="N1011"/>
          <cell r="O1011">
            <v>1026</v>
          </cell>
          <cell r="P1011">
            <v>4411.8</v>
          </cell>
          <cell r="Q1011"/>
          <cell r="R1011">
            <v>0</v>
          </cell>
          <cell r="S1011"/>
          <cell r="T1011">
            <v>0</v>
          </cell>
          <cell r="U1011">
            <v>898</v>
          </cell>
          <cell r="V1011">
            <v>3861.3999999999996</v>
          </cell>
          <cell r="W1011">
            <v>1028</v>
          </cell>
          <cell r="X1011">
            <v>4420.3999999999996</v>
          </cell>
          <cell r="Y1011"/>
          <cell r="Z1011">
            <v>0</v>
          </cell>
          <cell r="AA1011"/>
          <cell r="AB1011">
            <v>0</v>
          </cell>
          <cell r="AC1011"/>
          <cell r="AD1011">
            <v>0</v>
          </cell>
          <cell r="AE1011"/>
          <cell r="AF1011"/>
          <cell r="AG1011"/>
          <cell r="AH1011"/>
          <cell r="AI1011"/>
          <cell r="AJ1011">
            <v>0</v>
          </cell>
          <cell r="AK1011" t="str">
            <v>3P</v>
          </cell>
          <cell r="AL1011">
            <v>213</v>
          </cell>
          <cell r="AM1011">
            <v>1</v>
          </cell>
          <cell r="AN1011" t="str">
            <v>08 Inactive Dealer</v>
          </cell>
          <cell r="AO1011" t="str">
            <v>Northwest</v>
          </cell>
          <cell r="AP1011" t="str">
            <v>Central</v>
          </cell>
          <cell r="AQ1011"/>
          <cell r="AR1011">
            <v>0</v>
          </cell>
          <cell r="AS1011">
            <v>0</v>
          </cell>
        </row>
        <row r="1012">
          <cell r="A1012">
            <v>12682</v>
          </cell>
          <cell r="B1012" t="str">
            <v>MIDWEST MOTORS, LLC</v>
          </cell>
          <cell r="C1012" t="str">
            <v>M10474</v>
          </cell>
          <cell r="D1012" t="str">
            <v>NET 5, BT+</v>
          </cell>
          <cell r="E1012" t="str">
            <v>FP - Wells Fargo</v>
          </cell>
          <cell r="F1012" t="str">
            <v>Yes</v>
          </cell>
          <cell r="G1012" t="str">
            <v>TX</v>
          </cell>
          <cell r="H1012">
            <v>8</v>
          </cell>
          <cell r="I1012">
            <v>0.66500000000000004</v>
          </cell>
          <cell r="J1012" t="str">
            <v>Orphaned Acct</v>
          </cell>
          <cell r="K1012" t="str">
            <v>BELLE FOURCHE</v>
          </cell>
          <cell r="L1012" t="str">
            <v>SD</v>
          </cell>
          <cell r="M1012" t="str">
            <v>800-577-8858</v>
          </cell>
          <cell r="N1012"/>
          <cell r="O1012">
            <v>1225</v>
          </cell>
          <cell r="P1012">
            <v>5267.5</v>
          </cell>
          <cell r="Q1012"/>
          <cell r="R1012">
            <v>0</v>
          </cell>
          <cell r="S1012">
            <v>903</v>
          </cell>
          <cell r="T1012">
            <v>3882.8999999999996</v>
          </cell>
          <cell r="U1012">
            <v>1047</v>
          </cell>
          <cell r="V1012">
            <v>4502.0999999999995</v>
          </cell>
          <cell r="W1012">
            <v>1176</v>
          </cell>
          <cell r="X1012">
            <v>5056.8</v>
          </cell>
          <cell r="Y1012"/>
          <cell r="Z1012">
            <v>0</v>
          </cell>
          <cell r="AA1012"/>
          <cell r="AB1012">
            <v>0</v>
          </cell>
          <cell r="AC1012"/>
          <cell r="AD1012">
            <v>0</v>
          </cell>
          <cell r="AE1012"/>
          <cell r="AF1012"/>
          <cell r="AG1012"/>
          <cell r="AH1012"/>
          <cell r="AI1012"/>
          <cell r="AJ1012">
            <v>0</v>
          </cell>
          <cell r="AK1012" t="str">
            <v>3P</v>
          </cell>
          <cell r="AL1012">
            <v>213</v>
          </cell>
          <cell r="AM1012">
            <v>369</v>
          </cell>
          <cell r="AN1012" t="str">
            <v>08 Inactive Dealer</v>
          </cell>
          <cell r="AO1012" t="str">
            <v>Northwest</v>
          </cell>
          <cell r="AP1012" t="str">
            <v>Central</v>
          </cell>
          <cell r="AQ1012"/>
          <cell r="AR1012">
            <v>0</v>
          </cell>
          <cell r="AS1012">
            <v>0</v>
          </cell>
          <cell r="AT1012"/>
        </row>
        <row r="1013">
          <cell r="A1013">
            <v>13051</v>
          </cell>
          <cell r="B1013" t="str">
            <v>MS SALES &amp; MARKETING LLC dba SHEEHAN TRAILERS</v>
          </cell>
          <cell r="C1013" t="str">
            <v>M10923</v>
          </cell>
          <cell r="D1013" t="str">
            <v>NET 5, BT+</v>
          </cell>
          <cell r="E1013" t="str">
            <v>F3 - Northpoint</v>
          </cell>
          <cell r="F1013" t="str">
            <v>Yes</v>
          </cell>
          <cell r="G1013" t="str">
            <v>TX</v>
          </cell>
          <cell r="H1013">
            <v>8</v>
          </cell>
          <cell r="I1013">
            <v>0.66500000000000004</v>
          </cell>
          <cell r="J1013" t="str">
            <v>Orphaned Acct</v>
          </cell>
          <cell r="K1013" t="str">
            <v>WATERTOWN</v>
          </cell>
          <cell r="L1013" t="str">
            <v>SD</v>
          </cell>
          <cell r="M1013" t="str">
            <v>800-577-8858</v>
          </cell>
          <cell r="N1013"/>
          <cell r="O1013">
            <v>926</v>
          </cell>
          <cell r="P1013">
            <v>3981.7999999999997</v>
          </cell>
          <cell r="Q1013"/>
          <cell r="R1013">
            <v>0</v>
          </cell>
          <cell r="S1013">
            <v>1384</v>
          </cell>
          <cell r="T1013">
            <v>5951.2</v>
          </cell>
          <cell r="U1013">
            <v>857</v>
          </cell>
          <cell r="V1013">
            <v>3685.1</v>
          </cell>
          <cell r="W1013">
            <v>986</v>
          </cell>
          <cell r="X1013">
            <v>4239.8</v>
          </cell>
          <cell r="Y1013"/>
          <cell r="Z1013">
            <v>0</v>
          </cell>
          <cell r="AA1013"/>
          <cell r="AB1013">
            <v>0</v>
          </cell>
          <cell r="AC1013"/>
          <cell r="AD1013">
            <v>0</v>
          </cell>
          <cell r="AE1013"/>
          <cell r="AF1013"/>
          <cell r="AG1013"/>
          <cell r="AH1013"/>
          <cell r="AI1013"/>
          <cell r="AJ1013">
            <v>0</v>
          </cell>
          <cell r="AK1013" t="str">
            <v>3P</v>
          </cell>
          <cell r="AL1013">
            <v>213</v>
          </cell>
          <cell r="AM1013">
            <v>464</v>
          </cell>
          <cell r="AN1013" t="str">
            <v>01 Existing Dealer</v>
          </cell>
          <cell r="AO1013" t="str">
            <v>Northwest</v>
          </cell>
          <cell r="AP1013" t="str">
            <v>Central</v>
          </cell>
          <cell r="AQ1013"/>
          <cell r="AR1013">
            <v>0</v>
          </cell>
          <cell r="AS1013">
            <v>0</v>
          </cell>
          <cell r="AT1013"/>
        </row>
        <row r="1014">
          <cell r="A1014">
            <v>12924</v>
          </cell>
          <cell r="B1014" t="str">
            <v>PIONEER GARAGE INC dba JAN BUSSE FORD</v>
          </cell>
          <cell r="C1014" t="str">
            <v>M10329</v>
          </cell>
          <cell r="D1014" t="str">
            <v>NET 5, BT+</v>
          </cell>
          <cell r="E1014" t="str">
            <v>CO</v>
          </cell>
          <cell r="F1014" t="str">
            <v>Yes</v>
          </cell>
          <cell r="G1014" t="str">
            <v>TX</v>
          </cell>
          <cell r="H1014">
            <v>7</v>
          </cell>
          <cell r="I1014">
            <v>0.66500000000000004</v>
          </cell>
          <cell r="J1014" t="str">
            <v>JL Smith</v>
          </cell>
          <cell r="K1014" t="str">
            <v>HIGHMORE</v>
          </cell>
          <cell r="L1014" t="str">
            <v>SD</v>
          </cell>
          <cell r="M1014" t="str">
            <v>208-459-0106</v>
          </cell>
          <cell r="N1014"/>
          <cell r="O1014">
            <v>1017</v>
          </cell>
          <cell r="P1014">
            <v>4373.0999999999995</v>
          </cell>
          <cell r="Q1014"/>
          <cell r="R1014">
            <v>0</v>
          </cell>
          <cell r="S1014">
            <v>1251</v>
          </cell>
          <cell r="T1014">
            <v>5379.3</v>
          </cell>
          <cell r="U1014">
            <v>851</v>
          </cell>
          <cell r="V1014">
            <v>3659.2999999999997</v>
          </cell>
          <cell r="W1014">
            <v>981</v>
          </cell>
          <cell r="X1014">
            <v>4218.3</v>
          </cell>
          <cell r="Y1014"/>
          <cell r="Z1014">
            <v>0</v>
          </cell>
          <cell r="AA1014">
            <v>1078</v>
          </cell>
          <cell r="AB1014">
            <v>4635.3999999999996</v>
          </cell>
          <cell r="AC1014">
            <v>1078</v>
          </cell>
          <cell r="AD1014">
            <v>4635.3999999999996</v>
          </cell>
          <cell r="AE1014"/>
          <cell r="AF1014"/>
          <cell r="AG1014"/>
          <cell r="AH1014"/>
          <cell r="AI1014"/>
          <cell r="AJ1014">
            <v>0</v>
          </cell>
          <cell r="AK1014" t="str">
            <v>3P</v>
          </cell>
          <cell r="AL1014">
            <v>151</v>
          </cell>
          <cell r="AM1014">
            <v>199</v>
          </cell>
          <cell r="AN1014" t="str">
            <v>01 Existing Dealer</v>
          </cell>
          <cell r="AO1014" t="str">
            <v>Northwest</v>
          </cell>
          <cell r="AP1014" t="str">
            <v>Central</v>
          </cell>
          <cell r="AQ1014"/>
          <cell r="AR1014">
            <v>0</v>
          </cell>
          <cell r="AS1014">
            <v>0</v>
          </cell>
          <cell r="AT1014"/>
        </row>
        <row r="1015">
          <cell r="A1015">
            <v>12278</v>
          </cell>
          <cell r="B1015" t="str">
            <v>PRAIRIE WIND</v>
          </cell>
          <cell r="C1015" t="str">
            <v>M10335</v>
          </cell>
          <cell r="D1015" t="str">
            <v>NET 5, BT+</v>
          </cell>
          <cell r="E1015" t="str">
            <v>F6 - Wells Fargo</v>
          </cell>
          <cell r="F1015" t="str">
            <v>Yes</v>
          </cell>
          <cell r="G1015" t="str">
            <v>TX</v>
          </cell>
          <cell r="H1015">
            <v>8</v>
          </cell>
          <cell r="I1015">
            <v>0.66500000000000004</v>
          </cell>
          <cell r="J1015" t="str">
            <v>Trent Evans</v>
          </cell>
          <cell r="K1015" t="str">
            <v>HARRISBURG</v>
          </cell>
          <cell r="L1015" t="str">
            <v>SD</v>
          </cell>
          <cell r="M1015" t="str">
            <v>208-459-0106</v>
          </cell>
          <cell r="N1015"/>
          <cell r="O1015">
            <v>821</v>
          </cell>
          <cell r="P1015">
            <v>3530.2999999999997</v>
          </cell>
          <cell r="Q1015"/>
          <cell r="R1015">
            <v>0</v>
          </cell>
          <cell r="S1015"/>
          <cell r="T1015">
            <v>0</v>
          </cell>
          <cell r="U1015">
            <v>752</v>
          </cell>
          <cell r="V1015">
            <v>3233.6</v>
          </cell>
          <cell r="W1015">
            <v>882</v>
          </cell>
          <cell r="X1015">
            <v>3792.6</v>
          </cell>
          <cell r="Y1015"/>
          <cell r="Z1015">
            <v>0</v>
          </cell>
          <cell r="AA1015"/>
          <cell r="AB1015">
            <v>0</v>
          </cell>
          <cell r="AC1015"/>
          <cell r="AD1015">
            <v>0</v>
          </cell>
          <cell r="AE1015"/>
          <cell r="AF1015"/>
          <cell r="AG1015"/>
          <cell r="AH1015"/>
          <cell r="AI1015"/>
          <cell r="AJ1015">
            <v>0</v>
          </cell>
          <cell r="AK1015" t="str">
            <v>3P</v>
          </cell>
          <cell r="AL1015">
            <v>226</v>
          </cell>
          <cell r="AM1015">
            <v>422</v>
          </cell>
          <cell r="AN1015" t="str">
            <v>01 Existing Dealer</v>
          </cell>
          <cell r="AO1015" t="str">
            <v>Northwest</v>
          </cell>
          <cell r="AP1015" t="str">
            <v>Central</v>
          </cell>
          <cell r="AQ1015"/>
          <cell r="AR1015">
            <v>0</v>
          </cell>
          <cell r="AS1015">
            <v>0</v>
          </cell>
        </row>
        <row r="1016">
          <cell r="A1016" t="str">
            <v>12278C</v>
          </cell>
          <cell r="B1016" t="str">
            <v>PRAIRIE WIND</v>
          </cell>
          <cell r="C1016" t="str">
            <v>M10335</v>
          </cell>
          <cell r="D1016" t="str">
            <v>NET 5, BT+</v>
          </cell>
          <cell r="E1016" t="str">
            <v>F6 - Wells Fargo</v>
          </cell>
          <cell r="F1016" t="str">
            <v>Yes</v>
          </cell>
          <cell r="G1016" t="str">
            <v>TX</v>
          </cell>
          <cell r="H1016">
            <v>8</v>
          </cell>
          <cell r="I1016">
            <v>0.66500000000000004</v>
          </cell>
          <cell r="J1016" t="str">
            <v>Trent Evans</v>
          </cell>
          <cell r="K1016" t="str">
            <v>ELK POINT</v>
          </cell>
          <cell r="L1016" t="str">
            <v>SD</v>
          </cell>
          <cell r="M1016" t="str">
            <v>208-459-0106</v>
          </cell>
          <cell r="N1016"/>
          <cell r="O1016">
            <v>762</v>
          </cell>
          <cell r="P1016">
            <v>3276.6</v>
          </cell>
          <cell r="Q1016"/>
          <cell r="R1016">
            <v>0</v>
          </cell>
          <cell r="S1016"/>
          <cell r="T1016">
            <v>0</v>
          </cell>
          <cell r="U1016">
            <v>693</v>
          </cell>
          <cell r="V1016">
            <v>2979.9</v>
          </cell>
          <cell r="W1016">
            <v>823</v>
          </cell>
          <cell r="X1016">
            <v>3538.8999999999996</v>
          </cell>
          <cell r="Y1016"/>
          <cell r="Z1016">
            <v>0</v>
          </cell>
          <cell r="AA1016"/>
          <cell r="AB1016">
            <v>0</v>
          </cell>
          <cell r="AC1016"/>
          <cell r="AD1016">
            <v>0</v>
          </cell>
          <cell r="AE1016"/>
          <cell r="AF1016"/>
          <cell r="AG1016"/>
          <cell r="AH1016"/>
          <cell r="AI1016"/>
          <cell r="AJ1016">
            <v>0</v>
          </cell>
          <cell r="AK1016" t="str">
            <v>3P</v>
          </cell>
          <cell r="AL1016">
            <v>226</v>
          </cell>
          <cell r="AM1016">
            <v>421</v>
          </cell>
          <cell r="AN1016" t="str">
            <v>01 Existing Dealer</v>
          </cell>
          <cell r="AO1016" t="str">
            <v>Northwest</v>
          </cell>
          <cell r="AP1016" t="str">
            <v>Central</v>
          </cell>
          <cell r="AQ1016"/>
          <cell r="AR1016">
            <v>0</v>
          </cell>
          <cell r="AS1016">
            <v>0</v>
          </cell>
          <cell r="AT1016"/>
        </row>
        <row r="1017">
          <cell r="A1017">
            <v>12087</v>
          </cell>
          <cell r="B1017" t="str">
            <v>PRAIRIE WIND</v>
          </cell>
          <cell r="C1017" t="str">
            <v>M10335</v>
          </cell>
          <cell r="D1017" t="str">
            <v>NET 5, BT+</v>
          </cell>
          <cell r="E1017" t="str">
            <v>CO</v>
          </cell>
          <cell r="F1017" t="str">
            <v>Yes</v>
          </cell>
          <cell r="G1017" t="str">
            <v>TX</v>
          </cell>
          <cell r="H1017">
            <v>7</v>
          </cell>
          <cell r="I1017">
            <v>0.66500000000000004</v>
          </cell>
          <cell r="J1017" t="str">
            <v>Orphaned Acct</v>
          </cell>
          <cell r="K1017" t="str">
            <v>HARRISBURG</v>
          </cell>
          <cell r="L1017" t="str">
            <v>SD</v>
          </cell>
          <cell r="M1017" t="str">
            <v>208-459-0106</v>
          </cell>
          <cell r="N1017"/>
          <cell r="O1017">
            <v>821</v>
          </cell>
          <cell r="P1017">
            <v>3530.2999999999997</v>
          </cell>
          <cell r="Q1017"/>
          <cell r="R1017">
            <v>0</v>
          </cell>
          <cell r="S1017"/>
          <cell r="T1017">
            <v>0</v>
          </cell>
          <cell r="U1017">
            <v>752</v>
          </cell>
          <cell r="V1017">
            <v>3233.6</v>
          </cell>
          <cell r="W1017">
            <v>882</v>
          </cell>
          <cell r="X1017">
            <v>3792.6</v>
          </cell>
          <cell r="Y1017"/>
          <cell r="Z1017">
            <v>0</v>
          </cell>
          <cell r="AA1017"/>
          <cell r="AB1017">
            <v>0</v>
          </cell>
          <cell r="AC1017"/>
          <cell r="AD1017">
            <v>0</v>
          </cell>
          <cell r="AE1017"/>
          <cell r="AF1017"/>
          <cell r="AG1017"/>
          <cell r="AH1017"/>
          <cell r="AI1017"/>
          <cell r="AJ1017">
            <v>0</v>
          </cell>
          <cell r="AK1017" t="str">
            <v>3P</v>
          </cell>
          <cell r="AL1017">
            <v>213</v>
          </cell>
          <cell r="AM1017">
            <v>422</v>
          </cell>
          <cell r="AN1017" t="str">
            <v>01 Existing Dealer</v>
          </cell>
          <cell r="AO1017" t="str">
            <v>Northwest</v>
          </cell>
          <cell r="AP1017" t="str">
            <v>Central</v>
          </cell>
          <cell r="AQ1017"/>
          <cell r="AR1017">
            <v>0</v>
          </cell>
          <cell r="AS1017">
            <v>0</v>
          </cell>
          <cell r="AT1017"/>
        </row>
        <row r="1018">
          <cell r="A1018">
            <v>12716</v>
          </cell>
          <cell r="B1018" t="str">
            <v>SAM'S TRAILER SALES, LLC</v>
          </cell>
          <cell r="C1018"/>
          <cell r="D1018" t="str">
            <v>NET 5, BT+</v>
          </cell>
          <cell r="E1018" t="str">
            <v>F1 - Wells Fargo</v>
          </cell>
          <cell r="F1018" t="str">
            <v>Yes</v>
          </cell>
          <cell r="G1018" t="str">
            <v>TX</v>
          </cell>
          <cell r="H1018">
            <v>8</v>
          </cell>
          <cell r="I1018">
            <v>0.66500000000000004</v>
          </cell>
          <cell r="J1018" t="str">
            <v>Orphaned Acct</v>
          </cell>
          <cell r="K1018" t="str">
            <v>RAPID CITY</v>
          </cell>
          <cell r="L1018" t="str">
            <v>SD</v>
          </cell>
          <cell r="M1018" t="str">
            <v>208-459-0106</v>
          </cell>
          <cell r="N1018"/>
          <cell r="O1018">
            <v>1167</v>
          </cell>
          <cell r="P1018">
            <v>5018.0999999999995</v>
          </cell>
          <cell r="Q1018"/>
          <cell r="R1018">
            <v>0</v>
          </cell>
          <cell r="S1018"/>
          <cell r="T1018">
            <v>0</v>
          </cell>
          <cell r="U1018">
            <v>989</v>
          </cell>
          <cell r="V1018">
            <v>4252.7</v>
          </cell>
          <cell r="W1018">
            <v>1119</v>
          </cell>
          <cell r="X1018">
            <v>4811.7</v>
          </cell>
          <cell r="Y1018"/>
          <cell r="Z1018">
            <v>0</v>
          </cell>
          <cell r="AA1018"/>
          <cell r="AB1018">
            <v>0</v>
          </cell>
          <cell r="AC1018"/>
          <cell r="AD1018">
            <v>0</v>
          </cell>
          <cell r="AE1018"/>
          <cell r="AF1018"/>
          <cell r="AG1018"/>
          <cell r="AH1018"/>
          <cell r="AI1018"/>
          <cell r="AJ1018">
            <v>0.01</v>
          </cell>
          <cell r="AK1018" t="str">
            <v>3P</v>
          </cell>
          <cell r="AL1018">
            <v>213</v>
          </cell>
          <cell r="AM1018">
            <v>369</v>
          </cell>
          <cell r="AN1018" t="str">
            <v>08 Inactive Dealer</v>
          </cell>
          <cell r="AO1018" t="str">
            <v>Northwest</v>
          </cell>
          <cell r="AP1018" t="str">
            <v>Central</v>
          </cell>
          <cell r="AQ1018"/>
          <cell r="AR1018">
            <v>0</v>
          </cell>
          <cell r="AS1018">
            <v>0</v>
          </cell>
          <cell r="AT1018"/>
        </row>
        <row r="1019">
          <cell r="A1019">
            <v>12981</v>
          </cell>
          <cell r="B1019" t="str">
            <v>TW RAPID CITY</v>
          </cell>
          <cell r="C1019" t="str">
            <v>M10363</v>
          </cell>
          <cell r="D1019" t="str">
            <v>Net 30, no pink card</v>
          </cell>
          <cell r="E1019">
            <v>30</v>
          </cell>
          <cell r="F1019" t="str">
            <v>Yes</v>
          </cell>
          <cell r="G1019" t="str">
            <v>TX</v>
          </cell>
          <cell r="H1019">
            <v>10</v>
          </cell>
          <cell r="I1019">
            <v>0.66500000000000004</v>
          </cell>
          <cell r="J1019" t="str">
            <v>Orphaned Acct</v>
          </cell>
          <cell r="K1019" t="str">
            <v>RAPID CITY</v>
          </cell>
          <cell r="L1019" t="str">
            <v>SD</v>
          </cell>
          <cell r="M1019" t="str">
            <v>800-577-8858</v>
          </cell>
          <cell r="N1019"/>
          <cell r="O1019">
            <v>1167</v>
          </cell>
          <cell r="P1019">
            <v>5018.0999999999995</v>
          </cell>
          <cell r="Q1019"/>
          <cell r="R1019">
            <v>0</v>
          </cell>
          <cell r="S1019"/>
          <cell r="T1019">
            <v>0</v>
          </cell>
          <cell r="U1019">
            <v>989</v>
          </cell>
          <cell r="V1019">
            <v>4252.7</v>
          </cell>
          <cell r="W1019">
            <v>1119</v>
          </cell>
          <cell r="X1019">
            <v>4811.7</v>
          </cell>
          <cell r="Y1019"/>
          <cell r="Z1019">
            <v>0</v>
          </cell>
          <cell r="AA1019"/>
          <cell r="AB1019">
            <v>0</v>
          </cell>
          <cell r="AC1019"/>
          <cell r="AD1019">
            <v>0</v>
          </cell>
          <cell r="AE1019">
            <v>9.3909999999999993E-2</v>
          </cell>
          <cell r="AF1019"/>
          <cell r="AG1019">
            <v>9.3909999999999993E-2</v>
          </cell>
          <cell r="AH1019">
            <v>9.3909999999999993E-2</v>
          </cell>
          <cell r="AI1019">
            <v>9.3909999999999993E-2</v>
          </cell>
          <cell r="AJ1019">
            <v>0.04</v>
          </cell>
          <cell r="AK1019" t="str">
            <v>TW</v>
          </cell>
          <cell r="AL1019">
            <v>213</v>
          </cell>
          <cell r="AM1019">
            <v>369</v>
          </cell>
          <cell r="AN1019" t="str">
            <v>09 Inactive Co Store</v>
          </cell>
          <cell r="AO1019" t="str">
            <v>Northwest</v>
          </cell>
          <cell r="AP1019" t="str">
            <v>Central</v>
          </cell>
          <cell r="AQ1019"/>
          <cell r="AR1019">
            <v>0</v>
          </cell>
          <cell r="AS1019">
            <v>0</v>
          </cell>
          <cell r="AT1019"/>
        </row>
        <row r="1020">
          <cell r="A1020">
            <v>13400</v>
          </cell>
          <cell r="B1020" t="str">
            <v>WRTS LLC</v>
          </cell>
          <cell r="C1020" t="str">
            <v>M11447</v>
          </cell>
          <cell r="D1020" t="str">
            <v>NET 5, BT+</v>
          </cell>
          <cell r="E1020" t="str">
            <v>F6 - Northpoint</v>
          </cell>
          <cell r="F1020" t="str">
            <v>Yes</v>
          </cell>
          <cell r="G1020" t="str">
            <v>TX</v>
          </cell>
          <cell r="H1020">
            <v>8</v>
          </cell>
          <cell r="I1020">
            <v>0.66500000000000004</v>
          </cell>
          <cell r="J1020" t="str">
            <v>JL Smith</v>
          </cell>
          <cell r="K1020" t="str">
            <v>RAPID CITY</v>
          </cell>
          <cell r="L1020" t="str">
            <v>SD</v>
          </cell>
          <cell r="M1020" t="str">
            <v>800-577-8858</v>
          </cell>
          <cell r="N1020"/>
          <cell r="O1020">
            <v>1167</v>
          </cell>
          <cell r="P1020">
            <v>5018.0999999999995</v>
          </cell>
          <cell r="Q1020">
            <v>1641</v>
          </cell>
          <cell r="R1020">
            <v>7056.2999999999993</v>
          </cell>
          <cell r="S1020">
            <v>1013</v>
          </cell>
          <cell r="T1020">
            <v>4355.8999999999996</v>
          </cell>
          <cell r="U1020">
            <v>989</v>
          </cell>
          <cell r="V1020">
            <v>4252.7</v>
          </cell>
          <cell r="W1020">
            <v>1119</v>
          </cell>
          <cell r="X1020">
            <v>4811.7</v>
          </cell>
          <cell r="Y1020"/>
          <cell r="Z1020">
            <v>0</v>
          </cell>
          <cell r="AA1020">
            <v>1225</v>
          </cell>
          <cell r="AB1020">
            <v>5267.5</v>
          </cell>
          <cell r="AC1020">
            <v>1225</v>
          </cell>
          <cell r="AD1020">
            <v>5267.5</v>
          </cell>
          <cell r="AE1020">
            <v>9.3909999999999993E-2</v>
          </cell>
          <cell r="AF1020"/>
          <cell r="AG1020">
            <v>9.3909999999999993E-2</v>
          </cell>
          <cell r="AH1020">
            <v>9.3909999999999993E-2</v>
          </cell>
          <cell r="AI1020">
            <v>9.3909999999999993E-2</v>
          </cell>
          <cell r="AJ1020">
            <v>0</v>
          </cell>
          <cell r="AK1020" t="str">
            <v>3P</v>
          </cell>
          <cell r="AL1020">
            <v>151</v>
          </cell>
          <cell r="AM1020">
            <v>369</v>
          </cell>
          <cell r="AN1020" t="str">
            <v>01 Existing Dealer</v>
          </cell>
          <cell r="AO1020" t="str">
            <v>Northwest</v>
          </cell>
          <cell r="AP1020" t="str">
            <v>Central</v>
          </cell>
          <cell r="AQ1020"/>
          <cell r="AR1020">
            <v>104820</v>
          </cell>
          <cell r="AS1020">
            <v>54736</v>
          </cell>
          <cell r="AT1020"/>
        </row>
        <row r="1021">
          <cell r="A1021" t="str">
            <v>13397I</v>
          </cell>
          <cell r="B1021" t="str">
            <v>BCMS / SILVERLINE</v>
          </cell>
          <cell r="C1021" t="str">
            <v>M11363</v>
          </cell>
          <cell r="D1021" t="str">
            <v>Return Mail, no pink card</v>
          </cell>
          <cell r="E1021" t="str">
            <v>F3 - Wells Fargo</v>
          </cell>
          <cell r="F1021" t="str">
            <v>Yes</v>
          </cell>
          <cell r="G1021" t="str">
            <v>TX</v>
          </cell>
          <cell r="H1021">
            <v>8</v>
          </cell>
          <cell r="I1021">
            <v>0.66500000000000004</v>
          </cell>
          <cell r="J1021" t="str">
            <v>Trent Evans</v>
          </cell>
          <cell r="K1021" t="str">
            <v>DICKSON</v>
          </cell>
          <cell r="L1021" t="str">
            <v>TN</v>
          </cell>
          <cell r="M1021" t="str">
            <v>800-577-8858</v>
          </cell>
          <cell r="N1021"/>
          <cell r="O1021">
            <v>514</v>
          </cell>
          <cell r="P1021">
            <v>2210.1999999999998</v>
          </cell>
          <cell r="Q1021">
            <v>433</v>
          </cell>
          <cell r="R1021">
            <v>1861.8999999999999</v>
          </cell>
          <cell r="S1021"/>
          <cell r="T1021">
            <v>0</v>
          </cell>
          <cell r="U1021">
            <v>610</v>
          </cell>
          <cell r="V1021">
            <v>2623</v>
          </cell>
          <cell r="W1021">
            <v>594</v>
          </cell>
          <cell r="X1021">
            <v>2554.1999999999998</v>
          </cell>
          <cell r="Y1021">
            <v>322</v>
          </cell>
          <cell r="Z1021">
            <v>1384.6</v>
          </cell>
          <cell r="AA1021">
            <v>322</v>
          </cell>
          <cell r="AB1021">
            <v>1384.6</v>
          </cell>
          <cell r="AC1021">
            <v>322</v>
          </cell>
          <cell r="AD1021">
            <v>1384.6</v>
          </cell>
          <cell r="AE1021"/>
          <cell r="AF1021"/>
          <cell r="AG1021"/>
          <cell r="AH1021"/>
          <cell r="AI1021"/>
          <cell r="AJ1021">
            <v>0.03</v>
          </cell>
          <cell r="AK1021" t="str">
            <v>3P</v>
          </cell>
          <cell r="AL1021">
            <v>226</v>
          </cell>
          <cell r="AM1021">
            <v>315</v>
          </cell>
          <cell r="AN1021" t="str">
            <v>01 Existing Dealer</v>
          </cell>
          <cell r="AO1021" t="str">
            <v>Southeast</v>
          </cell>
          <cell r="AP1021" t="str">
            <v>South</v>
          </cell>
          <cell r="AQ1021"/>
          <cell r="AR1021">
            <v>0</v>
          </cell>
          <cell r="AS1021">
            <v>0</v>
          </cell>
        </row>
        <row r="1022">
          <cell r="A1022">
            <v>13169</v>
          </cell>
          <cell r="B1022" t="str">
            <v>TW NASHVILLE (LEBANON, TN)</v>
          </cell>
          <cell r="C1022" t="str">
            <v>M11100</v>
          </cell>
          <cell r="D1022" t="str">
            <v>Net 30, no pink card</v>
          </cell>
          <cell r="E1022">
            <v>30</v>
          </cell>
          <cell r="F1022" t="str">
            <v>Yes</v>
          </cell>
          <cell r="G1022" t="str">
            <v>OH</v>
          </cell>
          <cell r="H1022">
            <v>10</v>
          </cell>
          <cell r="I1022">
            <v>0.66500000000000004</v>
          </cell>
          <cell r="J1022" t="str">
            <v>Jake McEntee</v>
          </cell>
          <cell r="K1022" t="str">
            <v>LEBANON</v>
          </cell>
          <cell r="L1022" t="str">
            <v>TN</v>
          </cell>
          <cell r="M1022" t="str">
            <v>800-577-8858</v>
          </cell>
          <cell r="N1022"/>
          <cell r="O1022">
            <v>577</v>
          </cell>
          <cell r="P1022">
            <v>2481.1</v>
          </cell>
          <cell r="Q1022">
            <v>389</v>
          </cell>
          <cell r="R1022">
            <v>1672.6999999999998</v>
          </cell>
          <cell r="S1022"/>
          <cell r="T1022">
            <v>0</v>
          </cell>
          <cell r="U1022">
            <v>720</v>
          </cell>
          <cell r="V1022">
            <v>3096</v>
          </cell>
          <cell r="W1022">
            <v>655</v>
          </cell>
          <cell r="X1022">
            <v>2816.5</v>
          </cell>
          <cell r="Y1022">
            <v>295</v>
          </cell>
          <cell r="Z1022">
            <v>1268.5</v>
          </cell>
          <cell r="AA1022">
            <v>295</v>
          </cell>
          <cell r="AB1022">
            <v>1268.5</v>
          </cell>
          <cell r="AC1022">
            <v>295</v>
          </cell>
          <cell r="AD1022">
            <v>1268.5</v>
          </cell>
          <cell r="AE1022"/>
          <cell r="AF1022"/>
          <cell r="AG1022"/>
          <cell r="AH1022"/>
          <cell r="AI1022"/>
          <cell r="AJ1022">
            <v>0.04</v>
          </cell>
          <cell r="AK1022" t="str">
            <v>TW</v>
          </cell>
          <cell r="AL1022">
            <v>161</v>
          </cell>
          <cell r="AM1022">
            <v>314</v>
          </cell>
          <cell r="AN1022" t="str">
            <v>04 Co.Store</v>
          </cell>
          <cell r="AO1022" t="str">
            <v>Southeast</v>
          </cell>
          <cell r="AP1022" t="str">
            <v>South</v>
          </cell>
          <cell r="AQ1022"/>
          <cell r="AR1022">
            <v>132691</v>
          </cell>
          <cell r="AS1022">
            <v>0</v>
          </cell>
        </row>
        <row r="1023">
          <cell r="A1023">
            <v>13165</v>
          </cell>
          <cell r="B1023" t="str">
            <v>BWISE MFG</v>
          </cell>
          <cell r="C1023" t="str">
            <v>M11100</v>
          </cell>
          <cell r="D1023" t="str">
            <v>Net 30, no pink card</v>
          </cell>
          <cell r="E1023">
            <v>30</v>
          </cell>
          <cell r="F1023" t="str">
            <v>Yes</v>
          </cell>
          <cell r="G1023" t="str">
            <v>OH</v>
          </cell>
          <cell r="H1023">
            <v>10</v>
          </cell>
          <cell r="I1023">
            <v>0.66500000000000004</v>
          </cell>
          <cell r="J1023" t="str">
            <v>Orphaned Acct</v>
          </cell>
          <cell r="K1023" t="str">
            <v>LEBANON</v>
          </cell>
          <cell r="L1023" t="str">
            <v>TN</v>
          </cell>
          <cell r="M1023" t="str">
            <v>800-577-8858</v>
          </cell>
          <cell r="N1023"/>
          <cell r="O1023">
            <v>577</v>
          </cell>
          <cell r="P1023">
            <v>2481.1</v>
          </cell>
          <cell r="Q1023">
            <v>389</v>
          </cell>
          <cell r="R1023">
            <v>1672.6999999999998</v>
          </cell>
          <cell r="S1023"/>
          <cell r="T1023">
            <v>0</v>
          </cell>
          <cell r="U1023">
            <v>720</v>
          </cell>
          <cell r="V1023">
            <v>3096</v>
          </cell>
          <cell r="W1023">
            <v>655</v>
          </cell>
          <cell r="X1023">
            <v>2816.5</v>
          </cell>
          <cell r="Y1023">
            <v>292</v>
          </cell>
          <cell r="Z1023">
            <v>1255.5999999999999</v>
          </cell>
          <cell r="AA1023">
            <v>292</v>
          </cell>
          <cell r="AB1023">
            <v>1255.5999999999999</v>
          </cell>
          <cell r="AC1023">
            <v>292</v>
          </cell>
          <cell r="AD1023">
            <v>1255.5999999999999</v>
          </cell>
          <cell r="AE1023"/>
          <cell r="AF1023"/>
          <cell r="AG1023"/>
          <cell r="AH1023"/>
          <cell r="AI1023"/>
          <cell r="AJ1023">
            <v>0.04</v>
          </cell>
          <cell r="AK1023" t="str">
            <v>TW</v>
          </cell>
          <cell r="AL1023">
            <v>213</v>
          </cell>
          <cell r="AM1023">
            <v>314</v>
          </cell>
          <cell r="AN1023" t="str">
            <v>09 Inactive Co Store</v>
          </cell>
          <cell r="AO1023" t="str">
            <v>Southeast</v>
          </cell>
          <cell r="AP1023" t="str">
            <v>South</v>
          </cell>
          <cell r="AQ1023"/>
          <cell r="AR1023">
            <v>0</v>
          </cell>
          <cell r="AS1023">
            <v>0</v>
          </cell>
        </row>
        <row r="1024">
          <cell r="A1024">
            <v>13094</v>
          </cell>
          <cell r="B1024" t="str">
            <v>COUNTRY FARM AND HOME CENTER LLC</v>
          </cell>
          <cell r="C1024" t="str">
            <v>M10989</v>
          </cell>
          <cell r="D1024" t="str">
            <v>NET 5, BT+</v>
          </cell>
          <cell r="E1024" t="str">
            <v>CO</v>
          </cell>
          <cell r="F1024" t="str">
            <v>Yes</v>
          </cell>
          <cell r="G1024" t="str">
            <v>OH</v>
          </cell>
          <cell r="H1024">
            <v>7</v>
          </cell>
          <cell r="I1024">
            <v>0.66500000000000004</v>
          </cell>
          <cell r="J1024" t="str">
            <v>Orphaned Acct</v>
          </cell>
          <cell r="K1024" t="str">
            <v>COOKEVILLE</v>
          </cell>
          <cell r="L1024" t="str">
            <v>TN</v>
          </cell>
          <cell r="M1024" t="str">
            <v>800-577-8858</v>
          </cell>
          <cell r="N1024"/>
          <cell r="O1024">
            <v>669</v>
          </cell>
          <cell r="P1024">
            <v>2876.7</v>
          </cell>
          <cell r="Q1024">
            <v>397</v>
          </cell>
          <cell r="R1024">
            <v>1707.1</v>
          </cell>
          <cell r="S1024"/>
          <cell r="T1024">
            <v>0</v>
          </cell>
          <cell r="U1024">
            <v>766</v>
          </cell>
          <cell r="V1024">
            <v>3293.7999999999997</v>
          </cell>
          <cell r="W1024">
            <v>750</v>
          </cell>
          <cell r="X1024">
            <v>3225</v>
          </cell>
          <cell r="Y1024"/>
          <cell r="Z1024">
            <v>0</v>
          </cell>
          <cell r="AA1024"/>
          <cell r="AB1024">
            <v>0</v>
          </cell>
          <cell r="AC1024"/>
          <cell r="AD1024">
            <v>0</v>
          </cell>
          <cell r="AE1024"/>
          <cell r="AF1024"/>
          <cell r="AG1024"/>
          <cell r="AH1024"/>
          <cell r="AI1024"/>
          <cell r="AJ1024">
            <v>0</v>
          </cell>
          <cell r="AK1024" t="str">
            <v>3P</v>
          </cell>
          <cell r="AL1024">
            <v>213</v>
          </cell>
          <cell r="AM1024">
            <v>96</v>
          </cell>
          <cell r="AN1024" t="str">
            <v>08 Inactive Dealer</v>
          </cell>
          <cell r="AO1024" t="str">
            <v>Southeast</v>
          </cell>
          <cell r="AP1024" t="str">
            <v>South</v>
          </cell>
          <cell r="AQ1024"/>
          <cell r="AR1024">
            <v>0</v>
          </cell>
          <cell r="AS1024">
            <v>0</v>
          </cell>
        </row>
        <row r="1025">
          <cell r="A1025">
            <v>12698</v>
          </cell>
          <cell r="B1025" t="str">
            <v>CROSSVILLE TRACTOR CO</v>
          </cell>
          <cell r="C1025" t="str">
            <v>M10171</v>
          </cell>
          <cell r="D1025" t="str">
            <v>NET 5, BT+</v>
          </cell>
          <cell r="E1025" t="str">
            <v>FP - Wells Fargo</v>
          </cell>
          <cell r="F1025" t="str">
            <v>Yes</v>
          </cell>
          <cell r="G1025" t="str">
            <v>OH</v>
          </cell>
          <cell r="H1025">
            <v>8</v>
          </cell>
          <cell r="I1025">
            <v>0.66500000000000004</v>
          </cell>
          <cell r="J1025" t="str">
            <v>Lane Davis</v>
          </cell>
          <cell r="K1025" t="str">
            <v>CROSSVILLE</v>
          </cell>
          <cell r="L1025" t="str">
            <v>TN</v>
          </cell>
          <cell r="M1025" t="str">
            <v>800-577-8858</v>
          </cell>
          <cell r="N1025"/>
          <cell r="O1025">
            <v>669</v>
          </cell>
          <cell r="P1025">
            <v>2876.7</v>
          </cell>
          <cell r="Q1025">
            <v>348</v>
          </cell>
          <cell r="R1025">
            <v>1496.3999999999999</v>
          </cell>
          <cell r="S1025"/>
          <cell r="T1025">
            <v>0</v>
          </cell>
          <cell r="U1025">
            <v>765</v>
          </cell>
          <cell r="V1025">
            <v>3289.5</v>
          </cell>
          <cell r="W1025">
            <v>749</v>
          </cell>
          <cell r="X1025">
            <v>3220.7</v>
          </cell>
          <cell r="Y1025"/>
          <cell r="Z1025">
            <v>0</v>
          </cell>
          <cell r="AA1025"/>
          <cell r="AB1025">
            <v>0</v>
          </cell>
          <cell r="AC1025"/>
          <cell r="AD1025">
            <v>0</v>
          </cell>
          <cell r="AE1025"/>
          <cell r="AF1025"/>
          <cell r="AG1025"/>
          <cell r="AH1025"/>
          <cell r="AI1025"/>
          <cell r="AJ1025">
            <v>0</v>
          </cell>
          <cell r="AK1025" t="str">
            <v>3P</v>
          </cell>
          <cell r="AL1025">
            <v>275</v>
          </cell>
          <cell r="AM1025">
            <v>232</v>
          </cell>
          <cell r="AN1025" t="str">
            <v>01 Existing Dealer</v>
          </cell>
          <cell r="AO1025" t="str">
            <v>Southeast</v>
          </cell>
          <cell r="AP1025" t="str">
            <v>South</v>
          </cell>
          <cell r="AQ1025"/>
          <cell r="AR1025">
            <v>0</v>
          </cell>
          <cell r="AS1025">
            <v>0</v>
          </cell>
        </row>
        <row r="1026">
          <cell r="A1026">
            <v>12253</v>
          </cell>
          <cell r="B1026" t="str">
            <v>DENNIS HUNT &amp; COMPANY LLC</v>
          </cell>
          <cell r="C1026" t="str">
            <v>M10180</v>
          </cell>
          <cell r="D1026" t="str">
            <v>NET 5, BT+</v>
          </cell>
          <cell r="E1026" t="str">
            <v>CO</v>
          </cell>
          <cell r="F1026" t="str">
            <v>Yes</v>
          </cell>
          <cell r="G1026" t="str">
            <v>OH</v>
          </cell>
          <cell r="H1026">
            <v>7</v>
          </cell>
          <cell r="I1026">
            <v>0.66500000000000004</v>
          </cell>
          <cell r="J1026" t="str">
            <v>Orphaned Acct</v>
          </cell>
          <cell r="K1026" t="str">
            <v>MANCHESTER</v>
          </cell>
          <cell r="L1026" t="str">
            <v>TN</v>
          </cell>
          <cell r="M1026" t="str">
            <v>800-577-8858</v>
          </cell>
          <cell r="N1026"/>
          <cell r="O1026">
            <v>606</v>
          </cell>
          <cell r="P1026">
            <v>2605.7999999999997</v>
          </cell>
          <cell r="Q1026">
            <v>333</v>
          </cell>
          <cell r="R1026">
            <v>1431.8999999999999</v>
          </cell>
          <cell r="S1026"/>
          <cell r="T1026">
            <v>0</v>
          </cell>
          <cell r="U1026">
            <v>703</v>
          </cell>
          <cell r="V1026">
            <v>3022.9</v>
          </cell>
          <cell r="W1026">
            <v>687</v>
          </cell>
          <cell r="X1026">
            <v>2954.1</v>
          </cell>
          <cell r="Y1026"/>
          <cell r="Z1026">
            <v>0</v>
          </cell>
          <cell r="AA1026"/>
          <cell r="AB1026">
            <v>0</v>
          </cell>
          <cell r="AC1026"/>
          <cell r="AD1026">
            <v>0</v>
          </cell>
          <cell r="AE1026"/>
          <cell r="AF1026"/>
          <cell r="AG1026"/>
          <cell r="AH1026"/>
          <cell r="AI1026"/>
          <cell r="AJ1026">
            <v>0</v>
          </cell>
          <cell r="AK1026" t="str">
            <v>3P</v>
          </cell>
          <cell r="AL1026">
            <v>213</v>
          </cell>
          <cell r="AM1026">
            <v>314</v>
          </cell>
          <cell r="AN1026" t="str">
            <v>01 Existing Dealer</v>
          </cell>
          <cell r="AO1026" t="str">
            <v>Southeast</v>
          </cell>
          <cell r="AP1026" t="str">
            <v>South</v>
          </cell>
          <cell r="AQ1026"/>
          <cell r="AR1026">
            <v>0</v>
          </cell>
          <cell r="AS1026">
            <v>0</v>
          </cell>
        </row>
        <row r="1027">
          <cell r="A1027">
            <v>12999</v>
          </cell>
          <cell r="B1027" t="str">
            <v>FERGE AUCTIONS &amp; REALTY LLC</v>
          </cell>
          <cell r="C1027" t="str">
            <v>M10678</v>
          </cell>
          <cell r="D1027" t="str">
            <v>NET 5, BT+</v>
          </cell>
          <cell r="E1027" t="str">
            <v>FP - Northpoint</v>
          </cell>
          <cell r="F1027" t="str">
            <v>Yes</v>
          </cell>
          <cell r="G1027" t="str">
            <v>OH</v>
          </cell>
          <cell r="H1027">
            <v>8</v>
          </cell>
          <cell r="I1027">
            <v>0.66500000000000004</v>
          </cell>
          <cell r="J1027" t="str">
            <v>Orphaned Acct</v>
          </cell>
          <cell r="K1027" t="str">
            <v>WHITEVILLE</v>
          </cell>
          <cell r="L1027" t="str">
            <v>TN</v>
          </cell>
          <cell r="M1027" t="str">
            <v>800-577-8858</v>
          </cell>
          <cell r="N1027"/>
          <cell r="O1027">
            <v>395</v>
          </cell>
          <cell r="P1027">
            <v>1698.5</v>
          </cell>
          <cell r="Q1027">
            <v>519</v>
          </cell>
          <cell r="R1027">
            <v>2231.6999999999998</v>
          </cell>
          <cell r="S1027"/>
          <cell r="T1027">
            <v>0</v>
          </cell>
          <cell r="U1027">
            <v>492</v>
          </cell>
          <cell r="V1027">
            <v>2115.6</v>
          </cell>
          <cell r="W1027">
            <v>475</v>
          </cell>
          <cell r="X1027">
            <v>2042.5</v>
          </cell>
          <cell r="Y1027"/>
          <cell r="Z1027">
            <v>0</v>
          </cell>
          <cell r="AA1027"/>
          <cell r="AB1027">
            <v>0</v>
          </cell>
          <cell r="AC1027"/>
          <cell r="AD1027">
            <v>0</v>
          </cell>
          <cell r="AE1027"/>
          <cell r="AF1027"/>
          <cell r="AG1027"/>
          <cell r="AH1027"/>
          <cell r="AI1027"/>
          <cell r="AJ1027">
            <v>0</v>
          </cell>
          <cell r="AK1027" t="str">
            <v>3P</v>
          </cell>
          <cell r="AL1027">
            <v>213</v>
          </cell>
          <cell r="AM1027">
            <v>290</v>
          </cell>
          <cell r="AN1027" t="str">
            <v>08 Inactive Dealer</v>
          </cell>
          <cell r="AO1027" t="str">
            <v>Southeast</v>
          </cell>
          <cell r="AP1027" t="str">
            <v>South</v>
          </cell>
          <cell r="AQ1027"/>
          <cell r="AR1027">
            <v>0</v>
          </cell>
          <cell r="AS1027">
            <v>0</v>
          </cell>
        </row>
        <row r="1028">
          <cell r="A1028">
            <v>13097</v>
          </cell>
          <cell r="B1028" t="str">
            <v>I W TRAILERS</v>
          </cell>
          <cell r="C1028" t="str">
            <v>M10950</v>
          </cell>
          <cell r="D1028" t="str">
            <v>NET 5, BT+</v>
          </cell>
          <cell r="E1028" t="str">
            <v>F1 - Northpoint</v>
          </cell>
          <cell r="F1028" t="str">
            <v>Yes</v>
          </cell>
          <cell r="G1028" t="str">
            <v>OH</v>
          </cell>
          <cell r="H1028">
            <v>8</v>
          </cell>
          <cell r="I1028">
            <v>0.66500000000000004</v>
          </cell>
          <cell r="J1028" t="str">
            <v>Lane Davis</v>
          </cell>
          <cell r="K1028" t="str">
            <v>UNICOI</v>
          </cell>
          <cell r="L1028" t="str">
            <v>TN</v>
          </cell>
          <cell r="M1028" t="str">
            <v>800-577-8858</v>
          </cell>
          <cell r="N1028"/>
          <cell r="O1028">
            <v>841</v>
          </cell>
          <cell r="P1028">
            <v>3616.2999999999997</v>
          </cell>
          <cell r="Q1028">
            <v>395</v>
          </cell>
          <cell r="R1028">
            <v>1698.5</v>
          </cell>
          <cell r="S1028"/>
          <cell r="T1028">
            <v>0</v>
          </cell>
          <cell r="U1028">
            <v>938</v>
          </cell>
          <cell r="V1028">
            <v>4033.3999999999996</v>
          </cell>
          <cell r="W1028">
            <v>922</v>
          </cell>
          <cell r="X1028">
            <v>3964.6</v>
          </cell>
          <cell r="Y1028">
            <v>342</v>
          </cell>
          <cell r="Z1028">
            <v>1470.6</v>
          </cell>
          <cell r="AA1028">
            <v>342</v>
          </cell>
          <cell r="AB1028">
            <v>1470.6</v>
          </cell>
          <cell r="AC1028">
            <v>342</v>
          </cell>
          <cell r="AD1028">
            <v>1470.6</v>
          </cell>
          <cell r="AE1028"/>
          <cell r="AF1028"/>
          <cell r="AG1028"/>
          <cell r="AH1028"/>
          <cell r="AI1028"/>
          <cell r="AJ1028">
            <v>0.04</v>
          </cell>
          <cell r="AK1028" t="str">
            <v>3P</v>
          </cell>
          <cell r="AL1028">
            <v>275</v>
          </cell>
          <cell r="AM1028">
            <v>229</v>
          </cell>
          <cell r="AN1028" t="str">
            <v>01 Existing Dealer</v>
          </cell>
          <cell r="AO1028" t="str">
            <v>Southeast</v>
          </cell>
          <cell r="AP1028" t="str">
            <v>South</v>
          </cell>
          <cell r="AQ1028"/>
          <cell r="AR1028">
            <v>308795</v>
          </cell>
          <cell r="AS1028">
            <v>127756</v>
          </cell>
        </row>
        <row r="1029">
          <cell r="A1029">
            <v>13611</v>
          </cell>
          <cell r="B1029" t="str">
            <v>I W TRAILERS - KNX</v>
          </cell>
          <cell r="C1029" t="str">
            <v>M10950</v>
          </cell>
          <cell r="D1029" t="str">
            <v>NET 5, BT+</v>
          </cell>
          <cell r="E1029" t="str">
            <v>F1 - Northpoint</v>
          </cell>
          <cell r="F1029" t="str">
            <v>Yes</v>
          </cell>
          <cell r="G1029" t="str">
            <v>OH</v>
          </cell>
          <cell r="H1029">
            <v>8</v>
          </cell>
          <cell r="I1029">
            <v>0.66500000000000004</v>
          </cell>
          <cell r="J1029" t="str">
            <v>Lane Davis</v>
          </cell>
          <cell r="K1029" t="str">
            <v>KNOXVILLE</v>
          </cell>
          <cell r="L1029" t="str">
            <v>TN</v>
          </cell>
          <cell r="M1029" t="str">
            <v>800-577-8858</v>
          </cell>
          <cell r="N1029"/>
          <cell r="O1029">
            <v>736</v>
          </cell>
          <cell r="P1029">
            <v>3164.7999999999997</v>
          </cell>
          <cell r="Q1029">
            <v>365</v>
          </cell>
          <cell r="R1029">
            <v>1569.5</v>
          </cell>
          <cell r="S1029"/>
          <cell r="T1029">
            <v>0</v>
          </cell>
          <cell r="U1029">
            <v>888</v>
          </cell>
          <cell r="V1029">
            <v>3818.3999999999996</v>
          </cell>
          <cell r="W1029">
            <v>815</v>
          </cell>
          <cell r="X1029">
            <v>3504.5</v>
          </cell>
          <cell r="Y1029"/>
          <cell r="Z1029">
            <v>0</v>
          </cell>
          <cell r="AA1029">
            <v>278</v>
          </cell>
          <cell r="AB1029">
            <v>1195.3999999999999</v>
          </cell>
          <cell r="AC1029">
            <v>278</v>
          </cell>
          <cell r="AD1029">
            <v>1195.3999999999999</v>
          </cell>
          <cell r="AE1029"/>
          <cell r="AF1029"/>
          <cell r="AG1029"/>
          <cell r="AH1029"/>
          <cell r="AI1029"/>
          <cell r="AJ1029">
            <v>0.04</v>
          </cell>
          <cell r="AK1029" t="str">
            <v>3P</v>
          </cell>
          <cell r="AL1029">
            <v>275</v>
          </cell>
          <cell r="AM1029">
            <v>232</v>
          </cell>
          <cell r="AN1029" t="str">
            <v>01 Existing Dealer</v>
          </cell>
          <cell r="AO1029" t="str">
            <v>Southeast</v>
          </cell>
          <cell r="AP1029" t="str">
            <v>South</v>
          </cell>
          <cell r="AQ1029"/>
          <cell r="AR1029">
            <v>193593</v>
          </cell>
          <cell r="AS1029">
            <v>150056</v>
          </cell>
        </row>
        <row r="1030">
          <cell r="A1030">
            <v>13076</v>
          </cell>
          <cell r="B1030" t="str">
            <v>I W TRAILERS</v>
          </cell>
          <cell r="C1030" t="str">
            <v>M10950</v>
          </cell>
          <cell r="D1030">
            <v>132476</v>
          </cell>
          <cell r="E1030" t="str">
            <v>CO</v>
          </cell>
          <cell r="F1030" t="str">
            <v>Yes</v>
          </cell>
          <cell r="G1030" t="str">
            <v>OH</v>
          </cell>
          <cell r="H1030">
            <v>7</v>
          </cell>
          <cell r="I1030">
            <v>0.66500000000000004</v>
          </cell>
          <cell r="J1030" t="str">
            <v>Lane Davis</v>
          </cell>
          <cell r="K1030" t="str">
            <v>UNICOI</v>
          </cell>
          <cell r="L1030" t="str">
            <v>TN</v>
          </cell>
          <cell r="M1030" t="str">
            <v>800-577-8858</v>
          </cell>
          <cell r="N1030"/>
          <cell r="O1030">
            <v>841</v>
          </cell>
          <cell r="P1030">
            <v>3616.2999999999997</v>
          </cell>
          <cell r="Q1030">
            <v>395</v>
          </cell>
          <cell r="R1030">
            <v>1698.5</v>
          </cell>
          <cell r="S1030"/>
          <cell r="T1030">
            <v>0</v>
          </cell>
          <cell r="U1030">
            <v>938</v>
          </cell>
          <cell r="V1030">
            <v>4033.3999999999996</v>
          </cell>
          <cell r="W1030">
            <v>922</v>
          </cell>
          <cell r="X1030">
            <v>3964.6</v>
          </cell>
          <cell r="Y1030">
            <v>342</v>
          </cell>
          <cell r="Z1030">
            <v>1470.6</v>
          </cell>
          <cell r="AA1030">
            <v>342</v>
          </cell>
          <cell r="AB1030">
            <v>1470.6</v>
          </cell>
          <cell r="AC1030">
            <v>342</v>
          </cell>
          <cell r="AD1030">
            <v>1470.6</v>
          </cell>
          <cell r="AE1030"/>
          <cell r="AF1030"/>
          <cell r="AG1030"/>
          <cell r="AH1030"/>
          <cell r="AI1030"/>
          <cell r="AJ1030">
            <v>0.04</v>
          </cell>
          <cell r="AK1030" t="str">
            <v>3P</v>
          </cell>
          <cell r="AL1030">
            <v>275</v>
          </cell>
          <cell r="AM1030">
            <v>229</v>
          </cell>
          <cell r="AN1030" t="str">
            <v>01 Existing Dealer</v>
          </cell>
          <cell r="AO1030" t="str">
            <v>Southeast</v>
          </cell>
          <cell r="AP1030" t="str">
            <v>South</v>
          </cell>
          <cell r="AQ1030"/>
          <cell r="AR1030">
            <v>0</v>
          </cell>
          <cell r="AS1030">
            <v>0</v>
          </cell>
        </row>
        <row r="1031">
          <cell r="A1031">
            <v>12491</v>
          </cell>
          <cell r="B1031" t="str">
            <v>LADY EQUIPMENT</v>
          </cell>
          <cell r="C1031" t="str">
            <v>M10260</v>
          </cell>
          <cell r="D1031" t="str">
            <v>NET 5, BT+</v>
          </cell>
          <cell r="E1031" t="str">
            <v>CF ON HOLD</v>
          </cell>
          <cell r="F1031" t="str">
            <v>Copies</v>
          </cell>
          <cell r="G1031" t="str">
            <v>OH</v>
          </cell>
          <cell r="H1031">
            <v>7</v>
          </cell>
          <cell r="I1031">
            <v>0.66500000000000004</v>
          </cell>
          <cell r="J1031" t="str">
            <v>Orphaned Acct</v>
          </cell>
          <cell r="K1031" t="str">
            <v>BLUFF CITY</v>
          </cell>
          <cell r="L1031" t="str">
            <v>TN</v>
          </cell>
          <cell r="M1031" t="str">
            <v>800-577-8858</v>
          </cell>
          <cell r="N1031"/>
          <cell r="O1031">
            <v>837</v>
          </cell>
          <cell r="P1031">
            <v>3599.1</v>
          </cell>
          <cell r="Q1031">
            <v>417</v>
          </cell>
          <cell r="R1031">
            <v>1793.1</v>
          </cell>
          <cell r="S1031"/>
          <cell r="T1031">
            <v>0</v>
          </cell>
          <cell r="U1031">
            <v>934</v>
          </cell>
          <cell r="V1031">
            <v>4016.2</v>
          </cell>
          <cell r="W1031">
            <v>917</v>
          </cell>
          <cell r="X1031">
            <v>3943.1</v>
          </cell>
          <cell r="Y1031"/>
          <cell r="Z1031">
            <v>0</v>
          </cell>
          <cell r="AA1031"/>
          <cell r="AB1031">
            <v>0</v>
          </cell>
          <cell r="AC1031"/>
          <cell r="AD1031">
            <v>0</v>
          </cell>
          <cell r="AE1031"/>
          <cell r="AF1031"/>
          <cell r="AG1031"/>
          <cell r="AH1031"/>
          <cell r="AI1031"/>
          <cell r="AJ1031">
            <v>0</v>
          </cell>
          <cell r="AK1031" t="str">
            <v>3P</v>
          </cell>
          <cell r="AL1031">
            <v>213</v>
          </cell>
          <cell r="AM1031">
            <v>229</v>
          </cell>
          <cell r="AN1031" t="str">
            <v>08 Inactive Dealer</v>
          </cell>
          <cell r="AO1031" t="str">
            <v>Southeast</v>
          </cell>
          <cell r="AP1031" t="str">
            <v>South</v>
          </cell>
          <cell r="AQ1031"/>
          <cell r="AR1031">
            <v>0</v>
          </cell>
          <cell r="AS1031">
            <v>0</v>
          </cell>
        </row>
        <row r="1032">
          <cell r="A1032">
            <v>12857</v>
          </cell>
          <cell r="B1032" t="str">
            <v>LADY EQUIPMENT</v>
          </cell>
          <cell r="C1032" t="str">
            <v>M10260</v>
          </cell>
          <cell r="D1032" t="str">
            <v>NET 5, BT+</v>
          </cell>
          <cell r="E1032" t="str">
            <v>FP ON HOLD</v>
          </cell>
          <cell r="F1032" t="str">
            <v>Yes</v>
          </cell>
          <cell r="G1032" t="str">
            <v>OH</v>
          </cell>
          <cell r="H1032">
            <v>8</v>
          </cell>
          <cell r="I1032">
            <v>0.66500000000000004</v>
          </cell>
          <cell r="J1032" t="str">
            <v>Orphaned Acct</v>
          </cell>
          <cell r="K1032" t="str">
            <v>BLUFF CITY</v>
          </cell>
          <cell r="L1032" t="str">
            <v>TN</v>
          </cell>
          <cell r="M1032" t="str">
            <v>800-577-8858</v>
          </cell>
          <cell r="N1032"/>
          <cell r="O1032">
            <v>837</v>
          </cell>
          <cell r="P1032">
            <v>3599.1</v>
          </cell>
          <cell r="Q1032">
            <v>417</v>
          </cell>
          <cell r="R1032">
            <v>1793.1</v>
          </cell>
          <cell r="S1032"/>
          <cell r="T1032">
            <v>0</v>
          </cell>
          <cell r="U1032">
            <v>934</v>
          </cell>
          <cell r="V1032">
            <v>4016.2</v>
          </cell>
          <cell r="W1032">
            <v>917</v>
          </cell>
          <cell r="X1032">
            <v>3943.1</v>
          </cell>
          <cell r="Y1032"/>
          <cell r="Z1032">
            <v>0</v>
          </cell>
          <cell r="AA1032"/>
          <cell r="AB1032">
            <v>0</v>
          </cell>
          <cell r="AC1032"/>
          <cell r="AD1032">
            <v>0</v>
          </cell>
          <cell r="AE1032"/>
          <cell r="AF1032"/>
          <cell r="AG1032"/>
          <cell r="AH1032"/>
          <cell r="AI1032"/>
          <cell r="AJ1032">
            <v>0</v>
          </cell>
          <cell r="AK1032" t="str">
            <v>3P</v>
          </cell>
          <cell r="AL1032">
            <v>213</v>
          </cell>
          <cell r="AM1032">
            <v>229</v>
          </cell>
          <cell r="AN1032" t="str">
            <v>08 Inactive Dealer</v>
          </cell>
          <cell r="AO1032" t="str">
            <v>Southeast</v>
          </cell>
          <cell r="AP1032" t="str">
            <v>South</v>
          </cell>
          <cell r="AQ1032"/>
          <cell r="AR1032">
            <v>0</v>
          </cell>
          <cell r="AS1032">
            <v>0</v>
          </cell>
        </row>
        <row r="1033">
          <cell r="A1033">
            <v>10421</v>
          </cell>
          <cell r="B1033" t="str">
            <v>LOAD TOTERS TRAILER SALES</v>
          </cell>
          <cell r="C1033" t="str">
            <v>M10268</v>
          </cell>
          <cell r="D1033" t="str">
            <v>Net 15, no pink card</v>
          </cell>
          <cell r="E1033">
            <v>15</v>
          </cell>
          <cell r="F1033" t="str">
            <v>Yes</v>
          </cell>
          <cell r="G1033" t="str">
            <v>OH</v>
          </cell>
          <cell r="H1033">
            <v>5</v>
          </cell>
          <cell r="I1033">
            <v>0.66500000000000004</v>
          </cell>
          <cell r="J1033" t="str">
            <v>Orphaned Acct</v>
          </cell>
          <cell r="K1033" t="str">
            <v>DYER</v>
          </cell>
          <cell r="L1033" t="str">
            <v>TN</v>
          </cell>
          <cell r="M1033" t="str">
            <v>800-577-8858</v>
          </cell>
          <cell r="N1033"/>
          <cell r="O1033">
            <v>445</v>
          </cell>
          <cell r="P1033">
            <v>1913.5</v>
          </cell>
          <cell r="Q1033">
            <v>550</v>
          </cell>
          <cell r="R1033">
            <v>2365</v>
          </cell>
          <cell r="S1033"/>
          <cell r="T1033">
            <v>0</v>
          </cell>
          <cell r="U1033">
            <v>542</v>
          </cell>
          <cell r="V1033">
            <v>2330.6</v>
          </cell>
          <cell r="W1033">
            <v>525</v>
          </cell>
          <cell r="X1033">
            <v>2257.5</v>
          </cell>
          <cell r="Y1033"/>
          <cell r="Z1033">
            <v>0</v>
          </cell>
          <cell r="AA1033"/>
          <cell r="AB1033">
            <v>0</v>
          </cell>
          <cell r="AC1033"/>
          <cell r="AD1033">
            <v>0</v>
          </cell>
          <cell r="AE1033"/>
          <cell r="AF1033"/>
          <cell r="AG1033"/>
          <cell r="AH1033"/>
          <cell r="AI1033"/>
          <cell r="AJ1033">
            <v>0</v>
          </cell>
          <cell r="AK1033" t="str">
            <v>3P</v>
          </cell>
          <cell r="AL1033">
            <v>213</v>
          </cell>
          <cell r="AM1033">
            <v>211</v>
          </cell>
          <cell r="AN1033" t="str">
            <v>08 Inactive Dealer</v>
          </cell>
          <cell r="AO1033" t="str">
            <v>Southeast</v>
          </cell>
          <cell r="AP1033" t="str">
            <v>South</v>
          </cell>
          <cell r="AQ1033"/>
          <cell r="AR1033">
            <v>0</v>
          </cell>
          <cell r="AS1033">
            <v>0</v>
          </cell>
        </row>
        <row r="1034">
          <cell r="A1034">
            <v>12505</v>
          </cell>
          <cell r="B1034" t="str">
            <v>MIDWAY TRAILER SALES INC</v>
          </cell>
          <cell r="C1034" t="str">
            <v>M10287</v>
          </cell>
          <cell r="D1034" t="str">
            <v>NET 5, BT+</v>
          </cell>
          <cell r="E1034" t="str">
            <v>F1 - Wells Fargo</v>
          </cell>
          <cell r="F1034" t="str">
            <v>Yes</v>
          </cell>
          <cell r="G1034" t="str">
            <v>OH</v>
          </cell>
          <cell r="H1034">
            <v>8</v>
          </cell>
          <cell r="I1034">
            <v>0.66500000000000004</v>
          </cell>
          <cell r="J1034" t="str">
            <v>Trent Evans</v>
          </cell>
          <cell r="K1034" t="str">
            <v>BELL BUCKLE</v>
          </cell>
          <cell r="L1034" t="str">
            <v>TN</v>
          </cell>
          <cell r="M1034" t="str">
            <v>800-577-8858</v>
          </cell>
          <cell r="N1034"/>
          <cell r="O1034">
            <v>593</v>
          </cell>
          <cell r="P1034">
            <v>2549.9</v>
          </cell>
          <cell r="Q1034">
            <v>355</v>
          </cell>
          <cell r="R1034">
            <v>1526.5</v>
          </cell>
          <cell r="S1034"/>
          <cell r="T1034">
            <v>0</v>
          </cell>
          <cell r="U1034">
            <v>690</v>
          </cell>
          <cell r="V1034">
            <v>2967</v>
          </cell>
          <cell r="W1034">
            <v>674</v>
          </cell>
          <cell r="X1034">
            <v>2898.2</v>
          </cell>
          <cell r="Y1034">
            <v>342</v>
          </cell>
          <cell r="Z1034">
            <v>1470.6</v>
          </cell>
          <cell r="AA1034">
            <v>342</v>
          </cell>
          <cell r="AB1034">
            <v>1470.6</v>
          </cell>
          <cell r="AC1034">
            <v>342</v>
          </cell>
          <cell r="AD1034">
            <v>1470.6</v>
          </cell>
          <cell r="AE1034"/>
          <cell r="AF1034"/>
          <cell r="AG1034"/>
          <cell r="AH1034"/>
          <cell r="AI1034"/>
          <cell r="AJ1034">
            <v>0.01</v>
          </cell>
          <cell r="AK1034" t="str">
            <v>3P</v>
          </cell>
          <cell r="AL1034">
            <v>226</v>
          </cell>
          <cell r="AM1034">
            <v>314</v>
          </cell>
          <cell r="AN1034" t="str">
            <v>01 Existing Dealer</v>
          </cell>
          <cell r="AO1034" t="str">
            <v>Southeast</v>
          </cell>
          <cell r="AP1034" t="str">
            <v>South</v>
          </cell>
          <cell r="AQ1034"/>
          <cell r="AR1034">
            <v>0</v>
          </cell>
          <cell r="AS1034">
            <v>0</v>
          </cell>
        </row>
        <row r="1035">
          <cell r="A1035">
            <v>12912</v>
          </cell>
          <cell r="B1035" t="str">
            <v>SEATON SALES &amp; SERVICE</v>
          </cell>
          <cell r="C1035" t="str">
            <v>M10370</v>
          </cell>
          <cell r="D1035" t="str">
            <v>NET 5, BT+</v>
          </cell>
          <cell r="E1035" t="str">
            <v>FP - Wells Fargo</v>
          </cell>
          <cell r="F1035" t="str">
            <v>Yes</v>
          </cell>
          <cell r="G1035" t="str">
            <v>OH</v>
          </cell>
          <cell r="H1035">
            <v>8</v>
          </cell>
          <cell r="I1035">
            <v>0.66500000000000004</v>
          </cell>
          <cell r="J1035" t="str">
            <v>Orphaned Acct</v>
          </cell>
          <cell r="K1035" t="str">
            <v>COUNCE</v>
          </cell>
          <cell r="L1035" t="str">
            <v>TN</v>
          </cell>
          <cell r="M1035" t="str">
            <v>800-577-8858</v>
          </cell>
          <cell r="N1035"/>
          <cell r="O1035">
            <v>454</v>
          </cell>
          <cell r="P1035">
            <v>1952.1999999999998</v>
          </cell>
          <cell r="Q1035">
            <v>453</v>
          </cell>
          <cell r="R1035">
            <v>1947.8999999999999</v>
          </cell>
          <cell r="S1035"/>
          <cell r="T1035">
            <v>0</v>
          </cell>
          <cell r="U1035">
            <v>550</v>
          </cell>
          <cell r="V1035">
            <v>2365</v>
          </cell>
          <cell r="W1035">
            <v>534</v>
          </cell>
          <cell r="X1035">
            <v>2296.1999999999998</v>
          </cell>
          <cell r="Y1035"/>
          <cell r="Z1035">
            <v>0</v>
          </cell>
          <cell r="AA1035"/>
          <cell r="AB1035">
            <v>0</v>
          </cell>
          <cell r="AC1035"/>
          <cell r="AD1035">
            <v>0</v>
          </cell>
          <cell r="AE1035"/>
          <cell r="AF1035"/>
          <cell r="AG1035"/>
          <cell r="AH1035"/>
          <cell r="AI1035"/>
          <cell r="AJ1035">
            <v>0</v>
          </cell>
          <cell r="AK1035" t="str">
            <v>3P</v>
          </cell>
          <cell r="AL1035">
            <v>213</v>
          </cell>
          <cell r="AM1035">
            <v>211</v>
          </cell>
          <cell r="AN1035" t="str">
            <v>08 Inactive Dealer</v>
          </cell>
          <cell r="AO1035" t="str">
            <v>Southeast</v>
          </cell>
          <cell r="AP1035" t="str">
            <v>South</v>
          </cell>
          <cell r="AQ1035"/>
          <cell r="AR1035">
            <v>0</v>
          </cell>
          <cell r="AS1035">
            <v>0</v>
          </cell>
        </row>
        <row r="1036">
          <cell r="A1036">
            <v>12175</v>
          </cell>
          <cell r="B1036" t="str">
            <v>SMOKEY MOUNTAIN MOTORS INC</v>
          </cell>
          <cell r="C1036" t="str">
            <v>M10375</v>
          </cell>
          <cell r="D1036" t="str">
            <v>Return Mail, no pink card</v>
          </cell>
          <cell r="E1036" t="str">
            <v>F1 - Wells Fargo</v>
          </cell>
          <cell r="F1036" t="str">
            <v>Yes</v>
          </cell>
          <cell r="G1036" t="str">
            <v>OH</v>
          </cell>
          <cell r="H1036">
            <v>8</v>
          </cell>
          <cell r="I1036">
            <v>0.66500000000000004</v>
          </cell>
          <cell r="J1036" t="str">
            <v>Dakota Nation</v>
          </cell>
          <cell r="K1036" t="str">
            <v>LENOIR CITY</v>
          </cell>
          <cell r="L1036" t="str">
            <v>TN</v>
          </cell>
          <cell r="M1036" t="str">
            <v>800-577-8858</v>
          </cell>
          <cell r="N1036"/>
          <cell r="O1036">
            <v>711</v>
          </cell>
          <cell r="P1036">
            <v>3057.2999999999997</v>
          </cell>
          <cell r="Q1036">
            <v>338</v>
          </cell>
          <cell r="R1036">
            <v>1453.3999999999999</v>
          </cell>
          <cell r="S1036"/>
          <cell r="T1036">
            <v>0</v>
          </cell>
          <cell r="U1036">
            <v>808</v>
          </cell>
          <cell r="V1036">
            <v>3474.3999999999996</v>
          </cell>
          <cell r="W1036">
            <v>792</v>
          </cell>
          <cell r="X1036">
            <v>3405.6</v>
          </cell>
          <cell r="Y1036">
            <v>292</v>
          </cell>
          <cell r="Z1036">
            <v>1255.5999999999999</v>
          </cell>
          <cell r="AA1036">
            <v>292</v>
          </cell>
          <cell r="AB1036">
            <v>1255.5999999999999</v>
          </cell>
          <cell r="AC1036">
            <v>292</v>
          </cell>
          <cell r="AD1036">
            <v>1255.5999999999999</v>
          </cell>
          <cell r="AE1036"/>
          <cell r="AF1036"/>
          <cell r="AG1036"/>
          <cell r="AH1036"/>
          <cell r="AI1036"/>
          <cell r="AJ1036">
            <v>0.03</v>
          </cell>
          <cell r="AK1036" t="str">
            <v>3P</v>
          </cell>
          <cell r="AL1036">
            <v>223</v>
          </cell>
          <cell r="AM1036">
            <v>232</v>
          </cell>
          <cell r="AN1036" t="str">
            <v>01 Existing Dealer</v>
          </cell>
          <cell r="AO1036" t="str">
            <v>Southeast</v>
          </cell>
          <cell r="AP1036" t="str">
            <v>South</v>
          </cell>
          <cell r="AQ1036"/>
          <cell r="AR1036">
            <v>158473</v>
          </cell>
          <cell r="AS1036">
            <v>98866</v>
          </cell>
        </row>
        <row r="1037">
          <cell r="A1037">
            <v>12190</v>
          </cell>
          <cell r="B1037" t="str">
            <v>SMOKEY MOUNTAIN MOTORS INC</v>
          </cell>
          <cell r="C1037" t="str">
            <v>M10375</v>
          </cell>
          <cell r="D1037" t="str">
            <v>Return Mail, no pink card</v>
          </cell>
          <cell r="E1037" t="str">
            <v>S1</v>
          </cell>
          <cell r="F1037" t="str">
            <v>Copies</v>
          </cell>
          <cell r="G1037" t="str">
            <v>OH</v>
          </cell>
          <cell r="H1037">
            <v>9</v>
          </cell>
          <cell r="I1037">
            <v>0.66500000000000004</v>
          </cell>
          <cell r="J1037" t="str">
            <v>Orphaned Acct</v>
          </cell>
          <cell r="K1037" t="str">
            <v>LENOIR CITY</v>
          </cell>
          <cell r="L1037" t="str">
            <v>TN</v>
          </cell>
          <cell r="M1037" t="str">
            <v>800-577-8858</v>
          </cell>
          <cell r="N1037"/>
          <cell r="O1037">
            <v>711</v>
          </cell>
          <cell r="P1037">
            <v>3057.2999999999997</v>
          </cell>
          <cell r="Q1037">
            <v>338</v>
          </cell>
          <cell r="R1037">
            <v>1453.3999999999999</v>
          </cell>
          <cell r="S1037"/>
          <cell r="T1037">
            <v>0</v>
          </cell>
          <cell r="U1037">
            <v>808</v>
          </cell>
          <cell r="V1037">
            <v>3474.3999999999996</v>
          </cell>
          <cell r="W1037">
            <v>792</v>
          </cell>
          <cell r="X1037">
            <v>3405.6</v>
          </cell>
          <cell r="Y1037">
            <v>292</v>
          </cell>
          <cell r="Z1037">
            <v>1255.5999999999999</v>
          </cell>
          <cell r="AA1037">
            <v>292</v>
          </cell>
          <cell r="AB1037">
            <v>1255.5999999999999</v>
          </cell>
          <cell r="AC1037">
            <v>292</v>
          </cell>
          <cell r="AD1037">
            <v>1255.5999999999999</v>
          </cell>
          <cell r="AE1037"/>
          <cell r="AF1037"/>
          <cell r="AG1037"/>
          <cell r="AH1037"/>
          <cell r="AI1037"/>
          <cell r="AJ1037">
            <v>0.03</v>
          </cell>
          <cell r="AK1037" t="str">
            <v>3P</v>
          </cell>
          <cell r="AL1037">
            <v>213</v>
          </cell>
          <cell r="AM1037">
            <v>232</v>
          </cell>
          <cell r="AN1037" t="str">
            <v>01 Existing Dealer</v>
          </cell>
          <cell r="AO1037" t="str">
            <v>Southeast</v>
          </cell>
          <cell r="AP1037" t="str">
            <v>South</v>
          </cell>
          <cell r="AQ1037"/>
          <cell r="AR1037">
            <v>0</v>
          </cell>
          <cell r="AS1037">
            <v>0</v>
          </cell>
        </row>
        <row r="1038">
          <cell r="A1038">
            <v>13104</v>
          </cell>
          <cell r="B1038" t="str">
            <v>SNYDER</v>
          </cell>
          <cell r="C1038" t="str">
            <v>M10171</v>
          </cell>
          <cell r="D1038" t="str">
            <v>NET 5, BT+</v>
          </cell>
          <cell r="E1038" t="str">
            <v>FP - Wells Fargo</v>
          </cell>
          <cell r="F1038" t="str">
            <v>Yes</v>
          </cell>
          <cell r="G1038" t="str">
            <v>OH</v>
          </cell>
          <cell r="H1038">
            <v>8</v>
          </cell>
          <cell r="I1038">
            <v>0.66500000000000004</v>
          </cell>
          <cell r="J1038" t="str">
            <v>Lane Davis</v>
          </cell>
          <cell r="K1038" t="str">
            <v>CROSSVILLE</v>
          </cell>
          <cell r="L1038" t="str">
            <v>TN</v>
          </cell>
          <cell r="M1038" t="str">
            <v>800-577-8858</v>
          </cell>
          <cell r="N1038"/>
          <cell r="O1038">
            <v>642</v>
          </cell>
          <cell r="P1038">
            <v>2760.6</v>
          </cell>
          <cell r="Q1038">
            <v>341</v>
          </cell>
          <cell r="R1038">
            <v>1466.3</v>
          </cell>
          <cell r="S1038"/>
          <cell r="T1038">
            <v>0</v>
          </cell>
          <cell r="U1038">
            <v>739</v>
          </cell>
          <cell r="V1038">
            <v>3177.7</v>
          </cell>
          <cell r="W1038">
            <v>722</v>
          </cell>
          <cell r="X1038">
            <v>3104.6</v>
          </cell>
          <cell r="Y1038">
            <v>282</v>
          </cell>
          <cell r="Z1038">
            <v>1212.5999999999999</v>
          </cell>
          <cell r="AA1038">
            <v>282</v>
          </cell>
          <cell r="AB1038">
            <v>1212.5999999999999</v>
          </cell>
          <cell r="AC1038">
            <v>282</v>
          </cell>
          <cell r="AD1038">
            <v>1212.5999999999999</v>
          </cell>
          <cell r="AE1038"/>
          <cell r="AF1038"/>
          <cell r="AG1038"/>
          <cell r="AH1038"/>
          <cell r="AI1038"/>
          <cell r="AJ1038">
            <v>0</v>
          </cell>
          <cell r="AK1038" t="str">
            <v>3P</v>
          </cell>
          <cell r="AL1038">
            <v>275</v>
          </cell>
          <cell r="AM1038">
            <v>232</v>
          </cell>
          <cell r="AN1038" t="str">
            <v>01 Existing Dealer</v>
          </cell>
          <cell r="AO1038" t="str">
            <v>Southeast</v>
          </cell>
          <cell r="AP1038" t="str">
            <v>South</v>
          </cell>
          <cell r="AQ1038"/>
          <cell r="AR1038">
            <v>0</v>
          </cell>
          <cell r="AS1038">
            <v>0</v>
          </cell>
        </row>
        <row r="1039">
          <cell r="A1039" t="str">
            <v>13104A</v>
          </cell>
          <cell r="B1039" t="str">
            <v>SNYDER</v>
          </cell>
          <cell r="C1039" t="str">
            <v>M10171</v>
          </cell>
          <cell r="D1039" t="str">
            <v>NET 5, BT+</v>
          </cell>
          <cell r="E1039" t="str">
            <v>FP - Wells Fargo</v>
          </cell>
          <cell r="F1039" t="str">
            <v>Yes</v>
          </cell>
          <cell r="G1039" t="str">
            <v>OH</v>
          </cell>
          <cell r="H1039">
            <v>8</v>
          </cell>
          <cell r="I1039">
            <v>0.66500000000000004</v>
          </cell>
          <cell r="J1039" t="str">
            <v>Lane Davis</v>
          </cell>
          <cell r="K1039" t="str">
            <v>SPARTA</v>
          </cell>
          <cell r="L1039" t="str">
            <v>TN</v>
          </cell>
          <cell r="M1039" t="str">
            <v>800-577-8858</v>
          </cell>
          <cell r="N1039"/>
          <cell r="O1039">
            <v>642</v>
          </cell>
          <cell r="P1039">
            <v>2760.6</v>
          </cell>
          <cell r="Q1039">
            <v>341</v>
          </cell>
          <cell r="R1039">
            <v>1466.3</v>
          </cell>
          <cell r="S1039"/>
          <cell r="T1039">
            <v>0</v>
          </cell>
          <cell r="U1039">
            <v>739</v>
          </cell>
          <cell r="V1039">
            <v>3177.7</v>
          </cell>
          <cell r="W1039">
            <v>722</v>
          </cell>
          <cell r="X1039">
            <v>3104.6</v>
          </cell>
          <cell r="Y1039">
            <v>290</v>
          </cell>
          <cell r="Z1039">
            <v>1247</v>
          </cell>
          <cell r="AA1039">
            <v>290</v>
          </cell>
          <cell r="AB1039">
            <v>1247</v>
          </cell>
          <cell r="AC1039">
            <v>290</v>
          </cell>
          <cell r="AD1039">
            <v>1247</v>
          </cell>
          <cell r="AE1039"/>
          <cell r="AF1039"/>
          <cell r="AG1039"/>
          <cell r="AH1039"/>
          <cell r="AI1039"/>
          <cell r="AJ1039">
            <v>0</v>
          </cell>
          <cell r="AK1039" t="str">
            <v>3P</v>
          </cell>
          <cell r="AL1039">
            <v>275</v>
          </cell>
          <cell r="AM1039">
            <v>96</v>
          </cell>
          <cell r="AN1039" t="str">
            <v>01 Existing Dealer</v>
          </cell>
          <cell r="AO1039" t="str">
            <v>Southeast</v>
          </cell>
          <cell r="AP1039" t="str">
            <v>South</v>
          </cell>
          <cell r="AQ1039"/>
          <cell r="AR1039">
            <v>0</v>
          </cell>
          <cell r="AS1039">
            <v>0</v>
          </cell>
        </row>
        <row r="1040">
          <cell r="A1040">
            <v>10875</v>
          </cell>
          <cell r="B1040" t="str">
            <v>THE COWBOY STORE</v>
          </cell>
          <cell r="C1040" t="str">
            <v>M10402</v>
          </cell>
          <cell r="D1040" t="str">
            <v>Return Mail, no pink card</v>
          </cell>
          <cell r="E1040" t="str">
            <v>RM</v>
          </cell>
          <cell r="F1040" t="str">
            <v>Yes</v>
          </cell>
          <cell r="G1040" t="str">
            <v>OH</v>
          </cell>
          <cell r="H1040">
            <v>7</v>
          </cell>
          <cell r="I1040">
            <v>0.66500000000000004</v>
          </cell>
          <cell r="J1040" t="str">
            <v>Dakota Nation</v>
          </cell>
          <cell r="K1040" t="str">
            <v>HUNTINGDON</v>
          </cell>
          <cell r="L1040" t="str">
            <v>TN</v>
          </cell>
          <cell r="M1040" t="str">
            <v>800-577-8858</v>
          </cell>
          <cell r="N1040"/>
          <cell r="O1040">
            <v>456</v>
          </cell>
          <cell r="P1040">
            <v>1960.8</v>
          </cell>
          <cell r="Q1040">
            <v>507</v>
          </cell>
          <cell r="R1040">
            <v>2180.1</v>
          </cell>
          <cell r="S1040"/>
          <cell r="T1040">
            <v>0</v>
          </cell>
          <cell r="U1040">
            <v>553</v>
          </cell>
          <cell r="V1040">
            <v>2377.9</v>
          </cell>
          <cell r="W1040">
            <v>536</v>
          </cell>
          <cell r="X1040">
            <v>2304.7999999999997</v>
          </cell>
          <cell r="Y1040">
            <v>406</v>
          </cell>
          <cell r="Z1040">
            <v>1745.8</v>
          </cell>
          <cell r="AA1040">
            <v>406</v>
          </cell>
          <cell r="AB1040">
            <v>1745.8</v>
          </cell>
          <cell r="AC1040">
            <v>406</v>
          </cell>
          <cell r="AD1040">
            <v>1745.8</v>
          </cell>
          <cell r="AE1040"/>
          <cell r="AF1040"/>
          <cell r="AG1040"/>
          <cell r="AH1040"/>
          <cell r="AI1040"/>
          <cell r="AJ1040">
            <v>0</v>
          </cell>
          <cell r="AK1040" t="str">
            <v>3P</v>
          </cell>
          <cell r="AL1040">
            <v>223</v>
          </cell>
          <cell r="AM1040">
            <v>211</v>
          </cell>
          <cell r="AN1040" t="str">
            <v>01 Existing Dealer</v>
          </cell>
          <cell r="AO1040" t="str">
            <v>Southeast</v>
          </cell>
          <cell r="AP1040" t="str">
            <v>South</v>
          </cell>
          <cell r="AQ1040"/>
          <cell r="AR1040">
            <v>0</v>
          </cell>
          <cell r="AS1040">
            <v>0</v>
          </cell>
        </row>
        <row r="1041">
          <cell r="A1041">
            <v>13560</v>
          </cell>
          <cell r="B1041" t="str">
            <v>TRAILER MART</v>
          </cell>
          <cell r="C1041" t="str">
            <v>M11597</v>
          </cell>
          <cell r="D1041" t="str">
            <v>NET 5, BT+</v>
          </cell>
          <cell r="E1041" t="str">
            <v>F3-Northpoint</v>
          </cell>
          <cell r="F1041" t="str">
            <v>Yes</v>
          </cell>
          <cell r="G1041" t="str">
            <v>OH</v>
          </cell>
          <cell r="H1041">
            <v>7</v>
          </cell>
          <cell r="I1041">
            <v>0.66500000000000004</v>
          </cell>
          <cell r="J1041" t="str">
            <v>JL Smith</v>
          </cell>
          <cell r="K1041" t="str">
            <v>CLARKSVILLE</v>
          </cell>
          <cell r="L1041" t="str">
            <v>TN</v>
          </cell>
          <cell r="M1041" t="str">
            <v>800-577-8858</v>
          </cell>
          <cell r="N1041"/>
          <cell r="O1041">
            <v>547</v>
          </cell>
          <cell r="P1041">
            <v>2352.1</v>
          </cell>
          <cell r="Q1041">
            <v>428</v>
          </cell>
          <cell r="R1041">
            <v>1840.3999999999999</v>
          </cell>
          <cell r="S1041"/>
          <cell r="T1041">
            <v>0</v>
          </cell>
          <cell r="U1041">
            <v>644</v>
          </cell>
          <cell r="V1041">
            <v>2769.2</v>
          </cell>
          <cell r="W1041">
            <v>628</v>
          </cell>
          <cell r="X1041">
            <v>2700.4</v>
          </cell>
          <cell r="Y1041">
            <v>312</v>
          </cell>
          <cell r="Z1041">
            <v>1341.6</v>
          </cell>
          <cell r="AA1041">
            <v>312</v>
          </cell>
          <cell r="AB1041">
            <v>1341.6</v>
          </cell>
          <cell r="AC1041">
            <v>312</v>
          </cell>
          <cell r="AD1041">
            <v>1341.6</v>
          </cell>
          <cell r="AE1041"/>
          <cell r="AF1041"/>
          <cell r="AG1041"/>
          <cell r="AH1041"/>
          <cell r="AI1041"/>
          <cell r="AJ1041">
            <v>1.4999999999999999E-2</v>
          </cell>
          <cell r="AK1041" t="str">
            <v>3P</v>
          </cell>
          <cell r="AL1041">
            <v>151</v>
          </cell>
          <cell r="AM1041">
            <v>83</v>
          </cell>
          <cell r="AN1041" t="str">
            <v>01 Existing Dealer</v>
          </cell>
          <cell r="AO1041" t="str">
            <v>Southeast</v>
          </cell>
          <cell r="AP1041" t="str">
            <v>South</v>
          </cell>
          <cell r="AQ1041"/>
          <cell r="AR1041">
            <v>0</v>
          </cell>
          <cell r="AS1041">
            <v>0</v>
          </cell>
        </row>
        <row r="1042">
          <cell r="A1042" t="str">
            <v>13499D</v>
          </cell>
          <cell r="B1042" t="str">
            <v>TRIGREEN EQUIP</v>
          </cell>
          <cell r="C1042" t="str">
            <v>M11473</v>
          </cell>
          <cell r="D1042" t="str">
            <v>Net 30, no pink card</v>
          </cell>
          <cell r="E1042">
            <v>30</v>
          </cell>
          <cell r="F1042" t="str">
            <v>Yes</v>
          </cell>
          <cell r="G1042" t="str">
            <v>OH</v>
          </cell>
          <cell r="H1042">
            <v>5</v>
          </cell>
          <cell r="I1042">
            <v>0.66500000000000004</v>
          </cell>
          <cell r="J1042" t="str">
            <v>Dakota Nation</v>
          </cell>
          <cell r="K1042" t="str">
            <v>COOKEVILLE</v>
          </cell>
          <cell r="L1042" t="str">
            <v>TN</v>
          </cell>
          <cell r="M1042" t="str">
            <v>800-577-8858</v>
          </cell>
          <cell r="N1042"/>
          <cell r="O1042">
            <v>630</v>
          </cell>
          <cell r="P1042">
            <v>2709</v>
          </cell>
          <cell r="Q1042">
            <v>375</v>
          </cell>
          <cell r="R1042">
            <v>1612.5</v>
          </cell>
          <cell r="S1042"/>
          <cell r="T1042">
            <v>0</v>
          </cell>
          <cell r="U1042"/>
          <cell r="V1042">
            <v>0</v>
          </cell>
          <cell r="W1042">
            <v>720</v>
          </cell>
          <cell r="X1042">
            <v>3096</v>
          </cell>
          <cell r="Y1042">
            <v>292</v>
          </cell>
          <cell r="Z1042">
            <v>1255.5999999999999</v>
          </cell>
          <cell r="AA1042">
            <v>292</v>
          </cell>
          <cell r="AB1042">
            <v>1255.5999999999999</v>
          </cell>
          <cell r="AC1042">
            <v>292</v>
          </cell>
          <cell r="AD1042">
            <v>1255.5999999999999</v>
          </cell>
          <cell r="AE1042"/>
          <cell r="AF1042"/>
          <cell r="AG1042"/>
          <cell r="AH1042"/>
          <cell r="AI1042"/>
          <cell r="AJ1042">
            <v>0</v>
          </cell>
          <cell r="AK1042" t="str">
            <v>3P</v>
          </cell>
          <cell r="AL1042">
            <v>223</v>
          </cell>
          <cell r="AM1042">
            <v>96</v>
          </cell>
          <cell r="AN1042" t="str">
            <v>03 New Dealer</v>
          </cell>
          <cell r="AO1042" t="str">
            <v>Southeast</v>
          </cell>
          <cell r="AP1042" t="str">
            <v>South</v>
          </cell>
          <cell r="AQ1042"/>
          <cell r="AR1042">
            <v>0</v>
          </cell>
          <cell r="AS1042">
            <v>0</v>
          </cell>
        </row>
        <row r="1043">
          <cell r="A1043">
            <v>13057</v>
          </cell>
          <cell r="B1043" t="str">
            <v>TRUCK'N TRAILERS USA</v>
          </cell>
          <cell r="C1043" t="str">
            <v>M10429</v>
          </cell>
          <cell r="D1043" t="str">
            <v>NET 5, BT+</v>
          </cell>
          <cell r="E1043" t="str">
            <v>F3 - Wells Fargo</v>
          </cell>
          <cell r="F1043" t="str">
            <v>Yes</v>
          </cell>
          <cell r="G1043" t="str">
            <v>OH</v>
          </cell>
          <cell r="H1043">
            <v>8</v>
          </cell>
          <cell r="I1043">
            <v>0.66500000000000004</v>
          </cell>
          <cell r="J1043" t="str">
            <v>Lane Davis</v>
          </cell>
          <cell r="K1043" t="str">
            <v>CHATANOOGA</v>
          </cell>
          <cell r="L1043" t="str">
            <v>TN</v>
          </cell>
          <cell r="M1043" t="str">
            <v>800-577-8858</v>
          </cell>
          <cell r="N1043"/>
          <cell r="O1043">
            <v>679</v>
          </cell>
          <cell r="P1043">
            <v>2919.7</v>
          </cell>
          <cell r="Q1043">
            <v>270</v>
          </cell>
          <cell r="R1043">
            <v>1161</v>
          </cell>
          <cell r="S1043"/>
          <cell r="T1043">
            <v>0</v>
          </cell>
          <cell r="U1043">
            <v>775</v>
          </cell>
          <cell r="V1043">
            <v>3332.5</v>
          </cell>
          <cell r="W1043">
            <v>745</v>
          </cell>
          <cell r="X1043">
            <v>3203.5</v>
          </cell>
          <cell r="Y1043"/>
          <cell r="Z1043">
            <v>0</v>
          </cell>
          <cell r="AA1043">
            <v>390</v>
          </cell>
          <cell r="AB1043">
            <v>1677</v>
          </cell>
          <cell r="AC1043">
            <v>390</v>
          </cell>
          <cell r="AD1043">
            <v>1677</v>
          </cell>
          <cell r="AE1043"/>
          <cell r="AF1043"/>
          <cell r="AG1043"/>
          <cell r="AH1043"/>
          <cell r="AI1043"/>
          <cell r="AJ1043">
            <v>0</v>
          </cell>
          <cell r="AK1043" t="str">
            <v>3P</v>
          </cell>
          <cell r="AL1043">
            <v>275</v>
          </cell>
          <cell r="AM1043">
            <v>76</v>
          </cell>
          <cell r="AN1043" t="str">
            <v>01 Existing Dealer</v>
          </cell>
          <cell r="AO1043" t="str">
            <v>Southeast</v>
          </cell>
          <cell r="AP1043" t="str">
            <v>South</v>
          </cell>
          <cell r="AQ1043"/>
          <cell r="AR1043">
            <v>13650</v>
          </cell>
          <cell r="AS1043">
            <v>7457</v>
          </cell>
        </row>
        <row r="1044">
          <cell r="A1044">
            <v>12510</v>
          </cell>
          <cell r="B1044" t="str">
            <v>TRUCK'N TRAILERS USA</v>
          </cell>
          <cell r="C1044" t="str">
            <v>M10429</v>
          </cell>
          <cell r="D1044" t="str">
            <v>NET 5, BT+</v>
          </cell>
          <cell r="E1044" t="str">
            <v>S2</v>
          </cell>
          <cell r="F1044" t="str">
            <v>Copies</v>
          </cell>
          <cell r="G1044" t="str">
            <v>OH</v>
          </cell>
          <cell r="H1044">
            <v>9</v>
          </cell>
          <cell r="I1044">
            <v>0.66500000000000004</v>
          </cell>
          <cell r="J1044" t="str">
            <v>Orphaned Acct</v>
          </cell>
          <cell r="K1044" t="str">
            <v>CHATANOOGA</v>
          </cell>
          <cell r="L1044" t="str">
            <v>TN</v>
          </cell>
          <cell r="M1044" t="str">
            <v>800-577-8858</v>
          </cell>
          <cell r="N1044"/>
          <cell r="O1044">
            <v>679</v>
          </cell>
          <cell r="P1044">
            <v>2919.7</v>
          </cell>
          <cell r="Q1044">
            <v>270</v>
          </cell>
          <cell r="R1044">
            <v>1161</v>
          </cell>
          <cell r="S1044"/>
          <cell r="T1044">
            <v>0</v>
          </cell>
          <cell r="U1044">
            <v>775</v>
          </cell>
          <cell r="V1044">
            <v>3332.5</v>
          </cell>
          <cell r="W1044">
            <v>745</v>
          </cell>
          <cell r="X1044">
            <v>3203.5</v>
          </cell>
          <cell r="Y1044"/>
          <cell r="Z1044">
            <v>0</v>
          </cell>
          <cell r="AA1044"/>
          <cell r="AB1044">
            <v>0</v>
          </cell>
          <cell r="AC1044"/>
          <cell r="AD1044">
            <v>0</v>
          </cell>
          <cell r="AE1044"/>
          <cell r="AF1044"/>
          <cell r="AG1044"/>
          <cell r="AH1044"/>
          <cell r="AI1044"/>
          <cell r="AJ1044">
            <v>0</v>
          </cell>
          <cell r="AK1044" t="str">
            <v>3P</v>
          </cell>
          <cell r="AL1044">
            <v>213</v>
          </cell>
          <cell r="AM1044">
            <v>76</v>
          </cell>
          <cell r="AN1044" t="str">
            <v>01 Existing Dealer</v>
          </cell>
          <cell r="AO1044" t="str">
            <v>Southeast</v>
          </cell>
          <cell r="AP1044" t="str">
            <v>South</v>
          </cell>
          <cell r="AQ1044"/>
          <cell r="AR1044">
            <v>0</v>
          </cell>
          <cell r="AS1044">
            <v>0</v>
          </cell>
        </row>
        <row r="1045">
          <cell r="A1045">
            <v>13673</v>
          </cell>
          <cell r="B1045" t="str">
            <v>UNION CITY FORKLIFT</v>
          </cell>
          <cell r="C1045" t="str">
            <v>M11337</v>
          </cell>
          <cell r="D1045" t="str">
            <v>NET 5, BT+</v>
          </cell>
          <cell r="E1045" t="str">
            <v>CF</v>
          </cell>
          <cell r="F1045" t="str">
            <v>Yes</v>
          </cell>
          <cell r="G1045" t="str">
            <v>OH</v>
          </cell>
          <cell r="H1045">
            <v>7</v>
          </cell>
          <cell r="I1045">
            <v>0.66500000000000004</v>
          </cell>
          <cell r="J1045" t="str">
            <v>Lane Davis</v>
          </cell>
          <cell r="K1045" t="str">
            <v>UNION CITY</v>
          </cell>
          <cell r="L1045" t="str">
            <v>TN</v>
          </cell>
          <cell r="M1045" t="str">
            <v>800-577-8858</v>
          </cell>
          <cell r="N1045"/>
          <cell r="O1045">
            <v>469</v>
          </cell>
          <cell r="P1045">
            <v>2016.6999999999998</v>
          </cell>
          <cell r="Q1045">
            <v>575</v>
          </cell>
          <cell r="R1045">
            <v>2472.5</v>
          </cell>
          <cell r="S1045"/>
          <cell r="T1045">
            <v>0</v>
          </cell>
          <cell r="U1045">
            <v>565</v>
          </cell>
          <cell r="V1045">
            <v>2429.5</v>
          </cell>
          <cell r="W1045">
            <v>549</v>
          </cell>
          <cell r="X1045">
            <v>2360.6999999999998</v>
          </cell>
          <cell r="Y1045">
            <v>392</v>
          </cell>
          <cell r="Z1045">
            <v>1685.6</v>
          </cell>
          <cell r="AA1045">
            <v>392</v>
          </cell>
          <cell r="AB1045">
            <v>1685.6</v>
          </cell>
          <cell r="AC1045">
            <v>392</v>
          </cell>
          <cell r="AD1045">
            <v>1685.6</v>
          </cell>
          <cell r="AE1045"/>
          <cell r="AF1045"/>
          <cell r="AG1045"/>
          <cell r="AH1045"/>
          <cell r="AI1045"/>
          <cell r="AJ1045">
            <v>0</v>
          </cell>
          <cell r="AK1045" t="str">
            <v>3P</v>
          </cell>
          <cell r="AL1045">
            <v>275</v>
          </cell>
          <cell r="AM1045"/>
          <cell r="AN1045" t="str">
            <v>01 Existing Dealer</v>
          </cell>
          <cell r="AO1045" t="str">
            <v>Southeast</v>
          </cell>
          <cell r="AP1045" t="str">
            <v>South</v>
          </cell>
          <cell r="AQ1045"/>
          <cell r="AR1045">
            <v>0</v>
          </cell>
          <cell r="AS1045">
            <v>0</v>
          </cell>
        </row>
        <row r="1046">
          <cell r="A1046" t="str">
            <v>13673A</v>
          </cell>
          <cell r="B1046" t="str">
            <v>UNION CITY FORKLIFT</v>
          </cell>
          <cell r="C1046" t="str">
            <v>M11337</v>
          </cell>
          <cell r="D1046" t="str">
            <v>NET 5, BT+</v>
          </cell>
          <cell r="E1046" t="str">
            <v>CF</v>
          </cell>
          <cell r="F1046" t="str">
            <v>Yes</v>
          </cell>
          <cell r="G1046" t="str">
            <v>OH</v>
          </cell>
          <cell r="H1046">
            <v>7</v>
          </cell>
          <cell r="I1046">
            <v>0.66500000000000004</v>
          </cell>
          <cell r="J1046" t="str">
            <v>Lane Davis</v>
          </cell>
          <cell r="K1046" t="str">
            <v>MEMPHIS</v>
          </cell>
          <cell r="L1046" t="str">
            <v>TN</v>
          </cell>
          <cell r="M1046" t="str">
            <v>800-577-8858</v>
          </cell>
          <cell r="N1046"/>
          <cell r="O1046">
            <v>342</v>
          </cell>
          <cell r="P1046">
            <v>1470.6</v>
          </cell>
          <cell r="Q1046">
            <v>525</v>
          </cell>
          <cell r="R1046">
            <v>2257.5</v>
          </cell>
          <cell r="S1046"/>
          <cell r="T1046">
            <v>0</v>
          </cell>
          <cell r="U1046">
            <v>439</v>
          </cell>
          <cell r="V1046">
            <v>1887.6999999999998</v>
          </cell>
          <cell r="W1046">
            <v>422</v>
          </cell>
          <cell r="X1046">
            <v>1814.6</v>
          </cell>
          <cell r="Y1046">
            <v>392</v>
          </cell>
          <cell r="Z1046">
            <v>1685.6</v>
          </cell>
          <cell r="AA1046">
            <v>392</v>
          </cell>
          <cell r="AB1046">
            <v>1685.6</v>
          </cell>
          <cell r="AC1046">
            <v>392</v>
          </cell>
          <cell r="AD1046">
            <v>1685.6</v>
          </cell>
          <cell r="AE1046"/>
          <cell r="AF1046"/>
          <cell r="AG1046"/>
          <cell r="AH1046"/>
          <cell r="AI1046"/>
          <cell r="AJ1046">
            <v>0</v>
          </cell>
          <cell r="AK1046" t="str">
            <v>3P</v>
          </cell>
          <cell r="AL1046">
            <v>275</v>
          </cell>
          <cell r="AM1046"/>
          <cell r="AN1046" t="str">
            <v>01 Existing Dealer</v>
          </cell>
          <cell r="AO1046" t="str">
            <v>Southeast</v>
          </cell>
          <cell r="AP1046" t="str">
            <v>South</v>
          </cell>
          <cell r="AQ1046"/>
          <cell r="AR1046">
            <v>0</v>
          </cell>
          <cell r="AS1046">
            <v>0</v>
          </cell>
        </row>
        <row r="1047">
          <cell r="A1047">
            <v>13407</v>
          </cell>
          <cell r="B1047" t="str">
            <v>UNION CITY FORKLIFT</v>
          </cell>
          <cell r="C1047" t="str">
            <v>M11337</v>
          </cell>
          <cell r="D1047" t="str">
            <v>Return Mail, no pink card</v>
          </cell>
          <cell r="E1047" t="str">
            <v>FP - Northpoint</v>
          </cell>
          <cell r="F1047" t="str">
            <v>Yes</v>
          </cell>
          <cell r="G1047" t="str">
            <v>OH</v>
          </cell>
          <cell r="H1047">
            <v>7</v>
          </cell>
          <cell r="I1047">
            <v>0.66500000000000004</v>
          </cell>
          <cell r="J1047" t="str">
            <v>Lane Davis</v>
          </cell>
          <cell r="K1047" t="str">
            <v>UNION CITY</v>
          </cell>
          <cell r="L1047" t="str">
            <v>TN</v>
          </cell>
          <cell r="M1047" t="str">
            <v>800-577-8858</v>
          </cell>
          <cell r="N1047"/>
          <cell r="O1047">
            <v>469</v>
          </cell>
          <cell r="P1047">
            <v>2016.6999999999998</v>
          </cell>
          <cell r="Q1047">
            <v>575</v>
          </cell>
          <cell r="R1047">
            <v>2472.5</v>
          </cell>
          <cell r="S1047"/>
          <cell r="T1047">
            <v>0</v>
          </cell>
          <cell r="U1047">
            <v>565</v>
          </cell>
          <cell r="V1047">
            <v>2429.5</v>
          </cell>
          <cell r="W1047">
            <v>549</v>
          </cell>
          <cell r="X1047">
            <v>2360.6999999999998</v>
          </cell>
          <cell r="Y1047">
            <v>392</v>
          </cell>
          <cell r="Z1047">
            <v>1685.6</v>
          </cell>
          <cell r="AA1047">
            <v>392</v>
          </cell>
          <cell r="AB1047">
            <v>1685.6</v>
          </cell>
          <cell r="AC1047">
            <v>392</v>
          </cell>
          <cell r="AD1047">
            <v>1685.6</v>
          </cell>
          <cell r="AE1047"/>
          <cell r="AF1047"/>
          <cell r="AG1047"/>
          <cell r="AH1047"/>
          <cell r="AI1047"/>
          <cell r="AJ1047">
            <v>0</v>
          </cell>
          <cell r="AK1047" t="str">
            <v>3P</v>
          </cell>
          <cell r="AL1047">
            <v>275</v>
          </cell>
          <cell r="AM1047"/>
          <cell r="AN1047" t="str">
            <v>01 Existing Dealer</v>
          </cell>
          <cell r="AO1047" t="str">
            <v>Southeast</v>
          </cell>
          <cell r="AP1047" t="str">
            <v>South</v>
          </cell>
          <cell r="AQ1047"/>
          <cell r="AR1047">
            <v>0</v>
          </cell>
          <cell r="AS1047">
            <v>0</v>
          </cell>
        </row>
        <row r="1048">
          <cell r="A1048" t="str">
            <v>13407A</v>
          </cell>
          <cell r="B1048" t="str">
            <v>UNION CITY FORKLIFT</v>
          </cell>
          <cell r="C1048" t="str">
            <v>M11337</v>
          </cell>
          <cell r="D1048" t="str">
            <v>Return Mail, no pink card</v>
          </cell>
          <cell r="E1048" t="str">
            <v>FP - Northpoint</v>
          </cell>
          <cell r="F1048" t="str">
            <v>Yes</v>
          </cell>
          <cell r="G1048" t="str">
            <v>OH</v>
          </cell>
          <cell r="H1048">
            <v>7</v>
          </cell>
          <cell r="I1048">
            <v>0.66500000000000004</v>
          </cell>
          <cell r="J1048" t="str">
            <v>Lane Davis</v>
          </cell>
          <cell r="K1048" t="str">
            <v>MEMPHIS</v>
          </cell>
          <cell r="L1048" t="str">
            <v>TN</v>
          </cell>
          <cell r="M1048" t="str">
            <v>800-577-8858</v>
          </cell>
          <cell r="N1048"/>
          <cell r="O1048">
            <v>342</v>
          </cell>
          <cell r="P1048">
            <v>1470.6</v>
          </cell>
          <cell r="Q1048">
            <v>525</v>
          </cell>
          <cell r="R1048">
            <v>2257.5</v>
          </cell>
          <cell r="S1048"/>
          <cell r="T1048">
            <v>0</v>
          </cell>
          <cell r="U1048">
            <v>439</v>
          </cell>
          <cell r="V1048">
            <v>1887.6999999999998</v>
          </cell>
          <cell r="W1048">
            <v>422</v>
          </cell>
          <cell r="X1048">
            <v>1814.6</v>
          </cell>
          <cell r="Y1048">
            <v>392</v>
          </cell>
          <cell r="Z1048">
            <v>1685.6</v>
          </cell>
          <cell r="AA1048">
            <v>392</v>
          </cell>
          <cell r="AB1048">
            <v>1685.6</v>
          </cell>
          <cell r="AC1048">
            <v>392</v>
          </cell>
          <cell r="AD1048">
            <v>1685.6</v>
          </cell>
          <cell r="AE1048"/>
          <cell r="AF1048"/>
          <cell r="AG1048"/>
          <cell r="AH1048"/>
          <cell r="AI1048"/>
          <cell r="AJ1048">
            <v>0</v>
          </cell>
          <cell r="AK1048" t="str">
            <v>3P</v>
          </cell>
          <cell r="AL1048">
            <v>275</v>
          </cell>
          <cell r="AM1048"/>
          <cell r="AN1048" t="str">
            <v>01 Existing Dealer</v>
          </cell>
          <cell r="AO1048" t="str">
            <v>Southeast</v>
          </cell>
          <cell r="AP1048" t="str">
            <v>South</v>
          </cell>
          <cell r="AQ1048"/>
          <cell r="AR1048">
            <v>0</v>
          </cell>
          <cell r="AS1048">
            <v>0</v>
          </cell>
        </row>
        <row r="1049">
          <cell r="A1049" t="str">
            <v>11645K</v>
          </cell>
          <cell r="B1049" t="str">
            <v>UNITED RENTALS</v>
          </cell>
          <cell r="C1049" t="str">
            <v>M08848</v>
          </cell>
          <cell r="D1049" t="str">
            <v>Net 60, no pink card</v>
          </cell>
          <cell r="E1049">
            <v>60</v>
          </cell>
          <cell r="F1049" t="str">
            <v>No</v>
          </cell>
          <cell r="G1049" t="str">
            <v>OH</v>
          </cell>
          <cell r="H1049">
            <v>5</v>
          </cell>
          <cell r="I1049">
            <v>0.66500000000000004</v>
          </cell>
          <cell r="J1049" t="str">
            <v>JL Smith</v>
          </cell>
          <cell r="K1049" t="str">
            <v>CLEVELAND</v>
          </cell>
          <cell r="L1049" t="str">
            <v>TN</v>
          </cell>
          <cell r="M1049" t="str">
            <v>800-577-8858</v>
          </cell>
          <cell r="N1049"/>
          <cell r="O1049" t="str"/>
          <cell r="P1049" t="str"/>
          <cell r="Q1049" t="str"/>
          <cell r="R1049" t="str"/>
          <cell r="S1049" t="str"/>
          <cell r="T1049" t="str"/>
          <cell r="U1049" t="str"/>
          <cell r="V1049" t="str"/>
          <cell r="W1049" t="str"/>
          <cell r="X1049" t="str"/>
          <cell r="Y1049"/>
          <cell r="Z1049">
            <v>0</v>
          </cell>
          <cell r="AA1049"/>
          <cell r="AB1049">
            <v>0</v>
          </cell>
          <cell r="AC1049"/>
          <cell r="AD1049">
            <v>0</v>
          </cell>
          <cell r="AE1049" t="str"/>
          <cell r="AF1049"/>
          <cell r="AG1049" t="str"/>
          <cell r="AH1049" t="str"/>
          <cell r="AI1049" t="str"/>
          <cell r="AJ1049">
            <v>0</v>
          </cell>
          <cell r="AK1049" t="str">
            <v>3P</v>
          </cell>
          <cell r="AL1049">
            <v>151</v>
          </cell>
          <cell r="AM1049"/>
          <cell r="AN1049" t="str">
            <v>11 National</v>
          </cell>
          <cell r="AO1049" t="str">
            <v>Southeast</v>
          </cell>
          <cell r="AP1049" t="str">
            <v>South</v>
          </cell>
          <cell r="AQ1049"/>
          <cell r="AR1049">
            <v>0</v>
          </cell>
          <cell r="AS1049">
            <v>0</v>
          </cell>
        </row>
        <row r="1050">
          <cell r="A1050">
            <v>13003</v>
          </cell>
          <cell r="B1050" t="str">
            <v>WATER WHEEL</v>
          </cell>
          <cell r="C1050" t="str">
            <v>M10445</v>
          </cell>
          <cell r="D1050" t="str">
            <v>NET 5, BT+</v>
          </cell>
          <cell r="E1050" t="str">
            <v>FP - Wells Fargo</v>
          </cell>
          <cell r="F1050" t="str">
            <v>Yes</v>
          </cell>
          <cell r="G1050" t="str">
            <v>OH</v>
          </cell>
          <cell r="H1050">
            <v>7</v>
          </cell>
          <cell r="I1050">
            <v>0.66500000000000004</v>
          </cell>
          <cell r="J1050" t="str">
            <v>House</v>
          </cell>
          <cell r="K1050" t="str">
            <v>NEW TAZWELL</v>
          </cell>
          <cell r="L1050" t="str">
            <v>TN</v>
          </cell>
          <cell r="M1050" t="str">
            <v>800-577-8858</v>
          </cell>
          <cell r="N1050"/>
          <cell r="O1050"/>
          <cell r="P1050">
            <v>0</v>
          </cell>
          <cell r="Q1050"/>
          <cell r="R1050">
            <v>0</v>
          </cell>
          <cell r="S1050"/>
          <cell r="T1050">
            <v>0</v>
          </cell>
          <cell r="U1050"/>
          <cell r="V1050">
            <v>0</v>
          </cell>
          <cell r="W1050"/>
          <cell r="X1050">
            <v>0</v>
          </cell>
          <cell r="Y1050"/>
          <cell r="Z1050">
            <v>0</v>
          </cell>
          <cell r="AA1050"/>
          <cell r="AB1050">
            <v>0</v>
          </cell>
          <cell r="AC1050"/>
          <cell r="AD1050">
            <v>0</v>
          </cell>
          <cell r="AE1050"/>
          <cell r="AF1050"/>
          <cell r="AG1050"/>
          <cell r="AH1050"/>
          <cell r="AI1050"/>
          <cell r="AJ1050">
            <v>0</v>
          </cell>
          <cell r="AK1050" t="str">
            <v>3P</v>
          </cell>
          <cell r="AL1050">
            <v>400</v>
          </cell>
          <cell r="AM1050"/>
          <cell r="AN1050" t="str">
            <v>08 Inactive Dealer</v>
          </cell>
          <cell r="AO1050" t="str">
            <v>Southeast</v>
          </cell>
          <cell r="AP1050" t="str">
            <v>South</v>
          </cell>
          <cell r="AQ1050"/>
          <cell r="AR1050">
            <v>0</v>
          </cell>
          <cell r="AS1050">
            <v>0</v>
          </cell>
        </row>
        <row r="1051">
          <cell r="A1051">
            <v>10009</v>
          </cell>
          <cell r="B1051" t="str">
            <v>ABILENE TRAILER SALES</v>
          </cell>
          <cell r="C1051" t="str">
            <v>M10008</v>
          </cell>
          <cell r="D1051" t="str">
            <v>Return Mail, no pink card</v>
          </cell>
          <cell r="E1051" t="str">
            <v>RM</v>
          </cell>
          <cell r="F1051" t="str">
            <v>Yes</v>
          </cell>
          <cell r="G1051" t="str">
            <v>TX</v>
          </cell>
          <cell r="H1051">
            <v>7</v>
          </cell>
          <cell r="I1051">
            <v>0.66500000000000004</v>
          </cell>
          <cell r="J1051" t="str">
            <v>Orphaned Acct</v>
          </cell>
          <cell r="K1051" t="str">
            <v>ABILENE</v>
          </cell>
          <cell r="L1051" t="str">
            <v>TX</v>
          </cell>
          <cell r="M1051" t="str">
            <v>800-577-8858</v>
          </cell>
          <cell r="N1051"/>
          <cell r="O1051">
            <v>312</v>
          </cell>
          <cell r="P1051">
            <v>1341.6</v>
          </cell>
          <cell r="Q1051"/>
          <cell r="R1051">
            <v>0</v>
          </cell>
          <cell r="S1051"/>
          <cell r="T1051">
            <v>0</v>
          </cell>
          <cell r="U1051">
            <v>263</v>
          </cell>
          <cell r="V1051">
            <v>1130.8999999999999</v>
          </cell>
          <cell r="W1051">
            <v>238</v>
          </cell>
          <cell r="X1051">
            <v>1023.4</v>
          </cell>
          <cell r="Y1051"/>
          <cell r="Z1051">
            <v>0</v>
          </cell>
          <cell r="AA1051"/>
          <cell r="AB1051">
            <v>0</v>
          </cell>
          <cell r="AC1051"/>
          <cell r="AD1051">
            <v>0</v>
          </cell>
          <cell r="AE1051"/>
          <cell r="AF1051"/>
          <cell r="AG1051"/>
          <cell r="AH1051"/>
          <cell r="AI1051"/>
          <cell r="AJ1051">
            <v>0</v>
          </cell>
          <cell r="AK1051" t="str">
            <v>3P</v>
          </cell>
          <cell r="AL1051">
            <v>213</v>
          </cell>
          <cell r="AM1051">
            <v>3</v>
          </cell>
          <cell r="AN1051" t="str">
            <v>08 Inactive Dealer</v>
          </cell>
          <cell r="AO1051" t="str">
            <v>South Central</v>
          </cell>
          <cell r="AP1051" t="str">
            <v>Central</v>
          </cell>
          <cell r="AQ1051"/>
          <cell r="AR1051">
            <v>0</v>
          </cell>
          <cell r="AS1051">
            <v>0</v>
          </cell>
        </row>
        <row r="1052">
          <cell r="A1052">
            <v>10010</v>
          </cell>
          <cell r="B1052" t="str">
            <v>ABILENE TRAILER SALES</v>
          </cell>
          <cell r="C1052" t="str">
            <v>M10008</v>
          </cell>
          <cell r="D1052" t="str">
            <v>Return Mail, no pink card</v>
          </cell>
          <cell r="E1052" t="str">
            <v>C6</v>
          </cell>
          <cell r="F1052" t="str">
            <v>Yes</v>
          </cell>
          <cell r="G1052" t="str">
            <v>TX</v>
          </cell>
          <cell r="H1052">
            <v>9</v>
          </cell>
          <cell r="I1052">
            <v>0.68200000000000005</v>
          </cell>
          <cell r="J1052" t="str">
            <v>Orphaned Acct</v>
          </cell>
          <cell r="K1052" t="str">
            <v>ABILENE</v>
          </cell>
          <cell r="L1052" t="str">
            <v>TX</v>
          </cell>
          <cell r="M1052" t="str">
            <v>800-577-8858</v>
          </cell>
          <cell r="N1052"/>
          <cell r="O1052">
            <v>312</v>
          </cell>
          <cell r="P1052">
            <v>1341.6</v>
          </cell>
          <cell r="Q1052"/>
          <cell r="R1052">
            <v>0</v>
          </cell>
          <cell r="S1052"/>
          <cell r="T1052">
            <v>0</v>
          </cell>
          <cell r="U1052">
            <v>263</v>
          </cell>
          <cell r="V1052">
            <v>1130.8999999999999</v>
          </cell>
          <cell r="W1052">
            <v>238</v>
          </cell>
          <cell r="X1052">
            <v>1023.4</v>
          </cell>
          <cell r="Y1052"/>
          <cell r="Z1052">
            <v>0</v>
          </cell>
          <cell r="AA1052"/>
          <cell r="AB1052">
            <v>0</v>
          </cell>
          <cell r="AC1052"/>
          <cell r="AD1052">
            <v>0</v>
          </cell>
          <cell r="AE1052"/>
          <cell r="AF1052"/>
          <cell r="AG1052"/>
          <cell r="AH1052"/>
          <cell r="AI1052"/>
          <cell r="AJ1052">
            <v>0</v>
          </cell>
          <cell r="AK1052" t="str">
            <v>3P</v>
          </cell>
          <cell r="AL1052">
            <v>213</v>
          </cell>
          <cell r="AM1052">
            <v>3</v>
          </cell>
          <cell r="AN1052" t="str">
            <v>08 Inactive Dealer</v>
          </cell>
          <cell r="AO1052" t="str">
            <v>South Central</v>
          </cell>
          <cell r="AP1052" t="str">
            <v>Central</v>
          </cell>
          <cell r="AQ1052"/>
          <cell r="AR1052">
            <v>0</v>
          </cell>
          <cell r="AS1052">
            <v>0</v>
          </cell>
        </row>
        <row r="1053">
          <cell r="A1053" t="str">
            <v>12619J</v>
          </cell>
          <cell r="B1053" t="str">
            <v>AG PRO</v>
          </cell>
          <cell r="C1053" t="str">
            <v>M10016</v>
          </cell>
          <cell r="D1053" t="str">
            <v>Net 60, no pink card</v>
          </cell>
          <cell r="E1053">
            <v>60</v>
          </cell>
          <cell r="F1053" t="str">
            <v>Yes</v>
          </cell>
          <cell r="G1053" t="str">
            <v>TX</v>
          </cell>
          <cell r="H1053">
            <v>5</v>
          </cell>
          <cell r="I1053">
            <v>0.66500000000000004</v>
          </cell>
          <cell r="J1053" t="str">
            <v>Dakota Nation</v>
          </cell>
          <cell r="K1053" t="str">
            <v>BOERNE</v>
          </cell>
          <cell r="L1053" t="str">
            <v>TX</v>
          </cell>
          <cell r="M1053" t="str">
            <v>800-577-8858</v>
          </cell>
          <cell r="N1053"/>
          <cell r="O1053">
            <v>410</v>
          </cell>
          <cell r="P1053">
            <v>1763</v>
          </cell>
          <cell r="Q1053"/>
          <cell r="R1053">
            <v>0</v>
          </cell>
          <cell r="S1053"/>
          <cell r="T1053">
            <v>0</v>
          </cell>
          <cell r="U1053">
            <v>399</v>
          </cell>
          <cell r="V1053">
            <v>1715.6999999999998</v>
          </cell>
          <cell r="W1053">
            <v>335</v>
          </cell>
          <cell r="X1053">
            <v>1440.5</v>
          </cell>
          <cell r="Y1053"/>
          <cell r="Z1053">
            <v>0</v>
          </cell>
          <cell r="AA1053"/>
          <cell r="AB1053">
            <v>0</v>
          </cell>
          <cell r="AC1053"/>
          <cell r="AD1053">
            <v>0</v>
          </cell>
          <cell r="AE1053"/>
          <cell r="AF1053"/>
          <cell r="AG1053"/>
          <cell r="AH1053"/>
          <cell r="AI1053"/>
          <cell r="AJ1053">
            <v>0</v>
          </cell>
          <cell r="AK1053" t="str">
            <v>3P</v>
          </cell>
          <cell r="AL1053">
            <v>223</v>
          </cell>
          <cell r="AM1053">
            <v>401</v>
          </cell>
          <cell r="AN1053" t="str">
            <v>01 Existing Dealer</v>
          </cell>
          <cell r="AO1053" t="str">
            <v>South Central</v>
          </cell>
          <cell r="AP1053" t="str">
            <v>Central</v>
          </cell>
          <cell r="AQ1053"/>
          <cell r="AR1053">
            <v>0</v>
          </cell>
          <cell r="AS1053">
            <v>0</v>
          </cell>
        </row>
        <row r="1054">
          <cell r="A1054" t="str">
            <v>12619R</v>
          </cell>
          <cell r="B1054" t="str">
            <v>AG PRO</v>
          </cell>
          <cell r="C1054" t="str">
            <v>M10016</v>
          </cell>
          <cell r="D1054" t="str">
            <v>Net 60, no pink card</v>
          </cell>
          <cell r="E1054">
            <v>60</v>
          </cell>
          <cell r="F1054" t="str">
            <v>Yes</v>
          </cell>
          <cell r="G1054" t="str">
            <v>TX</v>
          </cell>
          <cell r="H1054">
            <v>5</v>
          </cell>
          <cell r="I1054">
            <v>0.66500000000000004</v>
          </cell>
          <cell r="J1054" t="str">
            <v>Dakota Nation</v>
          </cell>
          <cell r="K1054" t="str">
            <v>KENEDY</v>
          </cell>
          <cell r="L1054" t="str">
            <v>TX</v>
          </cell>
          <cell r="M1054" t="str">
            <v>800-577-8858</v>
          </cell>
          <cell r="N1054"/>
          <cell r="O1054">
            <v>418</v>
          </cell>
          <cell r="P1054">
            <v>1797.3999999999999</v>
          </cell>
          <cell r="Q1054"/>
          <cell r="R1054">
            <v>0</v>
          </cell>
          <cell r="S1054"/>
          <cell r="T1054">
            <v>0</v>
          </cell>
          <cell r="U1054"/>
          <cell r="V1054">
            <v>0</v>
          </cell>
          <cell r="W1054"/>
          <cell r="X1054">
            <v>0</v>
          </cell>
          <cell r="Y1054"/>
          <cell r="Z1054">
            <v>0</v>
          </cell>
          <cell r="AA1054"/>
          <cell r="AB1054">
            <v>0</v>
          </cell>
          <cell r="AC1054"/>
          <cell r="AD1054">
            <v>0</v>
          </cell>
          <cell r="AE1054"/>
          <cell r="AF1054"/>
          <cell r="AG1054"/>
          <cell r="AH1054"/>
          <cell r="AI1054"/>
          <cell r="AJ1054">
            <v>0</v>
          </cell>
          <cell r="AK1054" t="str">
            <v>3P</v>
          </cell>
          <cell r="AL1054">
            <v>223</v>
          </cell>
          <cell r="AM1054">
            <v>401</v>
          </cell>
          <cell r="AN1054" t="str">
            <v>01 Existing Dealer</v>
          </cell>
          <cell r="AO1054" t="str">
            <v>South Central</v>
          </cell>
          <cell r="AP1054" t="str">
            <v>Central</v>
          </cell>
          <cell r="AQ1054"/>
          <cell r="AR1054">
            <v>0</v>
          </cell>
          <cell r="AS1054">
            <v>0</v>
          </cell>
        </row>
        <row r="1055">
          <cell r="A1055">
            <v>13083</v>
          </cell>
          <cell r="B1055" t="str">
            <v>ALL STAR OUTDOORS</v>
          </cell>
          <cell r="C1055" t="str">
            <v>M10973</v>
          </cell>
          <cell r="D1055" t="str">
            <v>NET 5, BT+</v>
          </cell>
          <cell r="E1055" t="str">
            <v>CO</v>
          </cell>
          <cell r="F1055" t="str">
            <v>Yes</v>
          </cell>
          <cell r="G1055" t="str">
            <v>TX</v>
          </cell>
          <cell r="H1055">
            <v>7</v>
          </cell>
          <cell r="I1055">
            <v>0.66500000000000004</v>
          </cell>
          <cell r="J1055" t="str">
            <v>Orphaned Acct</v>
          </cell>
          <cell r="K1055" t="str">
            <v>PALESTINE</v>
          </cell>
          <cell r="L1055" t="str">
            <v>TX</v>
          </cell>
          <cell r="M1055" t="str">
            <v>800-577-8858</v>
          </cell>
          <cell r="N1055"/>
          <cell r="O1055">
            <v>124</v>
          </cell>
          <cell r="P1055">
            <v>533.19999999999993</v>
          </cell>
          <cell r="Q1055"/>
          <cell r="R1055">
            <v>0</v>
          </cell>
          <cell r="S1055"/>
          <cell r="T1055">
            <v>0</v>
          </cell>
          <cell r="U1055">
            <v>219</v>
          </cell>
          <cell r="V1055">
            <v>941.69999999999993</v>
          </cell>
          <cell r="W1055">
            <v>73</v>
          </cell>
          <cell r="X1055">
            <v>313.89999999999998</v>
          </cell>
          <cell r="Y1055"/>
          <cell r="Z1055">
            <v>0</v>
          </cell>
          <cell r="AA1055"/>
          <cell r="AB1055">
            <v>0</v>
          </cell>
          <cell r="AC1055"/>
          <cell r="AD1055">
            <v>0</v>
          </cell>
          <cell r="AE1055"/>
          <cell r="AF1055"/>
          <cell r="AG1055"/>
          <cell r="AH1055"/>
          <cell r="AI1055"/>
          <cell r="AJ1055">
            <v>0</v>
          </cell>
          <cell r="AK1055" t="str">
            <v>3P</v>
          </cell>
          <cell r="AL1055">
            <v>213</v>
          </cell>
          <cell r="AM1055">
            <v>452</v>
          </cell>
          <cell r="AN1055" t="str">
            <v>08 Inactive Dealer</v>
          </cell>
          <cell r="AO1055" t="str">
            <v>South Central</v>
          </cell>
          <cell r="AP1055" t="str">
            <v>Central</v>
          </cell>
          <cell r="AQ1055"/>
          <cell r="AR1055">
            <v>0</v>
          </cell>
          <cell r="AS1055">
            <v>0</v>
          </cell>
        </row>
        <row r="1056">
          <cell r="A1056">
            <v>11682</v>
          </cell>
          <cell r="B1056" t="str">
            <v>ATHENS TRACTOR &amp; EQUIPMENT, LLC.</v>
          </cell>
          <cell r="C1056" t="str">
            <v>M10032</v>
          </cell>
          <cell r="D1056" t="str">
            <v>Net 30, no pink card</v>
          </cell>
          <cell r="E1056">
            <v>30</v>
          </cell>
          <cell r="F1056" t="str">
            <v>Yes</v>
          </cell>
          <cell r="G1056" t="str">
            <v>TX</v>
          </cell>
          <cell r="H1056">
            <v>7</v>
          </cell>
          <cell r="I1056">
            <v>0.66500000000000004</v>
          </cell>
          <cell r="J1056" t="str">
            <v>JL Smith</v>
          </cell>
          <cell r="K1056" t="str">
            <v>ATHENS</v>
          </cell>
          <cell r="L1056" t="str">
            <v>TX</v>
          </cell>
          <cell r="M1056" t="str">
            <v>800-577-8858</v>
          </cell>
          <cell r="N1056"/>
          <cell r="O1056">
            <v>110</v>
          </cell>
          <cell r="P1056">
            <v>473</v>
          </cell>
          <cell r="Q1056"/>
          <cell r="R1056">
            <v>0</v>
          </cell>
          <cell r="S1056"/>
          <cell r="T1056">
            <v>0</v>
          </cell>
          <cell r="U1056">
            <v>190</v>
          </cell>
          <cell r="V1056">
            <v>817</v>
          </cell>
          <cell r="W1056">
            <v>45</v>
          </cell>
          <cell r="X1056">
            <v>193.5</v>
          </cell>
          <cell r="Y1056"/>
          <cell r="Z1056">
            <v>0</v>
          </cell>
          <cell r="AA1056"/>
          <cell r="AB1056">
            <v>0</v>
          </cell>
          <cell r="AC1056"/>
          <cell r="AD1056">
            <v>0</v>
          </cell>
          <cell r="AE1056"/>
          <cell r="AF1056"/>
          <cell r="AG1056"/>
          <cell r="AH1056"/>
          <cell r="AI1056"/>
          <cell r="AJ1056">
            <v>0</v>
          </cell>
          <cell r="AK1056" t="str">
            <v>3P</v>
          </cell>
          <cell r="AL1056">
            <v>151</v>
          </cell>
          <cell r="AM1056">
            <v>101</v>
          </cell>
          <cell r="AN1056" t="str">
            <v>01 Existing Dealer</v>
          </cell>
          <cell r="AO1056" t="str">
            <v>South Central</v>
          </cell>
          <cell r="AP1056" t="str">
            <v>Central</v>
          </cell>
          <cell r="AQ1056"/>
          <cell r="AR1056">
            <v>0</v>
          </cell>
          <cell r="AS1056">
            <v>0</v>
          </cell>
        </row>
        <row r="1057">
          <cell r="A1057">
            <v>10050</v>
          </cell>
          <cell r="B1057" t="str">
            <v>BACK 40 SUPPLY</v>
          </cell>
          <cell r="C1057" t="str">
            <v>M10043</v>
          </cell>
          <cell r="D1057" t="str">
            <v>NET 5, BT+</v>
          </cell>
          <cell r="E1057" t="str">
            <v>FP</v>
          </cell>
          <cell r="F1057" t="str">
            <v>Yes</v>
          </cell>
          <cell r="G1057" t="str">
            <v>TX</v>
          </cell>
          <cell r="H1057">
            <v>8</v>
          </cell>
          <cell r="I1057">
            <v>0.66500000000000004</v>
          </cell>
          <cell r="J1057" t="str">
            <v>Orphaned Acct</v>
          </cell>
          <cell r="K1057" t="str">
            <v>KERRVILLE</v>
          </cell>
          <cell r="L1057" t="str">
            <v>TX</v>
          </cell>
          <cell r="M1057" t="str">
            <v>800-577-8858</v>
          </cell>
          <cell r="N1057"/>
          <cell r="O1057">
            <v>442</v>
          </cell>
          <cell r="P1057">
            <v>1900.6</v>
          </cell>
          <cell r="Q1057"/>
          <cell r="R1057">
            <v>0</v>
          </cell>
          <cell r="S1057"/>
          <cell r="T1057">
            <v>0</v>
          </cell>
          <cell r="U1057">
            <v>430</v>
          </cell>
          <cell r="V1057">
            <v>1849</v>
          </cell>
          <cell r="W1057">
            <v>367</v>
          </cell>
          <cell r="X1057">
            <v>1578.1</v>
          </cell>
          <cell r="Y1057"/>
          <cell r="Z1057">
            <v>0</v>
          </cell>
          <cell r="AA1057"/>
          <cell r="AB1057">
            <v>0</v>
          </cell>
          <cell r="AC1057"/>
          <cell r="AD1057">
            <v>0</v>
          </cell>
          <cell r="AE1057"/>
          <cell r="AF1057"/>
          <cell r="AG1057"/>
          <cell r="AH1057"/>
          <cell r="AI1057"/>
          <cell r="AJ1057">
            <v>0</v>
          </cell>
          <cell r="AK1057" t="str">
            <v>3P</v>
          </cell>
          <cell r="AL1057">
            <v>213</v>
          </cell>
          <cell r="AM1057">
            <v>401</v>
          </cell>
          <cell r="AN1057" t="str">
            <v>01 Existing Dealer</v>
          </cell>
          <cell r="AO1057" t="str">
            <v>South Central</v>
          </cell>
          <cell r="AP1057" t="str">
            <v>Central</v>
          </cell>
          <cell r="AQ1057"/>
          <cell r="AR1057">
            <v>0</v>
          </cell>
          <cell r="AS1057">
            <v>0</v>
          </cell>
        </row>
        <row r="1058">
          <cell r="A1058" t="str">
            <v>13397K</v>
          </cell>
          <cell r="B1058" t="str">
            <v>BCMS / SILVERLINE</v>
          </cell>
          <cell r="C1058" t="str">
            <v>M11363</v>
          </cell>
          <cell r="D1058" t="str">
            <v>Return Mail, no pink card</v>
          </cell>
          <cell r="E1058" t="str">
            <v>F3 - Northpoint</v>
          </cell>
          <cell r="F1058" t="str">
            <v>Yes</v>
          </cell>
          <cell r="G1058" t="str">
            <v>TX</v>
          </cell>
          <cell r="H1058">
            <v>8</v>
          </cell>
          <cell r="I1058">
            <v>0.66500000000000004</v>
          </cell>
          <cell r="J1058" t="str">
            <v>Trent Evans</v>
          </cell>
          <cell r="K1058" t="str">
            <v>CLEBURNE</v>
          </cell>
          <cell r="L1058" t="str">
            <v>TX</v>
          </cell>
          <cell r="M1058" t="str">
            <v>800-577-8858</v>
          </cell>
          <cell r="N1058"/>
          <cell r="O1058">
            <v>167</v>
          </cell>
          <cell r="P1058">
            <v>718.1</v>
          </cell>
          <cell r="Q1058"/>
          <cell r="R1058">
            <v>0</v>
          </cell>
          <cell r="S1058"/>
          <cell r="T1058">
            <v>0</v>
          </cell>
          <cell r="U1058">
            <v>147</v>
          </cell>
          <cell r="V1058">
            <v>632.1</v>
          </cell>
          <cell r="W1058">
            <v>94</v>
          </cell>
          <cell r="X1058">
            <v>404.2</v>
          </cell>
          <cell r="Y1058"/>
          <cell r="Z1058">
            <v>0</v>
          </cell>
          <cell r="AA1058"/>
          <cell r="AB1058">
            <v>0</v>
          </cell>
          <cell r="AC1058"/>
          <cell r="AD1058">
            <v>0</v>
          </cell>
          <cell r="AE1058"/>
          <cell r="AF1058"/>
          <cell r="AG1058"/>
          <cell r="AH1058"/>
          <cell r="AI1058"/>
          <cell r="AJ1058">
            <v>0.03</v>
          </cell>
          <cell r="AK1058" t="str">
            <v>3P</v>
          </cell>
          <cell r="AL1058">
            <v>226</v>
          </cell>
          <cell r="AM1058">
            <v>101</v>
          </cell>
          <cell r="AN1058" t="str">
            <v>01 Existing Dealer</v>
          </cell>
          <cell r="AO1058" t="str">
            <v>Southeast</v>
          </cell>
          <cell r="AP1058" t="str">
            <v>South</v>
          </cell>
          <cell r="AQ1058"/>
          <cell r="AR1058">
            <v>0</v>
          </cell>
          <cell r="AS1058">
            <v>0</v>
          </cell>
        </row>
        <row r="1059">
          <cell r="A1059">
            <v>13054</v>
          </cell>
          <cell r="B1059" t="str">
            <v>BIG RED'S EQUIPMENT / BRAZOS RV</v>
          </cell>
          <cell r="C1059" t="str">
            <v>M10925</v>
          </cell>
          <cell r="D1059" t="str">
            <v>NET 5, BT+</v>
          </cell>
          <cell r="E1059" t="str">
            <v>FP, ON HOLD</v>
          </cell>
          <cell r="F1059" t="str">
            <v>Yes</v>
          </cell>
          <cell r="G1059" t="str">
            <v>TX</v>
          </cell>
          <cell r="H1059">
            <v>8</v>
          </cell>
          <cell r="I1059">
            <v>0.66500000000000004</v>
          </cell>
          <cell r="J1059" t="str">
            <v>Orphaned Acct</v>
          </cell>
          <cell r="K1059" t="str">
            <v>GRANBURY</v>
          </cell>
          <cell r="L1059" t="str">
            <v>TX</v>
          </cell>
          <cell r="M1059" t="str">
            <v>800-577-8858</v>
          </cell>
          <cell r="N1059"/>
          <cell r="O1059">
            <v>194</v>
          </cell>
          <cell r="P1059">
            <v>834.19999999999993</v>
          </cell>
          <cell r="Q1059"/>
          <cell r="R1059">
            <v>0</v>
          </cell>
          <cell r="S1059"/>
          <cell r="T1059">
            <v>0</v>
          </cell>
          <cell r="U1059">
            <v>151</v>
          </cell>
          <cell r="V1059">
            <v>649.29999999999995</v>
          </cell>
          <cell r="W1059">
            <v>119</v>
          </cell>
          <cell r="X1059">
            <v>511.7</v>
          </cell>
          <cell r="Y1059"/>
          <cell r="Z1059">
            <v>0</v>
          </cell>
          <cell r="AA1059"/>
          <cell r="AB1059">
            <v>0</v>
          </cell>
          <cell r="AC1059"/>
          <cell r="AD1059">
            <v>0</v>
          </cell>
          <cell r="AE1059"/>
          <cell r="AF1059"/>
          <cell r="AG1059"/>
          <cell r="AH1059"/>
          <cell r="AI1059"/>
          <cell r="AJ1059">
            <v>0</v>
          </cell>
          <cell r="AK1059" t="str">
            <v>3P</v>
          </cell>
          <cell r="AL1059">
            <v>213</v>
          </cell>
          <cell r="AM1059">
            <v>101</v>
          </cell>
          <cell r="AN1059" t="str">
            <v>08 Inactive Dealer</v>
          </cell>
          <cell r="AO1059" t="str">
            <v>South Central</v>
          </cell>
          <cell r="AP1059" t="str">
            <v>Central</v>
          </cell>
          <cell r="AQ1059"/>
          <cell r="AR1059">
            <v>0</v>
          </cell>
          <cell r="AS1059">
            <v>0</v>
          </cell>
        </row>
        <row r="1060">
          <cell r="A1060">
            <v>13078</v>
          </cell>
          <cell r="B1060" t="str">
            <v>BRAZOS RV</v>
          </cell>
          <cell r="C1060" t="str">
            <v>M10925</v>
          </cell>
          <cell r="D1060" t="str">
            <v>NET 5, BT+</v>
          </cell>
          <cell r="E1060" t="str">
            <v>FP - Northpoint</v>
          </cell>
          <cell r="F1060" t="str">
            <v>Yes</v>
          </cell>
          <cell r="G1060" t="str">
            <v>TX</v>
          </cell>
          <cell r="H1060">
            <v>7</v>
          </cell>
          <cell r="I1060">
            <v>0.66500000000000004</v>
          </cell>
          <cell r="J1060" t="str">
            <v>Orphaned Acct</v>
          </cell>
          <cell r="K1060" t="str">
            <v>GRANBURY</v>
          </cell>
          <cell r="L1060" t="str">
            <v>TX</v>
          </cell>
          <cell r="M1060" t="str">
            <v>800-577-8858</v>
          </cell>
          <cell r="N1060"/>
          <cell r="O1060">
            <v>194</v>
          </cell>
          <cell r="P1060">
            <v>834.19999999999993</v>
          </cell>
          <cell r="Q1060"/>
          <cell r="R1060">
            <v>0</v>
          </cell>
          <cell r="S1060"/>
          <cell r="T1060">
            <v>0</v>
          </cell>
          <cell r="U1060">
            <v>151</v>
          </cell>
          <cell r="V1060">
            <v>649.29999999999995</v>
          </cell>
          <cell r="W1060">
            <v>119</v>
          </cell>
          <cell r="X1060">
            <v>511.7</v>
          </cell>
          <cell r="Y1060"/>
          <cell r="Z1060">
            <v>0</v>
          </cell>
          <cell r="AA1060"/>
          <cell r="AB1060">
            <v>0</v>
          </cell>
          <cell r="AC1060"/>
          <cell r="AD1060">
            <v>0</v>
          </cell>
          <cell r="AE1060"/>
          <cell r="AF1060"/>
          <cell r="AG1060"/>
          <cell r="AH1060"/>
          <cell r="AI1060"/>
          <cell r="AJ1060">
            <v>0</v>
          </cell>
          <cell r="AK1060" t="str">
            <v>3P</v>
          </cell>
          <cell r="AL1060">
            <v>213</v>
          </cell>
          <cell r="AM1060">
            <v>101</v>
          </cell>
          <cell r="AN1060" t="str">
            <v>08 Inactive Dealer</v>
          </cell>
          <cell r="AO1060" t="str">
            <v>South Central</v>
          </cell>
          <cell r="AP1060" t="str">
            <v>Central</v>
          </cell>
          <cell r="AQ1060"/>
          <cell r="AR1060">
            <v>0</v>
          </cell>
          <cell r="AS1060">
            <v>0</v>
          </cell>
        </row>
        <row r="1061">
          <cell r="A1061">
            <v>12947</v>
          </cell>
          <cell r="B1061" t="str">
            <v>BREITLING HOMES dba TEXAS MADE TRAILERS</v>
          </cell>
          <cell r="C1061" t="str">
            <v>M10111</v>
          </cell>
          <cell r="D1061" t="str">
            <v>NET 5, BT+</v>
          </cell>
          <cell r="E1061" t="str">
            <v>COD</v>
          </cell>
          <cell r="F1061" t="str">
            <v>Yes</v>
          </cell>
          <cell r="G1061" t="str">
            <v>TX</v>
          </cell>
          <cell r="H1061">
            <v>7</v>
          </cell>
          <cell r="I1061">
            <v>0.66500000000000004</v>
          </cell>
          <cell r="J1061" t="str">
            <v>Orphaned Acct</v>
          </cell>
          <cell r="K1061" t="str">
            <v>CONROE</v>
          </cell>
          <cell r="L1061" t="str">
            <v>TX</v>
          </cell>
          <cell r="M1061" t="str">
            <v>800-577-8858</v>
          </cell>
          <cell r="N1061"/>
          <cell r="O1061">
            <v>236</v>
          </cell>
          <cell r="P1061">
            <v>1014.8</v>
          </cell>
          <cell r="Q1061"/>
          <cell r="R1061">
            <v>0</v>
          </cell>
          <cell r="S1061"/>
          <cell r="T1061">
            <v>0</v>
          </cell>
          <cell r="U1061">
            <v>314</v>
          </cell>
          <cell r="V1061">
            <v>1350.2</v>
          </cell>
          <cell r="W1061">
            <v>237</v>
          </cell>
          <cell r="X1061">
            <v>1019.0999999999999</v>
          </cell>
          <cell r="Y1061"/>
          <cell r="Z1061">
            <v>0</v>
          </cell>
          <cell r="AA1061"/>
          <cell r="AB1061">
            <v>0</v>
          </cell>
          <cell r="AC1061"/>
          <cell r="AD1061">
            <v>0</v>
          </cell>
          <cell r="AE1061"/>
          <cell r="AF1061"/>
          <cell r="AG1061"/>
          <cell r="AH1061"/>
          <cell r="AI1061"/>
          <cell r="AJ1061">
            <v>0</v>
          </cell>
          <cell r="AK1061" t="str">
            <v>3P</v>
          </cell>
          <cell r="AL1061">
            <v>213</v>
          </cell>
          <cell r="AM1061">
            <v>196</v>
          </cell>
          <cell r="AN1061" t="str">
            <v>01 Existing Dealer</v>
          </cell>
          <cell r="AO1061" t="str">
            <v>South Central</v>
          </cell>
          <cell r="AP1061" t="str">
            <v>Central</v>
          </cell>
          <cell r="AQ1061"/>
          <cell r="AR1061">
            <v>0</v>
          </cell>
          <cell r="AS1061">
            <v>0</v>
          </cell>
        </row>
        <row r="1062">
          <cell r="A1062">
            <v>11386</v>
          </cell>
          <cell r="B1062" t="str">
            <v>BROOKSIDE EQUIPMENT SALES INC.</v>
          </cell>
          <cell r="C1062" t="str">
            <v>M10115</v>
          </cell>
          <cell r="D1062" t="str">
            <v>NET 5, BT+</v>
          </cell>
          <cell r="E1062" t="str">
            <v>CO</v>
          </cell>
          <cell r="F1062" t="str">
            <v>Yes</v>
          </cell>
          <cell r="G1062" t="str">
            <v>TX</v>
          </cell>
          <cell r="H1062">
            <v>7</v>
          </cell>
          <cell r="I1062">
            <v>0.66500000000000004</v>
          </cell>
          <cell r="J1062" t="str">
            <v>Orphaned Acct</v>
          </cell>
          <cell r="K1062" t="str">
            <v>HOUSTON</v>
          </cell>
          <cell r="L1062" t="str">
            <v>TX</v>
          </cell>
          <cell r="M1062" t="str">
            <v>800-577-8858</v>
          </cell>
          <cell r="N1062"/>
          <cell r="O1062">
            <v>266</v>
          </cell>
          <cell r="P1062">
            <v>1143.8</v>
          </cell>
          <cell r="Q1062"/>
          <cell r="R1062">
            <v>0</v>
          </cell>
          <cell r="S1062"/>
          <cell r="T1062">
            <v>0</v>
          </cell>
          <cell r="U1062">
            <v>363</v>
          </cell>
          <cell r="V1062">
            <v>1560.8999999999999</v>
          </cell>
          <cell r="W1062">
            <v>287</v>
          </cell>
          <cell r="X1062">
            <v>1234.0999999999999</v>
          </cell>
          <cell r="Y1062"/>
          <cell r="Z1062">
            <v>0</v>
          </cell>
          <cell r="AA1062"/>
          <cell r="AB1062">
            <v>0</v>
          </cell>
          <cell r="AC1062"/>
          <cell r="AD1062">
            <v>0</v>
          </cell>
          <cell r="AE1062"/>
          <cell r="AF1062"/>
          <cell r="AG1062"/>
          <cell r="AH1062"/>
          <cell r="AI1062"/>
          <cell r="AJ1062">
            <v>0</v>
          </cell>
          <cell r="AK1062" t="str">
            <v>3P</v>
          </cell>
          <cell r="AL1062">
            <v>213</v>
          </cell>
          <cell r="AM1062">
            <v>196</v>
          </cell>
          <cell r="AN1062" t="str">
            <v>08 Inactive Dealer</v>
          </cell>
          <cell r="AO1062" t="str">
            <v>South Central</v>
          </cell>
          <cell r="AP1062" t="str">
            <v>Central</v>
          </cell>
          <cell r="AQ1062"/>
          <cell r="AR1062">
            <v>0</v>
          </cell>
          <cell r="AS1062">
            <v>0</v>
          </cell>
        </row>
        <row r="1063">
          <cell r="A1063">
            <v>12078</v>
          </cell>
          <cell r="B1063" t="str">
            <v>CANADIAN WATERWELL</v>
          </cell>
          <cell r="C1063" t="str">
            <v>M10130</v>
          </cell>
          <cell r="D1063" t="str">
            <v>NET 5, BT+</v>
          </cell>
          <cell r="E1063" t="str">
            <v>CO</v>
          </cell>
          <cell r="F1063" t="str">
            <v>Yes</v>
          </cell>
          <cell r="G1063" t="str">
            <v>TX</v>
          </cell>
          <cell r="H1063">
            <v>7</v>
          </cell>
          <cell r="I1063">
            <v>0.66500000000000004</v>
          </cell>
          <cell r="J1063" t="str">
            <v>Orphaned Acct</v>
          </cell>
          <cell r="K1063" t="str">
            <v>CANADIAN</v>
          </cell>
          <cell r="L1063" t="str">
            <v>TX</v>
          </cell>
          <cell r="M1063" t="str">
            <v>800-577-8858</v>
          </cell>
          <cell r="N1063"/>
          <cell r="O1063">
            <v>487</v>
          </cell>
          <cell r="P1063">
            <v>2094.1</v>
          </cell>
          <cell r="Q1063"/>
          <cell r="R1063">
            <v>0</v>
          </cell>
          <cell r="S1063"/>
          <cell r="T1063">
            <v>0</v>
          </cell>
          <cell r="U1063">
            <v>336</v>
          </cell>
          <cell r="V1063">
            <v>1444.8</v>
          </cell>
          <cell r="W1063">
            <v>401</v>
          </cell>
          <cell r="X1063">
            <v>1724.3</v>
          </cell>
          <cell r="Y1063"/>
          <cell r="Z1063">
            <v>0</v>
          </cell>
          <cell r="AA1063"/>
          <cell r="AB1063">
            <v>0</v>
          </cell>
          <cell r="AC1063"/>
          <cell r="AD1063">
            <v>0</v>
          </cell>
          <cell r="AE1063"/>
          <cell r="AF1063"/>
          <cell r="AG1063"/>
          <cell r="AH1063"/>
          <cell r="AI1063"/>
          <cell r="AJ1063">
            <v>0</v>
          </cell>
          <cell r="AK1063" t="str">
            <v>3P</v>
          </cell>
          <cell r="AL1063">
            <v>213</v>
          </cell>
          <cell r="AM1063">
            <v>13</v>
          </cell>
          <cell r="AN1063" t="str">
            <v>08 Inactive Dealer</v>
          </cell>
          <cell r="AO1063" t="str">
            <v>South Central</v>
          </cell>
          <cell r="AP1063" t="str">
            <v>Central</v>
          </cell>
          <cell r="AQ1063"/>
          <cell r="AR1063">
            <v>0</v>
          </cell>
          <cell r="AS1063">
            <v>0</v>
          </cell>
        </row>
        <row r="1064">
          <cell r="A1064">
            <v>13056</v>
          </cell>
          <cell r="B1064" t="str">
            <v>CENTERPOINT TRAILER SALES LLC</v>
          </cell>
          <cell r="C1064" t="str">
            <v>M10928</v>
          </cell>
          <cell r="D1064" t="str">
            <v>NET 5, BT+</v>
          </cell>
          <cell r="E1064" t="str">
            <v>FP</v>
          </cell>
          <cell r="F1064" t="str">
            <v>Yes</v>
          </cell>
          <cell r="G1064" t="str">
            <v>TX</v>
          </cell>
          <cell r="H1064">
            <v>8</v>
          </cell>
          <cell r="I1064">
            <v>0.66500000000000004</v>
          </cell>
          <cell r="J1064" t="str">
            <v>Orphaned Acct</v>
          </cell>
          <cell r="K1064" t="str">
            <v>RENO</v>
          </cell>
          <cell r="L1064" t="str">
            <v>TX</v>
          </cell>
          <cell r="M1064" t="str">
            <v>800-577-8858</v>
          </cell>
          <cell r="N1064"/>
          <cell r="O1064">
            <v>50</v>
          </cell>
          <cell r="P1064">
            <v>215</v>
          </cell>
          <cell r="Q1064"/>
          <cell r="R1064">
            <v>0</v>
          </cell>
          <cell r="S1064"/>
          <cell r="T1064">
            <v>0</v>
          </cell>
          <cell r="U1064">
            <v>108</v>
          </cell>
          <cell r="V1064">
            <v>464.4</v>
          </cell>
          <cell r="W1064">
            <v>86</v>
          </cell>
          <cell r="X1064">
            <v>369.8</v>
          </cell>
          <cell r="Y1064"/>
          <cell r="Z1064">
            <v>0</v>
          </cell>
          <cell r="AA1064"/>
          <cell r="AB1064">
            <v>0</v>
          </cell>
          <cell r="AC1064"/>
          <cell r="AD1064">
            <v>0</v>
          </cell>
          <cell r="AE1064"/>
          <cell r="AF1064"/>
          <cell r="AG1064"/>
          <cell r="AH1064"/>
          <cell r="AI1064"/>
          <cell r="AJ1064">
            <v>0</v>
          </cell>
          <cell r="AK1064" t="str">
            <v>3P</v>
          </cell>
          <cell r="AL1064">
            <v>213</v>
          </cell>
          <cell r="AM1064">
            <v>341</v>
          </cell>
          <cell r="AN1064" t="str">
            <v>08 Inactive Dealer</v>
          </cell>
          <cell r="AO1064" t="str">
            <v>South Central</v>
          </cell>
          <cell r="AP1064" t="str">
            <v>Central</v>
          </cell>
          <cell r="AQ1064"/>
          <cell r="AR1064">
            <v>0</v>
          </cell>
          <cell r="AS1064">
            <v>0</v>
          </cell>
        </row>
        <row r="1065">
          <cell r="A1065">
            <v>12856</v>
          </cell>
          <cell r="B1065" t="str">
            <v>CENTX TRAILERS AND REPAIRS</v>
          </cell>
          <cell r="C1065" t="str">
            <v>M10464</v>
          </cell>
          <cell r="D1065" t="str">
            <v>NET 5, BT+</v>
          </cell>
          <cell r="E1065" t="str">
            <v>CO</v>
          </cell>
          <cell r="F1065" t="str">
            <v>Yes</v>
          </cell>
          <cell r="G1065" t="str">
            <v>TX</v>
          </cell>
          <cell r="H1065">
            <v>7</v>
          </cell>
          <cell r="I1065">
            <v>0.66500000000000004</v>
          </cell>
          <cell r="J1065" t="str">
            <v>Orphaned Acct</v>
          </cell>
          <cell r="K1065" t="str">
            <v>CEDAR CREEK</v>
          </cell>
          <cell r="L1065" t="str">
            <v>TX</v>
          </cell>
          <cell r="M1065" t="str">
            <v>800-577-8858</v>
          </cell>
          <cell r="N1065"/>
          <cell r="O1065">
            <v>340</v>
          </cell>
          <cell r="P1065">
            <v>1462</v>
          </cell>
          <cell r="Q1065"/>
          <cell r="R1065">
            <v>0</v>
          </cell>
          <cell r="S1065"/>
          <cell r="T1065">
            <v>0</v>
          </cell>
          <cell r="U1065">
            <v>327</v>
          </cell>
          <cell r="V1065">
            <v>1406.1</v>
          </cell>
          <cell r="W1065">
            <v>265</v>
          </cell>
          <cell r="X1065">
            <v>1139.5</v>
          </cell>
          <cell r="Y1065"/>
          <cell r="Z1065">
            <v>0</v>
          </cell>
          <cell r="AA1065"/>
          <cell r="AB1065">
            <v>0</v>
          </cell>
          <cell r="AC1065"/>
          <cell r="AD1065">
            <v>0</v>
          </cell>
          <cell r="AE1065"/>
          <cell r="AF1065"/>
          <cell r="AG1065"/>
          <cell r="AH1065"/>
          <cell r="AI1065"/>
          <cell r="AJ1065">
            <v>0</v>
          </cell>
          <cell r="AK1065" t="str">
            <v>3P</v>
          </cell>
          <cell r="AL1065">
            <v>213</v>
          </cell>
          <cell r="AM1065">
            <v>27</v>
          </cell>
          <cell r="AN1065" t="str">
            <v>08 Inactive Dealer</v>
          </cell>
          <cell r="AO1065" t="str">
            <v>South Central</v>
          </cell>
          <cell r="AP1065" t="str">
            <v>Central</v>
          </cell>
          <cell r="AQ1065"/>
          <cell r="AR1065">
            <v>0</v>
          </cell>
          <cell r="AS1065">
            <v>0</v>
          </cell>
        </row>
        <row r="1066">
          <cell r="A1066" t="str">
            <v>13410A</v>
          </cell>
          <cell r="B1066" t="str">
            <v>NATIONAL TRLR SOURCE</v>
          </cell>
          <cell r="C1066" t="str">
            <v>M10519</v>
          </cell>
          <cell r="D1066" t="str">
            <v>Net 30, no pink card</v>
          </cell>
          <cell r="E1066" t="str">
            <v>FP - Northpoint</v>
          </cell>
          <cell r="F1066" t="str">
            <v>Yes</v>
          </cell>
          <cell r="G1066" t="str">
            <v>TX</v>
          </cell>
          <cell r="H1066">
            <v>8</v>
          </cell>
          <cell r="I1066">
            <v>0.66500000000000004</v>
          </cell>
          <cell r="J1066" t="str">
            <v>Lane Davis</v>
          </cell>
          <cell r="K1066" t="str">
            <v>PASADENA</v>
          </cell>
          <cell r="L1066" t="str">
            <v>TX</v>
          </cell>
          <cell r="M1066" t="str">
            <v>800-577-8858</v>
          </cell>
          <cell r="N1066"/>
          <cell r="O1066">
            <v>276</v>
          </cell>
          <cell r="P1066">
            <v>1186.8</v>
          </cell>
          <cell r="Q1066"/>
          <cell r="R1066">
            <v>0</v>
          </cell>
          <cell r="S1066"/>
          <cell r="T1066">
            <v>0</v>
          </cell>
          <cell r="U1066">
            <v>372</v>
          </cell>
          <cell r="V1066">
            <v>1599.6</v>
          </cell>
          <cell r="W1066">
            <v>256</v>
          </cell>
          <cell r="X1066">
            <v>1100.8</v>
          </cell>
          <cell r="Y1066"/>
          <cell r="Z1066">
            <v>0</v>
          </cell>
          <cell r="AA1066"/>
          <cell r="AB1066">
            <v>0</v>
          </cell>
          <cell r="AC1066"/>
          <cell r="AD1066">
            <v>0</v>
          </cell>
          <cell r="AE1066">
            <v>3.0450000000000001E-2</v>
          </cell>
          <cell r="AF1066"/>
          <cell r="AG1066">
            <v>0</v>
          </cell>
          <cell r="AH1066">
            <v>3.0450000000000001E-2</v>
          </cell>
          <cell r="AI1066">
            <v>3.0450000000000001E-2</v>
          </cell>
          <cell r="AJ1066">
            <v>0.03</v>
          </cell>
          <cell r="AK1066" t="str">
            <v>3P</v>
          </cell>
          <cell r="AL1066">
            <v>275</v>
          </cell>
          <cell r="AM1066">
            <v>196</v>
          </cell>
          <cell r="AN1066" t="str">
            <v>01 Existing Dealer</v>
          </cell>
          <cell r="AO1066" t="str">
            <v>South Central</v>
          </cell>
          <cell r="AP1066" t="str">
            <v>Central</v>
          </cell>
          <cell r="AQ1066"/>
          <cell r="AR1066">
            <v>0</v>
          </cell>
          <cell r="AS1066">
            <v>0</v>
          </cell>
        </row>
        <row r="1067">
          <cell r="A1067" t="str">
            <v>13410B</v>
          </cell>
          <cell r="B1067" t="str">
            <v>NATIONAL TRLR SOURCE</v>
          </cell>
          <cell r="C1067" t="str">
            <v>M10519</v>
          </cell>
          <cell r="D1067" t="str">
            <v>Net 30, no pink card</v>
          </cell>
          <cell r="E1067" t="str">
            <v>FP - Northpoint</v>
          </cell>
          <cell r="F1067" t="str">
            <v>Yes</v>
          </cell>
          <cell r="G1067" t="str">
            <v>TX</v>
          </cell>
          <cell r="H1067">
            <v>8</v>
          </cell>
          <cell r="I1067">
            <v>0.66500000000000004</v>
          </cell>
          <cell r="J1067" t="str">
            <v>Lane Davis</v>
          </cell>
          <cell r="K1067" t="str">
            <v>ROSE CITY</v>
          </cell>
          <cell r="L1067" t="str">
            <v>TX</v>
          </cell>
          <cell r="M1067" t="str">
            <v>800-577-8858</v>
          </cell>
          <cell r="N1067"/>
          <cell r="O1067">
            <v>249</v>
          </cell>
          <cell r="P1067">
            <v>1070.7</v>
          </cell>
          <cell r="Q1067"/>
          <cell r="R1067">
            <v>0</v>
          </cell>
          <cell r="S1067"/>
          <cell r="T1067">
            <v>0</v>
          </cell>
          <cell r="U1067">
            <v>444</v>
          </cell>
          <cell r="V1067">
            <v>1909.1999999999998</v>
          </cell>
          <cell r="W1067">
            <v>251</v>
          </cell>
          <cell r="X1067">
            <v>1079.3</v>
          </cell>
          <cell r="Y1067"/>
          <cell r="Z1067">
            <v>0</v>
          </cell>
          <cell r="AA1067"/>
          <cell r="AB1067">
            <v>0</v>
          </cell>
          <cell r="AC1067"/>
          <cell r="AD1067">
            <v>0</v>
          </cell>
          <cell r="AE1067">
            <v>3.0450000000000001E-2</v>
          </cell>
          <cell r="AF1067"/>
          <cell r="AG1067">
            <v>0</v>
          </cell>
          <cell r="AH1067">
            <v>3.0450000000000001E-2</v>
          </cell>
          <cell r="AI1067">
            <v>3.0450000000000001E-2</v>
          </cell>
          <cell r="AJ1067">
            <v>0.03</v>
          </cell>
          <cell r="AK1067" t="str">
            <v>3P</v>
          </cell>
          <cell r="AL1067">
            <v>275</v>
          </cell>
          <cell r="AM1067">
            <v>34</v>
          </cell>
          <cell r="AN1067" t="str">
            <v>01 Existing Dealer</v>
          </cell>
          <cell r="AO1067" t="str">
            <v>South Central</v>
          </cell>
          <cell r="AP1067" t="str">
            <v>Central</v>
          </cell>
          <cell r="AQ1067"/>
          <cell r="AR1067">
            <v>0</v>
          </cell>
          <cell r="AS1067">
            <v>0</v>
          </cell>
          <cell r="AT1067"/>
        </row>
        <row r="1068">
          <cell r="A1068" t="str">
            <v>13090A</v>
          </cell>
          <cell r="B1068" t="str">
            <v>CHARLES PASCHAL</v>
          </cell>
          <cell r="C1068" t="str">
            <v>M10519</v>
          </cell>
          <cell r="D1068" t="str">
            <v>Net 30, no pink card</v>
          </cell>
          <cell r="E1068">
            <v>30</v>
          </cell>
          <cell r="F1068" t="str">
            <v>Yes</v>
          </cell>
          <cell r="G1068" t="str">
            <v>TX</v>
          </cell>
          <cell r="H1068">
            <v>5</v>
          </cell>
          <cell r="I1068">
            <v>0.66500000000000004</v>
          </cell>
          <cell r="J1068" t="str">
            <v>Orphaned Acct</v>
          </cell>
          <cell r="K1068" t="str">
            <v>PASADENA</v>
          </cell>
          <cell r="L1068" t="str">
            <v>TX</v>
          </cell>
          <cell r="M1068" t="str">
            <v>800-577-8858</v>
          </cell>
          <cell r="N1068"/>
          <cell r="O1068">
            <v>276</v>
          </cell>
          <cell r="P1068">
            <v>1186.8</v>
          </cell>
          <cell r="Q1068"/>
          <cell r="R1068">
            <v>0</v>
          </cell>
          <cell r="S1068"/>
          <cell r="T1068">
            <v>0</v>
          </cell>
          <cell r="U1068">
            <v>372</v>
          </cell>
          <cell r="V1068">
            <v>1599.6</v>
          </cell>
          <cell r="W1068">
            <v>256</v>
          </cell>
          <cell r="X1068">
            <v>1100.8</v>
          </cell>
          <cell r="Y1068"/>
          <cell r="Z1068">
            <v>0</v>
          </cell>
          <cell r="AA1068"/>
          <cell r="AB1068">
            <v>0</v>
          </cell>
          <cell r="AC1068"/>
          <cell r="AD1068">
            <v>0</v>
          </cell>
          <cell r="AE1068">
            <v>3.0450000000000001E-2</v>
          </cell>
          <cell r="AF1068"/>
          <cell r="AG1068">
            <v>0</v>
          </cell>
          <cell r="AH1068">
            <v>3.0450000000000001E-2</v>
          </cell>
          <cell r="AI1068">
            <v>3.0450000000000001E-2</v>
          </cell>
          <cell r="AJ1068">
            <v>0.03</v>
          </cell>
          <cell r="AK1068" t="str">
            <v>3P</v>
          </cell>
          <cell r="AL1068">
            <v>213</v>
          </cell>
          <cell r="AM1068">
            <v>196</v>
          </cell>
          <cell r="AN1068" t="str">
            <v>01 Existing Dealer</v>
          </cell>
          <cell r="AO1068" t="str">
            <v>South Central</v>
          </cell>
          <cell r="AP1068" t="str">
            <v>Central</v>
          </cell>
          <cell r="AQ1068"/>
          <cell r="AR1068">
            <v>0</v>
          </cell>
          <cell r="AS1068">
            <v>0</v>
          </cell>
        </row>
        <row r="1069">
          <cell r="A1069" t="str">
            <v>13090B</v>
          </cell>
          <cell r="B1069" t="str">
            <v>CHARLES PASCHAL</v>
          </cell>
          <cell r="C1069" t="str">
            <v>M10519</v>
          </cell>
          <cell r="D1069" t="str">
            <v>Net 30, no pink card</v>
          </cell>
          <cell r="E1069">
            <v>30</v>
          </cell>
          <cell r="F1069" t="str">
            <v>Yes</v>
          </cell>
          <cell r="G1069" t="str">
            <v>TX</v>
          </cell>
          <cell r="H1069">
            <v>5</v>
          </cell>
          <cell r="I1069">
            <v>0.66500000000000004</v>
          </cell>
          <cell r="J1069" t="str">
            <v>Orphaned Acct</v>
          </cell>
          <cell r="K1069" t="str">
            <v>ROSE CITY</v>
          </cell>
          <cell r="L1069" t="str">
            <v>TX</v>
          </cell>
          <cell r="M1069" t="str">
            <v>800-577-8858</v>
          </cell>
          <cell r="N1069"/>
          <cell r="O1069">
            <v>249</v>
          </cell>
          <cell r="P1069">
            <v>1070.7</v>
          </cell>
          <cell r="Q1069"/>
          <cell r="R1069">
            <v>0</v>
          </cell>
          <cell r="S1069"/>
          <cell r="T1069">
            <v>0</v>
          </cell>
          <cell r="U1069">
            <v>444</v>
          </cell>
          <cell r="V1069">
            <v>1909.1999999999998</v>
          </cell>
          <cell r="W1069">
            <v>251</v>
          </cell>
          <cell r="X1069">
            <v>1079.3</v>
          </cell>
          <cell r="Y1069"/>
          <cell r="Z1069">
            <v>0</v>
          </cell>
          <cell r="AA1069"/>
          <cell r="AB1069">
            <v>0</v>
          </cell>
          <cell r="AC1069"/>
          <cell r="AD1069">
            <v>0</v>
          </cell>
          <cell r="AE1069">
            <v>3.0450000000000001E-2</v>
          </cell>
          <cell r="AF1069"/>
          <cell r="AG1069">
            <v>0</v>
          </cell>
          <cell r="AH1069">
            <v>3.0450000000000001E-2</v>
          </cell>
          <cell r="AI1069">
            <v>3.0450000000000001E-2</v>
          </cell>
          <cell r="AJ1069">
            <v>0.03</v>
          </cell>
          <cell r="AK1069" t="str">
            <v>3P</v>
          </cell>
          <cell r="AL1069">
            <v>213</v>
          </cell>
          <cell r="AM1069">
            <v>34</v>
          </cell>
          <cell r="AN1069" t="str">
            <v>01 Existing Dealer</v>
          </cell>
          <cell r="AO1069" t="str">
            <v>South Central</v>
          </cell>
          <cell r="AP1069" t="str">
            <v>Central</v>
          </cell>
          <cell r="AQ1069"/>
          <cell r="AR1069">
            <v>0</v>
          </cell>
          <cell r="AS1069">
            <v>0</v>
          </cell>
        </row>
        <row r="1070">
          <cell r="A1070">
            <v>11856</v>
          </cell>
          <cell r="B1070" t="str">
            <v>CIRCLE B TRAILERS TEXAS LLC</v>
          </cell>
          <cell r="C1070" t="str">
            <v>M10145</v>
          </cell>
          <cell r="D1070" t="str">
            <v>NET 5, BT+</v>
          </cell>
          <cell r="E1070" t="str">
            <v>FP - Wells Fargo</v>
          </cell>
          <cell r="F1070" t="str">
            <v>Yes</v>
          </cell>
          <cell r="G1070" t="str">
            <v>TX</v>
          </cell>
          <cell r="H1070">
            <v>8</v>
          </cell>
          <cell r="I1070">
            <v>0.66500000000000004</v>
          </cell>
          <cell r="J1070" t="str">
            <v>Orphaned Acct</v>
          </cell>
          <cell r="K1070" t="str">
            <v>CLEBURNE</v>
          </cell>
          <cell r="L1070" t="str">
            <v>TX</v>
          </cell>
          <cell r="M1070" t="str">
            <v>800-577-8858</v>
          </cell>
          <cell r="N1070"/>
          <cell r="O1070">
            <v>170</v>
          </cell>
          <cell r="P1070">
            <v>731</v>
          </cell>
          <cell r="Q1070"/>
          <cell r="R1070">
            <v>0</v>
          </cell>
          <cell r="S1070"/>
          <cell r="T1070">
            <v>0</v>
          </cell>
          <cell r="U1070">
            <v>141</v>
          </cell>
          <cell r="V1070">
            <v>606.29999999999995</v>
          </cell>
          <cell r="W1070">
            <v>96</v>
          </cell>
          <cell r="X1070">
            <v>412.79999999999995</v>
          </cell>
          <cell r="Y1070"/>
          <cell r="Z1070">
            <v>0</v>
          </cell>
          <cell r="AA1070"/>
          <cell r="AB1070">
            <v>0</v>
          </cell>
          <cell r="AC1070"/>
          <cell r="AD1070">
            <v>0</v>
          </cell>
          <cell r="AE1070"/>
          <cell r="AF1070"/>
          <cell r="AG1070"/>
          <cell r="AH1070"/>
          <cell r="AI1070"/>
          <cell r="AJ1070">
            <v>0</v>
          </cell>
          <cell r="AK1070" t="str">
            <v>3P</v>
          </cell>
          <cell r="AL1070">
            <v>213</v>
          </cell>
          <cell r="AM1070">
            <v>101</v>
          </cell>
          <cell r="AN1070" t="str">
            <v>01 Existing Dealer</v>
          </cell>
          <cell r="AO1070" t="str">
            <v>South Central</v>
          </cell>
          <cell r="AP1070" t="str">
            <v>Central</v>
          </cell>
          <cell r="AQ1070"/>
          <cell r="AR1070">
            <v>0</v>
          </cell>
          <cell r="AS1070">
            <v>0</v>
          </cell>
        </row>
        <row r="1071">
          <cell r="A1071">
            <v>10146</v>
          </cell>
          <cell r="B1071" t="str">
            <v>COASTAL TRAILER SALES</v>
          </cell>
          <cell r="C1071" t="str">
            <v>M10152</v>
          </cell>
          <cell r="D1071" t="str">
            <v>NET 5, BT+</v>
          </cell>
          <cell r="E1071" t="str">
            <v>CO</v>
          </cell>
          <cell r="F1071" t="str">
            <v>Yes</v>
          </cell>
          <cell r="G1071" t="str">
            <v>TX</v>
          </cell>
          <cell r="H1071">
            <v>6</v>
          </cell>
          <cell r="I1071">
            <v>0.66500000000000004</v>
          </cell>
          <cell r="J1071" t="str">
            <v>Orphaned Acct</v>
          </cell>
          <cell r="K1071" t="str">
            <v>BAY CITY</v>
          </cell>
          <cell r="L1071" t="str">
            <v>TX</v>
          </cell>
          <cell r="M1071" t="str">
            <v>800-577-8858</v>
          </cell>
          <cell r="N1071"/>
          <cell r="O1071">
            <v>336</v>
          </cell>
          <cell r="P1071">
            <v>1444.8</v>
          </cell>
          <cell r="Q1071"/>
          <cell r="R1071">
            <v>0</v>
          </cell>
          <cell r="S1071"/>
          <cell r="T1071">
            <v>0</v>
          </cell>
          <cell r="U1071">
            <v>432</v>
          </cell>
          <cell r="V1071">
            <v>1857.6</v>
          </cell>
          <cell r="W1071">
            <v>356</v>
          </cell>
          <cell r="X1071">
            <v>1530.8</v>
          </cell>
          <cell r="Y1071"/>
          <cell r="Z1071">
            <v>0</v>
          </cell>
          <cell r="AA1071"/>
          <cell r="AB1071">
            <v>0</v>
          </cell>
          <cell r="AC1071"/>
          <cell r="AD1071">
            <v>0</v>
          </cell>
          <cell r="AE1071"/>
          <cell r="AF1071"/>
          <cell r="AG1071"/>
          <cell r="AH1071"/>
          <cell r="AI1071"/>
          <cell r="AJ1071">
            <v>0</v>
          </cell>
          <cell r="AK1071" t="str">
            <v>3P</v>
          </cell>
          <cell r="AL1071">
            <v>213</v>
          </cell>
          <cell r="AM1071">
            <v>196</v>
          </cell>
          <cell r="AN1071" t="str">
            <v>08 Inactive Dealer</v>
          </cell>
          <cell r="AO1071" t="str">
            <v>South Central</v>
          </cell>
          <cell r="AP1071" t="str">
            <v>Central</v>
          </cell>
          <cell r="AQ1071"/>
          <cell r="AR1071">
            <v>0</v>
          </cell>
          <cell r="AS1071">
            <v>0</v>
          </cell>
        </row>
        <row r="1072">
          <cell r="A1072">
            <v>12496</v>
          </cell>
          <cell r="B1072" t="str">
            <v>COASTAL TRAILER SALES</v>
          </cell>
          <cell r="C1072" t="str">
            <v>M10152</v>
          </cell>
          <cell r="D1072" t="str">
            <v>NET 5, BT+</v>
          </cell>
          <cell r="E1072" t="str">
            <v>S1</v>
          </cell>
          <cell r="F1072" t="str">
            <v>No</v>
          </cell>
          <cell r="G1072" t="str">
            <v>TX</v>
          </cell>
          <cell r="H1072">
            <v>9</v>
          </cell>
          <cell r="I1072">
            <v>0.66500000000000004</v>
          </cell>
          <cell r="J1072" t="str">
            <v>Orphaned Acct</v>
          </cell>
          <cell r="K1072" t="str">
            <v>BAY CITY</v>
          </cell>
          <cell r="L1072" t="str">
            <v>TX</v>
          </cell>
          <cell r="M1072" t="str">
            <v>800-577-8858</v>
          </cell>
          <cell r="N1072"/>
          <cell r="O1072">
            <v>336</v>
          </cell>
          <cell r="P1072">
            <v>1444.8</v>
          </cell>
          <cell r="Q1072"/>
          <cell r="R1072">
            <v>0</v>
          </cell>
          <cell r="S1072"/>
          <cell r="T1072">
            <v>0</v>
          </cell>
          <cell r="U1072">
            <v>432</v>
          </cell>
          <cell r="V1072">
            <v>1857.6</v>
          </cell>
          <cell r="W1072">
            <v>356</v>
          </cell>
          <cell r="X1072">
            <v>1530.8</v>
          </cell>
          <cell r="Y1072"/>
          <cell r="Z1072">
            <v>0</v>
          </cell>
          <cell r="AA1072"/>
          <cell r="AB1072">
            <v>0</v>
          </cell>
          <cell r="AC1072"/>
          <cell r="AD1072">
            <v>0</v>
          </cell>
          <cell r="AE1072"/>
          <cell r="AF1072"/>
          <cell r="AG1072"/>
          <cell r="AH1072"/>
          <cell r="AI1072"/>
          <cell r="AJ1072">
            <v>0</v>
          </cell>
          <cell r="AK1072" t="str">
            <v>3P</v>
          </cell>
          <cell r="AL1072">
            <v>213</v>
          </cell>
          <cell r="AM1072">
            <v>196</v>
          </cell>
          <cell r="AN1072" t="str">
            <v>08 Inactive Dealer</v>
          </cell>
          <cell r="AO1072" t="str">
            <v>South Central</v>
          </cell>
          <cell r="AP1072" t="str">
            <v>Central</v>
          </cell>
          <cell r="AQ1072"/>
          <cell r="AR1072">
            <v>0</v>
          </cell>
          <cell r="AS1072">
            <v>0</v>
          </cell>
        </row>
        <row r="1073">
          <cell r="A1073">
            <v>12228</v>
          </cell>
          <cell r="B1073" t="str">
            <v>COFFMAN INDUSTRIES INC</v>
          </cell>
          <cell r="C1073" t="str">
            <v>M10153</v>
          </cell>
          <cell r="D1073" t="str">
            <v>NET 5, BT+</v>
          </cell>
          <cell r="E1073" t="str">
            <v>F1 - Wells Fargo</v>
          </cell>
          <cell r="F1073" t="str">
            <v>Yes</v>
          </cell>
          <cell r="G1073" t="str">
            <v>TX</v>
          </cell>
          <cell r="H1073">
            <v>8</v>
          </cell>
          <cell r="I1073">
            <v>0.66500000000000004</v>
          </cell>
          <cell r="J1073" t="str">
            <v>Orphaned Acct</v>
          </cell>
          <cell r="K1073" t="str">
            <v>CANYON</v>
          </cell>
          <cell r="L1073" t="str">
            <v>TX</v>
          </cell>
          <cell r="M1073" t="str">
            <v>800-577-8858</v>
          </cell>
          <cell r="N1073"/>
          <cell r="O1073">
            <v>474</v>
          </cell>
          <cell r="P1073">
            <v>2038.1999999999998</v>
          </cell>
          <cell r="Q1073"/>
          <cell r="R1073">
            <v>0</v>
          </cell>
          <cell r="S1073"/>
          <cell r="T1073">
            <v>0</v>
          </cell>
          <cell r="U1073">
            <v>395</v>
          </cell>
          <cell r="V1073">
            <v>1698.5</v>
          </cell>
          <cell r="W1073">
            <v>425</v>
          </cell>
          <cell r="X1073">
            <v>1827.5</v>
          </cell>
          <cell r="Y1073"/>
          <cell r="Z1073">
            <v>0</v>
          </cell>
          <cell r="AA1073"/>
          <cell r="AB1073">
            <v>0</v>
          </cell>
          <cell r="AC1073"/>
          <cell r="AD1073">
            <v>0</v>
          </cell>
          <cell r="AE1073"/>
          <cell r="AF1073"/>
          <cell r="AG1073"/>
          <cell r="AH1073"/>
          <cell r="AI1073"/>
          <cell r="AJ1073">
            <v>0</v>
          </cell>
          <cell r="AK1073" t="str">
            <v>3P</v>
          </cell>
          <cell r="AL1073">
            <v>213</v>
          </cell>
          <cell r="AM1073">
            <v>13</v>
          </cell>
          <cell r="AN1073" t="str">
            <v>08 Inactive Dealer</v>
          </cell>
          <cell r="AO1073" t="str">
            <v>South Central</v>
          </cell>
          <cell r="AP1073" t="str">
            <v>Central</v>
          </cell>
          <cell r="AQ1073"/>
          <cell r="AR1073">
            <v>0</v>
          </cell>
          <cell r="AS1073">
            <v>0</v>
          </cell>
        </row>
        <row r="1074">
          <cell r="A1074">
            <v>12747</v>
          </cell>
          <cell r="B1074" t="str">
            <v>COLUMBUS YAMAHA</v>
          </cell>
          <cell r="C1074" t="str">
            <v>M10155</v>
          </cell>
          <cell r="D1074" t="str">
            <v>NET 5, BT+</v>
          </cell>
          <cell r="E1074" t="str">
            <v>F1 - Wells Fargo</v>
          </cell>
          <cell r="F1074" t="str">
            <v>Yes</v>
          </cell>
          <cell r="G1074" t="str">
            <v>TX</v>
          </cell>
          <cell r="H1074">
            <v>8</v>
          </cell>
          <cell r="I1074">
            <v>0.66500000000000004</v>
          </cell>
          <cell r="J1074" t="str">
            <v>Orphaned Acct</v>
          </cell>
          <cell r="K1074" t="str">
            <v>COLUMBUS</v>
          </cell>
          <cell r="L1074" t="str">
            <v>TX</v>
          </cell>
          <cell r="M1074" t="str">
            <v>800-577-8858</v>
          </cell>
          <cell r="N1074"/>
          <cell r="O1074">
            <v>325</v>
          </cell>
          <cell r="P1074">
            <v>1397.5</v>
          </cell>
          <cell r="Q1074"/>
          <cell r="R1074">
            <v>0</v>
          </cell>
          <cell r="S1074"/>
          <cell r="T1074">
            <v>0</v>
          </cell>
          <cell r="U1074">
            <v>346</v>
          </cell>
          <cell r="V1074">
            <v>1487.8</v>
          </cell>
          <cell r="W1074">
            <v>283</v>
          </cell>
          <cell r="X1074">
            <v>1216.8999999999999</v>
          </cell>
          <cell r="Y1074"/>
          <cell r="Z1074">
            <v>0</v>
          </cell>
          <cell r="AA1074"/>
          <cell r="AB1074">
            <v>0</v>
          </cell>
          <cell r="AC1074"/>
          <cell r="AD1074">
            <v>0</v>
          </cell>
          <cell r="AE1074"/>
          <cell r="AF1074"/>
          <cell r="AG1074"/>
          <cell r="AH1074"/>
          <cell r="AI1074"/>
          <cell r="AJ1074">
            <v>0</v>
          </cell>
          <cell r="AK1074" t="str">
            <v>3P</v>
          </cell>
          <cell r="AL1074">
            <v>213</v>
          </cell>
          <cell r="AM1074">
            <v>196</v>
          </cell>
          <cell r="AN1074" t="str">
            <v>01 Existing Dealer</v>
          </cell>
          <cell r="AO1074" t="str">
            <v>South Central</v>
          </cell>
          <cell r="AP1074" t="str">
            <v>Central</v>
          </cell>
          <cell r="AQ1074"/>
          <cell r="AR1074">
            <v>0</v>
          </cell>
          <cell r="AS1074">
            <v>0</v>
          </cell>
        </row>
        <row r="1075">
          <cell r="A1075">
            <v>13088</v>
          </cell>
          <cell r="B1075" t="str">
            <v>CROP CHASERS INC dba TNT TRAILERS</v>
          </cell>
          <cell r="C1075" t="str">
            <v>M10411</v>
          </cell>
          <cell r="D1075" t="str">
            <v>NET 5, BT+</v>
          </cell>
          <cell r="E1075" t="str">
            <v>CO</v>
          </cell>
          <cell r="F1075" t="str">
            <v>Yes</v>
          </cell>
          <cell r="G1075" t="str">
            <v>TX</v>
          </cell>
          <cell r="H1075">
            <v>7</v>
          </cell>
          <cell r="I1075">
            <v>0.66500000000000004</v>
          </cell>
          <cell r="J1075" t="str">
            <v>Orphaned Acct</v>
          </cell>
          <cell r="K1075" t="str">
            <v>SPEARMAN</v>
          </cell>
          <cell r="L1075" t="str">
            <v>TX</v>
          </cell>
          <cell r="M1075" t="str">
            <v>800-577-8858</v>
          </cell>
          <cell r="N1075"/>
          <cell r="O1075">
            <v>512</v>
          </cell>
          <cell r="P1075">
            <v>2201.6</v>
          </cell>
          <cell r="Q1075"/>
          <cell r="R1075">
            <v>0</v>
          </cell>
          <cell r="S1075"/>
          <cell r="T1075">
            <v>0</v>
          </cell>
          <cell r="U1075">
            <v>382</v>
          </cell>
          <cell r="V1075">
            <v>1642.6</v>
          </cell>
          <cell r="W1075">
            <v>464</v>
          </cell>
          <cell r="X1075">
            <v>1995.1999999999998</v>
          </cell>
          <cell r="Y1075"/>
          <cell r="Z1075">
            <v>0</v>
          </cell>
          <cell r="AA1075"/>
          <cell r="AB1075">
            <v>0</v>
          </cell>
          <cell r="AC1075"/>
          <cell r="AD1075">
            <v>0</v>
          </cell>
          <cell r="AE1075"/>
          <cell r="AF1075"/>
          <cell r="AG1075"/>
          <cell r="AH1075"/>
          <cell r="AI1075"/>
          <cell r="AJ1075">
            <v>0</v>
          </cell>
          <cell r="AK1075" t="str">
            <v>3P</v>
          </cell>
          <cell r="AL1075">
            <v>213</v>
          </cell>
          <cell r="AM1075">
            <v>13</v>
          </cell>
          <cell r="AN1075" t="str">
            <v>08 Inactive Dealer</v>
          </cell>
          <cell r="AO1075" t="str">
            <v>South Central</v>
          </cell>
          <cell r="AP1075" t="str">
            <v>Central</v>
          </cell>
          <cell r="AQ1075"/>
          <cell r="AR1075">
            <v>0</v>
          </cell>
          <cell r="AS1075">
            <v>0</v>
          </cell>
        </row>
        <row r="1076">
          <cell r="A1076">
            <v>13583</v>
          </cell>
          <cell r="B1076" t="str">
            <v>CROWN MOTORSPORTS</v>
          </cell>
          <cell r="C1076" t="str">
            <v>M11439</v>
          </cell>
          <cell r="D1076" t="str">
            <v>NET 5, BT+</v>
          </cell>
          <cell r="E1076" t="str">
            <v>CO</v>
          </cell>
          <cell r="F1076" t="str">
            <v>Yes</v>
          </cell>
          <cell r="G1076" t="str">
            <v>TX</v>
          </cell>
          <cell r="H1076">
            <v>7</v>
          </cell>
          <cell r="I1076">
            <v>0.66500000000000004</v>
          </cell>
          <cell r="J1076" t="str">
            <v>Trent Evans</v>
          </cell>
          <cell r="K1076" t="str">
            <v>DEL RIO</v>
          </cell>
          <cell r="L1076" t="str">
            <v>TX</v>
          </cell>
          <cell r="M1076" t="str">
            <v>800-577-8858</v>
          </cell>
          <cell r="N1076"/>
          <cell r="O1076">
            <v>532</v>
          </cell>
          <cell r="P1076">
            <v>2287.6</v>
          </cell>
          <cell r="Q1076"/>
          <cell r="R1076">
            <v>0</v>
          </cell>
          <cell r="S1076"/>
          <cell r="T1076">
            <v>0</v>
          </cell>
          <cell r="U1076">
            <v>495</v>
          </cell>
          <cell r="V1076">
            <v>2128.5</v>
          </cell>
          <cell r="W1076">
            <v>469</v>
          </cell>
          <cell r="X1076">
            <v>2016.6999999999998</v>
          </cell>
          <cell r="Y1076"/>
          <cell r="Z1076">
            <v>0</v>
          </cell>
          <cell r="AA1076"/>
          <cell r="AB1076">
            <v>0</v>
          </cell>
          <cell r="AC1076"/>
          <cell r="AD1076">
            <v>0</v>
          </cell>
          <cell r="AE1076"/>
          <cell r="AF1076"/>
          <cell r="AG1076"/>
          <cell r="AH1076"/>
          <cell r="AI1076"/>
          <cell r="AJ1076">
            <v>0</v>
          </cell>
          <cell r="AK1076" t="str">
            <v>3P</v>
          </cell>
          <cell r="AL1076">
            <v>226</v>
          </cell>
          <cell r="AM1076"/>
          <cell r="AN1076" t="str">
            <v>03 New Dealer</v>
          </cell>
          <cell r="AO1076" t="str">
            <v>South Central</v>
          </cell>
          <cell r="AP1076" t="str">
            <v>Central</v>
          </cell>
          <cell r="AQ1076"/>
          <cell r="AR1076">
            <v>0</v>
          </cell>
          <cell r="AS1076">
            <v>0</v>
          </cell>
        </row>
        <row r="1077">
          <cell r="A1077">
            <v>13618</v>
          </cell>
          <cell r="B1077" t="str">
            <v>DOM'S TRAILER REPAIR</v>
          </cell>
          <cell r="C1077" t="str">
            <v>M11586</v>
          </cell>
          <cell r="D1077" t="str">
            <v>NET 5, BT+</v>
          </cell>
          <cell r="E1077" t="str">
            <v>CF</v>
          </cell>
          <cell r="F1077" t="str">
            <v>Yes</v>
          </cell>
          <cell r="G1077" t="str">
            <v>TX</v>
          </cell>
          <cell r="H1077">
            <v>7</v>
          </cell>
          <cell r="I1077">
            <v>0.66500000000000004</v>
          </cell>
          <cell r="J1077" t="str">
            <v>JL Smith</v>
          </cell>
          <cell r="K1077" t="str">
            <v>BURNETT</v>
          </cell>
          <cell r="L1077" t="str">
            <v>TX</v>
          </cell>
          <cell r="M1077" t="str">
            <v>800-577-8858</v>
          </cell>
          <cell r="N1077"/>
          <cell r="O1077">
            <v>322</v>
          </cell>
          <cell r="P1077">
            <v>1384.6</v>
          </cell>
          <cell r="Q1077">
            <v>979</v>
          </cell>
          <cell r="R1077">
            <v>4209.7</v>
          </cell>
          <cell r="S1077"/>
          <cell r="T1077">
            <v>0</v>
          </cell>
          <cell r="U1077">
            <v>300</v>
          </cell>
          <cell r="V1077">
            <v>1290</v>
          </cell>
          <cell r="W1077">
            <v>246</v>
          </cell>
          <cell r="X1077">
            <v>1057.8</v>
          </cell>
          <cell r="Y1077"/>
          <cell r="Z1077">
            <v>0</v>
          </cell>
          <cell r="AA1077">
            <v>1159</v>
          </cell>
          <cell r="AB1077">
            <v>4983.7</v>
          </cell>
          <cell r="AC1077">
            <v>1159</v>
          </cell>
          <cell r="AD1077">
            <v>4983.7</v>
          </cell>
          <cell r="AE1077"/>
          <cell r="AF1077"/>
          <cell r="AG1077"/>
          <cell r="AH1077"/>
          <cell r="AI1077"/>
          <cell r="AJ1077">
            <v>0</v>
          </cell>
          <cell r="AK1077" t="str">
            <v>3P</v>
          </cell>
          <cell r="AL1077">
            <v>151</v>
          </cell>
          <cell r="AM1077">
            <v>27</v>
          </cell>
          <cell r="AN1077" t="str">
            <v>03 New Dealer</v>
          </cell>
          <cell r="AO1077" t="str">
            <v>South Central</v>
          </cell>
          <cell r="AP1077" t="str">
            <v>Central</v>
          </cell>
          <cell r="AQ1077">
            <v>78611</v>
          </cell>
          <cell r="AR1077">
            <v>0</v>
          </cell>
          <cell r="AS1077">
            <v>0</v>
          </cell>
        </row>
        <row r="1078">
          <cell r="A1078">
            <v>13113</v>
          </cell>
          <cell r="B1078" t="str">
            <v>DOUGLASS EXPRESS ENTERPRISES, INC</v>
          </cell>
          <cell r="C1078" t="str">
            <v>M11018</v>
          </cell>
          <cell r="D1078" t="str">
            <v>NET 5, BT+</v>
          </cell>
          <cell r="E1078" t="str">
            <v>F3 - Wells Fargo</v>
          </cell>
          <cell r="F1078" t="str">
            <v>Yes</v>
          </cell>
          <cell r="G1078" t="str">
            <v>TX</v>
          </cell>
          <cell r="H1078">
            <v>8</v>
          </cell>
          <cell r="I1078">
            <v>0.66500000000000004</v>
          </cell>
          <cell r="J1078" t="str">
            <v>Orphaned Acct</v>
          </cell>
          <cell r="K1078" t="str">
            <v>DUBLIN</v>
          </cell>
          <cell r="L1078" t="str">
            <v>TX</v>
          </cell>
          <cell r="M1078" t="str">
            <v>800-577-8858</v>
          </cell>
          <cell r="N1078"/>
          <cell r="O1078">
            <v>236</v>
          </cell>
          <cell r="P1078">
            <v>1014.8</v>
          </cell>
          <cell r="Q1078"/>
          <cell r="R1078">
            <v>0</v>
          </cell>
          <cell r="S1078"/>
          <cell r="T1078">
            <v>0</v>
          </cell>
          <cell r="U1078">
            <v>192</v>
          </cell>
          <cell r="V1078">
            <v>825.59999999999991</v>
          </cell>
          <cell r="W1078">
            <v>161</v>
          </cell>
          <cell r="X1078">
            <v>692.3</v>
          </cell>
          <cell r="Y1078"/>
          <cell r="Z1078">
            <v>0</v>
          </cell>
          <cell r="AA1078"/>
          <cell r="AB1078">
            <v>0</v>
          </cell>
          <cell r="AC1078"/>
          <cell r="AD1078">
            <v>0</v>
          </cell>
          <cell r="AE1078"/>
          <cell r="AF1078"/>
          <cell r="AG1078"/>
          <cell r="AH1078"/>
          <cell r="AI1078"/>
          <cell r="AJ1078">
            <v>0</v>
          </cell>
          <cell r="AK1078" t="str">
            <v>3P</v>
          </cell>
          <cell r="AL1078">
            <v>213</v>
          </cell>
          <cell r="AM1078">
            <v>101</v>
          </cell>
          <cell r="AN1078" t="str">
            <v>01 Existing Dealer</v>
          </cell>
          <cell r="AO1078" t="str">
            <v>South Central</v>
          </cell>
          <cell r="AP1078" t="str">
            <v>Central</v>
          </cell>
          <cell r="AQ1078"/>
          <cell r="AR1078">
            <v>0</v>
          </cell>
          <cell r="AS1078">
            <v>0</v>
          </cell>
        </row>
        <row r="1079">
          <cell r="A1079">
            <v>12885</v>
          </cell>
          <cell r="B1079" t="str">
            <v>EARLY TRAILER</v>
          </cell>
          <cell r="C1079" t="str">
            <v>M10186</v>
          </cell>
          <cell r="D1079" t="str">
            <v>NET 5, BT+</v>
          </cell>
          <cell r="E1079" t="str">
            <v>FP - Wells Fargo</v>
          </cell>
          <cell r="F1079" t="str">
            <v>Yes</v>
          </cell>
          <cell r="G1079" t="str">
            <v>TX</v>
          </cell>
          <cell r="H1079">
            <v>7</v>
          </cell>
          <cell r="I1079">
            <v>0.66500000000000004</v>
          </cell>
          <cell r="J1079" t="str">
            <v>JL Smith</v>
          </cell>
          <cell r="K1079" t="str">
            <v>EARLY</v>
          </cell>
          <cell r="L1079" t="str">
            <v>TX</v>
          </cell>
          <cell r="M1079" t="str">
            <v>800-577-8858</v>
          </cell>
          <cell r="N1079"/>
          <cell r="O1079">
            <v>282</v>
          </cell>
          <cell r="P1079">
            <v>1212.5999999999999</v>
          </cell>
          <cell r="Q1079"/>
          <cell r="R1079">
            <v>0</v>
          </cell>
          <cell r="S1079"/>
          <cell r="T1079">
            <v>0</v>
          </cell>
          <cell r="U1079">
            <v>239</v>
          </cell>
          <cell r="V1079">
            <v>1027.7</v>
          </cell>
          <cell r="W1079">
            <v>208</v>
          </cell>
          <cell r="X1079">
            <v>894.4</v>
          </cell>
          <cell r="Y1079"/>
          <cell r="Z1079">
            <v>0</v>
          </cell>
          <cell r="AA1079"/>
          <cell r="AB1079">
            <v>0</v>
          </cell>
          <cell r="AC1079"/>
          <cell r="AD1079">
            <v>0</v>
          </cell>
          <cell r="AE1079"/>
          <cell r="AF1079"/>
          <cell r="AG1079"/>
          <cell r="AH1079"/>
          <cell r="AI1079"/>
          <cell r="AJ1079">
            <v>0</v>
          </cell>
          <cell r="AK1079" t="str">
            <v>3P</v>
          </cell>
          <cell r="AL1079">
            <v>151</v>
          </cell>
          <cell r="AM1079">
            <v>57</v>
          </cell>
          <cell r="AN1079" t="str">
            <v>01 Existing Dealer</v>
          </cell>
          <cell r="AO1079" t="str">
            <v>South Central</v>
          </cell>
          <cell r="AP1079" t="str">
            <v>Central</v>
          </cell>
          <cell r="AQ1079"/>
          <cell r="AR1079">
            <v>0</v>
          </cell>
          <cell r="AS1079">
            <v>0</v>
          </cell>
        </row>
        <row r="1080">
          <cell r="A1080">
            <v>12663</v>
          </cell>
          <cell r="B1080" t="str">
            <v>EARLY TRAILER</v>
          </cell>
          <cell r="C1080" t="str">
            <v>M10186</v>
          </cell>
          <cell r="D1080" t="str">
            <v>NET 5, BT+</v>
          </cell>
          <cell r="E1080" t="str">
            <v>CO</v>
          </cell>
          <cell r="F1080" t="str">
            <v>Yes</v>
          </cell>
          <cell r="G1080" t="str">
            <v>TX</v>
          </cell>
          <cell r="H1080">
            <v>7</v>
          </cell>
          <cell r="I1080">
            <v>0.66500000000000004</v>
          </cell>
          <cell r="J1080" t="str">
            <v>JL Smith</v>
          </cell>
          <cell r="K1080" t="str">
            <v>EARLY</v>
          </cell>
          <cell r="L1080" t="str">
            <v>TX</v>
          </cell>
          <cell r="M1080" t="str">
            <v>800-577-8858</v>
          </cell>
          <cell r="N1080"/>
          <cell r="O1080">
            <v>282</v>
          </cell>
          <cell r="P1080">
            <v>1212.5999999999999</v>
          </cell>
          <cell r="Q1080"/>
          <cell r="R1080">
            <v>0</v>
          </cell>
          <cell r="S1080"/>
          <cell r="T1080">
            <v>0</v>
          </cell>
          <cell r="U1080">
            <v>239</v>
          </cell>
          <cell r="V1080">
            <v>1027.7</v>
          </cell>
          <cell r="W1080">
            <v>208</v>
          </cell>
          <cell r="X1080">
            <v>894.4</v>
          </cell>
          <cell r="Y1080"/>
          <cell r="Z1080">
            <v>0</v>
          </cell>
          <cell r="AA1080"/>
          <cell r="AB1080">
            <v>0</v>
          </cell>
          <cell r="AC1080"/>
          <cell r="AD1080">
            <v>0</v>
          </cell>
          <cell r="AE1080"/>
          <cell r="AF1080"/>
          <cell r="AG1080"/>
          <cell r="AH1080"/>
          <cell r="AI1080"/>
          <cell r="AJ1080">
            <v>0</v>
          </cell>
          <cell r="AK1080" t="str">
            <v>3P</v>
          </cell>
          <cell r="AL1080">
            <v>151</v>
          </cell>
          <cell r="AM1080">
            <v>57</v>
          </cell>
          <cell r="AN1080" t="str">
            <v>01 Existing Dealer</v>
          </cell>
          <cell r="AO1080" t="str">
            <v>South Central</v>
          </cell>
          <cell r="AP1080" t="str">
            <v>Central</v>
          </cell>
          <cell r="AQ1080"/>
          <cell r="AR1080">
            <v>0</v>
          </cell>
          <cell r="AS1080">
            <v>0</v>
          </cell>
        </row>
        <row r="1081">
          <cell r="A1081">
            <v>11799</v>
          </cell>
          <cell r="B1081" t="str">
            <v>ELLIFF</v>
          </cell>
          <cell r="C1081" t="str">
            <v>M10189</v>
          </cell>
          <cell r="D1081" t="str">
            <v>Return Mail, no pink card</v>
          </cell>
          <cell r="E1081" t="str">
            <v>F1 - Northpoint</v>
          </cell>
          <cell r="F1081" t="str">
            <v>Yes</v>
          </cell>
          <cell r="G1081" t="str">
            <v>TX</v>
          </cell>
          <cell r="H1081">
            <v>8</v>
          </cell>
          <cell r="I1081">
            <v>0.66500000000000004</v>
          </cell>
          <cell r="J1081" t="str">
            <v>Trent Evans</v>
          </cell>
          <cell r="K1081" t="str">
            <v>HARLINGEN</v>
          </cell>
          <cell r="L1081" t="str">
            <v>TX</v>
          </cell>
          <cell r="M1081" t="str">
            <v>800-577-8858</v>
          </cell>
          <cell r="N1081"/>
          <cell r="O1081">
            <v>636</v>
          </cell>
          <cell r="P1081">
            <v>2734.7999999999997</v>
          </cell>
          <cell r="Q1081"/>
          <cell r="R1081">
            <v>0</v>
          </cell>
          <cell r="S1081"/>
          <cell r="T1081">
            <v>0</v>
          </cell>
          <cell r="U1081">
            <v>623</v>
          </cell>
          <cell r="V1081">
            <v>2678.9</v>
          </cell>
          <cell r="W1081">
            <v>561</v>
          </cell>
          <cell r="X1081">
            <v>2412.2999999999997</v>
          </cell>
          <cell r="Y1081"/>
          <cell r="Z1081">
            <v>0</v>
          </cell>
          <cell r="AA1081"/>
          <cell r="AB1081">
            <v>0</v>
          </cell>
          <cell r="AC1081"/>
          <cell r="AD1081">
            <v>0</v>
          </cell>
          <cell r="AE1081"/>
          <cell r="AF1081"/>
          <cell r="AG1081"/>
          <cell r="AH1081"/>
          <cell r="AI1081"/>
          <cell r="AJ1081">
            <v>0.04</v>
          </cell>
          <cell r="AK1081" t="str">
            <v>3P</v>
          </cell>
          <cell r="AL1081">
            <v>226</v>
          </cell>
          <cell r="AM1081">
            <v>56</v>
          </cell>
          <cell r="AN1081" t="str">
            <v>01 Existing Dealer</v>
          </cell>
          <cell r="AO1081" t="str">
            <v>South Central</v>
          </cell>
          <cell r="AP1081" t="str">
            <v>Central</v>
          </cell>
          <cell r="AQ1081"/>
          <cell r="AR1081">
            <v>67175</v>
          </cell>
          <cell r="AS1081">
            <v>127241</v>
          </cell>
        </row>
        <row r="1082">
          <cell r="A1082" t="str">
            <v>11799A</v>
          </cell>
          <cell r="B1082" t="str">
            <v>ELLIFF</v>
          </cell>
          <cell r="C1082" t="str">
            <v>M10189</v>
          </cell>
          <cell r="D1082" t="str">
            <v>Return Mail, no pink card</v>
          </cell>
          <cell r="E1082" t="str">
            <v>F1 - Northpoint</v>
          </cell>
          <cell r="F1082" t="str">
            <v>Yes</v>
          </cell>
          <cell r="G1082" t="str">
            <v>TX</v>
          </cell>
          <cell r="H1082">
            <v>8</v>
          </cell>
          <cell r="I1082">
            <v>0.66500000000000004</v>
          </cell>
          <cell r="J1082" t="str">
            <v>Trent Evans</v>
          </cell>
          <cell r="K1082" t="str">
            <v>PHARR</v>
          </cell>
          <cell r="L1082" t="str">
            <v>TX</v>
          </cell>
          <cell r="M1082" t="str">
            <v>800-577-8858</v>
          </cell>
          <cell r="N1082"/>
          <cell r="O1082">
            <v>621</v>
          </cell>
          <cell r="P1082">
            <v>2670.2999999999997</v>
          </cell>
          <cell r="Q1082"/>
          <cell r="R1082">
            <v>0</v>
          </cell>
          <cell r="S1082"/>
          <cell r="T1082">
            <v>0</v>
          </cell>
          <cell r="U1082">
            <v>608</v>
          </cell>
          <cell r="V1082">
            <v>2614.4</v>
          </cell>
          <cell r="W1082">
            <v>546</v>
          </cell>
          <cell r="X1082">
            <v>2347.7999999999997</v>
          </cell>
          <cell r="Y1082"/>
          <cell r="Z1082">
            <v>0</v>
          </cell>
          <cell r="AA1082"/>
          <cell r="AB1082">
            <v>0</v>
          </cell>
          <cell r="AC1082"/>
          <cell r="AD1082">
            <v>0</v>
          </cell>
          <cell r="AE1082"/>
          <cell r="AF1082"/>
          <cell r="AG1082"/>
          <cell r="AH1082"/>
          <cell r="AI1082"/>
          <cell r="AJ1082">
            <v>0.04</v>
          </cell>
          <cell r="AK1082" t="str">
            <v>3P</v>
          </cell>
          <cell r="AL1082">
            <v>226</v>
          </cell>
          <cell r="AM1082">
            <v>268</v>
          </cell>
          <cell r="AN1082" t="str">
            <v>01 Existing Dealer</v>
          </cell>
          <cell r="AO1082" t="str">
            <v>South Central</v>
          </cell>
          <cell r="AP1082" t="str">
            <v>Central</v>
          </cell>
          <cell r="AQ1082"/>
          <cell r="AR1082">
            <v>0</v>
          </cell>
          <cell r="AS1082">
            <v>0</v>
          </cell>
        </row>
        <row r="1083">
          <cell r="A1083">
            <v>10198</v>
          </cell>
          <cell r="B1083" t="str">
            <v>ELLIFF MOTORS</v>
          </cell>
          <cell r="C1083" t="str">
            <v>M10189</v>
          </cell>
          <cell r="D1083" t="str">
            <v>Return Mail, no pink card</v>
          </cell>
          <cell r="E1083" t="str">
            <v>C6</v>
          </cell>
          <cell r="F1083" t="str">
            <v>Yes</v>
          </cell>
          <cell r="G1083" t="str">
            <v>TX</v>
          </cell>
          <cell r="H1083">
            <v>6</v>
          </cell>
          <cell r="I1083">
            <v>0.66500000000000004</v>
          </cell>
          <cell r="J1083" t="str">
            <v>House</v>
          </cell>
          <cell r="K1083" t="str">
            <v>HARLINGEN</v>
          </cell>
          <cell r="L1083" t="str">
            <v>TX</v>
          </cell>
          <cell r="M1083" t="str">
            <v>800-577-8858</v>
          </cell>
          <cell r="N1083"/>
          <cell r="O1083">
            <v>636</v>
          </cell>
          <cell r="P1083">
            <v>2734.7999999999997</v>
          </cell>
          <cell r="Q1083"/>
          <cell r="R1083">
            <v>0</v>
          </cell>
          <cell r="S1083"/>
          <cell r="T1083">
            <v>0</v>
          </cell>
          <cell r="U1083">
            <v>623</v>
          </cell>
          <cell r="V1083">
            <v>2678.9</v>
          </cell>
          <cell r="W1083">
            <v>561</v>
          </cell>
          <cell r="X1083">
            <v>2412.2999999999997</v>
          </cell>
          <cell r="Y1083"/>
          <cell r="Z1083">
            <v>0</v>
          </cell>
          <cell r="AA1083"/>
          <cell r="AB1083">
            <v>0</v>
          </cell>
          <cell r="AC1083"/>
          <cell r="AD1083">
            <v>0</v>
          </cell>
          <cell r="AE1083"/>
          <cell r="AF1083"/>
          <cell r="AG1083"/>
          <cell r="AH1083"/>
          <cell r="AI1083"/>
          <cell r="AJ1083">
            <v>0.04</v>
          </cell>
          <cell r="AK1083" t="str">
            <v>3P</v>
          </cell>
          <cell r="AL1083">
            <v>400</v>
          </cell>
          <cell r="AM1083">
            <v>56</v>
          </cell>
          <cell r="AN1083" t="str">
            <v>01 Existing Dealer</v>
          </cell>
          <cell r="AO1083" t="str">
            <v>South Central</v>
          </cell>
          <cell r="AP1083" t="str">
            <v>Central</v>
          </cell>
          <cell r="AQ1083"/>
          <cell r="AR1083">
            <v>0</v>
          </cell>
          <cell r="AS1083">
            <v>0</v>
          </cell>
        </row>
        <row r="1084">
          <cell r="A1084">
            <v>12901</v>
          </cell>
          <cell r="B1084" t="str">
            <v>FLATROCK</v>
          </cell>
          <cell r="C1084" t="str">
            <v>M10492</v>
          </cell>
          <cell r="D1084" t="str">
            <v>NET 5, BT+</v>
          </cell>
          <cell r="E1084" t="str">
            <v>F1 - Northpoint</v>
          </cell>
          <cell r="F1084" t="str">
            <v>Yes</v>
          </cell>
          <cell r="G1084" t="str">
            <v>TX</v>
          </cell>
          <cell r="H1084">
            <v>8</v>
          </cell>
          <cell r="I1084">
            <v>0.66500000000000004</v>
          </cell>
          <cell r="J1084" t="str">
            <v>JL Smith</v>
          </cell>
          <cell r="K1084" t="str">
            <v>HEWITT</v>
          </cell>
          <cell r="L1084" t="str">
            <v>TX</v>
          </cell>
          <cell r="M1084" t="str">
            <v>800-577-8858</v>
          </cell>
          <cell r="N1084"/>
          <cell r="O1084">
            <v>218</v>
          </cell>
          <cell r="P1084">
            <v>937.4</v>
          </cell>
          <cell r="Q1084"/>
          <cell r="R1084">
            <v>0</v>
          </cell>
          <cell r="S1084"/>
          <cell r="T1084">
            <v>0</v>
          </cell>
          <cell r="U1084">
            <v>205</v>
          </cell>
          <cell r="V1084">
            <v>881.5</v>
          </cell>
          <cell r="W1084">
            <v>143</v>
          </cell>
          <cell r="X1084">
            <v>614.9</v>
          </cell>
          <cell r="Y1084"/>
          <cell r="Z1084">
            <v>0</v>
          </cell>
          <cell r="AA1084"/>
          <cell r="AB1084">
            <v>0</v>
          </cell>
          <cell r="AC1084"/>
          <cell r="AD1084">
            <v>0</v>
          </cell>
          <cell r="AE1084"/>
          <cell r="AF1084"/>
          <cell r="AG1084"/>
          <cell r="AH1084"/>
          <cell r="AI1084"/>
          <cell r="AJ1084">
            <v>0</v>
          </cell>
          <cell r="AK1084" t="str">
            <v>3P</v>
          </cell>
          <cell r="AL1084">
            <v>151</v>
          </cell>
          <cell r="AM1084">
            <v>459</v>
          </cell>
          <cell r="AN1084" t="str">
            <v>01 Existing Dealer</v>
          </cell>
          <cell r="AO1084" t="str">
            <v>South Central</v>
          </cell>
          <cell r="AP1084" t="str">
            <v>Central</v>
          </cell>
          <cell r="AQ1084"/>
          <cell r="AR1084">
            <v>18320</v>
          </cell>
          <cell r="AS1084">
            <v>49180</v>
          </cell>
        </row>
        <row r="1085">
          <cell r="A1085">
            <v>12287</v>
          </cell>
          <cell r="B1085" t="str">
            <v>FLATROCK</v>
          </cell>
          <cell r="C1085" t="str">
            <v>M10492</v>
          </cell>
          <cell r="D1085" t="str">
            <v>NET 5, BT+</v>
          </cell>
          <cell r="E1085" t="str">
            <v>C6</v>
          </cell>
          <cell r="F1085" t="str">
            <v>Copies</v>
          </cell>
          <cell r="G1085" t="str">
            <v>TX</v>
          </cell>
          <cell r="H1085">
            <v>9</v>
          </cell>
          <cell r="I1085">
            <v>0.66500000000000004</v>
          </cell>
          <cell r="J1085" t="str">
            <v>House</v>
          </cell>
          <cell r="K1085" t="str">
            <v>HEWITT</v>
          </cell>
          <cell r="L1085" t="str">
            <v>TX</v>
          </cell>
          <cell r="M1085" t="str">
            <v>800-577-8858</v>
          </cell>
          <cell r="N1085"/>
          <cell r="O1085">
            <v>218</v>
          </cell>
          <cell r="P1085">
            <v>937.4</v>
          </cell>
          <cell r="Q1085"/>
          <cell r="R1085">
            <v>0</v>
          </cell>
          <cell r="S1085"/>
          <cell r="T1085">
            <v>0</v>
          </cell>
          <cell r="U1085">
            <v>205</v>
          </cell>
          <cell r="V1085">
            <v>881.5</v>
          </cell>
          <cell r="W1085">
            <v>143</v>
          </cell>
          <cell r="X1085">
            <v>614.9</v>
          </cell>
          <cell r="Y1085"/>
          <cell r="Z1085">
            <v>0</v>
          </cell>
          <cell r="AA1085"/>
          <cell r="AB1085">
            <v>0</v>
          </cell>
          <cell r="AC1085"/>
          <cell r="AD1085">
            <v>0</v>
          </cell>
          <cell r="AE1085"/>
          <cell r="AF1085"/>
          <cell r="AG1085"/>
          <cell r="AH1085"/>
          <cell r="AI1085"/>
          <cell r="AJ1085">
            <v>0</v>
          </cell>
          <cell r="AK1085" t="str">
            <v>3P</v>
          </cell>
          <cell r="AL1085">
            <v>400</v>
          </cell>
          <cell r="AM1085">
            <v>459</v>
          </cell>
          <cell r="AN1085" t="str">
            <v>01 Existing Dealer</v>
          </cell>
          <cell r="AO1085" t="str">
            <v>South Central</v>
          </cell>
          <cell r="AP1085" t="str">
            <v>Central</v>
          </cell>
          <cell r="AQ1085"/>
          <cell r="AR1085">
            <v>0</v>
          </cell>
          <cell r="AS1085">
            <v>0</v>
          </cell>
        </row>
        <row r="1086">
          <cell r="A1086" t="str">
            <v>12287A</v>
          </cell>
          <cell r="B1086" t="str">
            <v>FLATROCK</v>
          </cell>
          <cell r="C1086" t="str">
            <v>M10492</v>
          </cell>
          <cell r="D1086" t="str">
            <v>NET 5, BT+</v>
          </cell>
          <cell r="E1086" t="str">
            <v>C6</v>
          </cell>
          <cell r="F1086" t="str">
            <v>Copies</v>
          </cell>
          <cell r="G1086" t="str">
            <v>TX</v>
          </cell>
          <cell r="H1086">
            <v>9</v>
          </cell>
          <cell r="I1086">
            <v>0.66500000000000004</v>
          </cell>
          <cell r="J1086" t="str">
            <v>House</v>
          </cell>
          <cell r="K1086" t="str">
            <v>HEWITT</v>
          </cell>
          <cell r="L1086" t="str">
            <v>TX</v>
          </cell>
          <cell r="M1086" t="str">
            <v>800-577-8858</v>
          </cell>
          <cell r="N1086"/>
          <cell r="O1086">
            <v>218</v>
          </cell>
          <cell r="P1086">
            <v>937.4</v>
          </cell>
          <cell r="Q1086"/>
          <cell r="R1086">
            <v>0</v>
          </cell>
          <cell r="S1086"/>
          <cell r="T1086">
            <v>0</v>
          </cell>
          <cell r="U1086">
            <v>205</v>
          </cell>
          <cell r="V1086">
            <v>881.5</v>
          </cell>
          <cell r="W1086">
            <v>143</v>
          </cell>
          <cell r="X1086">
            <v>614.9</v>
          </cell>
          <cell r="Y1086"/>
          <cell r="Z1086">
            <v>0</v>
          </cell>
          <cell r="AA1086"/>
          <cell r="AB1086">
            <v>0</v>
          </cell>
          <cell r="AC1086"/>
          <cell r="AD1086">
            <v>0</v>
          </cell>
          <cell r="AE1086"/>
          <cell r="AF1086"/>
          <cell r="AG1086"/>
          <cell r="AH1086"/>
          <cell r="AI1086"/>
          <cell r="AJ1086">
            <v>0</v>
          </cell>
          <cell r="AK1086" t="str">
            <v>3P</v>
          </cell>
          <cell r="AL1086">
            <v>400</v>
          </cell>
          <cell r="AM1086">
            <v>459</v>
          </cell>
          <cell r="AN1086" t="str">
            <v>01 Existing Dealer</v>
          </cell>
          <cell r="AO1086" t="str">
            <v>South Central</v>
          </cell>
          <cell r="AP1086" t="str">
            <v>Central</v>
          </cell>
          <cell r="AQ1086"/>
          <cell r="AR1086">
            <v>0</v>
          </cell>
          <cell r="AS1086">
            <v>0</v>
          </cell>
        </row>
        <row r="1087">
          <cell r="A1087" t="str">
            <v>12287B</v>
          </cell>
          <cell r="B1087" t="str">
            <v>FLATROCK</v>
          </cell>
          <cell r="C1087" t="str">
            <v>M10492</v>
          </cell>
          <cell r="D1087" t="str">
            <v>NET 5, BT+</v>
          </cell>
          <cell r="E1087" t="str">
            <v>C6</v>
          </cell>
          <cell r="F1087" t="str">
            <v>Copies</v>
          </cell>
          <cell r="G1087" t="str">
            <v>TX</v>
          </cell>
          <cell r="H1087">
            <v>9</v>
          </cell>
          <cell r="I1087">
            <v>0.66500000000000004</v>
          </cell>
          <cell r="J1087" t="str">
            <v>House</v>
          </cell>
          <cell r="K1087" t="str">
            <v>WACO</v>
          </cell>
          <cell r="L1087" t="str">
            <v>TX</v>
          </cell>
          <cell r="M1087" t="str">
            <v>800-577-8858</v>
          </cell>
          <cell r="N1087"/>
          <cell r="O1087">
            <v>210</v>
          </cell>
          <cell r="P1087">
            <v>903</v>
          </cell>
          <cell r="Q1087"/>
          <cell r="R1087">
            <v>0</v>
          </cell>
          <cell r="S1087"/>
          <cell r="T1087">
            <v>0</v>
          </cell>
          <cell r="U1087">
            <v>197</v>
          </cell>
          <cell r="V1087">
            <v>847.09999999999991</v>
          </cell>
          <cell r="W1087">
            <v>135</v>
          </cell>
          <cell r="X1087">
            <v>580.5</v>
          </cell>
          <cell r="Y1087"/>
          <cell r="Z1087">
            <v>0</v>
          </cell>
          <cell r="AA1087"/>
          <cell r="AB1087">
            <v>0</v>
          </cell>
          <cell r="AC1087"/>
          <cell r="AD1087">
            <v>0</v>
          </cell>
          <cell r="AE1087"/>
          <cell r="AF1087"/>
          <cell r="AG1087"/>
          <cell r="AH1087"/>
          <cell r="AI1087"/>
          <cell r="AJ1087">
            <v>0</v>
          </cell>
          <cell r="AK1087" t="str">
            <v>3P</v>
          </cell>
          <cell r="AL1087">
            <v>400</v>
          </cell>
          <cell r="AM1087">
            <v>459</v>
          </cell>
          <cell r="AN1087" t="str">
            <v>01 Existing Dealer</v>
          </cell>
          <cell r="AO1087" t="str">
            <v>South Central</v>
          </cell>
          <cell r="AP1087" t="str">
            <v>Central</v>
          </cell>
          <cell r="AQ1087"/>
          <cell r="AR1087">
            <v>0</v>
          </cell>
          <cell r="AS1087">
            <v>0</v>
          </cell>
        </row>
        <row r="1088">
          <cell r="A1088">
            <v>10213</v>
          </cell>
          <cell r="B1088" t="str">
            <v>FLEET SALES - ODESSA</v>
          </cell>
          <cell r="C1088"/>
          <cell r="D1088" t="str">
            <v>NET 5, BT+</v>
          </cell>
          <cell r="E1088" t="str">
            <v>RC</v>
          </cell>
          <cell r="F1088" t="str">
            <v>Yes</v>
          </cell>
          <cell r="G1088" t="str">
            <v xml:space="preserve">Odessa </v>
          </cell>
          <cell r="H1088">
            <v>3</v>
          </cell>
          <cell r="I1088">
            <v>0.75</v>
          </cell>
          <cell r="J1088" t="str">
            <v>House</v>
          </cell>
          <cell r="K1088" t="str">
            <v>ODESSA</v>
          </cell>
          <cell r="L1088" t="str">
            <v>TX</v>
          </cell>
          <cell r="M1088" t="str">
            <v>800-577-8858</v>
          </cell>
          <cell r="N1088"/>
          <cell r="O1088">
            <v>486</v>
          </cell>
          <cell r="P1088">
            <v>2089.7999999999997</v>
          </cell>
          <cell r="Q1088"/>
          <cell r="R1088">
            <v>0</v>
          </cell>
          <cell r="S1088"/>
          <cell r="T1088">
            <v>0</v>
          </cell>
          <cell r="U1088">
            <v>436</v>
          </cell>
          <cell r="V1088">
            <v>1874.8</v>
          </cell>
          <cell r="W1088">
            <v>411</v>
          </cell>
          <cell r="X1088">
            <v>1767.3</v>
          </cell>
          <cell r="Y1088"/>
          <cell r="Z1088">
            <v>0</v>
          </cell>
          <cell r="AA1088"/>
          <cell r="AB1088">
            <v>0</v>
          </cell>
          <cell r="AC1088"/>
          <cell r="AD1088">
            <v>0</v>
          </cell>
          <cell r="AE1088"/>
          <cell r="AF1088"/>
          <cell r="AG1088"/>
          <cell r="AH1088"/>
          <cell r="AI1088"/>
          <cell r="AJ1088">
            <v>0</v>
          </cell>
          <cell r="AK1088" t="str"/>
          <cell r="AL1088">
            <v>400</v>
          </cell>
          <cell r="AM1088">
            <v>327</v>
          </cell>
          <cell r="AN1088" t="str">
            <v>09 Inactive Co Store</v>
          </cell>
          <cell r="AO1088" t="str">
            <v>South Central</v>
          </cell>
          <cell r="AP1088" t="str">
            <v>Central</v>
          </cell>
          <cell r="AQ1088"/>
          <cell r="AR1088">
            <v>0</v>
          </cell>
          <cell r="AS1088">
            <v>0</v>
          </cell>
        </row>
        <row r="1089">
          <cell r="A1089">
            <v>13120</v>
          </cell>
          <cell r="B1089" t="str">
            <v>GERHARDT OUTFITTERS</v>
          </cell>
          <cell r="C1089" t="str">
            <v>M10155</v>
          </cell>
          <cell r="D1089" t="str">
            <v>NET 5, BT+</v>
          </cell>
          <cell r="E1089" t="str">
            <v>FP - Northpoint</v>
          </cell>
          <cell r="F1089" t="str">
            <v>Yes</v>
          </cell>
          <cell r="G1089" t="str">
            <v>TX</v>
          </cell>
          <cell r="H1089">
            <v>8</v>
          </cell>
          <cell r="I1089">
            <v>0.66500000000000004</v>
          </cell>
          <cell r="J1089" t="str">
            <v>Orphaned Acct</v>
          </cell>
          <cell r="K1089" t="str">
            <v>COLUMBUS</v>
          </cell>
          <cell r="L1089" t="str">
            <v>TX</v>
          </cell>
          <cell r="M1089" t="str">
            <v>800-577-8858</v>
          </cell>
          <cell r="N1089"/>
          <cell r="O1089">
            <v>325</v>
          </cell>
          <cell r="P1089">
            <v>1397.5</v>
          </cell>
          <cell r="Q1089"/>
          <cell r="R1089">
            <v>0</v>
          </cell>
          <cell r="S1089"/>
          <cell r="T1089">
            <v>0</v>
          </cell>
          <cell r="U1089">
            <v>346</v>
          </cell>
          <cell r="V1089">
            <v>1487.8</v>
          </cell>
          <cell r="W1089">
            <v>283</v>
          </cell>
          <cell r="X1089">
            <v>1216.8999999999999</v>
          </cell>
          <cell r="Y1089"/>
          <cell r="Z1089">
            <v>0</v>
          </cell>
          <cell r="AA1089"/>
          <cell r="AB1089">
            <v>0</v>
          </cell>
          <cell r="AC1089"/>
          <cell r="AD1089">
            <v>0</v>
          </cell>
          <cell r="AE1089"/>
          <cell r="AF1089"/>
          <cell r="AG1089"/>
          <cell r="AH1089"/>
          <cell r="AI1089"/>
          <cell r="AJ1089">
            <v>0</v>
          </cell>
          <cell r="AK1089" t="str">
            <v>3P</v>
          </cell>
          <cell r="AL1089">
            <v>213</v>
          </cell>
          <cell r="AM1089">
            <v>196</v>
          </cell>
          <cell r="AN1089" t="str">
            <v>01 Existing Dealer</v>
          </cell>
          <cell r="AO1089" t="str">
            <v>South Central</v>
          </cell>
          <cell r="AP1089" t="str">
            <v>Central</v>
          </cell>
          <cell r="AQ1089"/>
          <cell r="AR1089">
            <v>0</v>
          </cell>
          <cell r="AS1089">
            <v>0</v>
          </cell>
        </row>
        <row r="1090">
          <cell r="A1090">
            <v>12540</v>
          </cell>
          <cell r="B1090" t="str">
            <v>GROGAN'S FARM &amp; RANCH</v>
          </cell>
          <cell r="C1090" t="str">
            <v>M10209</v>
          </cell>
          <cell r="D1090" t="str">
            <v>NET 5, BT+</v>
          </cell>
          <cell r="E1090" t="str">
            <v>CO</v>
          </cell>
          <cell r="F1090" t="str">
            <v>Yes</v>
          </cell>
          <cell r="G1090" t="str">
            <v>TX</v>
          </cell>
          <cell r="H1090">
            <v>7</v>
          </cell>
          <cell r="I1090">
            <v>0.66500000000000004</v>
          </cell>
          <cell r="J1090" t="str">
            <v>House</v>
          </cell>
          <cell r="K1090" t="str">
            <v>SAN ANGELO</v>
          </cell>
          <cell r="L1090" t="str">
            <v>TX</v>
          </cell>
          <cell r="M1090" t="str">
            <v>800-577-8858</v>
          </cell>
          <cell r="N1090"/>
          <cell r="O1090">
            <v>397</v>
          </cell>
          <cell r="P1090">
            <v>1707.1</v>
          </cell>
          <cell r="Q1090"/>
          <cell r="R1090">
            <v>0</v>
          </cell>
          <cell r="S1090"/>
          <cell r="T1090">
            <v>0</v>
          </cell>
          <cell r="U1090">
            <v>348</v>
          </cell>
          <cell r="V1090">
            <v>1496.3999999999999</v>
          </cell>
          <cell r="W1090">
            <v>323</v>
          </cell>
          <cell r="X1090">
            <v>1388.8999999999999</v>
          </cell>
          <cell r="Y1090"/>
          <cell r="Z1090">
            <v>0</v>
          </cell>
          <cell r="AA1090"/>
          <cell r="AB1090">
            <v>0</v>
          </cell>
          <cell r="AC1090"/>
          <cell r="AD1090">
            <v>0</v>
          </cell>
          <cell r="AE1090"/>
          <cell r="AF1090"/>
          <cell r="AG1090"/>
          <cell r="AH1090"/>
          <cell r="AI1090"/>
          <cell r="AJ1090">
            <v>0</v>
          </cell>
          <cell r="AK1090" t="str">
            <v>3P</v>
          </cell>
          <cell r="AL1090">
            <v>400</v>
          </cell>
          <cell r="AM1090">
            <v>400</v>
          </cell>
          <cell r="AN1090" t="str">
            <v>08 Inactive Dealer</v>
          </cell>
          <cell r="AO1090" t="str">
            <v>South Central</v>
          </cell>
          <cell r="AP1090" t="str">
            <v>Central</v>
          </cell>
          <cell r="AQ1090"/>
          <cell r="AR1090">
            <v>0</v>
          </cell>
          <cell r="AS1090">
            <v>0</v>
          </cell>
        </row>
        <row r="1091">
          <cell r="A1091">
            <v>11803</v>
          </cell>
          <cell r="B1091" t="str">
            <v>H BRAND LIVESTOCK, PET &amp; GARDEN SUPPLY, INC.</v>
          </cell>
          <cell r="C1091" t="str">
            <v>M10211</v>
          </cell>
          <cell r="D1091" t="str">
            <v>NET 5, BT+</v>
          </cell>
          <cell r="E1091" t="str">
            <v>CO</v>
          </cell>
          <cell r="F1091" t="str">
            <v>Yes</v>
          </cell>
          <cell r="G1091" t="str">
            <v>TX</v>
          </cell>
          <cell r="H1091">
            <v>7</v>
          </cell>
          <cell r="I1091">
            <v>0.66500000000000004</v>
          </cell>
          <cell r="J1091" t="str">
            <v>Orphaned Acct</v>
          </cell>
          <cell r="K1091" t="str">
            <v>JACKSBORO</v>
          </cell>
          <cell r="L1091" t="str">
            <v>TX</v>
          </cell>
          <cell r="M1091" t="str">
            <v>800-577-8858</v>
          </cell>
          <cell r="N1091"/>
          <cell r="O1091">
            <v>197</v>
          </cell>
          <cell r="P1091">
            <v>847.09999999999991</v>
          </cell>
          <cell r="Q1091"/>
          <cell r="R1091">
            <v>0</v>
          </cell>
          <cell r="S1091"/>
          <cell r="T1091">
            <v>0</v>
          </cell>
          <cell r="U1091">
            <v>137</v>
          </cell>
          <cell r="V1091">
            <v>589.1</v>
          </cell>
          <cell r="W1091">
            <v>149</v>
          </cell>
          <cell r="X1091">
            <v>640.69999999999993</v>
          </cell>
          <cell r="Y1091"/>
          <cell r="Z1091">
            <v>0</v>
          </cell>
          <cell r="AA1091"/>
          <cell r="AB1091">
            <v>0</v>
          </cell>
          <cell r="AC1091"/>
          <cell r="AD1091">
            <v>0</v>
          </cell>
          <cell r="AE1091"/>
          <cell r="AF1091"/>
          <cell r="AG1091"/>
          <cell r="AH1091"/>
          <cell r="AI1091"/>
          <cell r="AJ1091">
            <v>0</v>
          </cell>
          <cell r="AK1091" t="str">
            <v>3P</v>
          </cell>
          <cell r="AL1091">
            <v>213</v>
          </cell>
          <cell r="AM1091">
            <v>473</v>
          </cell>
          <cell r="AN1091" t="str">
            <v>08 Inactive Dealer</v>
          </cell>
          <cell r="AO1091" t="str">
            <v>South Central</v>
          </cell>
          <cell r="AP1091" t="str">
            <v>Central</v>
          </cell>
          <cell r="AQ1091"/>
          <cell r="AR1091">
            <v>0</v>
          </cell>
          <cell r="AS1091">
            <v>0</v>
          </cell>
        </row>
        <row r="1092">
          <cell r="A1092" t="str">
            <v>13648A</v>
          </cell>
          <cell r="B1092" t="str">
            <v>HAPPY TRAILER</v>
          </cell>
          <cell r="C1092" t="str">
            <v>M11633</v>
          </cell>
          <cell r="D1092" t="str">
            <v>NET 5, BT+</v>
          </cell>
          <cell r="E1092" t="str">
            <v>F6 - Northpoint</v>
          </cell>
          <cell r="F1092" t="str">
            <v>Yes</v>
          </cell>
          <cell r="G1092" t="str">
            <v>TX</v>
          </cell>
          <cell r="H1092">
            <v>8</v>
          </cell>
          <cell r="I1092">
            <v>0.66500000000000004</v>
          </cell>
          <cell r="J1092" t="str">
            <v>Dakota Nation</v>
          </cell>
          <cell r="K1092" t="str">
            <v>EL PASO</v>
          </cell>
          <cell r="L1092" t="str">
            <v>TX</v>
          </cell>
          <cell r="M1092" t="str">
            <v>800-577-8858</v>
          </cell>
          <cell r="N1092"/>
          <cell r="O1092">
            <v>662</v>
          </cell>
          <cell r="P1092">
            <v>1950</v>
          </cell>
          <cell r="Q1092"/>
          <cell r="R1092">
            <v>0</v>
          </cell>
          <cell r="S1092"/>
          <cell r="T1092">
            <v>0</v>
          </cell>
          <cell r="U1092">
            <v>569</v>
          </cell>
          <cell r="V1092">
            <v>1950</v>
          </cell>
          <cell r="W1092">
            <v>600</v>
          </cell>
          <cell r="X1092">
            <v>1950</v>
          </cell>
          <cell r="Y1092"/>
          <cell r="Z1092">
            <v>0</v>
          </cell>
          <cell r="AA1092"/>
          <cell r="AB1092">
            <v>0</v>
          </cell>
          <cell r="AC1092"/>
          <cell r="AD1092">
            <v>0</v>
          </cell>
          <cell r="AE1092"/>
          <cell r="AF1092"/>
          <cell r="AG1092"/>
          <cell r="AH1092"/>
          <cell r="AI1092"/>
          <cell r="AJ1092">
            <v>0.06</v>
          </cell>
          <cell r="AK1092" t="str">
            <v>3P</v>
          </cell>
          <cell r="AL1092">
            <v>223</v>
          </cell>
          <cell r="AM1092">
            <v>128</v>
          </cell>
          <cell r="AN1092" t="str">
            <v>03 New Dealer</v>
          </cell>
          <cell r="AO1092" t="str">
            <v>South Central</v>
          </cell>
          <cell r="AP1092" t="str">
            <v>Central</v>
          </cell>
          <cell r="AQ1092"/>
          <cell r="AR1092">
            <v>0</v>
          </cell>
          <cell r="AS1092">
            <v>0</v>
          </cell>
        </row>
        <row r="1093">
          <cell r="A1093">
            <v>13507</v>
          </cell>
          <cell r="B1093" t="str">
            <v>HAULSTAR TRAILER SALES</v>
          </cell>
          <cell r="C1093" t="str">
            <v>M11484</v>
          </cell>
          <cell r="D1093" t="str">
            <v>NET 5, BT+</v>
          </cell>
          <cell r="E1093" t="str">
            <v>FP - Northpoint</v>
          </cell>
          <cell r="F1093" t="str">
            <v>Yes</v>
          </cell>
          <cell r="G1093" t="str">
            <v>TX</v>
          </cell>
          <cell r="H1093">
            <v>8</v>
          </cell>
          <cell r="I1093">
            <v>0.66500000000000004</v>
          </cell>
          <cell r="J1093" t="str">
            <v>Lane Davis</v>
          </cell>
          <cell r="K1093" t="str">
            <v>PETTY</v>
          </cell>
          <cell r="L1093" t="str">
            <v>TX</v>
          </cell>
          <cell r="M1093" t="str">
            <v>800-577-8858</v>
          </cell>
          <cell r="N1093"/>
          <cell r="O1093">
            <v>68</v>
          </cell>
          <cell r="P1093">
            <v>292.39999999999998</v>
          </cell>
          <cell r="Q1093"/>
          <cell r="R1093">
            <v>0</v>
          </cell>
          <cell r="S1093"/>
          <cell r="T1093">
            <v>0</v>
          </cell>
          <cell r="U1093">
            <v>93</v>
          </cell>
          <cell r="V1093">
            <v>399.9</v>
          </cell>
          <cell r="W1093">
            <v>78</v>
          </cell>
          <cell r="X1093">
            <v>335.4</v>
          </cell>
          <cell r="Y1093"/>
          <cell r="Z1093">
            <v>0</v>
          </cell>
          <cell r="AA1093"/>
          <cell r="AB1093">
            <v>0</v>
          </cell>
          <cell r="AC1093"/>
          <cell r="AD1093">
            <v>0</v>
          </cell>
          <cell r="AE1093"/>
          <cell r="AF1093"/>
          <cell r="AG1093"/>
          <cell r="AH1093"/>
          <cell r="AI1093"/>
          <cell r="AJ1093">
            <v>0</v>
          </cell>
          <cell r="AK1093" t="str">
            <v>3P</v>
          </cell>
          <cell r="AL1093">
            <v>275</v>
          </cell>
          <cell r="AM1093">
            <v>341</v>
          </cell>
          <cell r="AN1093" t="str">
            <v>03 New Dealer</v>
          </cell>
          <cell r="AO1093" t="str">
            <v>South Central</v>
          </cell>
          <cell r="AP1093" t="str">
            <v>Central</v>
          </cell>
          <cell r="AQ1093"/>
          <cell r="AR1093">
            <v>0</v>
          </cell>
          <cell r="AS1093">
            <v>0</v>
          </cell>
        </row>
        <row r="1094">
          <cell r="A1094">
            <v>13061</v>
          </cell>
          <cell r="B1094" t="str">
            <v>HOUSTON TRAILER SALES</v>
          </cell>
          <cell r="C1094" t="str">
            <v>M10802</v>
          </cell>
          <cell r="D1094" t="str">
            <v>NET 5, BT+</v>
          </cell>
          <cell r="E1094" t="str">
            <v>F1 - Northpoint</v>
          </cell>
          <cell r="F1094" t="str">
            <v>Yes</v>
          </cell>
          <cell r="G1094" t="str">
            <v>TX</v>
          </cell>
          <cell r="H1094">
            <v>8</v>
          </cell>
          <cell r="I1094">
            <v>0.66500000000000004</v>
          </cell>
          <cell r="J1094" t="str">
            <v>Orphaned Acct</v>
          </cell>
          <cell r="K1094" t="str">
            <v>BEASLEY</v>
          </cell>
          <cell r="L1094" t="str">
            <v>TX</v>
          </cell>
          <cell r="M1094" t="str">
            <v>800-577-8858</v>
          </cell>
          <cell r="N1094"/>
          <cell r="O1094">
            <v>298</v>
          </cell>
          <cell r="P1094">
            <v>1281.3999999999999</v>
          </cell>
          <cell r="Q1094"/>
          <cell r="R1094">
            <v>0</v>
          </cell>
          <cell r="S1094"/>
          <cell r="T1094">
            <v>0</v>
          </cell>
          <cell r="U1094">
            <v>393</v>
          </cell>
          <cell r="V1094">
            <v>1689.8999999999999</v>
          </cell>
          <cell r="W1094">
            <v>316</v>
          </cell>
          <cell r="X1094">
            <v>1358.8</v>
          </cell>
          <cell r="Y1094"/>
          <cell r="Z1094">
            <v>0</v>
          </cell>
          <cell r="AA1094"/>
          <cell r="AB1094">
            <v>0</v>
          </cell>
          <cell r="AC1094"/>
          <cell r="AD1094">
            <v>0</v>
          </cell>
          <cell r="AE1094"/>
          <cell r="AF1094"/>
          <cell r="AG1094"/>
          <cell r="AH1094"/>
          <cell r="AI1094"/>
          <cell r="AJ1094">
            <v>0</v>
          </cell>
          <cell r="AK1094" t="str">
            <v>3P</v>
          </cell>
          <cell r="AL1094">
            <v>213</v>
          </cell>
          <cell r="AM1094">
            <v>196</v>
          </cell>
          <cell r="AN1094" t="str">
            <v>08 Inactive Dealer</v>
          </cell>
          <cell r="AO1094" t="str">
            <v>South Central</v>
          </cell>
          <cell r="AP1094" t="str">
            <v>Central</v>
          </cell>
          <cell r="AQ1094"/>
          <cell r="AR1094">
            <v>0</v>
          </cell>
          <cell r="AS1094">
            <v>0</v>
          </cell>
        </row>
        <row r="1095">
          <cell r="A1095">
            <v>12536</v>
          </cell>
          <cell r="B1095" t="str">
            <v>HURST FARM SUPPLY, INC</v>
          </cell>
          <cell r="C1095" t="str">
            <v>M10467</v>
          </cell>
          <cell r="D1095" t="str">
            <v>NET 5, BT+</v>
          </cell>
          <cell r="E1095" t="str">
            <v>CO</v>
          </cell>
          <cell r="F1095" t="str">
            <v>Yes</v>
          </cell>
          <cell r="G1095" t="str">
            <v>TX</v>
          </cell>
          <cell r="H1095">
            <v>7</v>
          </cell>
          <cell r="I1095">
            <v>0.66500000000000004</v>
          </cell>
          <cell r="J1095" t="str">
            <v>Orphaned Acct</v>
          </cell>
          <cell r="K1095" t="str">
            <v>SNYDER</v>
          </cell>
          <cell r="L1095" t="str">
            <v>TX</v>
          </cell>
          <cell r="M1095" t="str">
            <v>800-577-8858</v>
          </cell>
          <cell r="N1095"/>
          <cell r="O1095">
            <v>388</v>
          </cell>
          <cell r="P1095">
            <v>1668.3999999999999</v>
          </cell>
          <cell r="Q1095"/>
          <cell r="R1095">
            <v>0</v>
          </cell>
          <cell r="S1095"/>
          <cell r="T1095">
            <v>0</v>
          </cell>
          <cell r="U1095">
            <v>339</v>
          </cell>
          <cell r="V1095">
            <v>1457.7</v>
          </cell>
          <cell r="W1095">
            <v>314</v>
          </cell>
          <cell r="X1095">
            <v>1350.2</v>
          </cell>
          <cell r="Y1095"/>
          <cell r="Z1095">
            <v>0</v>
          </cell>
          <cell r="AA1095"/>
          <cell r="AB1095">
            <v>0</v>
          </cell>
          <cell r="AC1095"/>
          <cell r="AD1095">
            <v>0</v>
          </cell>
          <cell r="AE1095"/>
          <cell r="AF1095"/>
          <cell r="AG1095"/>
          <cell r="AH1095"/>
          <cell r="AI1095"/>
          <cell r="AJ1095">
            <v>0</v>
          </cell>
          <cell r="AK1095" t="str">
            <v>3P</v>
          </cell>
          <cell r="AL1095">
            <v>213</v>
          </cell>
          <cell r="AM1095">
            <v>3</v>
          </cell>
          <cell r="AN1095" t="str">
            <v>08 Inactive Dealer</v>
          </cell>
          <cell r="AO1095" t="str">
            <v>South Central</v>
          </cell>
          <cell r="AP1095" t="str">
            <v>Central</v>
          </cell>
          <cell r="AQ1095"/>
          <cell r="AR1095">
            <v>0</v>
          </cell>
          <cell r="AS1095">
            <v>0</v>
          </cell>
        </row>
        <row r="1096">
          <cell r="A1096">
            <v>10256</v>
          </cell>
          <cell r="B1096" t="str">
            <v>J &amp; B TRAILERS</v>
          </cell>
          <cell r="C1096"/>
          <cell r="D1096" t="str">
            <v>Net 30, no pink card</v>
          </cell>
          <cell r="E1096">
            <v>30</v>
          </cell>
          <cell r="F1096" t="str">
            <v>Yes</v>
          </cell>
          <cell r="G1096" t="str">
            <v>TX</v>
          </cell>
          <cell r="H1096">
            <v>6</v>
          </cell>
          <cell r="I1096">
            <v>0.66500000000000004</v>
          </cell>
          <cell r="J1096" t="str">
            <v>House</v>
          </cell>
          <cell r="K1096" t="str">
            <v>LUBBOCK</v>
          </cell>
          <cell r="L1096" t="str">
            <v>TX</v>
          </cell>
          <cell r="M1096" t="str">
            <v>800-577-8858</v>
          </cell>
          <cell r="N1096"/>
          <cell r="O1096">
            <v>469</v>
          </cell>
          <cell r="P1096">
            <v>2016.6999999999998</v>
          </cell>
          <cell r="Q1096"/>
          <cell r="R1096">
            <v>0</v>
          </cell>
          <cell r="S1096"/>
          <cell r="T1096">
            <v>0</v>
          </cell>
          <cell r="U1096">
            <v>319</v>
          </cell>
          <cell r="V1096">
            <v>1371.7</v>
          </cell>
          <cell r="W1096"/>
          <cell r="X1096">
            <v>0</v>
          </cell>
          <cell r="Y1096"/>
          <cell r="Z1096">
            <v>0</v>
          </cell>
          <cell r="AA1096"/>
          <cell r="AB1096">
            <v>0</v>
          </cell>
          <cell r="AC1096"/>
          <cell r="AD1096">
            <v>0</v>
          </cell>
          <cell r="AE1096"/>
          <cell r="AF1096"/>
          <cell r="AG1096"/>
          <cell r="AH1096"/>
          <cell r="AI1096"/>
          <cell r="AJ1096">
            <v>0</v>
          </cell>
          <cell r="AK1096" t="str">
            <v>3P</v>
          </cell>
          <cell r="AL1096">
            <v>400</v>
          </cell>
          <cell r="AM1096">
            <v>264</v>
          </cell>
          <cell r="AN1096" t="str">
            <v>08 Inactive Dealer</v>
          </cell>
          <cell r="AO1096" t="str">
            <v>South Central</v>
          </cell>
          <cell r="AP1096" t="str">
            <v>Central</v>
          </cell>
          <cell r="AQ1096"/>
          <cell r="AR1096">
            <v>0</v>
          </cell>
          <cell r="AS1096">
            <v>0</v>
          </cell>
        </row>
        <row r="1097">
          <cell r="A1097">
            <v>10259</v>
          </cell>
          <cell r="B1097" t="str">
            <v>J &amp; L TRAILER SALES</v>
          </cell>
          <cell r="C1097" t="str">
            <v>M10232</v>
          </cell>
          <cell r="D1097" t="str">
            <v>NET 5, BT+</v>
          </cell>
          <cell r="E1097" t="str">
            <v>CO</v>
          </cell>
          <cell r="F1097" t="str">
            <v>Yes</v>
          </cell>
          <cell r="G1097" t="str">
            <v>TX</v>
          </cell>
          <cell r="H1097">
            <v>7</v>
          </cell>
          <cell r="I1097">
            <v>0.66500000000000004</v>
          </cell>
          <cell r="J1097" t="str">
            <v>Orphaned Acct</v>
          </cell>
          <cell r="K1097" t="str">
            <v>ENNIS</v>
          </cell>
          <cell r="L1097" t="str">
            <v>TX</v>
          </cell>
          <cell r="M1097" t="str">
            <v>800-577-8858</v>
          </cell>
          <cell r="N1097"/>
          <cell r="O1097">
            <v>146</v>
          </cell>
          <cell r="P1097">
            <v>627.79999999999995</v>
          </cell>
          <cell r="Q1097"/>
          <cell r="R1097">
            <v>0</v>
          </cell>
          <cell r="S1097"/>
          <cell r="T1097">
            <v>0</v>
          </cell>
          <cell r="U1097">
            <v>148</v>
          </cell>
          <cell r="V1097">
            <v>636.4</v>
          </cell>
          <cell r="W1097">
            <v>71</v>
          </cell>
          <cell r="X1097">
            <v>305.3</v>
          </cell>
          <cell r="Y1097"/>
          <cell r="Z1097">
            <v>0</v>
          </cell>
          <cell r="AA1097"/>
          <cell r="AB1097">
            <v>0</v>
          </cell>
          <cell r="AC1097"/>
          <cell r="AD1097">
            <v>0</v>
          </cell>
          <cell r="AE1097"/>
          <cell r="AF1097"/>
          <cell r="AG1097"/>
          <cell r="AH1097"/>
          <cell r="AI1097"/>
          <cell r="AJ1097">
            <v>0</v>
          </cell>
          <cell r="AK1097" t="str">
            <v>3P</v>
          </cell>
          <cell r="AL1097">
            <v>213</v>
          </cell>
          <cell r="AM1097">
            <v>101</v>
          </cell>
          <cell r="AN1097" t="str">
            <v>01 Existing Dealer</v>
          </cell>
          <cell r="AO1097" t="str">
            <v>South Central</v>
          </cell>
          <cell r="AP1097" t="str">
            <v>Central</v>
          </cell>
          <cell r="AQ1097"/>
          <cell r="AR1097">
            <v>0</v>
          </cell>
          <cell r="AS1097">
            <v>0</v>
          </cell>
        </row>
        <row r="1098">
          <cell r="A1098" t="str">
            <v>11889D</v>
          </cell>
          <cell r="B1098" t="str">
            <v>JIM HOFFPAUIR</v>
          </cell>
          <cell r="C1098" t="str">
            <v>M10242</v>
          </cell>
          <cell r="D1098" t="str">
            <v>NET 5, BT+</v>
          </cell>
          <cell r="E1098" t="str">
            <v>FP - Wells Fargo</v>
          </cell>
          <cell r="F1098" t="str">
            <v>Yes</v>
          </cell>
          <cell r="G1098" t="str">
            <v>TX</v>
          </cell>
          <cell r="H1098">
            <v>7</v>
          </cell>
          <cell r="I1098">
            <v>0.66500000000000004</v>
          </cell>
          <cell r="J1098" t="str">
            <v>Trent Evans</v>
          </cell>
          <cell r="K1098" t="str">
            <v>SAN SABA</v>
          </cell>
          <cell r="L1098" t="str">
            <v>TX</v>
          </cell>
          <cell r="M1098" t="str">
            <v>800-577-8858</v>
          </cell>
          <cell r="N1098"/>
          <cell r="O1098">
            <v>336</v>
          </cell>
          <cell r="P1098">
            <v>1444.8</v>
          </cell>
          <cell r="Q1098"/>
          <cell r="R1098">
            <v>0</v>
          </cell>
          <cell r="S1098"/>
          <cell r="T1098">
            <v>0</v>
          </cell>
          <cell r="U1098">
            <v>269</v>
          </cell>
          <cell r="V1098">
            <v>1156.7</v>
          </cell>
          <cell r="W1098">
            <v>262</v>
          </cell>
          <cell r="X1098">
            <v>1126.5999999999999</v>
          </cell>
          <cell r="Y1098"/>
          <cell r="Z1098">
            <v>0</v>
          </cell>
          <cell r="AA1098"/>
          <cell r="AB1098">
            <v>0</v>
          </cell>
          <cell r="AC1098"/>
          <cell r="AD1098">
            <v>0</v>
          </cell>
          <cell r="AE1098"/>
          <cell r="AF1098"/>
          <cell r="AG1098"/>
          <cell r="AH1098"/>
          <cell r="AI1098"/>
          <cell r="AJ1098">
            <v>0</v>
          </cell>
          <cell r="AK1098" t="str">
            <v>3P</v>
          </cell>
          <cell r="AL1098">
            <v>226</v>
          </cell>
          <cell r="AM1098">
            <v>57</v>
          </cell>
          <cell r="AN1098" t="str">
            <v>01 Existing Dealer</v>
          </cell>
          <cell r="AO1098" t="str">
            <v>South Central</v>
          </cell>
          <cell r="AP1098" t="str">
            <v>Central</v>
          </cell>
          <cell r="AQ1098"/>
          <cell r="AR1098">
            <v>0</v>
          </cell>
          <cell r="AS1098">
            <v>0</v>
          </cell>
        </row>
        <row r="1099">
          <cell r="A1099" t="str">
            <v>11889C</v>
          </cell>
          <cell r="B1099" t="str">
            <v>JIM HOFFPAUIR</v>
          </cell>
          <cell r="C1099" t="str">
            <v>M10242</v>
          </cell>
          <cell r="D1099" t="str">
            <v>NET 5, BT+</v>
          </cell>
          <cell r="E1099" t="str">
            <v>FP - Wells Fargo</v>
          </cell>
          <cell r="F1099" t="str">
            <v>Yes</v>
          </cell>
          <cell r="G1099" t="str">
            <v>TX</v>
          </cell>
          <cell r="H1099">
            <v>7</v>
          </cell>
          <cell r="I1099">
            <v>0.66500000000000004</v>
          </cell>
          <cell r="J1099" t="str">
            <v>Trent Evans</v>
          </cell>
          <cell r="K1099" t="str">
            <v>BURNET</v>
          </cell>
          <cell r="L1099" t="str">
            <v>TX</v>
          </cell>
          <cell r="M1099" t="str">
            <v>800-577-8858</v>
          </cell>
          <cell r="N1099"/>
          <cell r="O1099">
            <v>321</v>
          </cell>
          <cell r="P1099">
            <v>1380.3</v>
          </cell>
          <cell r="Q1099"/>
          <cell r="R1099">
            <v>0</v>
          </cell>
          <cell r="S1099"/>
          <cell r="T1099">
            <v>0</v>
          </cell>
          <cell r="U1099">
            <v>309</v>
          </cell>
          <cell r="V1099">
            <v>1328.7</v>
          </cell>
          <cell r="W1099">
            <v>247</v>
          </cell>
          <cell r="X1099">
            <v>1062.0999999999999</v>
          </cell>
          <cell r="Y1099"/>
          <cell r="Z1099">
            <v>0</v>
          </cell>
          <cell r="AA1099"/>
          <cell r="AB1099">
            <v>0</v>
          </cell>
          <cell r="AC1099"/>
          <cell r="AD1099">
            <v>0</v>
          </cell>
          <cell r="AE1099"/>
          <cell r="AF1099"/>
          <cell r="AG1099"/>
          <cell r="AH1099"/>
          <cell r="AI1099"/>
          <cell r="AJ1099">
            <v>0</v>
          </cell>
          <cell r="AK1099" t="str">
            <v>3P</v>
          </cell>
          <cell r="AL1099">
            <v>226</v>
          </cell>
          <cell r="AM1099">
            <v>27</v>
          </cell>
          <cell r="AN1099" t="str">
            <v>01 Existing Dealer</v>
          </cell>
          <cell r="AO1099" t="str">
            <v>South Central</v>
          </cell>
          <cell r="AP1099" t="str">
            <v>Central</v>
          </cell>
          <cell r="AQ1099"/>
          <cell r="AR1099">
            <v>0</v>
          </cell>
          <cell r="AS1099">
            <v>0</v>
          </cell>
        </row>
        <row r="1100">
          <cell r="A1100" t="str">
            <v>11889A</v>
          </cell>
          <cell r="B1100" t="str">
            <v>JIM HOFFPAUIR</v>
          </cell>
          <cell r="C1100" t="str">
            <v>M10242</v>
          </cell>
          <cell r="D1100" t="str">
            <v>NET 5, BT+</v>
          </cell>
          <cell r="E1100" t="str">
            <v>FP - Wells Fargo</v>
          </cell>
          <cell r="F1100" t="str">
            <v>Yes</v>
          </cell>
          <cell r="G1100" t="str">
            <v>TX</v>
          </cell>
          <cell r="H1100">
            <v>7</v>
          </cell>
          <cell r="I1100">
            <v>0.66500000000000004</v>
          </cell>
          <cell r="J1100" t="str">
            <v>Trent Evans</v>
          </cell>
          <cell r="K1100" t="str">
            <v>GOLDTHWAITE</v>
          </cell>
          <cell r="L1100" t="str">
            <v>TX</v>
          </cell>
          <cell r="M1100" t="str">
            <v>800-577-8858</v>
          </cell>
          <cell r="N1100"/>
          <cell r="O1100">
            <v>283</v>
          </cell>
          <cell r="P1100">
            <v>1216.8999999999999</v>
          </cell>
          <cell r="Q1100"/>
          <cell r="R1100">
            <v>0</v>
          </cell>
          <cell r="S1100"/>
          <cell r="T1100">
            <v>0</v>
          </cell>
          <cell r="U1100">
            <v>247</v>
          </cell>
          <cell r="V1100">
            <v>1062.0999999999999</v>
          </cell>
          <cell r="W1100">
            <v>209</v>
          </cell>
          <cell r="X1100">
            <v>898.69999999999993</v>
          </cell>
          <cell r="Y1100"/>
          <cell r="Z1100">
            <v>0</v>
          </cell>
          <cell r="AA1100"/>
          <cell r="AB1100">
            <v>0</v>
          </cell>
          <cell r="AC1100"/>
          <cell r="AD1100">
            <v>0</v>
          </cell>
          <cell r="AE1100"/>
          <cell r="AF1100"/>
          <cell r="AG1100"/>
          <cell r="AH1100"/>
          <cell r="AI1100"/>
          <cell r="AJ1100">
            <v>0</v>
          </cell>
          <cell r="AK1100" t="str">
            <v>3P</v>
          </cell>
          <cell r="AL1100">
            <v>226</v>
          </cell>
          <cell r="AM1100">
            <v>57</v>
          </cell>
          <cell r="AN1100" t="str">
            <v>01 Existing Dealer</v>
          </cell>
          <cell r="AO1100" t="str">
            <v>South Central</v>
          </cell>
          <cell r="AP1100" t="str">
            <v>Central</v>
          </cell>
          <cell r="AQ1100"/>
          <cell r="AR1100">
            <v>0</v>
          </cell>
          <cell r="AS1100">
            <v>0</v>
          </cell>
        </row>
        <row r="1101">
          <cell r="A1101">
            <v>11889</v>
          </cell>
          <cell r="B1101" t="str">
            <v>JIM HOFFPAUIR</v>
          </cell>
          <cell r="C1101" t="str">
            <v>M10242</v>
          </cell>
          <cell r="D1101" t="str">
            <v>NET 5, BT+</v>
          </cell>
          <cell r="E1101" t="str">
            <v>FP - Wells Fargo</v>
          </cell>
          <cell r="F1101" t="str">
            <v>Yes</v>
          </cell>
          <cell r="G1101" t="str">
            <v>TX</v>
          </cell>
          <cell r="H1101">
            <v>8</v>
          </cell>
          <cell r="I1101">
            <v>0.66500000000000004</v>
          </cell>
          <cell r="J1101" t="str">
            <v>Trent Evans</v>
          </cell>
          <cell r="K1101" t="str">
            <v>GOLDTHWAITE</v>
          </cell>
          <cell r="L1101" t="str">
            <v>TX</v>
          </cell>
          <cell r="M1101" t="str">
            <v>800-577-8858</v>
          </cell>
          <cell r="N1101"/>
          <cell r="O1101">
            <v>283</v>
          </cell>
          <cell r="P1101">
            <v>1216.8999999999999</v>
          </cell>
          <cell r="Q1101"/>
          <cell r="R1101">
            <v>0</v>
          </cell>
          <cell r="S1101"/>
          <cell r="T1101">
            <v>0</v>
          </cell>
          <cell r="U1101">
            <v>247</v>
          </cell>
          <cell r="V1101">
            <v>1062.0999999999999</v>
          </cell>
          <cell r="W1101">
            <v>209</v>
          </cell>
          <cell r="X1101">
            <v>898.69999999999993</v>
          </cell>
          <cell r="Y1101"/>
          <cell r="Z1101">
            <v>0</v>
          </cell>
          <cell r="AA1101"/>
          <cell r="AB1101">
            <v>0</v>
          </cell>
          <cell r="AC1101"/>
          <cell r="AD1101">
            <v>0</v>
          </cell>
          <cell r="AE1101"/>
          <cell r="AF1101"/>
          <cell r="AG1101"/>
          <cell r="AH1101"/>
          <cell r="AI1101"/>
          <cell r="AJ1101">
            <v>0</v>
          </cell>
          <cell r="AK1101" t="str">
            <v>3P</v>
          </cell>
          <cell r="AL1101">
            <v>226</v>
          </cell>
          <cell r="AM1101">
            <v>57</v>
          </cell>
          <cell r="AN1101" t="str">
            <v>01 Existing Dealer</v>
          </cell>
          <cell r="AO1101" t="str">
            <v>South Central</v>
          </cell>
          <cell r="AP1101" t="str">
            <v>Central</v>
          </cell>
          <cell r="AQ1101"/>
          <cell r="AR1101">
            <v>0</v>
          </cell>
          <cell r="AS1101">
            <v>0</v>
          </cell>
        </row>
        <row r="1102">
          <cell r="A1102" t="str">
            <v>11889B</v>
          </cell>
          <cell r="B1102" t="str">
            <v>JIM HOFFPAUIR</v>
          </cell>
          <cell r="C1102" t="str">
            <v>M10242</v>
          </cell>
          <cell r="D1102" t="str">
            <v>NET 5, BT+</v>
          </cell>
          <cell r="E1102" t="str">
            <v>FP - Wells Fargo</v>
          </cell>
          <cell r="F1102" t="str">
            <v>Yes</v>
          </cell>
          <cell r="G1102" t="str">
            <v>TX</v>
          </cell>
          <cell r="H1102">
            <v>7</v>
          </cell>
          <cell r="I1102">
            <v>0.66500000000000004</v>
          </cell>
          <cell r="J1102" t="str">
            <v>Trent Evans</v>
          </cell>
          <cell r="K1102" t="str">
            <v>MARBLE FALLS</v>
          </cell>
          <cell r="L1102" t="str">
            <v>TX</v>
          </cell>
          <cell r="M1102" t="str">
            <v>800-577-8858</v>
          </cell>
          <cell r="N1102"/>
          <cell r="O1102">
            <v>334</v>
          </cell>
          <cell r="P1102">
            <v>1436.2</v>
          </cell>
          <cell r="Q1102"/>
          <cell r="R1102">
            <v>0</v>
          </cell>
          <cell r="S1102"/>
          <cell r="T1102">
            <v>0</v>
          </cell>
          <cell r="U1102">
            <v>321</v>
          </cell>
          <cell r="V1102">
            <v>1380.3</v>
          </cell>
          <cell r="W1102">
            <v>259</v>
          </cell>
          <cell r="X1102">
            <v>1113.7</v>
          </cell>
          <cell r="Y1102"/>
          <cell r="Z1102">
            <v>0</v>
          </cell>
          <cell r="AA1102"/>
          <cell r="AB1102">
            <v>0</v>
          </cell>
          <cell r="AC1102"/>
          <cell r="AD1102">
            <v>0</v>
          </cell>
          <cell r="AE1102"/>
          <cell r="AF1102"/>
          <cell r="AG1102"/>
          <cell r="AH1102"/>
          <cell r="AI1102"/>
          <cell r="AJ1102">
            <v>0</v>
          </cell>
          <cell r="AK1102" t="str">
            <v>3P</v>
          </cell>
          <cell r="AL1102">
            <v>226</v>
          </cell>
          <cell r="AM1102">
            <v>27</v>
          </cell>
          <cell r="AN1102" t="str">
            <v>01 Existing Dealer</v>
          </cell>
          <cell r="AO1102" t="str">
            <v>South Central</v>
          </cell>
          <cell r="AP1102" t="str">
            <v>Central</v>
          </cell>
          <cell r="AQ1102"/>
          <cell r="AR1102">
            <v>0</v>
          </cell>
          <cell r="AS1102">
            <v>0</v>
          </cell>
        </row>
        <row r="1103">
          <cell r="A1103">
            <v>12664</v>
          </cell>
          <cell r="B1103" t="str">
            <v>KAWASAKI OF CALDWELL</v>
          </cell>
          <cell r="C1103" t="str">
            <v>M10251</v>
          </cell>
          <cell r="D1103" t="str">
            <v>NET 5, BT+</v>
          </cell>
          <cell r="E1103" t="str">
            <v>FP - Wells Fargo</v>
          </cell>
          <cell r="F1103" t="str">
            <v>Yes</v>
          </cell>
          <cell r="G1103" t="str">
            <v>TX</v>
          </cell>
          <cell r="H1103">
            <v>8</v>
          </cell>
          <cell r="I1103">
            <v>0.66500000000000004</v>
          </cell>
          <cell r="J1103" t="str">
            <v>Orphaned Acct</v>
          </cell>
          <cell r="K1103" t="str">
            <v>CALDWELL</v>
          </cell>
          <cell r="L1103" t="str">
            <v>TX</v>
          </cell>
          <cell r="M1103" t="str">
            <v>800-577-8858</v>
          </cell>
          <cell r="N1103"/>
          <cell r="O1103">
            <v>242</v>
          </cell>
          <cell r="P1103">
            <v>1040.5999999999999</v>
          </cell>
          <cell r="Q1103"/>
          <cell r="R1103">
            <v>0</v>
          </cell>
          <cell r="S1103"/>
          <cell r="T1103">
            <v>0</v>
          </cell>
          <cell r="U1103">
            <v>279</v>
          </cell>
          <cell r="V1103">
            <v>1199.7</v>
          </cell>
          <cell r="W1103">
            <v>217</v>
          </cell>
          <cell r="X1103">
            <v>933.09999999999991</v>
          </cell>
          <cell r="Y1103"/>
          <cell r="Z1103">
            <v>0</v>
          </cell>
          <cell r="AA1103"/>
          <cell r="AB1103">
            <v>0</v>
          </cell>
          <cell r="AC1103"/>
          <cell r="AD1103">
            <v>0</v>
          </cell>
          <cell r="AE1103"/>
          <cell r="AF1103"/>
          <cell r="AG1103"/>
          <cell r="AH1103"/>
          <cell r="AI1103"/>
          <cell r="AJ1103">
            <v>0</v>
          </cell>
          <cell r="AK1103" t="str">
            <v>3P</v>
          </cell>
          <cell r="AL1103">
            <v>213</v>
          </cell>
          <cell r="AM1103">
            <v>59</v>
          </cell>
          <cell r="AN1103" t="str">
            <v>08 Inactive Dealer</v>
          </cell>
          <cell r="AO1103" t="str">
            <v>South Central</v>
          </cell>
          <cell r="AP1103" t="str">
            <v>Central</v>
          </cell>
          <cell r="AQ1103"/>
          <cell r="AR1103">
            <v>0</v>
          </cell>
          <cell r="AS1103">
            <v>0</v>
          </cell>
        </row>
        <row r="1104">
          <cell r="A1104">
            <v>10303</v>
          </cell>
          <cell r="B1104" t="str">
            <v>LENCO</v>
          </cell>
          <cell r="C1104" t="str">
            <v>M11065</v>
          </cell>
          <cell r="D1104" t="str">
            <v>NET 5, BT+</v>
          </cell>
          <cell r="E1104" t="str">
            <v>FP - Wells Fargo</v>
          </cell>
          <cell r="F1104" t="str">
            <v>Yes</v>
          </cell>
          <cell r="G1104" t="str">
            <v>TX</v>
          </cell>
          <cell r="H1104">
            <v>8</v>
          </cell>
          <cell r="I1104">
            <v>0.66500000000000004</v>
          </cell>
          <cell r="J1104" t="str">
            <v>Orphaned Acct</v>
          </cell>
          <cell r="K1104" t="str">
            <v>EL PASO</v>
          </cell>
          <cell r="L1104" t="str">
            <v>TX</v>
          </cell>
          <cell r="M1104" t="str">
            <v>800-577-8858</v>
          </cell>
          <cell r="N1104"/>
          <cell r="O1104">
            <v>769</v>
          </cell>
          <cell r="P1104">
            <v>3306.7</v>
          </cell>
          <cell r="Q1104"/>
          <cell r="R1104">
            <v>0</v>
          </cell>
          <cell r="S1104"/>
          <cell r="T1104">
            <v>0</v>
          </cell>
          <cell r="U1104">
            <v>720</v>
          </cell>
          <cell r="V1104">
            <v>3096</v>
          </cell>
          <cell r="W1104">
            <v>694</v>
          </cell>
          <cell r="X1104">
            <v>2984.2</v>
          </cell>
          <cell r="Y1104"/>
          <cell r="Z1104">
            <v>0</v>
          </cell>
          <cell r="AA1104"/>
          <cell r="AB1104">
            <v>0</v>
          </cell>
          <cell r="AC1104"/>
          <cell r="AD1104">
            <v>0</v>
          </cell>
          <cell r="AE1104"/>
          <cell r="AF1104"/>
          <cell r="AG1104"/>
          <cell r="AH1104"/>
          <cell r="AI1104"/>
          <cell r="AJ1104">
            <v>0</v>
          </cell>
          <cell r="AK1104" t="str">
            <v>3P</v>
          </cell>
          <cell r="AL1104">
            <v>213</v>
          </cell>
          <cell r="AM1104">
            <v>128</v>
          </cell>
          <cell r="AN1104" t="str">
            <v>01 Existing Dealer</v>
          </cell>
          <cell r="AO1104" t="str">
            <v>South Central</v>
          </cell>
          <cell r="AP1104" t="str">
            <v>Central</v>
          </cell>
          <cell r="AQ1104"/>
          <cell r="AR1104">
            <v>0</v>
          </cell>
          <cell r="AS1104">
            <v>0</v>
          </cell>
        </row>
        <row r="1105">
          <cell r="A1105">
            <v>13273</v>
          </cell>
          <cell r="B1105" t="str">
            <v>TUTTLE dba LONESTAR KAWASAKI</v>
          </cell>
          <cell r="C1105" t="str">
            <v>M10269</v>
          </cell>
          <cell r="D1105" t="str">
            <v>NET 5, BT+</v>
          </cell>
          <cell r="E1105" t="str">
            <v>FP - Wells Fargo</v>
          </cell>
          <cell r="F1105" t="str">
            <v>Yes</v>
          </cell>
          <cell r="G1105" t="str">
            <v>TX</v>
          </cell>
          <cell r="H1105">
            <v>8</v>
          </cell>
          <cell r="I1105">
            <v>0.66500000000000004</v>
          </cell>
          <cell r="J1105" t="str">
            <v>JL Smith</v>
          </cell>
          <cell r="K1105" t="str">
            <v>HONDO</v>
          </cell>
          <cell r="L1105" t="str">
            <v>TX</v>
          </cell>
          <cell r="M1105" t="str">
            <v>800-577-8858</v>
          </cell>
          <cell r="N1105"/>
          <cell r="O1105">
            <v>430</v>
          </cell>
          <cell r="P1105">
            <v>1849</v>
          </cell>
          <cell r="Q1105"/>
          <cell r="R1105">
            <v>0</v>
          </cell>
          <cell r="S1105"/>
          <cell r="T1105">
            <v>0</v>
          </cell>
          <cell r="U1105">
            <v>417</v>
          </cell>
          <cell r="V1105">
            <v>1793.1</v>
          </cell>
          <cell r="W1105">
            <v>355</v>
          </cell>
          <cell r="X1105">
            <v>1526.5</v>
          </cell>
          <cell r="Y1105"/>
          <cell r="Z1105">
            <v>0</v>
          </cell>
          <cell r="AA1105"/>
          <cell r="AB1105">
            <v>0</v>
          </cell>
          <cell r="AC1105"/>
          <cell r="AD1105">
            <v>0</v>
          </cell>
          <cell r="AE1105"/>
          <cell r="AF1105"/>
          <cell r="AG1105"/>
          <cell r="AH1105"/>
          <cell r="AI1105"/>
          <cell r="AJ1105">
            <v>0</v>
          </cell>
          <cell r="AK1105" t="str">
            <v>3P</v>
          </cell>
          <cell r="AL1105">
            <v>151</v>
          </cell>
          <cell r="AM1105">
            <v>401</v>
          </cell>
          <cell r="AN1105" t="str">
            <v>01 Existing Dealer</v>
          </cell>
          <cell r="AO1105" t="str">
            <v>South Central</v>
          </cell>
          <cell r="AP1105" t="str">
            <v>Central</v>
          </cell>
          <cell r="AQ1105"/>
          <cell r="AR1105">
            <v>0</v>
          </cell>
          <cell r="AS1105">
            <v>0</v>
          </cell>
        </row>
        <row r="1106">
          <cell r="A1106">
            <v>12224</v>
          </cell>
          <cell r="B1106" t="str">
            <v>LONESTAR KAWASAKI</v>
          </cell>
          <cell r="C1106" t="str">
            <v>M10269</v>
          </cell>
          <cell r="D1106" t="str">
            <v>NET 5, BT+</v>
          </cell>
          <cell r="E1106" t="str">
            <v>FP - Wells Fargo</v>
          </cell>
          <cell r="F1106" t="str">
            <v>Yes</v>
          </cell>
          <cell r="G1106" t="str">
            <v>TX</v>
          </cell>
          <cell r="H1106">
            <v>8</v>
          </cell>
          <cell r="I1106">
            <v>0.66500000000000004</v>
          </cell>
          <cell r="J1106" t="str">
            <v>Orphaned Acct</v>
          </cell>
          <cell r="K1106" t="str">
            <v>HONDO</v>
          </cell>
          <cell r="L1106" t="str">
            <v>TX</v>
          </cell>
          <cell r="M1106" t="str">
            <v>800-577-8858</v>
          </cell>
          <cell r="N1106"/>
          <cell r="O1106">
            <v>430</v>
          </cell>
          <cell r="P1106">
            <v>1849</v>
          </cell>
          <cell r="Q1106"/>
          <cell r="R1106">
            <v>0</v>
          </cell>
          <cell r="S1106"/>
          <cell r="T1106">
            <v>0</v>
          </cell>
          <cell r="U1106">
            <v>417</v>
          </cell>
          <cell r="V1106">
            <v>1793.1</v>
          </cell>
          <cell r="W1106">
            <v>355</v>
          </cell>
          <cell r="X1106">
            <v>1526.5</v>
          </cell>
          <cell r="Y1106"/>
          <cell r="Z1106">
            <v>0</v>
          </cell>
          <cell r="AA1106"/>
          <cell r="AB1106">
            <v>0</v>
          </cell>
          <cell r="AC1106"/>
          <cell r="AD1106">
            <v>0</v>
          </cell>
          <cell r="AE1106"/>
          <cell r="AF1106"/>
          <cell r="AG1106"/>
          <cell r="AH1106"/>
          <cell r="AI1106"/>
          <cell r="AJ1106">
            <v>0</v>
          </cell>
          <cell r="AK1106" t="str">
            <v>3P</v>
          </cell>
          <cell r="AL1106">
            <v>213</v>
          </cell>
          <cell r="AM1106">
            <v>401</v>
          </cell>
          <cell r="AN1106" t="str">
            <v>01 Existing Dealer</v>
          </cell>
          <cell r="AO1106" t="str">
            <v>South Central</v>
          </cell>
          <cell r="AP1106" t="str">
            <v>Central</v>
          </cell>
          <cell r="AQ1106"/>
          <cell r="AR1106">
            <v>0</v>
          </cell>
          <cell r="AS1106">
            <v>0</v>
          </cell>
          <cell r="AT1106"/>
        </row>
        <row r="1107">
          <cell r="A1107">
            <v>12538</v>
          </cell>
          <cell r="B1107" t="str">
            <v>LONGVIEW CYCLE</v>
          </cell>
          <cell r="C1107" t="str">
            <v>M10470</v>
          </cell>
          <cell r="D1107" t="str">
            <v>NET 5, BT+</v>
          </cell>
          <cell r="E1107" t="str">
            <v>S2</v>
          </cell>
          <cell r="F1107" t="str">
            <v>No</v>
          </cell>
          <cell r="G1107" t="str">
            <v>TX</v>
          </cell>
          <cell r="H1107">
            <v>9</v>
          </cell>
          <cell r="I1107">
            <v>0.66500000000000004</v>
          </cell>
          <cell r="J1107" t="str">
            <v>Orphaned Acct</v>
          </cell>
          <cell r="K1107" t="str">
            <v>LONGVIEW</v>
          </cell>
          <cell r="L1107" t="str">
            <v>TX</v>
          </cell>
          <cell r="M1107" t="str">
            <v>800-577-8858</v>
          </cell>
          <cell r="N1107"/>
          <cell r="O1107">
            <v>53</v>
          </cell>
          <cell r="P1107">
            <v>227.89999999999998</v>
          </cell>
          <cell r="Q1107"/>
          <cell r="R1107">
            <v>0</v>
          </cell>
          <cell r="S1107"/>
          <cell r="T1107">
            <v>0</v>
          </cell>
          <cell r="U1107">
            <v>197</v>
          </cell>
          <cell r="V1107">
            <v>847.09999999999991</v>
          </cell>
          <cell r="W1107">
            <v>83</v>
          </cell>
          <cell r="X1107">
            <v>356.9</v>
          </cell>
          <cell r="Y1107"/>
          <cell r="Z1107">
            <v>0</v>
          </cell>
          <cell r="AA1107"/>
          <cell r="AB1107">
            <v>0</v>
          </cell>
          <cell r="AC1107"/>
          <cell r="AD1107">
            <v>0</v>
          </cell>
          <cell r="AE1107"/>
          <cell r="AF1107"/>
          <cell r="AG1107"/>
          <cell r="AH1107"/>
          <cell r="AI1107"/>
          <cell r="AJ1107">
            <v>0</v>
          </cell>
          <cell r="AK1107" t="str">
            <v>3P</v>
          </cell>
          <cell r="AL1107">
            <v>213</v>
          </cell>
          <cell r="AM1107">
            <v>260</v>
          </cell>
          <cell r="AN1107" t="str">
            <v>08 Inactive Dealer</v>
          </cell>
          <cell r="AO1107" t="str">
            <v>South Central</v>
          </cell>
          <cell r="AP1107" t="str">
            <v>Central</v>
          </cell>
          <cell r="AQ1107"/>
          <cell r="AR1107">
            <v>0</v>
          </cell>
          <cell r="AS1107">
            <v>0</v>
          </cell>
        </row>
        <row r="1108">
          <cell r="A1108">
            <v>10325</v>
          </cell>
          <cell r="B1108" t="str">
            <v>MCDEE</v>
          </cell>
          <cell r="C1108" t="str">
            <v>M10279</v>
          </cell>
          <cell r="D1108" t="str">
            <v>NET 5, BT+</v>
          </cell>
          <cell r="E1108" t="str">
            <v>FP - Wells Fargo</v>
          </cell>
          <cell r="F1108" t="str">
            <v>Yes</v>
          </cell>
          <cell r="G1108" t="str">
            <v>TX</v>
          </cell>
          <cell r="H1108">
            <v>8</v>
          </cell>
          <cell r="I1108">
            <v>0.66500000000000004</v>
          </cell>
          <cell r="J1108" t="str">
            <v>Orphaned Acct</v>
          </cell>
          <cell r="K1108" t="str">
            <v>VICTORIA</v>
          </cell>
          <cell r="L1108" t="str">
            <v>TX</v>
          </cell>
          <cell r="M1108" t="str">
            <v>800-577-8858</v>
          </cell>
          <cell r="N1108"/>
          <cell r="O1108">
            <v>382</v>
          </cell>
          <cell r="P1108">
            <v>1642.6</v>
          </cell>
          <cell r="Q1108"/>
          <cell r="R1108">
            <v>0</v>
          </cell>
          <cell r="S1108"/>
          <cell r="T1108">
            <v>0</v>
          </cell>
          <cell r="U1108">
            <v>402</v>
          </cell>
          <cell r="V1108">
            <v>1728.6</v>
          </cell>
          <cell r="W1108">
            <v>340</v>
          </cell>
          <cell r="X1108">
            <v>1462</v>
          </cell>
          <cell r="Y1108"/>
          <cell r="Z1108">
            <v>0</v>
          </cell>
          <cell r="AA1108"/>
          <cell r="AB1108">
            <v>0</v>
          </cell>
          <cell r="AC1108"/>
          <cell r="AD1108">
            <v>0</v>
          </cell>
          <cell r="AE1108"/>
          <cell r="AF1108"/>
          <cell r="AG1108"/>
          <cell r="AH1108"/>
          <cell r="AI1108"/>
          <cell r="AJ1108">
            <v>0</v>
          </cell>
          <cell r="AK1108" t="str">
            <v>3P</v>
          </cell>
          <cell r="AL1108">
            <v>213</v>
          </cell>
          <cell r="AM1108">
            <v>456</v>
          </cell>
          <cell r="AN1108" t="str">
            <v>01 Existing Dealer</v>
          </cell>
          <cell r="AO1108" t="str">
            <v>South Central</v>
          </cell>
          <cell r="AP1108" t="str">
            <v>Central</v>
          </cell>
          <cell r="AQ1108"/>
          <cell r="AR1108">
            <v>0</v>
          </cell>
          <cell r="AS1108">
            <v>0</v>
          </cell>
        </row>
        <row r="1109">
          <cell r="A1109">
            <v>12490</v>
          </cell>
          <cell r="B1109" t="str">
            <v>MCDEE</v>
          </cell>
          <cell r="C1109" t="str">
            <v>M10279</v>
          </cell>
          <cell r="D1109" t="str">
            <v>NET 5, BT+</v>
          </cell>
          <cell r="E1109" t="str">
            <v>ON HOLD, CF only</v>
          </cell>
          <cell r="F1109" t="str">
            <v>Copies</v>
          </cell>
          <cell r="G1109" t="str">
            <v>TX</v>
          </cell>
          <cell r="H1109">
            <v>9</v>
          </cell>
          <cell r="I1109">
            <v>0.66500000000000004</v>
          </cell>
          <cell r="J1109" t="str">
            <v>Orphaned Acct</v>
          </cell>
          <cell r="K1109" t="str">
            <v>VICTORIA</v>
          </cell>
          <cell r="L1109" t="str">
            <v>TX</v>
          </cell>
          <cell r="M1109" t="str">
            <v>800-577-8858</v>
          </cell>
          <cell r="N1109"/>
          <cell r="O1109">
            <v>382</v>
          </cell>
          <cell r="P1109">
            <v>1642.6</v>
          </cell>
          <cell r="Q1109"/>
          <cell r="R1109">
            <v>0</v>
          </cell>
          <cell r="S1109"/>
          <cell r="T1109">
            <v>0</v>
          </cell>
          <cell r="U1109">
            <v>402</v>
          </cell>
          <cell r="V1109">
            <v>1728.6</v>
          </cell>
          <cell r="W1109">
            <v>340</v>
          </cell>
          <cell r="X1109">
            <v>1462</v>
          </cell>
          <cell r="Y1109"/>
          <cell r="Z1109">
            <v>0</v>
          </cell>
          <cell r="AA1109"/>
          <cell r="AB1109">
            <v>0</v>
          </cell>
          <cell r="AC1109"/>
          <cell r="AD1109">
            <v>0</v>
          </cell>
          <cell r="AE1109"/>
          <cell r="AF1109"/>
          <cell r="AG1109"/>
          <cell r="AH1109"/>
          <cell r="AI1109"/>
          <cell r="AJ1109">
            <v>0</v>
          </cell>
          <cell r="AK1109" t="str">
            <v>3P</v>
          </cell>
          <cell r="AL1109">
            <v>213</v>
          </cell>
          <cell r="AM1109">
            <v>456</v>
          </cell>
          <cell r="AN1109" t="str">
            <v>01 Existing Dealer</v>
          </cell>
          <cell r="AO1109" t="str">
            <v>South Central</v>
          </cell>
          <cell r="AP1109" t="str">
            <v>Central</v>
          </cell>
          <cell r="AQ1109"/>
          <cell r="AR1109">
            <v>0</v>
          </cell>
          <cell r="AS1109">
            <v>0</v>
          </cell>
          <cell r="AT1109"/>
        </row>
        <row r="1110">
          <cell r="A1110">
            <v>12808</v>
          </cell>
          <cell r="B1110" t="str">
            <v>N.S. ENTERPRISES</v>
          </cell>
          <cell r="C1110" t="str">
            <v>M10295</v>
          </cell>
          <cell r="D1110" t="str">
            <v>NET 5, BT+</v>
          </cell>
          <cell r="E1110" t="str">
            <v>RM</v>
          </cell>
          <cell r="F1110" t="str">
            <v>Yes</v>
          </cell>
          <cell r="G1110" t="str">
            <v>TX</v>
          </cell>
          <cell r="H1110">
            <v>7</v>
          </cell>
          <cell r="I1110">
            <v>0.66500000000000004</v>
          </cell>
          <cell r="J1110" t="str">
            <v>Orphaned Acct</v>
          </cell>
          <cell r="K1110" t="str">
            <v>WEATHERFORD</v>
          </cell>
          <cell r="L1110" t="str">
            <v>TX</v>
          </cell>
          <cell r="M1110" t="str">
            <v>800-577-8858</v>
          </cell>
          <cell r="N1110"/>
          <cell r="O1110">
            <v>187</v>
          </cell>
          <cell r="P1110">
            <v>804.1</v>
          </cell>
          <cell r="Q1110"/>
          <cell r="R1110">
            <v>0</v>
          </cell>
          <cell r="S1110"/>
          <cell r="T1110">
            <v>0</v>
          </cell>
          <cell r="U1110">
            <v>138</v>
          </cell>
          <cell r="V1110">
            <v>593.4</v>
          </cell>
          <cell r="W1110">
            <v>113</v>
          </cell>
          <cell r="X1110">
            <v>485.9</v>
          </cell>
          <cell r="Y1110"/>
          <cell r="Z1110">
            <v>0</v>
          </cell>
          <cell r="AA1110"/>
          <cell r="AB1110">
            <v>0</v>
          </cell>
          <cell r="AC1110"/>
          <cell r="AD1110">
            <v>0</v>
          </cell>
          <cell r="AE1110"/>
          <cell r="AF1110"/>
          <cell r="AG1110"/>
          <cell r="AH1110"/>
          <cell r="AI1110"/>
          <cell r="AJ1110">
            <v>0</v>
          </cell>
          <cell r="AK1110" t="str">
            <v>3P</v>
          </cell>
          <cell r="AL1110">
            <v>213</v>
          </cell>
          <cell r="AM1110">
            <v>101</v>
          </cell>
          <cell r="AN1110" t="str">
            <v>01 Existing Dealer</v>
          </cell>
          <cell r="AO1110" t="str">
            <v>South Central</v>
          </cell>
          <cell r="AP1110" t="str">
            <v>Central</v>
          </cell>
          <cell r="AQ1110"/>
          <cell r="AR1110">
            <v>0</v>
          </cell>
          <cell r="AS1110">
            <v>0</v>
          </cell>
        </row>
        <row r="1111">
          <cell r="A1111">
            <v>13047</v>
          </cell>
          <cell r="B1111" t="str">
            <v>NICHOLAS ENTERPRISES</v>
          </cell>
          <cell r="C1111" t="str">
            <v>M10917</v>
          </cell>
          <cell r="D1111" t="str">
            <v>NET 5, BT+</v>
          </cell>
          <cell r="E1111" t="str">
            <v>FP - Wells Fargo</v>
          </cell>
          <cell r="F1111" t="str">
            <v>Yes</v>
          </cell>
          <cell r="G1111" t="str">
            <v>TX</v>
          </cell>
          <cell r="H1111">
            <v>8</v>
          </cell>
          <cell r="I1111">
            <v>0.66500000000000004</v>
          </cell>
          <cell r="J1111" t="str">
            <v>Orphaned Acct</v>
          </cell>
          <cell r="K1111" t="str">
            <v>BAYTOWN</v>
          </cell>
          <cell r="L1111" t="str">
            <v>TX</v>
          </cell>
          <cell r="M1111" t="str">
            <v>800-577-8858</v>
          </cell>
          <cell r="N1111"/>
          <cell r="O1111">
            <v>273</v>
          </cell>
          <cell r="P1111">
            <v>1173.8999999999999</v>
          </cell>
          <cell r="Q1111"/>
          <cell r="R1111">
            <v>0</v>
          </cell>
          <cell r="S1111"/>
          <cell r="T1111">
            <v>0</v>
          </cell>
          <cell r="U1111">
            <v>376</v>
          </cell>
          <cell r="V1111">
            <v>1616.8</v>
          </cell>
          <cell r="W1111">
            <v>300</v>
          </cell>
          <cell r="X1111">
            <v>1290</v>
          </cell>
          <cell r="Y1111"/>
          <cell r="Z1111">
            <v>0</v>
          </cell>
          <cell r="AA1111"/>
          <cell r="AB1111">
            <v>0</v>
          </cell>
          <cell r="AC1111"/>
          <cell r="AD1111">
            <v>0</v>
          </cell>
          <cell r="AE1111"/>
          <cell r="AF1111"/>
          <cell r="AG1111"/>
          <cell r="AH1111"/>
          <cell r="AI1111"/>
          <cell r="AJ1111">
            <v>0</v>
          </cell>
          <cell r="AK1111" t="str">
            <v>3P</v>
          </cell>
          <cell r="AL1111">
            <v>213</v>
          </cell>
          <cell r="AM1111">
            <v>196</v>
          </cell>
          <cell r="AN1111" t="str">
            <v>01 Existing Dealer</v>
          </cell>
          <cell r="AO1111" t="str">
            <v>South Central</v>
          </cell>
          <cell r="AP1111" t="str">
            <v>Central</v>
          </cell>
          <cell r="AQ1111"/>
          <cell r="AR1111">
            <v>0</v>
          </cell>
          <cell r="AS1111">
            <v>0</v>
          </cell>
        </row>
        <row r="1112">
          <cell r="A1112">
            <v>13267</v>
          </cell>
          <cell r="B1112" t="str">
            <v>OPALARIS dba POLARIS FUN CENTER</v>
          </cell>
          <cell r="C1112" t="str">
            <v>M11219</v>
          </cell>
          <cell r="D1112" t="str">
            <v>NET 5, BT+</v>
          </cell>
          <cell r="E1112" t="str">
            <v>FP - Wells Fargo</v>
          </cell>
          <cell r="F1112" t="str">
            <v>Yes</v>
          </cell>
          <cell r="G1112" t="str">
            <v>TX</v>
          </cell>
          <cell r="H1112">
            <v>8</v>
          </cell>
          <cell r="I1112">
            <v>0.66500000000000004</v>
          </cell>
          <cell r="J1112" t="str">
            <v>Lane Davis</v>
          </cell>
          <cell r="K1112" t="str">
            <v>BASTROP</v>
          </cell>
          <cell r="L1112" t="str">
            <v>TX</v>
          </cell>
          <cell r="M1112" t="str">
            <v>800-577-8858</v>
          </cell>
          <cell r="N1112"/>
          <cell r="O1112">
            <v>300</v>
          </cell>
          <cell r="P1112">
            <v>1290</v>
          </cell>
          <cell r="Q1112"/>
          <cell r="R1112">
            <v>0</v>
          </cell>
          <cell r="S1112"/>
          <cell r="T1112">
            <v>0</v>
          </cell>
          <cell r="U1112">
            <v>328</v>
          </cell>
          <cell r="V1112">
            <v>1410.3999999999999</v>
          </cell>
          <cell r="W1112">
            <v>266</v>
          </cell>
          <cell r="X1112">
            <v>1143.8</v>
          </cell>
          <cell r="Y1112"/>
          <cell r="Z1112">
            <v>0</v>
          </cell>
          <cell r="AA1112"/>
          <cell r="AB1112">
            <v>0</v>
          </cell>
          <cell r="AC1112"/>
          <cell r="AD1112">
            <v>0</v>
          </cell>
          <cell r="AE1112"/>
          <cell r="AF1112"/>
          <cell r="AG1112"/>
          <cell r="AH1112"/>
          <cell r="AI1112"/>
          <cell r="AJ1112">
            <v>0</v>
          </cell>
          <cell r="AK1112" t="str">
            <v>3P</v>
          </cell>
          <cell r="AL1112">
            <v>275</v>
          </cell>
          <cell r="AM1112">
            <v>27</v>
          </cell>
          <cell r="AN1112" t="str">
            <v>02 Ramping</v>
          </cell>
          <cell r="AO1112" t="str">
            <v>South Central</v>
          </cell>
          <cell r="AP1112" t="str">
            <v>Central</v>
          </cell>
          <cell r="AQ1112"/>
          <cell r="AR1112">
            <v>0</v>
          </cell>
          <cell r="AS1112">
            <v>0</v>
          </cell>
          <cell r="AT1112"/>
        </row>
        <row r="1113">
          <cell r="A1113">
            <v>12801</v>
          </cell>
          <cell r="B1113" t="str">
            <v>OUTDOOR EQUIPMENT</v>
          </cell>
          <cell r="C1113" t="str">
            <v>M10315</v>
          </cell>
          <cell r="D1113" t="str">
            <v>NET 5, BT+</v>
          </cell>
          <cell r="E1113" t="str">
            <v>F5 - Wells Fargo</v>
          </cell>
          <cell r="F1113" t="str">
            <v>Yes</v>
          </cell>
          <cell r="G1113" t="str">
            <v>TX</v>
          </cell>
          <cell r="H1113">
            <v>8</v>
          </cell>
          <cell r="I1113">
            <v>0.66500000000000004</v>
          </cell>
          <cell r="J1113" t="str">
            <v>Orphaned Acct</v>
          </cell>
          <cell r="K1113" t="str">
            <v>CONROE</v>
          </cell>
          <cell r="L1113" t="str">
            <v>TX</v>
          </cell>
          <cell r="M1113" t="str">
            <v>800-577-8858</v>
          </cell>
          <cell r="N1113"/>
          <cell r="O1113"/>
          <cell r="P1113">
            <v>0</v>
          </cell>
          <cell r="Q1113"/>
          <cell r="R1113">
            <v>0</v>
          </cell>
          <cell r="S1113"/>
          <cell r="T1113">
            <v>0</v>
          </cell>
          <cell r="U1113"/>
          <cell r="V1113">
            <v>0</v>
          </cell>
          <cell r="W1113"/>
          <cell r="X1113">
            <v>0</v>
          </cell>
          <cell r="Y1113"/>
          <cell r="Z1113">
            <v>0</v>
          </cell>
          <cell r="AA1113"/>
          <cell r="AB1113">
            <v>0</v>
          </cell>
          <cell r="AC1113"/>
          <cell r="AD1113">
            <v>0</v>
          </cell>
          <cell r="AE1113"/>
          <cell r="AF1113"/>
          <cell r="AG1113"/>
          <cell r="AH1113"/>
          <cell r="AI1113"/>
          <cell r="AJ1113">
            <v>0</v>
          </cell>
          <cell r="AK1113" t="str">
            <v>3P</v>
          </cell>
          <cell r="AL1113">
            <v>213</v>
          </cell>
          <cell r="AM1113">
            <v>196</v>
          </cell>
          <cell r="AN1113" t="str">
            <v>08 Inactive Dealer</v>
          </cell>
          <cell r="AO1113" t="str">
            <v>South Central</v>
          </cell>
          <cell r="AP1113" t="str">
            <v>Central</v>
          </cell>
          <cell r="AQ1113"/>
          <cell r="AR1113">
            <v>0</v>
          </cell>
          <cell r="AS1113">
            <v>0</v>
          </cell>
          <cell r="AT1113"/>
        </row>
        <row r="1114">
          <cell r="A1114">
            <v>12440</v>
          </cell>
          <cell r="B1114" t="str">
            <v>PARADISE TRAILER SALES</v>
          </cell>
          <cell r="C1114" t="str">
            <v>M10317</v>
          </cell>
          <cell r="D1114" t="str">
            <v>NET 5, BT+</v>
          </cell>
          <cell r="E1114" t="str">
            <v>CO</v>
          </cell>
          <cell r="F1114" t="str">
            <v>Yes</v>
          </cell>
          <cell r="G1114" t="str">
            <v>TX</v>
          </cell>
          <cell r="H1114">
            <v>7</v>
          </cell>
          <cell r="I1114">
            <v>0.66500000000000004</v>
          </cell>
          <cell r="J1114" t="str">
            <v>Orphaned Acct</v>
          </cell>
          <cell r="K1114" t="str">
            <v>BRADY</v>
          </cell>
          <cell r="L1114" t="str">
            <v>TX</v>
          </cell>
          <cell r="M1114" t="str">
            <v>800-577-8858</v>
          </cell>
          <cell r="N1114"/>
          <cell r="O1114">
            <v>330</v>
          </cell>
          <cell r="P1114">
            <v>1419</v>
          </cell>
          <cell r="Q1114"/>
          <cell r="R1114">
            <v>0</v>
          </cell>
          <cell r="S1114"/>
          <cell r="T1114">
            <v>0</v>
          </cell>
          <cell r="U1114">
            <v>287</v>
          </cell>
          <cell r="V1114">
            <v>1234.0999999999999</v>
          </cell>
          <cell r="W1114">
            <v>255</v>
          </cell>
          <cell r="X1114">
            <v>1096.5</v>
          </cell>
          <cell r="Y1114"/>
          <cell r="Z1114">
            <v>0</v>
          </cell>
          <cell r="AA1114"/>
          <cell r="AB1114">
            <v>0</v>
          </cell>
          <cell r="AC1114"/>
          <cell r="AD1114">
            <v>0</v>
          </cell>
          <cell r="AE1114"/>
          <cell r="AF1114"/>
          <cell r="AG1114"/>
          <cell r="AH1114"/>
          <cell r="AI1114"/>
          <cell r="AJ1114">
            <v>0</v>
          </cell>
          <cell r="AK1114" t="str">
            <v>3P</v>
          </cell>
          <cell r="AL1114">
            <v>213</v>
          </cell>
          <cell r="AM1114">
            <v>400</v>
          </cell>
          <cell r="AN1114" t="str">
            <v>08 Inactive Dealer</v>
          </cell>
          <cell r="AO1114" t="str">
            <v>South Central</v>
          </cell>
          <cell r="AP1114" t="str">
            <v>Central</v>
          </cell>
          <cell r="AQ1114"/>
          <cell r="AR1114">
            <v>0</v>
          </cell>
          <cell r="AS1114">
            <v>0</v>
          </cell>
        </row>
        <row r="1115">
          <cell r="A1115" t="str">
            <v>10589B</v>
          </cell>
          <cell r="B1115" t="str">
            <v>PETTIT MACHINERY, INC.</v>
          </cell>
          <cell r="C1115" t="str">
            <v>M10324</v>
          </cell>
          <cell r="D1115" t="str">
            <v>Return Mail, no pink card</v>
          </cell>
          <cell r="E1115" t="str">
            <v>RM</v>
          </cell>
          <cell r="F1115" t="str">
            <v>Yes</v>
          </cell>
          <cell r="G1115" t="str">
            <v>TX</v>
          </cell>
          <cell r="H1115">
            <v>7</v>
          </cell>
          <cell r="I1115">
            <v>0.66500000000000004</v>
          </cell>
          <cell r="J1115" t="str">
            <v>Orphaned Acct</v>
          </cell>
          <cell r="K1115" t="str">
            <v>GAINESVILLE</v>
          </cell>
          <cell r="L1115" t="str">
            <v>TX</v>
          </cell>
          <cell r="M1115" t="str">
            <v>800-577-8858</v>
          </cell>
          <cell r="N1115"/>
          <cell r="O1115">
            <v>153</v>
          </cell>
          <cell r="P1115">
            <v>657.9</v>
          </cell>
          <cell r="Q1115"/>
          <cell r="R1115">
            <v>0</v>
          </cell>
          <cell r="S1115"/>
          <cell r="T1115">
            <v>0</v>
          </cell>
          <cell r="U1115">
            <v>46</v>
          </cell>
          <cell r="V1115">
            <v>197.79999999999998</v>
          </cell>
          <cell r="W1115">
            <v>119</v>
          </cell>
          <cell r="X1115">
            <v>511.7</v>
          </cell>
          <cell r="Y1115"/>
          <cell r="Z1115">
            <v>0</v>
          </cell>
          <cell r="AA1115"/>
          <cell r="AB1115">
            <v>0</v>
          </cell>
          <cell r="AC1115"/>
          <cell r="AD1115">
            <v>0</v>
          </cell>
          <cell r="AE1115"/>
          <cell r="AF1115"/>
          <cell r="AG1115"/>
          <cell r="AH1115"/>
          <cell r="AI1115"/>
          <cell r="AJ1115">
            <v>0</v>
          </cell>
          <cell r="AK1115" t="str">
            <v>3P</v>
          </cell>
          <cell r="AL1115">
            <v>213</v>
          </cell>
          <cell r="AM1115">
            <v>160</v>
          </cell>
          <cell r="AN1115" t="str">
            <v>08 Inactive Dealer</v>
          </cell>
          <cell r="AO1115" t="str">
            <v>South Central</v>
          </cell>
          <cell r="AP1115" t="str">
            <v>Central</v>
          </cell>
          <cell r="AQ1115"/>
          <cell r="AR1115">
            <v>0</v>
          </cell>
          <cell r="AS1115">
            <v>0</v>
          </cell>
        </row>
        <row r="1116">
          <cell r="A1116" t="str">
            <v>10589E</v>
          </cell>
          <cell r="B1116" t="str">
            <v>PETTIT MACHINERY, INC.</v>
          </cell>
          <cell r="C1116" t="str">
            <v>M10324</v>
          </cell>
          <cell r="D1116" t="str">
            <v>Return Mail, no pink card</v>
          </cell>
          <cell r="E1116" t="str">
            <v>RM</v>
          </cell>
          <cell r="F1116" t="str">
            <v>Yes</v>
          </cell>
          <cell r="G1116" t="str">
            <v>TX</v>
          </cell>
          <cell r="H1116">
            <v>7</v>
          </cell>
          <cell r="I1116">
            <v>0.66500000000000004</v>
          </cell>
          <cell r="J1116" t="str">
            <v>Orphaned Acct</v>
          </cell>
          <cell r="K1116" t="str">
            <v>SHERMAN</v>
          </cell>
          <cell r="L1116" t="str">
            <v>TX</v>
          </cell>
          <cell r="M1116" t="str">
            <v>800-577-8858</v>
          </cell>
          <cell r="N1116"/>
          <cell r="O1116">
            <v>117</v>
          </cell>
          <cell r="P1116">
            <v>503.09999999999997</v>
          </cell>
          <cell r="Q1116"/>
          <cell r="R1116">
            <v>0</v>
          </cell>
          <cell r="S1116"/>
          <cell r="T1116">
            <v>0</v>
          </cell>
          <cell r="U1116">
            <v>54</v>
          </cell>
          <cell r="V1116">
            <v>232.2</v>
          </cell>
          <cell r="W1116">
            <v>107</v>
          </cell>
          <cell r="X1116">
            <v>460.09999999999997</v>
          </cell>
          <cell r="Y1116"/>
          <cell r="Z1116">
            <v>0</v>
          </cell>
          <cell r="AA1116"/>
          <cell r="AB1116">
            <v>0</v>
          </cell>
          <cell r="AC1116"/>
          <cell r="AD1116">
            <v>0</v>
          </cell>
          <cell r="AE1116"/>
          <cell r="AF1116"/>
          <cell r="AG1116"/>
          <cell r="AH1116"/>
          <cell r="AI1116"/>
          <cell r="AJ1116">
            <v>0</v>
          </cell>
          <cell r="AK1116" t="str">
            <v>3P</v>
          </cell>
          <cell r="AL1116">
            <v>213</v>
          </cell>
          <cell r="AM1116">
            <v>418</v>
          </cell>
          <cell r="AN1116" t="str">
            <v>08 Inactive Dealer</v>
          </cell>
          <cell r="AO1116" t="str">
            <v>South Central</v>
          </cell>
          <cell r="AP1116" t="str">
            <v>Central</v>
          </cell>
          <cell r="AQ1116"/>
          <cell r="AR1116">
            <v>0</v>
          </cell>
          <cell r="AS1116">
            <v>0</v>
          </cell>
        </row>
        <row r="1117">
          <cell r="A1117">
            <v>10590</v>
          </cell>
          <cell r="B1117" t="str">
            <v>PETTIT MACHINERY, INC.</v>
          </cell>
          <cell r="C1117" t="str">
            <v>M10324</v>
          </cell>
          <cell r="D1117" t="str">
            <v>Return Mail, no pink card</v>
          </cell>
          <cell r="E1117" t="str">
            <v>C6</v>
          </cell>
          <cell r="F1117" t="str">
            <v>No</v>
          </cell>
          <cell r="G1117" t="str">
            <v>TX</v>
          </cell>
          <cell r="H1117">
            <v>9</v>
          </cell>
          <cell r="I1117">
            <v>0.66500000000000004</v>
          </cell>
          <cell r="J1117" t="str">
            <v>Orphaned Acct</v>
          </cell>
          <cell r="K1117" t="str">
            <v>DALLAS</v>
          </cell>
          <cell r="L1117" t="str">
            <v>TX</v>
          </cell>
          <cell r="M1117" t="str">
            <v>800-577-8858</v>
          </cell>
          <cell r="N1117"/>
          <cell r="O1117">
            <v>126</v>
          </cell>
          <cell r="P1117">
            <v>541.79999999999995</v>
          </cell>
          <cell r="Q1117"/>
          <cell r="R1117">
            <v>0</v>
          </cell>
          <cell r="S1117"/>
          <cell r="T1117">
            <v>0</v>
          </cell>
          <cell r="U1117">
            <v>117</v>
          </cell>
          <cell r="V1117">
            <v>503.09999999999997</v>
          </cell>
          <cell r="W1117"/>
          <cell r="X1117">
            <v>0</v>
          </cell>
          <cell r="Y1117"/>
          <cell r="Z1117">
            <v>0</v>
          </cell>
          <cell r="AA1117"/>
          <cell r="AB1117">
            <v>0</v>
          </cell>
          <cell r="AC1117"/>
          <cell r="AD1117">
            <v>0</v>
          </cell>
          <cell r="AE1117"/>
          <cell r="AF1117"/>
          <cell r="AG1117"/>
          <cell r="AH1117"/>
          <cell r="AI1117"/>
          <cell r="AJ1117">
            <v>0</v>
          </cell>
          <cell r="AK1117" t="str">
            <v>3P</v>
          </cell>
          <cell r="AL1117">
            <v>213</v>
          </cell>
          <cell r="AM1117">
            <v>101</v>
          </cell>
          <cell r="AN1117" t="str">
            <v>08 Inactive Dealer</v>
          </cell>
          <cell r="AO1117" t="str">
            <v>South Central</v>
          </cell>
          <cell r="AP1117" t="str">
            <v>Central</v>
          </cell>
          <cell r="AQ1117"/>
          <cell r="AR1117">
            <v>0</v>
          </cell>
          <cell r="AS1117">
            <v>0</v>
          </cell>
        </row>
        <row r="1118">
          <cell r="A1118">
            <v>12911</v>
          </cell>
          <cell r="B1118" t="str">
            <v>PINECO INC</v>
          </cell>
          <cell r="C1118" t="str">
            <v>M10328</v>
          </cell>
          <cell r="D1118" t="str">
            <v>NET 5, BT+</v>
          </cell>
          <cell r="E1118" t="str">
            <v>FP - Northpoint</v>
          </cell>
          <cell r="F1118" t="str">
            <v>Yes</v>
          </cell>
          <cell r="G1118" t="str">
            <v>TX</v>
          </cell>
          <cell r="H1118">
            <v>8</v>
          </cell>
          <cell r="I1118">
            <v>0.66500000000000004</v>
          </cell>
          <cell r="J1118" t="str">
            <v>JL Smith</v>
          </cell>
          <cell r="K1118" t="str">
            <v>KERENS</v>
          </cell>
          <cell r="L1118" t="str">
            <v>TX</v>
          </cell>
          <cell r="M1118" t="str">
            <v>800-577-8858</v>
          </cell>
          <cell r="N1118"/>
          <cell r="O1118">
            <v>129</v>
          </cell>
          <cell r="P1118">
            <v>554.69999999999993</v>
          </cell>
          <cell r="Q1118"/>
          <cell r="R1118">
            <v>0</v>
          </cell>
          <cell r="S1118"/>
          <cell r="T1118">
            <v>0</v>
          </cell>
          <cell r="U1118">
            <v>181</v>
          </cell>
          <cell r="V1118">
            <v>778.3</v>
          </cell>
          <cell r="W1118">
            <v>60</v>
          </cell>
          <cell r="X1118">
            <v>258</v>
          </cell>
          <cell r="Y1118"/>
          <cell r="Z1118">
            <v>0</v>
          </cell>
          <cell r="AA1118"/>
          <cell r="AB1118">
            <v>0</v>
          </cell>
          <cell r="AC1118"/>
          <cell r="AD1118">
            <v>0</v>
          </cell>
          <cell r="AE1118"/>
          <cell r="AF1118"/>
          <cell r="AG1118"/>
          <cell r="AH1118"/>
          <cell r="AI1118"/>
          <cell r="AJ1118">
            <v>0</v>
          </cell>
          <cell r="AK1118" t="str">
            <v>3P</v>
          </cell>
          <cell r="AL1118">
            <v>151</v>
          </cell>
          <cell r="AM1118">
            <v>101</v>
          </cell>
          <cell r="AN1118" t="str">
            <v>01 Existing Dealer</v>
          </cell>
          <cell r="AO1118" t="str">
            <v>South Central</v>
          </cell>
          <cell r="AP1118" t="str">
            <v>Central</v>
          </cell>
          <cell r="AQ1118"/>
          <cell r="AR1118">
            <v>0</v>
          </cell>
          <cell r="AS1118">
            <v>0</v>
          </cell>
        </row>
        <row r="1119">
          <cell r="A1119" t="str">
            <v>13233A</v>
          </cell>
          <cell r="B1119" t="str">
            <v>PREMIER TRUCK RENTAL</v>
          </cell>
          <cell r="C1119" t="str">
            <v>M10874</v>
          </cell>
          <cell r="D1119" t="str">
            <v>Net 30, no pink card</v>
          </cell>
          <cell r="E1119">
            <v>30</v>
          </cell>
          <cell r="F1119" t="str">
            <v>Yes</v>
          </cell>
          <cell r="G1119" t="str">
            <v>TX</v>
          </cell>
          <cell r="H1119">
            <v>5</v>
          </cell>
          <cell r="I1119">
            <v>0.66500000000000004</v>
          </cell>
          <cell r="J1119" t="str">
            <v>Dakota Nation</v>
          </cell>
          <cell r="K1119" t="str">
            <v>FORT WORTH</v>
          </cell>
          <cell r="L1119" t="str">
            <v>TX</v>
          </cell>
          <cell r="M1119" t="str">
            <v>800-577-8858</v>
          </cell>
          <cell r="N1119"/>
          <cell r="O1119">
            <v>155</v>
          </cell>
          <cell r="P1119">
            <v>666.5</v>
          </cell>
          <cell r="Q1119"/>
          <cell r="R1119">
            <v>0</v>
          </cell>
          <cell r="S1119"/>
          <cell r="T1119">
            <v>0</v>
          </cell>
          <cell r="U1119">
            <v>117</v>
          </cell>
          <cell r="V1119">
            <v>503.09999999999997</v>
          </cell>
          <cell r="W1119">
            <v>83</v>
          </cell>
          <cell r="X1119">
            <v>356.9</v>
          </cell>
          <cell r="Y1119"/>
          <cell r="Z1119">
            <v>0</v>
          </cell>
          <cell r="AA1119"/>
          <cell r="AB1119">
            <v>0</v>
          </cell>
          <cell r="AC1119"/>
          <cell r="AD1119">
            <v>0</v>
          </cell>
          <cell r="AE1119"/>
          <cell r="AF1119"/>
          <cell r="AG1119"/>
          <cell r="AH1119"/>
          <cell r="AI1119"/>
          <cell r="AJ1119">
            <v>0</v>
          </cell>
          <cell r="AK1119" t="str">
            <v>3P</v>
          </cell>
          <cell r="AL1119">
            <v>223</v>
          </cell>
          <cell r="AM1119">
            <v>101</v>
          </cell>
          <cell r="AN1119" t="str">
            <v>11 National</v>
          </cell>
          <cell r="AO1119" t="str">
            <v>South Central</v>
          </cell>
          <cell r="AP1119" t="str">
            <v>Central</v>
          </cell>
          <cell r="AQ1119"/>
          <cell r="AR1119">
            <v>0</v>
          </cell>
          <cell r="AS1119">
            <v>0</v>
          </cell>
        </row>
        <row r="1120">
          <cell r="A1120" t="str">
            <v>13233E</v>
          </cell>
          <cell r="B1120" t="str">
            <v>PREMIER TRUCK RENTAL</v>
          </cell>
          <cell r="C1120" t="str">
            <v>M10874</v>
          </cell>
          <cell r="D1120" t="str">
            <v>Net 30, no pink card</v>
          </cell>
          <cell r="E1120">
            <v>30</v>
          </cell>
          <cell r="F1120" t="str">
            <v>Yes</v>
          </cell>
          <cell r="G1120" t="str">
            <v>TX</v>
          </cell>
          <cell r="H1120">
            <v>5</v>
          </cell>
          <cell r="I1120">
            <v>0.66500000000000004</v>
          </cell>
          <cell r="J1120" t="str">
            <v>Dakota Nation</v>
          </cell>
          <cell r="K1120" t="str">
            <v>SEMINOLE</v>
          </cell>
          <cell r="L1120" t="str">
            <v>TX</v>
          </cell>
          <cell r="M1120" t="str">
            <v>800-577-8858</v>
          </cell>
          <cell r="N1120"/>
          <cell r="O1120">
            <v>483</v>
          </cell>
          <cell r="P1120">
            <v>2076.9</v>
          </cell>
          <cell r="Q1120"/>
          <cell r="R1120">
            <v>0</v>
          </cell>
          <cell r="S1120"/>
          <cell r="T1120">
            <v>0</v>
          </cell>
          <cell r="U1120">
            <v>399</v>
          </cell>
          <cell r="V1120">
            <v>1715.6999999999998</v>
          </cell>
          <cell r="W1120">
            <v>417</v>
          </cell>
          <cell r="X1120">
            <v>1793.1</v>
          </cell>
          <cell r="Y1120"/>
          <cell r="Z1120">
            <v>0</v>
          </cell>
          <cell r="AA1120"/>
          <cell r="AB1120">
            <v>0</v>
          </cell>
          <cell r="AC1120"/>
          <cell r="AD1120">
            <v>0</v>
          </cell>
          <cell r="AE1120"/>
          <cell r="AF1120"/>
          <cell r="AG1120"/>
          <cell r="AH1120"/>
          <cell r="AI1120"/>
          <cell r="AJ1120">
            <v>0</v>
          </cell>
          <cell r="AK1120" t="str">
            <v>3P</v>
          </cell>
          <cell r="AL1120">
            <v>223</v>
          </cell>
          <cell r="AM1120">
            <v>264</v>
          </cell>
          <cell r="AN1120" t="str">
            <v>11 National</v>
          </cell>
          <cell r="AO1120" t="str">
            <v>South Central</v>
          </cell>
          <cell r="AP1120" t="str">
            <v>Central</v>
          </cell>
          <cell r="AQ1120"/>
          <cell r="AR1120">
            <v>0</v>
          </cell>
          <cell r="AS1120">
            <v>0</v>
          </cell>
        </row>
        <row r="1121">
          <cell r="A1121">
            <v>12692</v>
          </cell>
          <cell r="B1121" t="str">
            <v>RANCHSCAPES</v>
          </cell>
          <cell r="C1121" t="str">
            <v>M10343</v>
          </cell>
          <cell r="D1121" t="str">
            <v>NET 5, BT+</v>
          </cell>
          <cell r="E1121" t="str">
            <v>NET30</v>
          </cell>
          <cell r="F1121" t="str">
            <v>Yes</v>
          </cell>
          <cell r="G1121" t="str">
            <v>TX</v>
          </cell>
          <cell r="H1121">
            <v>6</v>
          </cell>
          <cell r="I1121">
            <v>0.66500000000000004</v>
          </cell>
          <cell r="J1121" t="str">
            <v>House</v>
          </cell>
          <cell r="K1121" t="str">
            <v>PLEASANTON</v>
          </cell>
          <cell r="L1121" t="str">
            <v>TX</v>
          </cell>
          <cell r="M1121" t="str">
            <v>800-577-8858</v>
          </cell>
          <cell r="N1121"/>
          <cell r="O1121">
            <v>421</v>
          </cell>
          <cell r="P1121">
            <v>1810.3</v>
          </cell>
          <cell r="Q1121"/>
          <cell r="R1121">
            <v>0</v>
          </cell>
          <cell r="S1121"/>
          <cell r="T1121">
            <v>0</v>
          </cell>
          <cell r="U1121">
            <v>409</v>
          </cell>
          <cell r="V1121">
            <v>1758.6999999999998</v>
          </cell>
          <cell r="W1121">
            <v>346</v>
          </cell>
          <cell r="X1121">
            <v>1487.8</v>
          </cell>
          <cell r="Y1121"/>
          <cell r="Z1121">
            <v>0</v>
          </cell>
          <cell r="AA1121"/>
          <cell r="AB1121">
            <v>0</v>
          </cell>
          <cell r="AC1121"/>
          <cell r="AD1121">
            <v>0</v>
          </cell>
          <cell r="AE1121"/>
          <cell r="AF1121"/>
          <cell r="AG1121"/>
          <cell r="AH1121"/>
          <cell r="AI1121"/>
          <cell r="AJ1121">
            <v>0</v>
          </cell>
          <cell r="AK1121" t="str">
            <v>3P</v>
          </cell>
          <cell r="AL1121">
            <v>400</v>
          </cell>
          <cell r="AM1121">
            <v>401</v>
          </cell>
          <cell r="AN1121" t="str">
            <v>08 Inactive Dealer</v>
          </cell>
          <cell r="AO1121" t="str">
            <v>South Central</v>
          </cell>
          <cell r="AP1121" t="str">
            <v>Central</v>
          </cell>
          <cell r="AQ1121"/>
          <cell r="AR1121">
            <v>0</v>
          </cell>
          <cell r="AS1121">
            <v>0</v>
          </cell>
        </row>
        <row r="1122">
          <cell r="A1122">
            <v>12184</v>
          </cell>
          <cell r="B1122" t="str">
            <v>RANCHSCAPES</v>
          </cell>
          <cell r="C1122" t="str">
            <v>M10343</v>
          </cell>
          <cell r="D1122" t="str">
            <v>NET 5, BT+</v>
          </cell>
          <cell r="E1122" t="str">
            <v>F1 - Wells Fargo</v>
          </cell>
          <cell r="F1122" t="str">
            <v>Yes</v>
          </cell>
          <cell r="G1122" t="str">
            <v>TX</v>
          </cell>
          <cell r="H1122">
            <v>6</v>
          </cell>
          <cell r="I1122">
            <v>0.66500000000000004</v>
          </cell>
          <cell r="J1122" t="str">
            <v>House</v>
          </cell>
          <cell r="K1122" t="str">
            <v>PLEASANTON</v>
          </cell>
          <cell r="L1122" t="str">
            <v>TX</v>
          </cell>
          <cell r="M1122" t="str">
            <v>800-577-8858</v>
          </cell>
          <cell r="N1122"/>
          <cell r="O1122">
            <v>421</v>
          </cell>
          <cell r="P1122">
            <v>1810.3</v>
          </cell>
          <cell r="Q1122"/>
          <cell r="R1122">
            <v>0</v>
          </cell>
          <cell r="S1122"/>
          <cell r="T1122">
            <v>0</v>
          </cell>
          <cell r="U1122">
            <v>409</v>
          </cell>
          <cell r="V1122">
            <v>1758.6999999999998</v>
          </cell>
          <cell r="W1122">
            <v>346</v>
          </cell>
          <cell r="X1122">
            <v>1487.8</v>
          </cell>
          <cell r="Y1122"/>
          <cell r="Z1122">
            <v>0</v>
          </cell>
          <cell r="AA1122"/>
          <cell r="AB1122">
            <v>0</v>
          </cell>
          <cell r="AC1122"/>
          <cell r="AD1122">
            <v>0</v>
          </cell>
          <cell r="AE1122"/>
          <cell r="AF1122"/>
          <cell r="AG1122"/>
          <cell r="AH1122"/>
          <cell r="AI1122"/>
          <cell r="AJ1122">
            <v>0</v>
          </cell>
          <cell r="AK1122" t="str">
            <v>3P</v>
          </cell>
          <cell r="AL1122">
            <v>400</v>
          </cell>
          <cell r="AM1122">
            <v>401</v>
          </cell>
          <cell r="AN1122" t="str">
            <v>08 Inactive Dealer</v>
          </cell>
          <cell r="AO1122" t="str">
            <v>South Central</v>
          </cell>
          <cell r="AP1122" t="str">
            <v>Central</v>
          </cell>
          <cell r="AQ1122"/>
          <cell r="AR1122">
            <v>0</v>
          </cell>
          <cell r="AS1122">
            <v>0</v>
          </cell>
        </row>
        <row r="1123">
          <cell r="A1123">
            <v>12703</v>
          </cell>
          <cell r="B1123" t="str">
            <v>REAGOR DYKES TRAILER SALES</v>
          </cell>
          <cell r="C1123" t="str">
            <v>M10345</v>
          </cell>
          <cell r="D1123" t="str">
            <v>NET 5, BT+</v>
          </cell>
          <cell r="E1123" t="str">
            <v>CO</v>
          </cell>
          <cell r="F1123" t="str">
            <v>Yes</v>
          </cell>
          <cell r="G1123" t="str">
            <v>TX</v>
          </cell>
          <cell r="H1123">
            <v>6</v>
          </cell>
          <cell r="I1123">
            <v>0.66500000000000004</v>
          </cell>
          <cell r="J1123" t="str">
            <v>House</v>
          </cell>
          <cell r="K1123" t="str">
            <v>LAMESA</v>
          </cell>
          <cell r="L1123" t="str">
            <v>TX</v>
          </cell>
          <cell r="M1123" t="str">
            <v>800-577-8858</v>
          </cell>
          <cell r="N1123"/>
          <cell r="O1123">
            <v>460</v>
          </cell>
          <cell r="P1123">
            <v>1978</v>
          </cell>
          <cell r="Q1123"/>
          <cell r="R1123">
            <v>0</v>
          </cell>
          <cell r="S1123"/>
          <cell r="T1123">
            <v>0</v>
          </cell>
          <cell r="U1123">
            <v>411</v>
          </cell>
          <cell r="V1123">
            <v>1767.3</v>
          </cell>
          <cell r="W1123">
            <v>386</v>
          </cell>
          <cell r="X1123">
            <v>1659.8</v>
          </cell>
          <cell r="Y1123"/>
          <cell r="Z1123">
            <v>0</v>
          </cell>
          <cell r="AA1123"/>
          <cell r="AB1123">
            <v>0</v>
          </cell>
          <cell r="AC1123"/>
          <cell r="AD1123">
            <v>0</v>
          </cell>
          <cell r="AE1123"/>
          <cell r="AF1123"/>
          <cell r="AG1123"/>
          <cell r="AH1123"/>
          <cell r="AI1123"/>
          <cell r="AJ1123">
            <v>0</v>
          </cell>
          <cell r="AK1123" t="str">
            <v>3P</v>
          </cell>
          <cell r="AL1123">
            <v>400</v>
          </cell>
          <cell r="AM1123">
            <v>264</v>
          </cell>
          <cell r="AN1123" t="str">
            <v>08 Inactive Dealer</v>
          </cell>
          <cell r="AO1123" t="str">
            <v>South Central</v>
          </cell>
          <cell r="AP1123" t="str">
            <v>Central</v>
          </cell>
          <cell r="AQ1123"/>
          <cell r="AR1123">
            <v>0</v>
          </cell>
          <cell r="AS1123">
            <v>0</v>
          </cell>
        </row>
        <row r="1124">
          <cell r="A1124">
            <v>13600</v>
          </cell>
          <cell r="B1124" t="str">
            <v>R&amp;J TRAILERS</v>
          </cell>
          <cell r="C1124" t="str">
            <v>M11572</v>
          </cell>
          <cell r="D1124" t="str">
            <v>NET 5, BT+</v>
          </cell>
          <cell r="E1124" t="str">
            <v>F1 - Northpoint</v>
          </cell>
          <cell r="F1124" t="str">
            <v>Yes</v>
          </cell>
          <cell r="G1124" t="str">
            <v>TX</v>
          </cell>
          <cell r="H1124">
            <v>8</v>
          </cell>
          <cell r="I1124">
            <v>0.66500000000000004</v>
          </cell>
          <cell r="J1124" t="str">
            <v>Lane Davis</v>
          </cell>
          <cell r="K1124" t="str">
            <v>SEAGOVILLE</v>
          </cell>
          <cell r="L1124" t="str">
            <v>TX</v>
          </cell>
          <cell r="M1124" t="str">
            <v>800-577-8858</v>
          </cell>
          <cell r="N1124"/>
          <cell r="O1124">
            <v>123</v>
          </cell>
          <cell r="P1124">
            <v>528.9</v>
          </cell>
          <cell r="Q1124"/>
          <cell r="R1124">
            <v>0</v>
          </cell>
          <cell r="S1124"/>
          <cell r="T1124">
            <v>0</v>
          </cell>
          <cell r="U1124">
            <v>128</v>
          </cell>
          <cell r="V1124">
            <v>550.4</v>
          </cell>
          <cell r="W1124">
            <v>37</v>
          </cell>
          <cell r="X1124">
            <v>159.1</v>
          </cell>
          <cell r="Y1124"/>
          <cell r="Z1124">
            <v>0</v>
          </cell>
          <cell r="AA1124"/>
          <cell r="AB1124">
            <v>0</v>
          </cell>
          <cell r="AC1124"/>
          <cell r="AD1124">
            <v>0</v>
          </cell>
          <cell r="AE1124"/>
          <cell r="AF1124"/>
          <cell r="AG1124"/>
          <cell r="AH1124"/>
          <cell r="AI1124"/>
          <cell r="AJ1124">
            <v>0.04</v>
          </cell>
          <cell r="AK1124" t="str">
            <v>3P</v>
          </cell>
          <cell r="AL1124">
            <v>275</v>
          </cell>
          <cell r="AM1124"/>
          <cell r="AN1124" t="str">
            <v>03 New Dealer</v>
          </cell>
          <cell r="AO1124" t="str">
            <v>South Central</v>
          </cell>
          <cell r="AP1124" t="str">
            <v>Central</v>
          </cell>
          <cell r="AQ1124">
            <v>75159</v>
          </cell>
          <cell r="AR1124">
            <v>11011</v>
          </cell>
          <cell r="AS1124">
            <v>18163</v>
          </cell>
        </row>
        <row r="1125">
          <cell r="A1125">
            <v>13601</v>
          </cell>
          <cell r="B1125" t="str">
            <v>R&amp;J TRAILERS II</v>
          </cell>
          <cell r="C1125" t="str">
            <v>M11572</v>
          </cell>
          <cell r="D1125" t="str">
            <v>NET 5, BT+</v>
          </cell>
          <cell r="E1125" t="str">
            <v>F1 - Northpoint</v>
          </cell>
          <cell r="F1125" t="str">
            <v>Yes</v>
          </cell>
          <cell r="G1125" t="str">
            <v>TX</v>
          </cell>
          <cell r="H1125">
            <v>8</v>
          </cell>
          <cell r="I1125">
            <v>0.66500000000000004</v>
          </cell>
          <cell r="J1125" t="str">
            <v>Lane Davis</v>
          </cell>
          <cell r="K1125" t="str">
            <v>LONGVIEW</v>
          </cell>
          <cell r="L1125" t="str">
            <v>TX</v>
          </cell>
          <cell r="M1125" t="str">
            <v>800-577-8858</v>
          </cell>
          <cell r="N1125"/>
          <cell r="O1125">
            <v>59</v>
          </cell>
          <cell r="P1125">
            <v>253.7</v>
          </cell>
          <cell r="Q1125"/>
          <cell r="R1125">
            <v>0</v>
          </cell>
          <cell r="S1125"/>
          <cell r="T1125">
            <v>0</v>
          </cell>
          <cell r="U1125">
            <v>200</v>
          </cell>
          <cell r="V1125">
            <v>860</v>
          </cell>
          <cell r="W1125">
            <v>79</v>
          </cell>
          <cell r="X1125">
            <v>339.7</v>
          </cell>
          <cell r="Y1125"/>
          <cell r="Z1125">
            <v>0</v>
          </cell>
          <cell r="AA1125"/>
          <cell r="AB1125">
            <v>0</v>
          </cell>
          <cell r="AC1125"/>
          <cell r="AD1125">
            <v>0</v>
          </cell>
          <cell r="AE1125"/>
          <cell r="AF1125"/>
          <cell r="AG1125"/>
          <cell r="AH1125"/>
          <cell r="AI1125"/>
          <cell r="AJ1125">
            <v>0.04</v>
          </cell>
          <cell r="AK1125" t="str">
            <v>3P</v>
          </cell>
          <cell r="AL1125">
            <v>275</v>
          </cell>
          <cell r="AM1125"/>
          <cell r="AN1125" t="str">
            <v>03 New Dealer</v>
          </cell>
          <cell r="AO1125" t="str">
            <v>South Central</v>
          </cell>
          <cell r="AP1125" t="str">
            <v>Central</v>
          </cell>
          <cell r="AQ1125">
            <v>75604</v>
          </cell>
          <cell r="AR1125">
            <v>10349</v>
          </cell>
          <cell r="AS1125">
            <v>0</v>
          </cell>
        </row>
        <row r="1126">
          <cell r="A1126">
            <v>11768</v>
          </cell>
          <cell r="B1126" t="str">
            <v>RNDM LONESTAR FARM</v>
          </cell>
          <cell r="C1126" t="str">
            <v>M10353</v>
          </cell>
          <cell r="D1126" t="str">
            <v>NET 5, BT+</v>
          </cell>
          <cell r="E1126" t="str">
            <v>CO</v>
          </cell>
          <cell r="F1126" t="str">
            <v>Yes</v>
          </cell>
          <cell r="G1126" t="str">
            <v>TX</v>
          </cell>
          <cell r="H1126">
            <v>7</v>
          </cell>
          <cell r="I1126">
            <v>0.66500000000000004</v>
          </cell>
          <cell r="J1126" t="str">
            <v>Orphaned Acct</v>
          </cell>
          <cell r="K1126" t="str">
            <v>CLEBURNE</v>
          </cell>
          <cell r="L1126" t="str">
            <v>TX</v>
          </cell>
          <cell r="M1126" t="str">
            <v>800-577-8858</v>
          </cell>
          <cell r="N1126"/>
          <cell r="O1126">
            <v>170</v>
          </cell>
          <cell r="P1126">
            <v>731</v>
          </cell>
          <cell r="Q1126"/>
          <cell r="R1126">
            <v>0</v>
          </cell>
          <cell r="S1126"/>
          <cell r="T1126">
            <v>0</v>
          </cell>
          <cell r="U1126">
            <v>141</v>
          </cell>
          <cell r="V1126">
            <v>606.29999999999995</v>
          </cell>
          <cell r="W1126">
            <v>96</v>
          </cell>
          <cell r="X1126">
            <v>412.79999999999995</v>
          </cell>
          <cell r="Y1126"/>
          <cell r="Z1126">
            <v>0</v>
          </cell>
          <cell r="AA1126"/>
          <cell r="AB1126">
            <v>0</v>
          </cell>
          <cell r="AC1126"/>
          <cell r="AD1126">
            <v>0</v>
          </cell>
          <cell r="AE1126"/>
          <cell r="AF1126"/>
          <cell r="AG1126"/>
          <cell r="AH1126"/>
          <cell r="AI1126"/>
          <cell r="AJ1126">
            <v>0</v>
          </cell>
          <cell r="AK1126" t="str">
            <v>3P</v>
          </cell>
          <cell r="AL1126">
            <v>213</v>
          </cell>
          <cell r="AM1126">
            <v>101</v>
          </cell>
          <cell r="AN1126" t="str">
            <v>08 Inactive Dealer</v>
          </cell>
          <cell r="AO1126" t="str">
            <v>South Central</v>
          </cell>
          <cell r="AP1126" t="str">
            <v>Central</v>
          </cell>
          <cell r="AQ1126"/>
          <cell r="AR1126">
            <v>0</v>
          </cell>
          <cell r="AS1126">
            <v>0</v>
          </cell>
        </row>
        <row r="1127">
          <cell r="A1127">
            <v>11806</v>
          </cell>
          <cell r="B1127" t="str">
            <v>RNDM LONESTAR FARM</v>
          </cell>
          <cell r="C1127" t="str">
            <v>M10353</v>
          </cell>
          <cell r="D1127" t="str">
            <v>NET 5, BT+</v>
          </cell>
          <cell r="E1127" t="str">
            <v>FP - Wells Fargo</v>
          </cell>
          <cell r="F1127" t="str">
            <v>Yes</v>
          </cell>
          <cell r="G1127" t="str">
            <v>TX</v>
          </cell>
          <cell r="H1127">
            <v>8</v>
          </cell>
          <cell r="I1127">
            <v>0.66500000000000004</v>
          </cell>
          <cell r="J1127" t="str">
            <v>Orphaned Acct</v>
          </cell>
          <cell r="K1127" t="str">
            <v>CLEBURNE</v>
          </cell>
          <cell r="L1127" t="str">
            <v>TX</v>
          </cell>
          <cell r="M1127" t="str">
            <v>800-577-8858</v>
          </cell>
          <cell r="N1127"/>
          <cell r="O1127">
            <v>170</v>
          </cell>
          <cell r="P1127">
            <v>731</v>
          </cell>
          <cell r="Q1127"/>
          <cell r="R1127">
            <v>0</v>
          </cell>
          <cell r="S1127"/>
          <cell r="T1127">
            <v>0</v>
          </cell>
          <cell r="U1127">
            <v>141</v>
          </cell>
          <cell r="V1127">
            <v>606.29999999999995</v>
          </cell>
          <cell r="W1127">
            <v>96</v>
          </cell>
          <cell r="X1127">
            <v>412.79999999999995</v>
          </cell>
          <cell r="Y1127"/>
          <cell r="Z1127">
            <v>0</v>
          </cell>
          <cell r="AA1127"/>
          <cell r="AB1127">
            <v>0</v>
          </cell>
          <cell r="AC1127"/>
          <cell r="AD1127">
            <v>0</v>
          </cell>
          <cell r="AE1127"/>
          <cell r="AF1127"/>
          <cell r="AG1127"/>
          <cell r="AH1127"/>
          <cell r="AI1127"/>
          <cell r="AJ1127">
            <v>0</v>
          </cell>
          <cell r="AK1127" t="str">
            <v>3P</v>
          </cell>
          <cell r="AL1127">
            <v>213</v>
          </cell>
          <cell r="AM1127">
            <v>101</v>
          </cell>
          <cell r="AN1127" t="str">
            <v>08 Inactive Dealer</v>
          </cell>
          <cell r="AO1127" t="str">
            <v>South Central</v>
          </cell>
          <cell r="AP1127" t="str">
            <v>Central</v>
          </cell>
          <cell r="AQ1127"/>
          <cell r="AR1127">
            <v>0</v>
          </cell>
          <cell r="AS1127">
            <v>0</v>
          </cell>
        </row>
        <row r="1128">
          <cell r="A1128">
            <v>13271</v>
          </cell>
          <cell r="B1128" t="str">
            <v>RON HOOVER COMPANIES</v>
          </cell>
          <cell r="C1128" t="str">
            <v>M11222</v>
          </cell>
          <cell r="D1128" t="str">
            <v>NET 5, BT+</v>
          </cell>
          <cell r="E1128" t="str">
            <v>CO</v>
          </cell>
          <cell r="F1128" t="str">
            <v>Yes</v>
          </cell>
          <cell r="G1128" t="str">
            <v>TX</v>
          </cell>
          <cell r="H1128">
            <v>7</v>
          </cell>
          <cell r="I1128">
            <v>0.66500000000000004</v>
          </cell>
          <cell r="J1128" t="str">
            <v>Orphaned Acct</v>
          </cell>
          <cell r="K1128" t="str">
            <v>LAREDO</v>
          </cell>
          <cell r="L1128" t="str">
            <v>TX</v>
          </cell>
          <cell r="M1128" t="str">
            <v>800-577-8858</v>
          </cell>
          <cell r="N1128"/>
          <cell r="O1128">
            <v>546</v>
          </cell>
          <cell r="P1128">
            <v>2347.7999999999997</v>
          </cell>
          <cell r="Q1128"/>
          <cell r="R1128">
            <v>0</v>
          </cell>
          <cell r="S1128"/>
          <cell r="T1128">
            <v>0</v>
          </cell>
          <cell r="U1128">
            <v>533</v>
          </cell>
          <cell r="V1128">
            <v>2291.9</v>
          </cell>
          <cell r="W1128">
            <v>471</v>
          </cell>
          <cell r="X1128">
            <v>2025.3</v>
          </cell>
          <cell r="Y1128"/>
          <cell r="Z1128">
            <v>0</v>
          </cell>
          <cell r="AA1128"/>
          <cell r="AB1128">
            <v>0</v>
          </cell>
          <cell r="AC1128"/>
          <cell r="AD1128">
            <v>0</v>
          </cell>
          <cell r="AE1128"/>
          <cell r="AF1128"/>
          <cell r="AG1128"/>
          <cell r="AH1128"/>
          <cell r="AI1128"/>
          <cell r="AJ1128">
            <v>0</v>
          </cell>
          <cell r="AK1128" t="str">
            <v>3P</v>
          </cell>
          <cell r="AL1128">
            <v>213</v>
          </cell>
          <cell r="AM1128">
            <v>242</v>
          </cell>
          <cell r="AN1128" t="str">
            <v>02 Ramping</v>
          </cell>
          <cell r="AO1128" t="str">
            <v>South Central</v>
          </cell>
          <cell r="AP1128" t="str">
            <v>Central</v>
          </cell>
          <cell r="AQ1128"/>
          <cell r="AR1128">
            <v>0</v>
          </cell>
          <cell r="AS1128">
            <v>0</v>
          </cell>
        </row>
        <row r="1129">
          <cell r="A1129">
            <v>12245</v>
          </cell>
          <cell r="B1129" t="str">
            <v>SAN ANTONIO TRAILERS</v>
          </cell>
          <cell r="C1129" t="str">
            <v>M10364</v>
          </cell>
          <cell r="D1129" t="str">
            <v>Return Mail, no pink card</v>
          </cell>
          <cell r="E1129" t="str">
            <v>FP - Wells Fargo</v>
          </cell>
          <cell r="F1129" t="str">
            <v>Yes</v>
          </cell>
          <cell r="G1129" t="str">
            <v>TX</v>
          </cell>
          <cell r="H1129">
            <v>8</v>
          </cell>
          <cell r="I1129">
            <v>0.66500000000000004</v>
          </cell>
          <cell r="J1129" t="str">
            <v>Orphaned Acct</v>
          </cell>
          <cell r="K1129" t="str">
            <v>SAN ANTONIO</v>
          </cell>
          <cell r="L1129" t="str">
            <v>TX</v>
          </cell>
          <cell r="M1129" t="str">
            <v>800-577-8858</v>
          </cell>
          <cell r="N1129"/>
          <cell r="O1129">
            <v>382</v>
          </cell>
          <cell r="P1129">
            <v>1642.6</v>
          </cell>
          <cell r="Q1129"/>
          <cell r="R1129">
            <v>0</v>
          </cell>
          <cell r="S1129"/>
          <cell r="T1129">
            <v>0</v>
          </cell>
          <cell r="U1129">
            <v>369</v>
          </cell>
          <cell r="V1129">
            <v>1586.7</v>
          </cell>
          <cell r="W1129">
            <v>307</v>
          </cell>
          <cell r="X1129">
            <v>1320.1</v>
          </cell>
          <cell r="Y1129"/>
          <cell r="Z1129">
            <v>0</v>
          </cell>
          <cell r="AA1129"/>
          <cell r="AB1129">
            <v>0</v>
          </cell>
          <cell r="AC1129"/>
          <cell r="AD1129">
            <v>0</v>
          </cell>
          <cell r="AE1129"/>
          <cell r="AF1129"/>
          <cell r="AG1129"/>
          <cell r="AH1129"/>
          <cell r="AI1129"/>
          <cell r="AJ1129">
            <v>0</v>
          </cell>
          <cell r="AK1129" t="str">
            <v>3P</v>
          </cell>
          <cell r="AL1129">
            <v>213</v>
          </cell>
          <cell r="AM1129">
            <v>401</v>
          </cell>
          <cell r="AN1129" t="str">
            <v>01 Existing Dealer</v>
          </cell>
          <cell r="AO1129" t="str">
            <v>South Central</v>
          </cell>
          <cell r="AP1129" t="str">
            <v>Central</v>
          </cell>
          <cell r="AQ1129"/>
          <cell r="AR1129">
            <v>0</v>
          </cell>
          <cell r="AS1129">
            <v>0</v>
          </cell>
        </row>
        <row r="1130">
          <cell r="A1130" t="str">
            <v>12245A</v>
          </cell>
          <cell r="B1130" t="str">
            <v>SAN ANTONIO TRAILERS</v>
          </cell>
          <cell r="C1130" t="str">
            <v>M10364</v>
          </cell>
          <cell r="D1130" t="str">
            <v>Return Mail, no pink card</v>
          </cell>
          <cell r="E1130" t="str">
            <v>FP - Wells Fargo</v>
          </cell>
          <cell r="F1130" t="str">
            <v>Yes</v>
          </cell>
          <cell r="G1130" t="str">
            <v>TX</v>
          </cell>
          <cell r="H1130">
            <v>8</v>
          </cell>
          <cell r="I1130">
            <v>0.66500000000000004</v>
          </cell>
          <cell r="J1130" t="str">
            <v>Orphaned Acct</v>
          </cell>
          <cell r="K1130" t="str">
            <v>SAN ANTONIO</v>
          </cell>
          <cell r="L1130" t="str">
            <v>TX</v>
          </cell>
          <cell r="M1130" t="str">
            <v>800-577-8858</v>
          </cell>
          <cell r="N1130"/>
          <cell r="O1130">
            <v>386</v>
          </cell>
          <cell r="P1130">
            <v>1659.8</v>
          </cell>
          <cell r="Q1130"/>
          <cell r="R1130">
            <v>0</v>
          </cell>
          <cell r="S1130"/>
          <cell r="T1130">
            <v>0</v>
          </cell>
          <cell r="U1130">
            <v>374</v>
          </cell>
          <cell r="V1130">
            <v>1608.2</v>
          </cell>
          <cell r="W1130">
            <v>312</v>
          </cell>
          <cell r="X1130">
            <v>1341.6</v>
          </cell>
          <cell r="Y1130"/>
          <cell r="Z1130">
            <v>0</v>
          </cell>
          <cell r="AA1130"/>
          <cell r="AB1130">
            <v>0</v>
          </cell>
          <cell r="AC1130"/>
          <cell r="AD1130">
            <v>0</v>
          </cell>
          <cell r="AE1130"/>
          <cell r="AF1130"/>
          <cell r="AG1130"/>
          <cell r="AH1130"/>
          <cell r="AI1130"/>
          <cell r="AJ1130">
            <v>0</v>
          </cell>
          <cell r="AK1130" t="str">
            <v>3P</v>
          </cell>
          <cell r="AL1130">
            <v>213</v>
          </cell>
          <cell r="AM1130">
            <v>401</v>
          </cell>
          <cell r="AN1130" t="str">
            <v>01 Existing Dealer</v>
          </cell>
          <cell r="AO1130" t="str">
            <v>South Central</v>
          </cell>
          <cell r="AP1130" t="str">
            <v>Central</v>
          </cell>
          <cell r="AQ1130"/>
          <cell r="AR1130">
            <v>0</v>
          </cell>
          <cell r="AS1130">
            <v>0</v>
          </cell>
        </row>
        <row r="1131">
          <cell r="A1131">
            <v>12433</v>
          </cell>
          <cell r="B1131" t="str">
            <v>SILSBEE</v>
          </cell>
          <cell r="C1131" t="str">
            <v>M10372</v>
          </cell>
          <cell r="D1131" t="str">
            <v>NET 5, BT+</v>
          </cell>
          <cell r="E1131" t="str">
            <v>F3 - Wells Fargo</v>
          </cell>
          <cell r="F1131" t="str">
            <v>Yes</v>
          </cell>
          <cell r="G1131" t="str">
            <v>TX</v>
          </cell>
          <cell r="H1131">
            <v>8</v>
          </cell>
          <cell r="I1131">
            <v>0.66500000000000004</v>
          </cell>
          <cell r="J1131" t="str">
            <v>Dakota Nation</v>
          </cell>
          <cell r="K1131" t="str">
            <v>SILSBEE</v>
          </cell>
          <cell r="L1131" t="str">
            <v>TX</v>
          </cell>
          <cell r="M1131" t="str">
            <v>800-577-8858</v>
          </cell>
          <cell r="N1131"/>
          <cell r="O1131">
            <v>226</v>
          </cell>
          <cell r="P1131">
            <v>971.8</v>
          </cell>
          <cell r="Q1131"/>
          <cell r="R1131">
            <v>0</v>
          </cell>
          <cell r="S1131"/>
          <cell r="T1131">
            <v>0</v>
          </cell>
          <cell r="U1131">
            <v>380</v>
          </cell>
          <cell r="V1131">
            <v>1634</v>
          </cell>
          <cell r="W1131">
            <v>228</v>
          </cell>
          <cell r="X1131">
            <v>980.4</v>
          </cell>
          <cell r="Y1131"/>
          <cell r="Z1131">
            <v>0</v>
          </cell>
          <cell r="AA1131"/>
          <cell r="AB1131">
            <v>0</v>
          </cell>
          <cell r="AC1131"/>
          <cell r="AD1131">
            <v>0</v>
          </cell>
          <cell r="AE1131"/>
          <cell r="AF1131"/>
          <cell r="AG1131"/>
          <cell r="AH1131"/>
          <cell r="AI1131"/>
          <cell r="AJ1131">
            <v>0</v>
          </cell>
          <cell r="AK1131" t="str">
            <v>3P</v>
          </cell>
          <cell r="AL1131">
            <v>223</v>
          </cell>
          <cell r="AM1131">
            <v>34</v>
          </cell>
          <cell r="AN1131" t="str">
            <v>01 Existing Dealer</v>
          </cell>
          <cell r="AO1131" t="str">
            <v>South Central</v>
          </cell>
          <cell r="AP1131" t="str">
            <v>Central</v>
          </cell>
          <cell r="AQ1131"/>
          <cell r="AR1131">
            <v>0</v>
          </cell>
          <cell r="AS1131">
            <v>7107</v>
          </cell>
        </row>
        <row r="1132">
          <cell r="A1132">
            <v>10675</v>
          </cell>
          <cell r="B1132" t="str">
            <v>SILSBEE</v>
          </cell>
          <cell r="C1132" t="str">
            <v>M10372</v>
          </cell>
          <cell r="D1132" t="str">
            <v>NET 5, BT+</v>
          </cell>
          <cell r="E1132" t="str">
            <v>C6</v>
          </cell>
          <cell r="F1132" t="str">
            <v>No</v>
          </cell>
          <cell r="G1132" t="str">
            <v>TX</v>
          </cell>
          <cell r="H1132">
            <v>6</v>
          </cell>
          <cell r="I1132">
            <v>0.68200000000000005</v>
          </cell>
          <cell r="J1132" t="str">
            <v>House</v>
          </cell>
          <cell r="K1132" t="str">
            <v>SILSBEE</v>
          </cell>
          <cell r="L1132" t="str">
            <v>TX</v>
          </cell>
          <cell r="M1132" t="str">
            <v>800-577-8858</v>
          </cell>
          <cell r="N1132"/>
          <cell r="O1132">
            <v>226</v>
          </cell>
          <cell r="P1132">
            <v>971.8</v>
          </cell>
          <cell r="Q1132"/>
          <cell r="R1132">
            <v>0</v>
          </cell>
          <cell r="S1132"/>
          <cell r="T1132">
            <v>0</v>
          </cell>
          <cell r="U1132">
            <v>380</v>
          </cell>
          <cell r="V1132">
            <v>1634</v>
          </cell>
          <cell r="W1132">
            <v>228</v>
          </cell>
          <cell r="X1132">
            <v>980.4</v>
          </cell>
          <cell r="Y1132"/>
          <cell r="Z1132">
            <v>0</v>
          </cell>
          <cell r="AA1132"/>
          <cell r="AB1132">
            <v>0</v>
          </cell>
          <cell r="AC1132"/>
          <cell r="AD1132">
            <v>0</v>
          </cell>
          <cell r="AE1132"/>
          <cell r="AF1132"/>
          <cell r="AG1132"/>
          <cell r="AH1132"/>
          <cell r="AI1132"/>
          <cell r="AJ1132">
            <v>0</v>
          </cell>
          <cell r="AK1132" t="str">
            <v>3P</v>
          </cell>
          <cell r="AL1132">
            <v>400</v>
          </cell>
          <cell r="AM1132">
            <v>34</v>
          </cell>
          <cell r="AN1132" t="str">
            <v>01 Existing Dealer</v>
          </cell>
          <cell r="AO1132" t="str">
            <v>South Central</v>
          </cell>
          <cell r="AP1132" t="str">
            <v>Central</v>
          </cell>
          <cell r="AQ1132"/>
          <cell r="AR1132">
            <v>0</v>
          </cell>
          <cell r="AS1132">
            <v>0</v>
          </cell>
        </row>
        <row r="1133">
          <cell r="A1133">
            <v>10448</v>
          </cell>
          <cell r="B1133" t="str">
            <v>SILSBEE</v>
          </cell>
          <cell r="C1133" t="str">
            <v>M10372</v>
          </cell>
          <cell r="D1133" t="str">
            <v>NET 5, BT+</v>
          </cell>
          <cell r="E1133" t="str">
            <v>CO</v>
          </cell>
          <cell r="F1133" t="str">
            <v>Yes</v>
          </cell>
          <cell r="G1133" t="str">
            <v>TX</v>
          </cell>
          <cell r="H1133">
            <v>7</v>
          </cell>
          <cell r="I1133">
            <v>0.66500000000000004</v>
          </cell>
          <cell r="J1133" t="str">
            <v>Dakota Nation</v>
          </cell>
          <cell r="K1133" t="str">
            <v>SILSBEE</v>
          </cell>
          <cell r="L1133" t="str">
            <v>TX</v>
          </cell>
          <cell r="M1133" t="str">
            <v>800-577-8858</v>
          </cell>
          <cell r="N1133"/>
          <cell r="O1133">
            <v>226</v>
          </cell>
          <cell r="P1133">
            <v>971.8</v>
          </cell>
          <cell r="Q1133"/>
          <cell r="R1133">
            <v>0</v>
          </cell>
          <cell r="S1133"/>
          <cell r="T1133">
            <v>0</v>
          </cell>
          <cell r="U1133">
            <v>380</v>
          </cell>
          <cell r="V1133">
            <v>1634</v>
          </cell>
          <cell r="W1133">
            <v>228</v>
          </cell>
          <cell r="X1133">
            <v>980.4</v>
          </cell>
          <cell r="Y1133"/>
          <cell r="Z1133">
            <v>0</v>
          </cell>
          <cell r="AA1133"/>
          <cell r="AB1133">
            <v>0</v>
          </cell>
          <cell r="AC1133"/>
          <cell r="AD1133">
            <v>0</v>
          </cell>
          <cell r="AE1133"/>
          <cell r="AF1133"/>
          <cell r="AG1133"/>
          <cell r="AH1133"/>
          <cell r="AI1133"/>
          <cell r="AJ1133">
            <v>0</v>
          </cell>
          <cell r="AK1133" t="str">
            <v>3P</v>
          </cell>
          <cell r="AL1133">
            <v>223</v>
          </cell>
          <cell r="AM1133">
            <v>34</v>
          </cell>
          <cell r="AN1133" t="str">
            <v>01 Existing Dealer</v>
          </cell>
          <cell r="AO1133" t="str">
            <v>South Central</v>
          </cell>
          <cell r="AP1133" t="str">
            <v>Central</v>
          </cell>
          <cell r="AQ1133"/>
          <cell r="AR1133">
            <v>19920</v>
          </cell>
          <cell r="AS1133">
            <v>0</v>
          </cell>
        </row>
        <row r="1134">
          <cell r="A1134">
            <v>12268</v>
          </cell>
          <cell r="B1134" t="str">
            <v>SUNDOWNER TX</v>
          </cell>
          <cell r="C1134" t="str">
            <v>M10389</v>
          </cell>
          <cell r="D1134" t="str">
            <v>Return Mail, no pink card</v>
          </cell>
          <cell r="E1134" t="str">
            <v>F2 - Northpoint</v>
          </cell>
          <cell r="F1134" t="str">
            <v>Yes</v>
          </cell>
          <cell r="G1134" t="str">
            <v>TX</v>
          </cell>
          <cell r="H1134">
            <v>8</v>
          </cell>
          <cell r="I1134">
            <v>0.66500000000000004</v>
          </cell>
          <cell r="J1134" t="str">
            <v>Dakota Nation</v>
          </cell>
          <cell r="K1134" t="str">
            <v>WILLS POINT</v>
          </cell>
          <cell r="L1134" t="str">
            <v>TX</v>
          </cell>
          <cell r="M1134" t="str">
            <v>800-577-8858</v>
          </cell>
          <cell r="N1134"/>
          <cell r="O1134">
            <v>83</v>
          </cell>
          <cell r="P1134">
            <v>356.9</v>
          </cell>
          <cell r="Q1134"/>
          <cell r="R1134">
            <v>0</v>
          </cell>
          <cell r="S1134"/>
          <cell r="T1134">
            <v>0</v>
          </cell>
          <cell r="U1134">
            <v>155</v>
          </cell>
          <cell r="V1134">
            <v>666.5</v>
          </cell>
          <cell r="W1134">
            <v>13</v>
          </cell>
          <cell r="X1134">
            <v>55.9</v>
          </cell>
          <cell r="Y1134"/>
          <cell r="Z1134">
            <v>0</v>
          </cell>
          <cell r="AA1134"/>
          <cell r="AB1134">
            <v>0</v>
          </cell>
          <cell r="AC1134"/>
          <cell r="AD1134">
            <v>0</v>
          </cell>
          <cell r="AE1134"/>
          <cell r="AF1134"/>
          <cell r="AG1134"/>
          <cell r="AH1134"/>
          <cell r="AI1134"/>
          <cell r="AJ1134">
            <v>1.4999999999999999E-2</v>
          </cell>
          <cell r="AK1134" t="str">
            <v>3P</v>
          </cell>
          <cell r="AL1134">
            <v>223</v>
          </cell>
          <cell r="AM1134">
            <v>101</v>
          </cell>
          <cell r="AN1134" t="str">
            <v>01 Existing Dealer</v>
          </cell>
          <cell r="AO1134" t="str">
            <v>South Central</v>
          </cell>
          <cell r="AP1134" t="str">
            <v>Central</v>
          </cell>
          <cell r="AQ1134"/>
          <cell r="AR1134">
            <v>107212</v>
          </cell>
          <cell r="AS1134">
            <v>10115</v>
          </cell>
        </row>
        <row r="1135">
          <cell r="A1135">
            <v>12084</v>
          </cell>
          <cell r="B1135" t="str">
            <v>SUNDOWNER TX</v>
          </cell>
          <cell r="C1135" t="str">
            <v>M10389</v>
          </cell>
          <cell r="D1135" t="str">
            <v>Return Mail, no pink card</v>
          </cell>
          <cell r="E1135" t="str">
            <v>CN</v>
          </cell>
          <cell r="F1135" t="str">
            <v>Copies</v>
          </cell>
          <cell r="G1135" t="str">
            <v>TX</v>
          </cell>
          <cell r="H1135">
            <v>9</v>
          </cell>
          <cell r="I1135">
            <v>0.66500000000000004</v>
          </cell>
          <cell r="J1135" t="str">
            <v>Dakota Nation</v>
          </cell>
          <cell r="K1135" t="str">
            <v>WILLS POINT</v>
          </cell>
          <cell r="L1135" t="str">
            <v>TX</v>
          </cell>
          <cell r="M1135" t="str">
            <v>800-577-8858</v>
          </cell>
          <cell r="N1135"/>
          <cell r="O1135">
            <v>83</v>
          </cell>
          <cell r="P1135">
            <v>356.9</v>
          </cell>
          <cell r="Q1135"/>
          <cell r="R1135">
            <v>0</v>
          </cell>
          <cell r="S1135"/>
          <cell r="T1135">
            <v>0</v>
          </cell>
          <cell r="U1135">
            <v>155</v>
          </cell>
          <cell r="V1135">
            <v>666.5</v>
          </cell>
          <cell r="W1135">
            <v>13</v>
          </cell>
          <cell r="X1135">
            <v>55.9</v>
          </cell>
          <cell r="Y1135"/>
          <cell r="Z1135">
            <v>0</v>
          </cell>
          <cell r="AA1135"/>
          <cell r="AB1135">
            <v>0</v>
          </cell>
          <cell r="AC1135"/>
          <cell r="AD1135">
            <v>0</v>
          </cell>
          <cell r="AE1135"/>
          <cell r="AF1135"/>
          <cell r="AG1135"/>
          <cell r="AH1135"/>
          <cell r="AI1135"/>
          <cell r="AJ1135">
            <v>1.4999999999999999E-2</v>
          </cell>
          <cell r="AK1135" t="str">
            <v>3P</v>
          </cell>
          <cell r="AL1135">
            <v>223</v>
          </cell>
          <cell r="AM1135">
            <v>101</v>
          </cell>
          <cell r="AN1135" t="str">
            <v>01 Existing Dealer</v>
          </cell>
          <cell r="AO1135" t="str">
            <v>South Central</v>
          </cell>
          <cell r="AP1135" t="str">
            <v>Central</v>
          </cell>
          <cell r="AQ1135"/>
          <cell r="AR1135">
            <v>0</v>
          </cell>
          <cell r="AS1135">
            <v>0</v>
          </cell>
        </row>
        <row r="1136">
          <cell r="A1136">
            <v>10475</v>
          </cell>
          <cell r="B1136" t="str">
            <v>SUPERIOR TRAILER SALES</v>
          </cell>
          <cell r="C1136"/>
          <cell r="D1136" t="str">
            <v>NET 5, BT+</v>
          </cell>
          <cell r="E1136" t="str">
            <v>CO</v>
          </cell>
          <cell r="F1136" t="str">
            <v>Yes</v>
          </cell>
          <cell r="G1136" t="str">
            <v>TX</v>
          </cell>
          <cell r="H1136">
            <v>6</v>
          </cell>
          <cell r="I1136">
            <v>0.68200000000000005</v>
          </cell>
          <cell r="J1136" t="str">
            <v>House</v>
          </cell>
          <cell r="K1136" t="str">
            <v>CORPUS CHRISTI</v>
          </cell>
          <cell r="L1136" t="str">
            <v>TX</v>
          </cell>
          <cell r="M1136" t="str">
            <v>800-577-8858</v>
          </cell>
          <cell r="N1136"/>
          <cell r="O1136" t="str"/>
          <cell r="P1136" t="str"/>
          <cell r="Q1136" t="str"/>
          <cell r="R1136" t="str"/>
          <cell r="S1136" t="str"/>
          <cell r="T1136" t="str"/>
          <cell r="U1136" t="str"/>
          <cell r="V1136" t="str"/>
          <cell r="W1136" t="str"/>
          <cell r="X1136" t="str"/>
          <cell r="Y1136"/>
          <cell r="Z1136">
            <v>0</v>
          </cell>
          <cell r="AA1136"/>
          <cell r="AB1136">
            <v>0</v>
          </cell>
          <cell r="AC1136"/>
          <cell r="AD1136">
            <v>0</v>
          </cell>
          <cell r="AE1136" t="str"/>
          <cell r="AF1136"/>
          <cell r="AG1136" t="str"/>
          <cell r="AH1136" t="str"/>
          <cell r="AI1136" t="str"/>
          <cell r="AJ1136">
            <v>0</v>
          </cell>
          <cell r="AK1136" t="str">
            <v>3P</v>
          </cell>
          <cell r="AL1136">
            <v>400</v>
          </cell>
          <cell r="AM1136">
            <v>99</v>
          </cell>
          <cell r="AN1136" t="str">
            <v>08 Inactive Dealer</v>
          </cell>
          <cell r="AO1136" t="str">
            <v>South Central</v>
          </cell>
          <cell r="AP1136" t="str">
            <v>Central</v>
          </cell>
          <cell r="AQ1136"/>
          <cell r="AR1136">
            <v>0</v>
          </cell>
          <cell r="AS1136">
            <v>0</v>
          </cell>
        </row>
        <row r="1137">
          <cell r="A1137">
            <v>11855</v>
          </cell>
          <cell r="B1137" t="str">
            <v>TAGGART</v>
          </cell>
          <cell r="C1137" t="str">
            <v>M10396</v>
          </cell>
          <cell r="D1137" t="str">
            <v>NET 5, BT+</v>
          </cell>
          <cell r="E1137" t="str">
            <v>F3 - Wells Fargo</v>
          </cell>
          <cell r="F1137" t="str">
            <v>Yes</v>
          </cell>
          <cell r="G1137" t="str">
            <v>TX</v>
          </cell>
          <cell r="H1137">
            <v>8</v>
          </cell>
          <cell r="I1137">
            <v>0.66500000000000004</v>
          </cell>
          <cell r="J1137" t="str">
            <v>Trent Evans</v>
          </cell>
          <cell r="K1137" t="str">
            <v>PORTLAND</v>
          </cell>
          <cell r="L1137" t="str">
            <v>TX</v>
          </cell>
          <cell r="M1137" t="str">
            <v>800-577-8858</v>
          </cell>
          <cell r="N1137"/>
          <cell r="O1137">
            <v>535</v>
          </cell>
          <cell r="P1137">
            <v>2300.5</v>
          </cell>
          <cell r="Q1137"/>
          <cell r="R1137">
            <v>0</v>
          </cell>
          <cell r="S1137"/>
          <cell r="T1137">
            <v>0</v>
          </cell>
          <cell r="U1137">
            <v>523</v>
          </cell>
          <cell r="V1137">
            <v>2248.9</v>
          </cell>
          <cell r="W1137">
            <v>461</v>
          </cell>
          <cell r="X1137">
            <v>1982.3</v>
          </cell>
          <cell r="Y1137"/>
          <cell r="Z1137">
            <v>0</v>
          </cell>
          <cell r="AA1137"/>
          <cell r="AB1137">
            <v>0</v>
          </cell>
          <cell r="AC1137"/>
          <cell r="AD1137">
            <v>0</v>
          </cell>
          <cell r="AE1137"/>
          <cell r="AF1137"/>
          <cell r="AG1137"/>
          <cell r="AH1137"/>
          <cell r="AI1137"/>
          <cell r="AJ1137">
            <v>0</v>
          </cell>
          <cell r="AK1137" t="str">
            <v>3P</v>
          </cell>
          <cell r="AL1137">
            <v>226</v>
          </cell>
          <cell r="AM1137">
            <v>99</v>
          </cell>
          <cell r="AN1137" t="str">
            <v>01 Existing Dealer</v>
          </cell>
          <cell r="AO1137" t="str">
            <v>South Central</v>
          </cell>
          <cell r="AP1137" t="str">
            <v>Central</v>
          </cell>
          <cell r="AQ1137"/>
          <cell r="AR1137">
            <v>0</v>
          </cell>
          <cell r="AS1137">
            <v>36667</v>
          </cell>
        </row>
        <row r="1138">
          <cell r="A1138">
            <v>10901</v>
          </cell>
          <cell r="B1138" t="str">
            <v>TAGGART</v>
          </cell>
          <cell r="C1138" t="str">
            <v>M10396</v>
          </cell>
          <cell r="D1138" t="str">
            <v>NET 5, BT+</v>
          </cell>
          <cell r="E1138" t="str">
            <v>C6</v>
          </cell>
          <cell r="F1138" t="str">
            <v>Yes</v>
          </cell>
          <cell r="G1138" t="str">
            <v>TX</v>
          </cell>
          <cell r="H1138">
            <v>9</v>
          </cell>
          <cell r="I1138">
            <v>0.66500000000000004</v>
          </cell>
          <cell r="J1138" t="str">
            <v>Trent Evans</v>
          </cell>
          <cell r="K1138" t="str">
            <v>PORTLAND</v>
          </cell>
          <cell r="L1138" t="str">
            <v>TX</v>
          </cell>
          <cell r="M1138" t="str">
            <v>800-577-8858</v>
          </cell>
          <cell r="N1138"/>
          <cell r="O1138">
            <v>535</v>
          </cell>
          <cell r="P1138">
            <v>2300.5</v>
          </cell>
          <cell r="Q1138"/>
          <cell r="R1138">
            <v>0</v>
          </cell>
          <cell r="S1138"/>
          <cell r="T1138">
            <v>0</v>
          </cell>
          <cell r="U1138">
            <v>523</v>
          </cell>
          <cell r="V1138">
            <v>2248.9</v>
          </cell>
          <cell r="W1138">
            <v>461</v>
          </cell>
          <cell r="X1138">
            <v>1982.3</v>
          </cell>
          <cell r="Y1138"/>
          <cell r="Z1138">
            <v>0</v>
          </cell>
          <cell r="AA1138"/>
          <cell r="AB1138">
            <v>0</v>
          </cell>
          <cell r="AC1138"/>
          <cell r="AD1138">
            <v>0</v>
          </cell>
          <cell r="AE1138"/>
          <cell r="AF1138"/>
          <cell r="AG1138"/>
          <cell r="AH1138"/>
          <cell r="AI1138"/>
          <cell r="AJ1138">
            <v>0</v>
          </cell>
          <cell r="AK1138" t="str">
            <v>3P</v>
          </cell>
          <cell r="AL1138">
            <v>226</v>
          </cell>
          <cell r="AM1138">
            <v>99</v>
          </cell>
          <cell r="AN1138" t="str">
            <v>01 Existing Dealer</v>
          </cell>
          <cell r="AO1138" t="str">
            <v>South Central</v>
          </cell>
          <cell r="AP1138" t="str">
            <v>Central</v>
          </cell>
          <cell r="AQ1138"/>
          <cell r="AR1138">
            <v>0</v>
          </cell>
          <cell r="AS1138">
            <v>0</v>
          </cell>
        </row>
        <row r="1139">
          <cell r="A1139">
            <v>10484</v>
          </cell>
          <cell r="B1139" t="str">
            <v>TERRY'S TRAILERS</v>
          </cell>
          <cell r="C1139"/>
          <cell r="D1139" t="str">
            <v>NET 5, BT+</v>
          </cell>
          <cell r="E1139" t="str">
            <v>C6</v>
          </cell>
          <cell r="F1139" t="str">
            <v>No</v>
          </cell>
          <cell r="G1139" t="str">
            <v xml:space="preserve">Odessa </v>
          </cell>
          <cell r="H1139">
            <v>9</v>
          </cell>
          <cell r="I1139">
            <v>0.68200000000000005</v>
          </cell>
          <cell r="J1139" t="str">
            <v>House</v>
          </cell>
          <cell r="K1139" t="str">
            <v>MIDLAND</v>
          </cell>
          <cell r="L1139" t="str">
            <v>TX</v>
          </cell>
          <cell r="M1139" t="str">
            <v>800-577-8858</v>
          </cell>
          <cell r="N1139"/>
          <cell r="O1139">
            <v>457</v>
          </cell>
          <cell r="P1139">
            <v>1965.1</v>
          </cell>
          <cell r="Q1139"/>
          <cell r="R1139">
            <v>0</v>
          </cell>
          <cell r="S1139"/>
          <cell r="T1139">
            <v>0</v>
          </cell>
          <cell r="U1139">
            <v>408</v>
          </cell>
          <cell r="V1139">
            <v>1754.3999999999999</v>
          </cell>
          <cell r="W1139">
            <v>382</v>
          </cell>
          <cell r="X1139">
            <v>1642.6</v>
          </cell>
          <cell r="Y1139"/>
          <cell r="Z1139">
            <v>0</v>
          </cell>
          <cell r="AA1139"/>
          <cell r="AB1139">
            <v>0</v>
          </cell>
          <cell r="AC1139"/>
          <cell r="AD1139">
            <v>0</v>
          </cell>
          <cell r="AE1139"/>
          <cell r="AF1139"/>
          <cell r="AG1139"/>
          <cell r="AH1139"/>
          <cell r="AI1139"/>
          <cell r="AJ1139">
            <v>0</v>
          </cell>
          <cell r="AK1139" t="str">
            <v>3P</v>
          </cell>
          <cell r="AL1139">
            <v>400</v>
          </cell>
          <cell r="AM1139">
            <v>296</v>
          </cell>
          <cell r="AN1139" t="str">
            <v>08 Inactive Dealer</v>
          </cell>
          <cell r="AO1139" t="str">
            <v>South Central</v>
          </cell>
          <cell r="AP1139" t="str">
            <v>Central</v>
          </cell>
          <cell r="AQ1139"/>
          <cell r="AR1139">
            <v>0</v>
          </cell>
          <cell r="AS1139">
            <v>0</v>
          </cell>
        </row>
        <row r="1140">
          <cell r="A1140">
            <v>13399</v>
          </cell>
          <cell r="B1140" t="str">
            <v>TEXARKANA TRACTOR (RVT)</v>
          </cell>
          <cell r="C1140" t="str">
            <v>M11079</v>
          </cell>
          <cell r="D1140" t="str">
            <v>NET 5, BT+</v>
          </cell>
          <cell r="E1140">
            <v>30</v>
          </cell>
          <cell r="F1140" t="str">
            <v>Yes</v>
          </cell>
          <cell r="G1140" t="str">
            <v>TX</v>
          </cell>
          <cell r="H1140">
            <v>7</v>
          </cell>
          <cell r="I1140">
            <v>0.66500000000000004</v>
          </cell>
          <cell r="J1140" t="str">
            <v>JL Smith</v>
          </cell>
          <cell r="K1140" t="str">
            <v xml:space="preserve">NASH </v>
          </cell>
          <cell r="L1140" t="str">
            <v>TX</v>
          </cell>
          <cell r="M1140" t="str">
            <v>800-577-8858</v>
          </cell>
          <cell r="N1140"/>
          <cell r="O1140">
            <v>54</v>
          </cell>
          <cell r="P1140">
            <v>232.2</v>
          </cell>
          <cell r="Q1140"/>
          <cell r="R1140">
            <v>0</v>
          </cell>
          <cell r="S1140"/>
          <cell r="T1140">
            <v>0</v>
          </cell>
          <cell r="U1140">
            <v>192</v>
          </cell>
          <cell r="V1140">
            <v>825.59999999999991</v>
          </cell>
          <cell r="W1140">
            <v>136</v>
          </cell>
          <cell r="X1140">
            <v>584.79999999999995</v>
          </cell>
          <cell r="Y1140"/>
          <cell r="Z1140">
            <v>0</v>
          </cell>
          <cell r="AA1140"/>
          <cell r="AB1140">
            <v>0</v>
          </cell>
          <cell r="AC1140"/>
          <cell r="AD1140">
            <v>0</v>
          </cell>
          <cell r="AE1140"/>
          <cell r="AF1140"/>
          <cell r="AG1140"/>
          <cell r="AH1140"/>
          <cell r="AI1140"/>
          <cell r="AJ1140">
            <v>0</v>
          </cell>
          <cell r="AK1140" t="str">
            <v>3P</v>
          </cell>
          <cell r="AL1140">
            <v>151</v>
          </cell>
          <cell r="AM1140">
            <v>443</v>
          </cell>
          <cell r="AN1140" t="str">
            <v>01 Existing Dealer</v>
          </cell>
          <cell r="AO1140" t="str">
            <v>South Central</v>
          </cell>
          <cell r="AP1140" t="str">
            <v>Central</v>
          </cell>
          <cell r="AQ1140"/>
          <cell r="AR1140">
            <v>7830</v>
          </cell>
          <cell r="AS1140">
            <v>0</v>
          </cell>
        </row>
        <row r="1141">
          <cell r="A1141">
            <v>12810</v>
          </cell>
          <cell r="B1141" t="str">
            <v>TEXAS TRAILER CORRAL</v>
          </cell>
          <cell r="C1141" t="str">
            <v>M10483</v>
          </cell>
          <cell r="D1141" t="str">
            <v>NET 5, BT+</v>
          </cell>
          <cell r="E1141" t="str">
            <v>CO</v>
          </cell>
          <cell r="F1141" t="str">
            <v>Yes</v>
          </cell>
          <cell r="G1141" t="str">
            <v>TX</v>
          </cell>
          <cell r="H1141">
            <v>7</v>
          </cell>
          <cell r="I1141">
            <v>0.66500000000000004</v>
          </cell>
          <cell r="J1141" t="str">
            <v>Orphaned Acct</v>
          </cell>
          <cell r="K1141" t="str">
            <v>LUBBOCK</v>
          </cell>
          <cell r="L1141" t="str">
            <v>TX</v>
          </cell>
          <cell r="M1141" t="str">
            <v>800-577-8858</v>
          </cell>
          <cell r="N1141"/>
          <cell r="O1141"/>
          <cell r="P1141">
            <v>0</v>
          </cell>
          <cell r="Q1141"/>
          <cell r="R1141">
            <v>0</v>
          </cell>
          <cell r="S1141"/>
          <cell r="T1141">
            <v>0</v>
          </cell>
          <cell r="U1141"/>
          <cell r="V1141">
            <v>0</v>
          </cell>
          <cell r="W1141"/>
          <cell r="X1141">
            <v>0</v>
          </cell>
          <cell r="Y1141"/>
          <cell r="Z1141">
            <v>0</v>
          </cell>
          <cell r="AA1141"/>
          <cell r="AB1141">
            <v>0</v>
          </cell>
          <cell r="AC1141"/>
          <cell r="AD1141">
            <v>0</v>
          </cell>
          <cell r="AE1141"/>
          <cell r="AF1141"/>
          <cell r="AG1141"/>
          <cell r="AH1141"/>
          <cell r="AI1141"/>
          <cell r="AJ1141">
            <v>0</v>
          </cell>
          <cell r="AK1141" t="str">
            <v>3P</v>
          </cell>
          <cell r="AL1141">
            <v>213</v>
          </cell>
          <cell r="AM1141">
            <v>264</v>
          </cell>
          <cell r="AN1141" t="str">
            <v>08 Inactive Dealer</v>
          </cell>
          <cell r="AO1141" t="str">
            <v>South Central</v>
          </cell>
          <cell r="AP1141" t="str">
            <v>Central</v>
          </cell>
          <cell r="AQ1141"/>
          <cell r="AR1141">
            <v>0</v>
          </cell>
          <cell r="AS1141">
            <v>0</v>
          </cell>
        </row>
        <row r="1142">
          <cell r="A1142">
            <v>13155</v>
          </cell>
          <cell r="B1142" t="str">
            <v>THREE RIVERS EQUIPMENT SALES LLC</v>
          </cell>
          <cell r="C1142" t="str">
            <v>M11091</v>
          </cell>
          <cell r="D1142" t="str">
            <v>NET 5, BT+</v>
          </cell>
          <cell r="E1142" t="str">
            <v>F1</v>
          </cell>
          <cell r="F1142" t="str">
            <v>Yes</v>
          </cell>
          <cell r="G1142" t="str">
            <v>TX</v>
          </cell>
          <cell r="H1142">
            <v>8</v>
          </cell>
          <cell r="I1142">
            <v>0.66500000000000004</v>
          </cell>
          <cell r="J1142" t="str">
            <v>Orphaned Acct</v>
          </cell>
          <cell r="K1142" t="str">
            <v>GRANBURY</v>
          </cell>
          <cell r="L1142" t="str">
            <v>TX</v>
          </cell>
          <cell r="M1142" t="str">
            <v>800-577-8858</v>
          </cell>
          <cell r="N1142"/>
          <cell r="O1142">
            <v>194</v>
          </cell>
          <cell r="P1142">
            <v>834.19999999999993</v>
          </cell>
          <cell r="Q1142"/>
          <cell r="R1142">
            <v>0</v>
          </cell>
          <cell r="S1142"/>
          <cell r="T1142">
            <v>0</v>
          </cell>
          <cell r="U1142">
            <v>151</v>
          </cell>
          <cell r="V1142">
            <v>649.29999999999995</v>
          </cell>
          <cell r="W1142">
            <v>119</v>
          </cell>
          <cell r="X1142">
            <v>511.7</v>
          </cell>
          <cell r="Y1142"/>
          <cell r="Z1142">
            <v>0</v>
          </cell>
          <cell r="AA1142"/>
          <cell r="AB1142">
            <v>0</v>
          </cell>
          <cell r="AC1142"/>
          <cell r="AD1142">
            <v>0</v>
          </cell>
          <cell r="AE1142"/>
          <cell r="AF1142"/>
          <cell r="AG1142"/>
          <cell r="AH1142"/>
          <cell r="AI1142"/>
          <cell r="AJ1142">
            <v>0</v>
          </cell>
          <cell r="AK1142" t="str">
            <v>3P</v>
          </cell>
          <cell r="AL1142">
            <v>213</v>
          </cell>
          <cell r="AM1142">
            <v>101</v>
          </cell>
          <cell r="AN1142" t="str">
            <v>01 Existing Dealer</v>
          </cell>
          <cell r="AO1142" t="str">
            <v>South Central</v>
          </cell>
          <cell r="AP1142" t="str">
            <v>Central</v>
          </cell>
          <cell r="AQ1142"/>
          <cell r="AR1142">
            <v>0</v>
          </cell>
          <cell r="AS1142">
            <v>0</v>
          </cell>
        </row>
        <row r="1143">
          <cell r="A1143">
            <v>12711</v>
          </cell>
          <cell r="B1143" t="str">
            <v>TIPTON FORD, INC.</v>
          </cell>
          <cell r="C1143" t="str">
            <v>M10410</v>
          </cell>
          <cell r="D1143" t="str">
            <v>NET 5, BT+</v>
          </cell>
          <cell r="E1143" t="str">
            <v>CO</v>
          </cell>
          <cell r="F1143" t="str">
            <v>Yes</v>
          </cell>
          <cell r="G1143" t="str">
            <v>TX</v>
          </cell>
          <cell r="H1143">
            <v>7</v>
          </cell>
          <cell r="I1143">
            <v>0.66500000000000004</v>
          </cell>
          <cell r="J1143" t="str">
            <v>Orphaned Acct</v>
          </cell>
          <cell r="K1143" t="str">
            <v>NACOGDOCHES</v>
          </cell>
          <cell r="L1143" t="str">
            <v>TX</v>
          </cell>
          <cell r="M1143" t="str">
            <v>800-577-8858</v>
          </cell>
          <cell r="N1143"/>
          <cell r="O1143">
            <v>115</v>
          </cell>
          <cell r="P1143">
            <v>494.5</v>
          </cell>
          <cell r="Q1143"/>
          <cell r="R1143">
            <v>0</v>
          </cell>
          <cell r="S1143"/>
          <cell r="T1143">
            <v>0</v>
          </cell>
          <cell r="U1143">
            <v>255</v>
          </cell>
          <cell r="V1143">
            <v>1096.5</v>
          </cell>
          <cell r="W1143">
            <v>131</v>
          </cell>
          <cell r="X1143">
            <v>563.29999999999995</v>
          </cell>
          <cell r="Y1143"/>
          <cell r="Z1143">
            <v>0</v>
          </cell>
          <cell r="AA1143"/>
          <cell r="AB1143">
            <v>0</v>
          </cell>
          <cell r="AC1143"/>
          <cell r="AD1143">
            <v>0</v>
          </cell>
          <cell r="AE1143"/>
          <cell r="AF1143"/>
          <cell r="AG1143"/>
          <cell r="AH1143"/>
          <cell r="AI1143"/>
          <cell r="AJ1143">
            <v>0</v>
          </cell>
          <cell r="AK1143" t="str">
            <v>3P</v>
          </cell>
          <cell r="AL1143">
            <v>213</v>
          </cell>
          <cell r="AM1143">
            <v>265</v>
          </cell>
          <cell r="AN1143" t="str">
            <v>08 Inactive Dealer</v>
          </cell>
          <cell r="AO1143" t="str">
            <v>South Central</v>
          </cell>
          <cell r="AP1143" t="str">
            <v>Central</v>
          </cell>
          <cell r="AQ1143"/>
          <cell r="AR1143">
            <v>0</v>
          </cell>
          <cell r="AS1143">
            <v>0</v>
          </cell>
        </row>
        <row r="1144">
          <cell r="A1144">
            <v>12732</v>
          </cell>
          <cell r="B1144" t="str">
            <v>TIPTON FORD, INC.</v>
          </cell>
          <cell r="C1144" t="str">
            <v>M10410</v>
          </cell>
          <cell r="D1144" t="str">
            <v>NET 5, BT+</v>
          </cell>
          <cell r="E1144" t="str">
            <v>FP - Wells Fargo</v>
          </cell>
          <cell r="F1144" t="str">
            <v>Yes</v>
          </cell>
          <cell r="G1144" t="str">
            <v>TX</v>
          </cell>
          <cell r="H1144">
            <v>8</v>
          </cell>
          <cell r="I1144">
            <v>0.66500000000000004</v>
          </cell>
          <cell r="J1144" t="str">
            <v>Orphaned Acct</v>
          </cell>
          <cell r="K1144" t="str">
            <v>NACOGDOCHES</v>
          </cell>
          <cell r="L1144" t="str">
            <v>TX</v>
          </cell>
          <cell r="M1144" t="str">
            <v>800-577-8858</v>
          </cell>
          <cell r="N1144"/>
          <cell r="O1144">
            <v>115</v>
          </cell>
          <cell r="P1144">
            <v>494.5</v>
          </cell>
          <cell r="Q1144"/>
          <cell r="R1144">
            <v>0</v>
          </cell>
          <cell r="S1144"/>
          <cell r="T1144">
            <v>0</v>
          </cell>
          <cell r="U1144">
            <v>255</v>
          </cell>
          <cell r="V1144">
            <v>1096.5</v>
          </cell>
          <cell r="W1144">
            <v>131</v>
          </cell>
          <cell r="X1144">
            <v>563.29999999999995</v>
          </cell>
          <cell r="Y1144"/>
          <cell r="Z1144">
            <v>0</v>
          </cell>
          <cell r="AA1144"/>
          <cell r="AB1144">
            <v>0</v>
          </cell>
          <cell r="AC1144"/>
          <cell r="AD1144">
            <v>0</v>
          </cell>
          <cell r="AE1144"/>
          <cell r="AF1144"/>
          <cell r="AG1144"/>
          <cell r="AH1144"/>
          <cell r="AI1144"/>
          <cell r="AJ1144">
            <v>0</v>
          </cell>
          <cell r="AK1144" t="str">
            <v>3P</v>
          </cell>
          <cell r="AL1144">
            <v>213</v>
          </cell>
          <cell r="AM1144">
            <v>265</v>
          </cell>
          <cell r="AN1144" t="str">
            <v>08 Inactive Dealer</v>
          </cell>
          <cell r="AO1144" t="str">
            <v>South Central</v>
          </cell>
          <cell r="AP1144" t="str">
            <v>Central</v>
          </cell>
          <cell r="AQ1144"/>
          <cell r="AR1144">
            <v>0</v>
          </cell>
          <cell r="AS1144">
            <v>0</v>
          </cell>
        </row>
        <row r="1145">
          <cell r="A1145">
            <v>12502</v>
          </cell>
          <cell r="B1145" t="str">
            <v>TNT TRAILERS</v>
          </cell>
          <cell r="C1145" t="str">
            <v>M10411</v>
          </cell>
          <cell r="D1145" t="str">
            <v>NET 5, BT+</v>
          </cell>
          <cell r="E1145" t="str">
            <v>CO</v>
          </cell>
          <cell r="F1145" t="str">
            <v>Yes</v>
          </cell>
          <cell r="G1145" t="str">
            <v>TX</v>
          </cell>
          <cell r="H1145">
            <v>7</v>
          </cell>
          <cell r="I1145">
            <v>0.66500000000000004</v>
          </cell>
          <cell r="J1145" t="str">
            <v>Orphaned Acct</v>
          </cell>
          <cell r="K1145" t="str">
            <v>SPEARMAN</v>
          </cell>
          <cell r="L1145" t="str">
            <v>TX</v>
          </cell>
          <cell r="M1145" t="str">
            <v>800-577-8858</v>
          </cell>
          <cell r="N1145"/>
          <cell r="O1145">
            <v>512</v>
          </cell>
          <cell r="P1145">
            <v>2201.6</v>
          </cell>
          <cell r="Q1145"/>
          <cell r="R1145">
            <v>0</v>
          </cell>
          <cell r="S1145"/>
          <cell r="T1145">
            <v>0</v>
          </cell>
          <cell r="U1145">
            <v>382</v>
          </cell>
          <cell r="V1145">
            <v>1642.6</v>
          </cell>
          <cell r="W1145">
            <v>464</v>
          </cell>
          <cell r="X1145">
            <v>1995.1999999999998</v>
          </cell>
          <cell r="Y1145"/>
          <cell r="Z1145">
            <v>0</v>
          </cell>
          <cell r="AA1145"/>
          <cell r="AB1145">
            <v>0</v>
          </cell>
          <cell r="AC1145"/>
          <cell r="AD1145">
            <v>0</v>
          </cell>
          <cell r="AE1145"/>
          <cell r="AF1145"/>
          <cell r="AG1145"/>
          <cell r="AH1145"/>
          <cell r="AI1145"/>
          <cell r="AJ1145">
            <v>0</v>
          </cell>
          <cell r="AK1145" t="str">
            <v>3P</v>
          </cell>
          <cell r="AL1145">
            <v>213</v>
          </cell>
          <cell r="AM1145">
            <v>13</v>
          </cell>
          <cell r="AN1145" t="str">
            <v>08 Inactive Dealer</v>
          </cell>
          <cell r="AO1145" t="str">
            <v>South Central</v>
          </cell>
          <cell r="AP1145" t="str">
            <v>Central</v>
          </cell>
          <cell r="AQ1145"/>
          <cell r="AR1145">
            <v>0</v>
          </cell>
          <cell r="AS1145">
            <v>0</v>
          </cell>
        </row>
        <row r="1146">
          <cell r="A1146">
            <v>13551</v>
          </cell>
          <cell r="B1146" t="str">
            <v>TOPLINE dba SOUTHERN TRAILERS</v>
          </cell>
          <cell r="C1146" t="str">
            <v>M11528</v>
          </cell>
          <cell r="D1146" t="str">
            <v>NET 5, BT+</v>
          </cell>
          <cell r="E1146" t="str">
            <v>FP - Northpoint</v>
          </cell>
          <cell r="F1146" t="str">
            <v>Yes</v>
          </cell>
          <cell r="G1146" t="str">
            <v>TX</v>
          </cell>
          <cell r="H1146">
            <v>8</v>
          </cell>
          <cell r="I1146">
            <v>0.66500000000000004</v>
          </cell>
          <cell r="J1146" t="str">
            <v>Dakota Nation</v>
          </cell>
          <cell r="K1146" t="str">
            <v>SEMINOLE</v>
          </cell>
          <cell r="L1146" t="str">
            <v>TX</v>
          </cell>
          <cell r="M1146" t="str">
            <v>800-577-8858</v>
          </cell>
          <cell r="N1146"/>
          <cell r="O1146">
            <v>487</v>
          </cell>
          <cell r="P1146">
            <v>2094.1</v>
          </cell>
          <cell r="Q1146"/>
          <cell r="R1146">
            <v>0</v>
          </cell>
          <cell r="S1146"/>
          <cell r="T1146">
            <v>0</v>
          </cell>
          <cell r="U1146">
            <v>403</v>
          </cell>
          <cell r="V1146">
            <v>1732.8999999999999</v>
          </cell>
          <cell r="W1146">
            <v>421</v>
          </cell>
          <cell r="X1146">
            <v>1810.3</v>
          </cell>
          <cell r="Y1146"/>
          <cell r="Z1146">
            <v>0</v>
          </cell>
          <cell r="AA1146"/>
          <cell r="AB1146">
            <v>0</v>
          </cell>
          <cell r="AC1146"/>
          <cell r="AD1146">
            <v>0</v>
          </cell>
          <cell r="AE1146"/>
          <cell r="AF1146"/>
          <cell r="AG1146"/>
          <cell r="AH1146"/>
          <cell r="AI1146"/>
          <cell r="AJ1146">
            <v>0.04</v>
          </cell>
          <cell r="AK1146" t="str">
            <v>3P</v>
          </cell>
          <cell r="AL1146">
            <v>223</v>
          </cell>
          <cell r="AM1146">
            <v>196</v>
          </cell>
          <cell r="AN1146" t="str">
            <v>03 New Dealer</v>
          </cell>
          <cell r="AO1146" t="str">
            <v>South Central</v>
          </cell>
          <cell r="AP1146" t="str">
            <v>Central</v>
          </cell>
          <cell r="AQ1146"/>
          <cell r="AR1146">
            <v>0</v>
          </cell>
          <cell r="AS1146">
            <v>0</v>
          </cell>
        </row>
        <row r="1147">
          <cell r="A1147" t="str">
            <v>13551A</v>
          </cell>
          <cell r="B1147" t="str">
            <v>TOPLINE dba SOUTHERN TRAILERS</v>
          </cell>
          <cell r="C1147" t="str">
            <v>M11528</v>
          </cell>
          <cell r="D1147" t="str">
            <v>NET 5, BT+</v>
          </cell>
          <cell r="E1147" t="str">
            <v>FP - Northpoint</v>
          </cell>
          <cell r="F1147" t="str">
            <v>Yes</v>
          </cell>
          <cell r="G1147" t="str">
            <v>TX</v>
          </cell>
          <cell r="H1147">
            <v>8</v>
          </cell>
          <cell r="I1147">
            <v>0.66500000000000004</v>
          </cell>
          <cell r="J1147" t="str">
            <v>Dakota Nation</v>
          </cell>
          <cell r="K1147" t="str">
            <v>SEMINOLE</v>
          </cell>
          <cell r="L1147" t="str">
            <v>TX</v>
          </cell>
          <cell r="M1147" t="str">
            <v>800-577-8858</v>
          </cell>
          <cell r="N1147"/>
          <cell r="O1147">
            <v>487</v>
          </cell>
          <cell r="P1147">
            <v>2094.1</v>
          </cell>
          <cell r="Q1147"/>
          <cell r="R1147">
            <v>0</v>
          </cell>
          <cell r="S1147"/>
          <cell r="T1147">
            <v>0</v>
          </cell>
          <cell r="U1147">
            <v>403</v>
          </cell>
          <cell r="V1147">
            <v>1732.8999999999999</v>
          </cell>
          <cell r="W1147">
            <v>421</v>
          </cell>
          <cell r="X1147">
            <v>1810.3</v>
          </cell>
          <cell r="Y1147"/>
          <cell r="Z1147">
            <v>0</v>
          </cell>
          <cell r="AA1147"/>
          <cell r="AB1147">
            <v>0</v>
          </cell>
          <cell r="AC1147"/>
          <cell r="AD1147">
            <v>0</v>
          </cell>
          <cell r="AE1147"/>
          <cell r="AF1147"/>
          <cell r="AG1147"/>
          <cell r="AH1147"/>
          <cell r="AI1147"/>
          <cell r="AJ1147">
            <v>0.04</v>
          </cell>
          <cell r="AK1147" t="str">
            <v>3P</v>
          </cell>
          <cell r="AL1147">
            <v>223</v>
          </cell>
          <cell r="AM1147">
            <v>264</v>
          </cell>
          <cell r="AN1147" t="str">
            <v>03 New Dealer</v>
          </cell>
          <cell r="AO1147" t="str">
            <v>South Central</v>
          </cell>
          <cell r="AP1147" t="str">
            <v>Central</v>
          </cell>
          <cell r="AQ1147"/>
          <cell r="AR1147">
            <v>0</v>
          </cell>
          <cell r="AS1147">
            <v>0</v>
          </cell>
        </row>
        <row r="1148">
          <cell r="A1148" t="str">
            <v>13551B</v>
          </cell>
          <cell r="B1148" t="str">
            <v>TOPLINE dba SOUTHERN TRAILERS</v>
          </cell>
          <cell r="C1148" t="str">
            <v>M11528</v>
          </cell>
          <cell r="D1148" t="str">
            <v>NET 5, BT+</v>
          </cell>
          <cell r="E1148" t="str">
            <v>FP - Northpoint</v>
          </cell>
          <cell r="F1148" t="str">
            <v>Yes</v>
          </cell>
          <cell r="G1148" t="str">
            <v>TX</v>
          </cell>
          <cell r="H1148">
            <v>8</v>
          </cell>
          <cell r="I1148">
            <v>0.66500000000000004</v>
          </cell>
          <cell r="J1148" t="str">
            <v>Dakota Nation</v>
          </cell>
          <cell r="K1148" t="str">
            <v>SWEETWATER</v>
          </cell>
          <cell r="L1148" t="str">
            <v>TX</v>
          </cell>
          <cell r="M1148" t="str">
            <v>800-577-8858</v>
          </cell>
          <cell r="N1148"/>
          <cell r="O1148">
            <v>341</v>
          </cell>
          <cell r="P1148">
            <v>1466.3</v>
          </cell>
          <cell r="Q1148"/>
          <cell r="R1148">
            <v>0</v>
          </cell>
          <cell r="S1148"/>
          <cell r="T1148">
            <v>0</v>
          </cell>
          <cell r="U1148">
            <v>277</v>
          </cell>
          <cell r="V1148">
            <v>1191.0999999999999</v>
          </cell>
          <cell r="W1148">
            <v>275</v>
          </cell>
          <cell r="X1148">
            <v>1182.5</v>
          </cell>
          <cell r="Y1148"/>
          <cell r="Z1148">
            <v>0</v>
          </cell>
          <cell r="AA1148"/>
          <cell r="AB1148">
            <v>0</v>
          </cell>
          <cell r="AC1148"/>
          <cell r="AD1148">
            <v>0</v>
          </cell>
          <cell r="AE1148"/>
          <cell r="AF1148"/>
          <cell r="AG1148"/>
          <cell r="AH1148"/>
          <cell r="AI1148"/>
          <cell r="AJ1148">
            <v>0.04</v>
          </cell>
          <cell r="AK1148" t="str">
            <v>3P</v>
          </cell>
          <cell r="AL1148">
            <v>223</v>
          </cell>
          <cell r="AM1148">
            <v>3</v>
          </cell>
          <cell r="AN1148" t="str">
            <v>03 New Dealer</v>
          </cell>
          <cell r="AO1148" t="str">
            <v>South Central</v>
          </cell>
          <cell r="AP1148" t="str">
            <v>Central</v>
          </cell>
          <cell r="AQ1148"/>
          <cell r="AR1148">
            <v>0</v>
          </cell>
          <cell r="AS1148">
            <v>0</v>
          </cell>
        </row>
        <row r="1149">
          <cell r="A1149" t="str">
            <v>13551C</v>
          </cell>
          <cell r="B1149" t="str">
            <v>TOPLINE dba SOUTHERN TRAILERS</v>
          </cell>
          <cell r="C1149" t="str">
            <v>M11528</v>
          </cell>
          <cell r="D1149" t="str">
            <v>NET 5, BT+</v>
          </cell>
          <cell r="E1149" t="str">
            <v>FP - Northpoint</v>
          </cell>
          <cell r="F1149" t="str">
            <v>Yes</v>
          </cell>
          <cell r="G1149" t="str">
            <v>TX</v>
          </cell>
          <cell r="H1149">
            <v>8</v>
          </cell>
          <cell r="I1149">
            <v>0.66500000000000004</v>
          </cell>
          <cell r="J1149" t="str">
            <v>Dakota Nation</v>
          </cell>
          <cell r="K1149" t="str">
            <v>ROSENBERG</v>
          </cell>
          <cell r="L1149" t="str">
            <v>TX</v>
          </cell>
          <cell r="M1149" t="str">
            <v>800-577-8858</v>
          </cell>
          <cell r="N1149"/>
          <cell r="O1149">
            <v>294</v>
          </cell>
          <cell r="P1149">
            <v>1264.2</v>
          </cell>
          <cell r="Q1149"/>
          <cell r="R1149">
            <v>0</v>
          </cell>
          <cell r="S1149"/>
          <cell r="T1149">
            <v>0</v>
          </cell>
          <cell r="U1149">
            <v>385</v>
          </cell>
          <cell r="V1149">
            <v>1655.5</v>
          </cell>
          <cell r="W1149">
            <v>272</v>
          </cell>
          <cell r="X1149">
            <v>1169.5999999999999</v>
          </cell>
          <cell r="Y1149"/>
          <cell r="Z1149">
            <v>0</v>
          </cell>
          <cell r="AA1149"/>
          <cell r="AB1149">
            <v>0</v>
          </cell>
          <cell r="AC1149"/>
          <cell r="AD1149">
            <v>0</v>
          </cell>
          <cell r="AE1149"/>
          <cell r="AF1149"/>
          <cell r="AG1149"/>
          <cell r="AH1149"/>
          <cell r="AI1149"/>
          <cell r="AJ1149">
            <v>0.04</v>
          </cell>
          <cell r="AK1149" t="str">
            <v>3P</v>
          </cell>
          <cell r="AL1149">
            <v>223</v>
          </cell>
          <cell r="AM1149">
            <v>196</v>
          </cell>
          <cell r="AN1149" t="str">
            <v>03 New Dealer</v>
          </cell>
          <cell r="AO1149" t="str">
            <v>South Central</v>
          </cell>
          <cell r="AP1149" t="str">
            <v>Central</v>
          </cell>
          <cell r="AQ1149"/>
          <cell r="AR1149">
            <v>0</v>
          </cell>
          <cell r="AS1149">
            <v>0</v>
          </cell>
        </row>
        <row r="1150">
          <cell r="A1150">
            <v>11702</v>
          </cell>
          <cell r="B1150" t="str">
            <v>TRAILER CITY, INC.</v>
          </cell>
          <cell r="C1150" t="str">
            <v>M10416</v>
          </cell>
          <cell r="D1150" t="str">
            <v>Return Mail, no pink card</v>
          </cell>
          <cell r="E1150" t="str">
            <v>RM</v>
          </cell>
          <cell r="F1150" t="str">
            <v>Yes</v>
          </cell>
          <cell r="G1150" t="str">
            <v>TX</v>
          </cell>
          <cell r="H1150">
            <v>5</v>
          </cell>
          <cell r="I1150">
            <v>0.66500000000000004</v>
          </cell>
          <cell r="J1150" t="str">
            <v>Orphaned Acct</v>
          </cell>
          <cell r="K1150" t="str">
            <v>HOUSTON</v>
          </cell>
          <cell r="L1150" t="str">
            <v>TX</v>
          </cell>
          <cell r="M1150" t="str">
            <v>800-577-8858</v>
          </cell>
          <cell r="N1150"/>
          <cell r="O1150">
            <v>282</v>
          </cell>
          <cell r="P1150">
            <v>1212.5999999999999</v>
          </cell>
          <cell r="Q1150"/>
          <cell r="R1150">
            <v>0</v>
          </cell>
          <cell r="S1150"/>
          <cell r="T1150">
            <v>0</v>
          </cell>
          <cell r="U1150">
            <v>365</v>
          </cell>
          <cell r="V1150">
            <v>1569.5</v>
          </cell>
          <cell r="W1150">
            <v>289</v>
          </cell>
          <cell r="X1150">
            <v>1242.7</v>
          </cell>
          <cell r="Y1150"/>
          <cell r="Z1150">
            <v>0</v>
          </cell>
          <cell r="AA1150"/>
          <cell r="AB1150">
            <v>0</v>
          </cell>
          <cell r="AC1150"/>
          <cell r="AD1150">
            <v>0</v>
          </cell>
          <cell r="AE1150"/>
          <cell r="AF1150"/>
          <cell r="AG1150"/>
          <cell r="AH1150"/>
          <cell r="AI1150"/>
          <cell r="AJ1150">
            <v>0</v>
          </cell>
          <cell r="AK1150" t="str">
            <v>3P</v>
          </cell>
          <cell r="AL1150">
            <v>213</v>
          </cell>
          <cell r="AM1150">
            <v>196</v>
          </cell>
          <cell r="AN1150" t="str">
            <v>01 Existing Dealer</v>
          </cell>
          <cell r="AO1150" t="str">
            <v>South Central</v>
          </cell>
          <cell r="AP1150" t="str">
            <v>Central</v>
          </cell>
          <cell r="AQ1150"/>
          <cell r="AR1150">
            <v>0</v>
          </cell>
          <cell r="AS1150">
            <v>0</v>
          </cell>
        </row>
        <row r="1151">
          <cell r="A1151">
            <v>12509</v>
          </cell>
          <cell r="B1151" t="str">
            <v>TRAILER ETC. INC.</v>
          </cell>
          <cell r="C1151" t="str">
            <v>M10417</v>
          </cell>
          <cell r="D1151" t="str">
            <v>NET 5, BT+</v>
          </cell>
          <cell r="E1151" t="str">
            <v>CO</v>
          </cell>
          <cell r="F1151" t="str">
            <v>Yes</v>
          </cell>
          <cell r="G1151" t="str">
            <v>TX</v>
          </cell>
          <cell r="H1151">
            <v>7</v>
          </cell>
          <cell r="I1151">
            <v>0.66500000000000004</v>
          </cell>
          <cell r="J1151" t="str">
            <v>Orphaned Acct</v>
          </cell>
          <cell r="K1151" t="str">
            <v>PAMPA</v>
          </cell>
          <cell r="L1151" t="str">
            <v>TX</v>
          </cell>
          <cell r="M1151" t="str">
            <v>800-577-8858</v>
          </cell>
          <cell r="N1151"/>
          <cell r="O1151">
            <v>445</v>
          </cell>
          <cell r="P1151">
            <v>1913.5</v>
          </cell>
          <cell r="Q1151"/>
          <cell r="R1151">
            <v>0</v>
          </cell>
          <cell r="S1151"/>
          <cell r="T1151">
            <v>0</v>
          </cell>
          <cell r="U1151">
            <v>341</v>
          </cell>
          <cell r="V1151">
            <v>1466.3</v>
          </cell>
          <cell r="W1151">
            <v>397</v>
          </cell>
          <cell r="X1151">
            <v>1707.1</v>
          </cell>
          <cell r="Y1151"/>
          <cell r="Z1151">
            <v>0</v>
          </cell>
          <cell r="AA1151"/>
          <cell r="AB1151">
            <v>0</v>
          </cell>
          <cell r="AC1151"/>
          <cell r="AD1151">
            <v>0</v>
          </cell>
          <cell r="AE1151"/>
          <cell r="AF1151"/>
          <cell r="AG1151"/>
          <cell r="AH1151"/>
          <cell r="AI1151"/>
          <cell r="AJ1151">
            <v>0</v>
          </cell>
          <cell r="AK1151" t="str">
            <v>3P</v>
          </cell>
          <cell r="AL1151">
            <v>213</v>
          </cell>
          <cell r="AM1151">
            <v>13</v>
          </cell>
          <cell r="AN1151" t="str">
            <v>08 Inactive Dealer</v>
          </cell>
          <cell r="AO1151" t="str">
            <v>South Central</v>
          </cell>
          <cell r="AP1151" t="str">
            <v>Central</v>
          </cell>
          <cell r="AQ1151"/>
          <cell r="AR1151">
            <v>0</v>
          </cell>
          <cell r="AS1151">
            <v>0</v>
          </cell>
        </row>
        <row r="1152">
          <cell r="A1152">
            <v>13144</v>
          </cell>
          <cell r="B1152" t="str">
            <v>TRAILER WORLD KATY, LLC</v>
          </cell>
          <cell r="C1152" t="str">
            <v>M11076</v>
          </cell>
          <cell r="D1152" t="str">
            <v>NET 5, BT+</v>
          </cell>
          <cell r="E1152" t="str">
            <v>FP - Wells Fargo</v>
          </cell>
          <cell r="F1152" t="str">
            <v>Yes</v>
          </cell>
          <cell r="G1152" t="str">
            <v>TX</v>
          </cell>
          <cell r="H1152">
            <v>8</v>
          </cell>
          <cell r="I1152">
            <v>0.66500000000000004</v>
          </cell>
          <cell r="J1152" t="str">
            <v>Orphaned Acct</v>
          </cell>
          <cell r="K1152" t="str">
            <v>KATY</v>
          </cell>
          <cell r="L1152" t="str">
            <v>TX</v>
          </cell>
          <cell r="M1152" t="str">
            <v>800-577-8858</v>
          </cell>
          <cell r="N1152"/>
          <cell r="O1152">
            <v>285</v>
          </cell>
          <cell r="P1152">
            <v>1225.5</v>
          </cell>
          <cell r="Q1152"/>
          <cell r="R1152">
            <v>0</v>
          </cell>
          <cell r="S1152"/>
          <cell r="T1152">
            <v>0</v>
          </cell>
          <cell r="U1152">
            <v>298</v>
          </cell>
          <cell r="V1152">
            <v>1281.3999999999999</v>
          </cell>
          <cell r="W1152">
            <v>375</v>
          </cell>
          <cell r="X1152">
            <v>1612.5</v>
          </cell>
          <cell r="Y1152"/>
          <cell r="Z1152">
            <v>0</v>
          </cell>
          <cell r="AA1152"/>
          <cell r="AB1152">
            <v>0</v>
          </cell>
          <cell r="AC1152"/>
          <cell r="AD1152">
            <v>0</v>
          </cell>
          <cell r="AE1152">
            <v>2.4E-2</v>
          </cell>
          <cell r="AF1152"/>
          <cell r="AG1152">
            <v>1.617E-2</v>
          </cell>
          <cell r="AH1152">
            <v>1.617E-2</v>
          </cell>
          <cell r="AI1152">
            <v>1.617E-2</v>
          </cell>
          <cell r="AJ1152">
            <v>0</v>
          </cell>
          <cell r="AK1152" t="str">
            <v>3P</v>
          </cell>
          <cell r="AL1152">
            <v>213</v>
          </cell>
          <cell r="AM1152">
            <v>196</v>
          </cell>
          <cell r="AN1152" t="str">
            <v>01 Existing Dealer</v>
          </cell>
          <cell r="AO1152" t="str">
            <v>South Central</v>
          </cell>
          <cell r="AP1152" t="str">
            <v>Central</v>
          </cell>
          <cell r="AQ1152"/>
          <cell r="AR1152">
            <v>0</v>
          </cell>
          <cell r="AS1152">
            <v>0</v>
          </cell>
        </row>
        <row r="1153">
          <cell r="A1153">
            <v>13086</v>
          </cell>
          <cell r="B1153" t="str">
            <v>TW ABILENE</v>
          </cell>
          <cell r="C1153" t="str">
            <v>M10975</v>
          </cell>
          <cell r="D1153" t="str">
            <v>Net 30, no pink card</v>
          </cell>
          <cell r="E1153">
            <v>30</v>
          </cell>
          <cell r="F1153" t="str">
            <v>Yes</v>
          </cell>
          <cell r="G1153" t="str">
            <v>TX</v>
          </cell>
          <cell r="H1153">
            <v>10</v>
          </cell>
          <cell r="I1153">
            <v>0.66500000000000004</v>
          </cell>
          <cell r="J1153" t="str">
            <v>Jake McEntee</v>
          </cell>
          <cell r="K1153" t="str">
            <v>ABILENE</v>
          </cell>
          <cell r="L1153" t="str">
            <v>TX</v>
          </cell>
          <cell r="M1153" t="str">
            <v>800-577-8858</v>
          </cell>
          <cell r="N1153"/>
          <cell r="O1153">
            <v>302</v>
          </cell>
          <cell r="P1153">
            <v>1298.5999999999999</v>
          </cell>
          <cell r="Q1153"/>
          <cell r="R1153">
            <v>0</v>
          </cell>
          <cell r="S1153"/>
          <cell r="T1153">
            <v>0</v>
          </cell>
          <cell r="U1153">
            <v>272</v>
          </cell>
          <cell r="V1153">
            <v>1169.5999999999999</v>
          </cell>
          <cell r="W1153">
            <v>237</v>
          </cell>
          <cell r="X1153">
            <v>1019.0999999999999</v>
          </cell>
          <cell r="Y1153"/>
          <cell r="Z1153">
            <v>0</v>
          </cell>
          <cell r="AA1153"/>
          <cell r="AB1153">
            <v>0</v>
          </cell>
          <cell r="AC1153"/>
          <cell r="AD1153">
            <v>0</v>
          </cell>
          <cell r="AE1153">
            <v>2.6939999999999999E-2</v>
          </cell>
          <cell r="AF1153"/>
          <cell r="AG1153">
            <v>0</v>
          </cell>
          <cell r="AH1153">
            <v>2.75E-2</v>
          </cell>
          <cell r="AI1153">
            <v>2.75E-2</v>
          </cell>
          <cell r="AJ1153">
            <v>0.04</v>
          </cell>
          <cell r="AK1153" t="str">
            <v>TW</v>
          </cell>
          <cell r="AL1153">
            <v>161</v>
          </cell>
          <cell r="AM1153">
            <v>3</v>
          </cell>
          <cell r="AN1153" t="str">
            <v>04 Co.Store</v>
          </cell>
          <cell r="AO1153" t="str">
            <v>South Central</v>
          </cell>
          <cell r="AP1153" t="str">
            <v>Central</v>
          </cell>
          <cell r="AQ1153"/>
          <cell r="AR1153">
            <v>97008</v>
          </cell>
          <cell r="AS1153">
            <v>150052</v>
          </cell>
        </row>
        <row r="1154">
          <cell r="A1154">
            <v>13112</v>
          </cell>
          <cell r="B1154" t="str">
            <v>TW AMARILLO</v>
          </cell>
          <cell r="C1154" t="str">
            <v>M11022</v>
          </cell>
          <cell r="D1154" t="str">
            <v>Net 30, no pink card</v>
          </cell>
          <cell r="E1154">
            <v>30</v>
          </cell>
          <cell r="F1154" t="str">
            <v>Yes</v>
          </cell>
          <cell r="G1154" t="str">
            <v>TX</v>
          </cell>
          <cell r="H1154">
            <v>10</v>
          </cell>
          <cell r="I1154">
            <v>0.66500000000000004</v>
          </cell>
          <cell r="J1154" t="str">
            <v>Jake McEntee</v>
          </cell>
          <cell r="K1154" t="str">
            <v>AMARILLO</v>
          </cell>
          <cell r="L1154" t="str">
            <v>TX</v>
          </cell>
          <cell r="M1154" t="str">
            <v>800-577-8858</v>
          </cell>
          <cell r="N1154"/>
          <cell r="O1154">
            <v>453</v>
          </cell>
          <cell r="P1154">
            <v>1947.8999999999999</v>
          </cell>
          <cell r="Q1154"/>
          <cell r="R1154">
            <v>0</v>
          </cell>
          <cell r="S1154"/>
          <cell r="T1154">
            <v>0</v>
          </cell>
          <cell r="U1154">
            <v>326</v>
          </cell>
          <cell r="V1154">
            <v>1401.8</v>
          </cell>
          <cell r="W1154">
            <v>413</v>
          </cell>
          <cell r="X1154">
            <v>1775.8999999999999</v>
          </cell>
          <cell r="Y1154"/>
          <cell r="Z1154">
            <v>0</v>
          </cell>
          <cell r="AA1154"/>
          <cell r="AB1154">
            <v>0</v>
          </cell>
          <cell r="AC1154"/>
          <cell r="AD1154">
            <v>0</v>
          </cell>
          <cell r="AE1154">
            <v>3.4799999999999998E-2</v>
          </cell>
          <cell r="AF1154"/>
          <cell r="AG1154">
            <v>0</v>
          </cell>
          <cell r="AH1154">
            <v>0.05</v>
          </cell>
          <cell r="AI1154">
            <v>0.05</v>
          </cell>
          <cell r="AJ1154">
            <v>0.04</v>
          </cell>
          <cell r="AK1154" t="str">
            <v>TW</v>
          </cell>
          <cell r="AL1154">
            <v>161</v>
          </cell>
          <cell r="AM1154">
            <v>13</v>
          </cell>
          <cell r="AN1154" t="str">
            <v>04 Co.Store</v>
          </cell>
          <cell r="AO1154" t="str">
            <v>South Central</v>
          </cell>
          <cell r="AP1154" t="str">
            <v>Central</v>
          </cell>
          <cell r="AQ1154"/>
          <cell r="AR1154">
            <v>145037</v>
          </cell>
          <cell r="AS1154">
            <v>0</v>
          </cell>
        </row>
        <row r="1155">
          <cell r="A1155">
            <v>13149</v>
          </cell>
          <cell r="B1155" t="str">
            <v>TW BOERNE</v>
          </cell>
          <cell r="C1155" t="str">
            <v>M11080</v>
          </cell>
          <cell r="D1155" t="str">
            <v>Net 30, no pink card</v>
          </cell>
          <cell r="E1155">
            <v>30</v>
          </cell>
          <cell r="F1155" t="str">
            <v>Yes</v>
          </cell>
          <cell r="G1155" t="str">
            <v>TX</v>
          </cell>
          <cell r="H1155">
            <v>10</v>
          </cell>
          <cell r="I1155">
            <v>0.66500000000000004</v>
          </cell>
          <cell r="J1155" t="str">
            <v>Jake McEntee</v>
          </cell>
          <cell r="K1155" t="str">
            <v>BOERNE</v>
          </cell>
          <cell r="L1155" t="str">
            <v>TX</v>
          </cell>
          <cell r="M1155" t="str">
            <v>800-577-8858</v>
          </cell>
          <cell r="N1155"/>
          <cell r="O1155">
            <v>410</v>
          </cell>
          <cell r="P1155">
            <v>1763</v>
          </cell>
          <cell r="Q1155"/>
          <cell r="R1155">
            <v>0</v>
          </cell>
          <cell r="S1155"/>
          <cell r="T1155">
            <v>0</v>
          </cell>
          <cell r="U1155">
            <v>399</v>
          </cell>
          <cell r="V1155">
            <v>1715.6999999999998</v>
          </cell>
          <cell r="W1155">
            <v>335</v>
          </cell>
          <cell r="X1155">
            <v>1440.5</v>
          </cell>
          <cell r="Y1155"/>
          <cell r="Z1155">
            <v>0</v>
          </cell>
          <cell r="AA1155"/>
          <cell r="AB1155">
            <v>0</v>
          </cell>
          <cell r="AC1155"/>
          <cell r="AD1155">
            <v>0</v>
          </cell>
          <cell r="AE1155">
            <v>3.3300000000000003E-2</v>
          </cell>
          <cell r="AF1155"/>
          <cell r="AG1155">
            <v>0</v>
          </cell>
          <cell r="AH1155">
            <v>3.9600000000000003E-2</v>
          </cell>
          <cell r="AI1155">
            <v>3.9600000000000003E-2</v>
          </cell>
          <cell r="AJ1155">
            <v>0.04</v>
          </cell>
          <cell r="AK1155" t="str">
            <v>TW</v>
          </cell>
          <cell r="AL1155">
            <v>161</v>
          </cell>
          <cell r="AM1155">
            <v>401</v>
          </cell>
          <cell r="AN1155" t="str">
            <v>04 Co.Store</v>
          </cell>
          <cell r="AO1155" t="str">
            <v>South Central</v>
          </cell>
          <cell r="AP1155" t="str">
            <v>Central</v>
          </cell>
          <cell r="AQ1155"/>
          <cell r="AR1155">
            <v>98966</v>
          </cell>
          <cell r="AS1155">
            <v>81171</v>
          </cell>
        </row>
        <row r="1156">
          <cell r="A1156">
            <v>12090</v>
          </cell>
          <cell r="B1156" t="str">
            <v>TW BUDA</v>
          </cell>
          <cell r="C1156" t="str">
            <v>M10091</v>
          </cell>
          <cell r="D1156" t="str">
            <v>Net 30, no pink card</v>
          </cell>
          <cell r="E1156">
            <v>30</v>
          </cell>
          <cell r="F1156" t="str">
            <v>Yes</v>
          </cell>
          <cell r="G1156" t="str">
            <v>TX</v>
          </cell>
          <cell r="H1156">
            <v>10</v>
          </cell>
          <cell r="I1156">
            <v>0.66500000000000004</v>
          </cell>
          <cell r="J1156" t="str">
            <v>Jake McEntee</v>
          </cell>
          <cell r="K1156" t="str">
            <v>BUDA</v>
          </cell>
          <cell r="L1156" t="str">
            <v>TX</v>
          </cell>
          <cell r="M1156" t="str">
            <v>800-577-8858</v>
          </cell>
          <cell r="N1156"/>
          <cell r="O1156">
            <v>332</v>
          </cell>
          <cell r="P1156">
            <v>1427.6</v>
          </cell>
          <cell r="Q1156"/>
          <cell r="R1156">
            <v>0</v>
          </cell>
          <cell r="S1156"/>
          <cell r="T1156">
            <v>0</v>
          </cell>
          <cell r="U1156">
            <v>319</v>
          </cell>
          <cell r="V1156">
            <v>1371.7</v>
          </cell>
          <cell r="W1156">
            <v>257</v>
          </cell>
          <cell r="X1156">
            <v>1105.0999999999999</v>
          </cell>
          <cell r="Y1156">
            <v>1170</v>
          </cell>
          <cell r="Z1156">
            <v>5031</v>
          </cell>
          <cell r="AA1156">
            <v>1170</v>
          </cell>
          <cell r="AB1156">
            <v>5031</v>
          </cell>
          <cell r="AC1156">
            <v>1170</v>
          </cell>
          <cell r="AD1156">
            <v>5031</v>
          </cell>
          <cell r="AE1156">
            <v>2.69E-2</v>
          </cell>
          <cell r="AF1156"/>
          <cell r="AG1156">
            <v>0</v>
          </cell>
          <cell r="AH1156">
            <v>2.998E-2</v>
          </cell>
          <cell r="AI1156">
            <v>2.998E-2</v>
          </cell>
          <cell r="AJ1156">
            <v>0.04</v>
          </cell>
          <cell r="AK1156" t="str">
            <v>TW</v>
          </cell>
          <cell r="AL1156">
            <v>161</v>
          </cell>
          <cell r="AM1156">
            <v>27</v>
          </cell>
          <cell r="AN1156" t="str">
            <v>04 Co.Store</v>
          </cell>
          <cell r="AO1156" t="str">
            <v>South Central</v>
          </cell>
          <cell r="AP1156" t="str">
            <v>Central</v>
          </cell>
          <cell r="AQ1156"/>
          <cell r="AR1156">
            <v>290870</v>
          </cell>
          <cell r="AS1156">
            <v>83304</v>
          </cell>
        </row>
        <row r="1157">
          <cell r="A1157">
            <v>12060</v>
          </cell>
          <cell r="B1157" t="str">
            <v>TW LIVINGSTON</v>
          </cell>
          <cell r="C1157" t="str">
            <v>M10122</v>
          </cell>
          <cell r="D1157" t="str">
            <v>Net 30, no pink card</v>
          </cell>
          <cell r="E1157">
            <v>30</v>
          </cell>
          <cell r="F1157" t="str">
            <v>Yes</v>
          </cell>
          <cell r="G1157" t="str">
            <v>TX</v>
          </cell>
          <cell r="H1157">
            <v>10</v>
          </cell>
          <cell r="I1157">
            <v>0.66500000000000004</v>
          </cell>
          <cell r="J1157" t="str">
            <v>Jake McEntee</v>
          </cell>
          <cell r="K1157" t="str">
            <v>LIVINGSTON</v>
          </cell>
          <cell r="L1157" t="str">
            <v>TX</v>
          </cell>
          <cell r="M1157" t="str">
            <v>800-577-8858</v>
          </cell>
          <cell r="N1157"/>
          <cell r="O1157">
            <v>183</v>
          </cell>
          <cell r="P1157">
            <v>786.9</v>
          </cell>
          <cell r="Q1157"/>
          <cell r="R1157">
            <v>0</v>
          </cell>
          <cell r="S1157"/>
          <cell r="T1157">
            <v>0</v>
          </cell>
          <cell r="U1157">
            <v>328</v>
          </cell>
          <cell r="V1157">
            <v>1410.3999999999999</v>
          </cell>
          <cell r="W1157">
            <v>182</v>
          </cell>
          <cell r="X1157">
            <v>782.6</v>
          </cell>
          <cell r="Y1157"/>
          <cell r="Z1157">
            <v>0</v>
          </cell>
          <cell r="AA1157"/>
          <cell r="AB1157">
            <v>0</v>
          </cell>
          <cell r="AC1157"/>
          <cell r="AD1157">
            <v>0</v>
          </cell>
          <cell r="AE1157"/>
          <cell r="AF1157"/>
          <cell r="AG1157"/>
          <cell r="AH1157"/>
          <cell r="AI1157"/>
          <cell r="AJ1157">
            <v>0.04</v>
          </cell>
          <cell r="AK1157" t="str">
            <v>TW</v>
          </cell>
          <cell r="AL1157">
            <v>161</v>
          </cell>
          <cell r="AM1157">
            <v>196</v>
          </cell>
          <cell r="AN1157" t="str">
            <v>04 Co.Store</v>
          </cell>
          <cell r="AO1157" t="str">
            <v>South Central</v>
          </cell>
          <cell r="AP1157" t="str">
            <v>Central</v>
          </cell>
          <cell r="AQ1157"/>
          <cell r="AR1157">
            <v>250973</v>
          </cell>
          <cell r="AS1157">
            <v>0</v>
          </cell>
        </row>
        <row r="1158">
          <cell r="A1158">
            <v>11790</v>
          </cell>
          <cell r="B1158" t="str">
            <v>TW CROSS ROADS</v>
          </cell>
          <cell r="C1158" t="str">
            <v>M10170</v>
          </cell>
          <cell r="D1158" t="str">
            <v>Net 30, no pink card</v>
          </cell>
          <cell r="E1158">
            <v>30</v>
          </cell>
          <cell r="F1158" t="str">
            <v>Yes</v>
          </cell>
          <cell r="G1158" t="str">
            <v>TX</v>
          </cell>
          <cell r="H1158">
            <v>10</v>
          </cell>
          <cell r="I1158">
            <v>0.66500000000000004</v>
          </cell>
          <cell r="J1158" t="str">
            <v>Jake McEntee</v>
          </cell>
          <cell r="K1158" t="str">
            <v>AUBREY</v>
          </cell>
          <cell r="L1158" t="str">
            <v>TX</v>
          </cell>
          <cell r="M1158" t="str">
            <v>800-577-8858</v>
          </cell>
          <cell r="N1158"/>
          <cell r="O1158">
            <v>129</v>
          </cell>
          <cell r="P1158">
            <v>554.69999999999993</v>
          </cell>
          <cell r="Q1158"/>
          <cell r="R1158">
            <v>0</v>
          </cell>
          <cell r="S1158"/>
          <cell r="T1158">
            <v>0</v>
          </cell>
          <cell r="U1158">
            <v>59</v>
          </cell>
          <cell r="V1158">
            <v>253.7</v>
          </cell>
          <cell r="W1158">
            <v>92</v>
          </cell>
          <cell r="X1158">
            <v>395.59999999999997</v>
          </cell>
          <cell r="Y1158"/>
          <cell r="Z1158">
            <v>0</v>
          </cell>
          <cell r="AA1158"/>
          <cell r="AB1158">
            <v>0</v>
          </cell>
          <cell r="AC1158"/>
          <cell r="AD1158">
            <v>0</v>
          </cell>
          <cell r="AE1158">
            <v>2.4E-2</v>
          </cell>
          <cell r="AF1158"/>
          <cell r="AG1158">
            <v>1.617E-2</v>
          </cell>
          <cell r="AH1158">
            <v>1.617E-2</v>
          </cell>
          <cell r="AI1158">
            <v>1.617E-2</v>
          </cell>
          <cell r="AJ1158">
            <v>0.04</v>
          </cell>
          <cell r="AK1158" t="str">
            <v>TW</v>
          </cell>
          <cell r="AL1158">
            <v>161</v>
          </cell>
          <cell r="AM1158">
            <v>101</v>
          </cell>
          <cell r="AN1158" t="str">
            <v>04 Co.Store</v>
          </cell>
          <cell r="AO1158" t="str">
            <v>South Central</v>
          </cell>
          <cell r="AP1158" t="str">
            <v>Central</v>
          </cell>
          <cell r="AQ1158"/>
          <cell r="AR1158">
            <v>97392</v>
          </cell>
          <cell r="AS1158">
            <v>30702</v>
          </cell>
        </row>
        <row r="1159">
          <cell r="A1159">
            <v>12121</v>
          </cell>
          <cell r="B1159" t="str">
            <v>TW DALLAS</v>
          </cell>
          <cell r="C1159" t="str">
            <v>M10092</v>
          </cell>
          <cell r="D1159" t="str">
            <v>Net 30, no pink card</v>
          </cell>
          <cell r="E1159">
            <v>30</v>
          </cell>
          <cell r="F1159" t="str">
            <v>Yes</v>
          </cell>
          <cell r="G1159" t="str">
            <v>TX</v>
          </cell>
          <cell r="H1159">
            <v>10</v>
          </cell>
          <cell r="I1159">
            <v>0.66500000000000004</v>
          </cell>
          <cell r="J1159" t="str">
            <v>Jake McEntee</v>
          </cell>
          <cell r="K1159" t="str">
            <v>IRVING</v>
          </cell>
          <cell r="L1159" t="str">
            <v>TX</v>
          </cell>
          <cell r="M1159" t="str">
            <v>800-577-8858</v>
          </cell>
          <cell r="N1159"/>
          <cell r="O1159">
            <v>129</v>
          </cell>
          <cell r="P1159">
            <v>554.69999999999993</v>
          </cell>
          <cell r="Q1159"/>
          <cell r="R1159">
            <v>0</v>
          </cell>
          <cell r="S1159"/>
          <cell r="T1159">
            <v>0</v>
          </cell>
          <cell r="U1159">
            <v>109</v>
          </cell>
          <cell r="V1159">
            <v>468.7</v>
          </cell>
          <cell r="W1159">
            <v>63</v>
          </cell>
          <cell r="X1159">
            <v>270.89999999999998</v>
          </cell>
          <cell r="Y1159">
            <v>970</v>
          </cell>
          <cell r="Z1159">
            <v>4171</v>
          </cell>
          <cell r="AA1159">
            <v>970</v>
          </cell>
          <cell r="AB1159">
            <v>4171</v>
          </cell>
          <cell r="AC1159">
            <v>970</v>
          </cell>
          <cell r="AD1159">
            <v>4171</v>
          </cell>
          <cell r="AE1159">
            <v>2.4E-2</v>
          </cell>
          <cell r="AF1159"/>
          <cell r="AG1159">
            <v>1.617E-2</v>
          </cell>
          <cell r="AH1159">
            <v>1.617E-2</v>
          </cell>
          <cell r="AI1159">
            <v>1.617E-2</v>
          </cell>
          <cell r="AJ1159">
            <v>0.04</v>
          </cell>
          <cell r="AK1159" t="str">
            <v>TW</v>
          </cell>
          <cell r="AL1159">
            <v>161</v>
          </cell>
          <cell r="AM1159">
            <v>101</v>
          </cell>
          <cell r="AN1159" t="str">
            <v>04 Co.Store</v>
          </cell>
          <cell r="AO1159" t="str">
            <v>South Central</v>
          </cell>
          <cell r="AP1159" t="str">
            <v>Central</v>
          </cell>
          <cell r="AQ1159"/>
          <cell r="AR1159">
            <v>223517</v>
          </cell>
          <cell r="AS1159">
            <v>145259</v>
          </cell>
        </row>
        <row r="1160">
          <cell r="A1160">
            <v>12929</v>
          </cell>
          <cell r="B1160" t="str">
            <v>TW SAN ANTONIO</v>
          </cell>
          <cell r="C1160" t="str">
            <v>M10077</v>
          </cell>
          <cell r="D1160" t="str">
            <v>Net 30, no pink card</v>
          </cell>
          <cell r="E1160">
            <v>30</v>
          </cell>
          <cell r="F1160" t="str">
            <v>Yes</v>
          </cell>
          <cell r="G1160" t="str">
            <v>TX</v>
          </cell>
          <cell r="H1160">
            <v>10</v>
          </cell>
          <cell r="I1160">
            <v>0.66500000000000004</v>
          </cell>
          <cell r="J1160" t="str">
            <v>Jake McEntee</v>
          </cell>
          <cell r="K1160" t="str">
            <v>ELMENDORF</v>
          </cell>
          <cell r="L1160" t="str">
            <v>TX</v>
          </cell>
          <cell r="M1160" t="str">
            <v>800-577-8858</v>
          </cell>
          <cell r="N1160"/>
          <cell r="O1160">
            <v>404</v>
          </cell>
          <cell r="P1160">
            <v>1737.1999999999998</v>
          </cell>
          <cell r="Q1160"/>
          <cell r="R1160">
            <v>0</v>
          </cell>
          <cell r="S1160"/>
          <cell r="T1160">
            <v>0</v>
          </cell>
          <cell r="U1160">
            <v>392</v>
          </cell>
          <cell r="V1160">
            <v>1685.6</v>
          </cell>
          <cell r="W1160">
            <v>329</v>
          </cell>
          <cell r="X1160">
            <v>1414.7</v>
          </cell>
          <cell r="Y1160"/>
          <cell r="Z1160">
            <v>0</v>
          </cell>
          <cell r="AA1160"/>
          <cell r="AB1160">
            <v>0</v>
          </cell>
          <cell r="AC1160"/>
          <cell r="AD1160">
            <v>0</v>
          </cell>
          <cell r="AE1160">
            <v>3.3300000000000003E-2</v>
          </cell>
          <cell r="AF1160"/>
          <cell r="AG1160">
            <v>3.6679999999999997E-2</v>
          </cell>
          <cell r="AH1160">
            <v>3.6679999999999997E-2</v>
          </cell>
          <cell r="AI1160">
            <v>3.6679999999999997E-2</v>
          </cell>
          <cell r="AJ1160">
            <v>0.04</v>
          </cell>
          <cell r="AK1160" t="str">
            <v>TW</v>
          </cell>
          <cell r="AL1160">
            <v>161</v>
          </cell>
          <cell r="AM1160">
            <v>401</v>
          </cell>
          <cell r="AN1160" t="str">
            <v>04 Co.Store</v>
          </cell>
          <cell r="AO1160" t="str">
            <v>South Central</v>
          </cell>
          <cell r="AP1160" t="str">
            <v>Central</v>
          </cell>
          <cell r="AQ1160"/>
          <cell r="AR1160">
            <v>375494</v>
          </cell>
          <cell r="AS1160">
            <v>588005</v>
          </cell>
        </row>
        <row r="1161">
          <cell r="A1161">
            <v>11724</v>
          </cell>
          <cell r="B1161" t="str">
            <v>TW FT. WORTH</v>
          </cell>
          <cell r="C1161" t="str">
            <v>M10096</v>
          </cell>
          <cell r="D1161" t="str">
            <v>Net 30, no pink card</v>
          </cell>
          <cell r="E1161">
            <v>30</v>
          </cell>
          <cell r="F1161" t="str">
            <v>Yes</v>
          </cell>
          <cell r="G1161" t="str">
            <v>TX</v>
          </cell>
          <cell r="H1161">
            <v>10</v>
          </cell>
          <cell r="I1161">
            <v>0.66500000000000004</v>
          </cell>
          <cell r="J1161" t="str">
            <v>Jake McEntee</v>
          </cell>
          <cell r="K1161" t="str">
            <v>FT.WORTH</v>
          </cell>
          <cell r="L1161" t="str">
            <v>TX</v>
          </cell>
          <cell r="M1161" t="str">
            <v>800-577-8858</v>
          </cell>
          <cell r="N1161"/>
          <cell r="O1161">
            <v>158</v>
          </cell>
          <cell r="P1161">
            <v>679.4</v>
          </cell>
          <cell r="Q1161">
            <v>862</v>
          </cell>
          <cell r="R1161">
            <v>3706.6</v>
          </cell>
          <cell r="S1161" t="str"/>
          <cell r="T1161" t="str"/>
          <cell r="U1161">
            <v>117</v>
          </cell>
          <cell r="V1161">
            <v>503.09999999999997</v>
          </cell>
          <cell r="W1161">
            <v>83</v>
          </cell>
          <cell r="X1161">
            <v>356.9</v>
          </cell>
          <cell r="Y1161"/>
          <cell r="Z1161">
            <v>0</v>
          </cell>
          <cell r="AA1161"/>
          <cell r="AB1161">
            <v>0</v>
          </cell>
          <cell r="AC1161"/>
          <cell r="AD1161">
            <v>0</v>
          </cell>
          <cell r="AE1161">
            <v>2.4E-2</v>
          </cell>
          <cell r="AF1161"/>
          <cell r="AG1161">
            <v>1.2800000000000001E-2</v>
          </cell>
          <cell r="AH1161">
            <v>1.2800000000000001E-2</v>
          </cell>
          <cell r="AI1161">
            <v>1.2800000000000001E-2</v>
          </cell>
          <cell r="AJ1161">
            <v>0.04</v>
          </cell>
          <cell r="AK1161" t="str">
            <v>TW</v>
          </cell>
          <cell r="AL1161">
            <v>161</v>
          </cell>
          <cell r="AM1161">
            <v>101</v>
          </cell>
          <cell r="AN1161" t="str">
            <v>04 Co.Store</v>
          </cell>
          <cell r="AO1161" t="str">
            <v>South Central</v>
          </cell>
          <cell r="AP1161" t="str">
            <v>Central</v>
          </cell>
          <cell r="AQ1161"/>
          <cell r="AR1161">
            <v>497430</v>
          </cell>
          <cell r="AS1161">
            <v>34696</v>
          </cell>
        </row>
        <row r="1162">
          <cell r="A1162">
            <v>12015</v>
          </cell>
          <cell r="B1162" t="str">
            <v>TW GEORGETOWN</v>
          </cell>
          <cell r="C1162" t="str">
            <v>M10087</v>
          </cell>
          <cell r="D1162" t="str">
            <v>Net 30, no pink card</v>
          </cell>
          <cell r="E1162">
            <v>30</v>
          </cell>
          <cell r="F1162" t="str">
            <v>Yes</v>
          </cell>
          <cell r="G1162" t="str">
            <v>TX</v>
          </cell>
          <cell r="H1162">
            <v>10</v>
          </cell>
          <cell r="I1162">
            <v>0.66500000000000004</v>
          </cell>
          <cell r="J1162" t="str">
            <v>Jake McEntee</v>
          </cell>
          <cell r="K1162" t="str">
            <v>GEORGETOWN</v>
          </cell>
          <cell r="L1162" t="str">
            <v>TX</v>
          </cell>
          <cell r="M1162" t="str">
            <v>800-577-8858</v>
          </cell>
          <cell r="N1162"/>
          <cell r="O1162">
            <v>285</v>
          </cell>
          <cell r="P1162">
            <v>1225.5</v>
          </cell>
          <cell r="Q1162"/>
          <cell r="R1162">
            <v>0</v>
          </cell>
          <cell r="S1162"/>
          <cell r="T1162">
            <v>0</v>
          </cell>
          <cell r="U1162">
            <v>272</v>
          </cell>
          <cell r="V1162">
            <v>1169.5999999999999</v>
          </cell>
          <cell r="W1162">
            <v>210</v>
          </cell>
          <cell r="X1162">
            <v>903</v>
          </cell>
          <cell r="Y1162"/>
          <cell r="Z1162">
            <v>0</v>
          </cell>
          <cell r="AA1162"/>
          <cell r="AB1162">
            <v>0</v>
          </cell>
          <cell r="AC1162"/>
          <cell r="AD1162">
            <v>0</v>
          </cell>
          <cell r="AE1162">
            <v>2.4E-2</v>
          </cell>
          <cell r="AF1162"/>
          <cell r="AG1162">
            <v>2.5909999999999999E-2</v>
          </cell>
          <cell r="AH1162">
            <v>2.5909999999999999E-2</v>
          </cell>
          <cell r="AI1162">
            <v>2.5909999999999999E-2</v>
          </cell>
          <cell r="AJ1162">
            <v>0.04</v>
          </cell>
          <cell r="AK1162" t="str">
            <v>TW</v>
          </cell>
          <cell r="AL1162">
            <v>161</v>
          </cell>
          <cell r="AM1162">
            <v>27</v>
          </cell>
          <cell r="AN1162" t="str">
            <v>04 Co.Store</v>
          </cell>
          <cell r="AO1162" t="str">
            <v>South Central</v>
          </cell>
          <cell r="AP1162" t="str">
            <v>Central</v>
          </cell>
          <cell r="AQ1162"/>
          <cell r="AR1162">
            <v>147749</v>
          </cell>
          <cell r="AS1162">
            <v>66885</v>
          </cell>
        </row>
        <row r="1163">
          <cell r="A1163">
            <v>10065</v>
          </cell>
          <cell r="B1163" t="str">
            <v>TW HOUSTON</v>
          </cell>
          <cell r="C1163" t="str">
            <v>M10083</v>
          </cell>
          <cell r="D1163" t="str">
            <v>Net 30, no pink card</v>
          </cell>
          <cell r="E1163">
            <v>30</v>
          </cell>
          <cell r="F1163" t="str">
            <v>Yes</v>
          </cell>
          <cell r="G1163" t="str">
            <v>TX</v>
          </cell>
          <cell r="H1163">
            <v>10</v>
          </cell>
          <cell r="I1163">
            <v>0.66500000000000004</v>
          </cell>
          <cell r="J1163" t="str">
            <v>Jake McEntee</v>
          </cell>
          <cell r="K1163" t="str">
            <v>HOUSTON</v>
          </cell>
          <cell r="L1163" t="str">
            <v>TX</v>
          </cell>
          <cell r="M1163" t="str">
            <v>800-577-8858</v>
          </cell>
          <cell r="N1163"/>
          <cell r="O1163">
            <v>251</v>
          </cell>
          <cell r="P1163">
            <v>1079.3</v>
          </cell>
          <cell r="Q1163">
            <v>792</v>
          </cell>
          <cell r="R1163">
            <v>3405.6</v>
          </cell>
          <cell r="S1163"/>
          <cell r="T1163">
            <v>0</v>
          </cell>
          <cell r="U1163">
            <v>343</v>
          </cell>
          <cell r="V1163">
            <v>1474.8999999999999</v>
          </cell>
          <cell r="W1163">
            <v>266</v>
          </cell>
          <cell r="X1163">
            <v>1143.8</v>
          </cell>
          <cell r="Y1163"/>
          <cell r="Z1163">
            <v>0</v>
          </cell>
          <cell r="AA1163"/>
          <cell r="AB1163">
            <v>0</v>
          </cell>
          <cell r="AC1163"/>
          <cell r="AD1163">
            <v>0</v>
          </cell>
          <cell r="AE1163">
            <v>2.4E-2</v>
          </cell>
          <cell r="AF1163"/>
          <cell r="AG1163">
            <v>2.8049999999999999E-2</v>
          </cell>
          <cell r="AH1163">
            <v>2.8049999999999999E-2</v>
          </cell>
          <cell r="AI1163">
            <v>2.8049999999999999E-2</v>
          </cell>
          <cell r="AJ1163">
            <v>0.04</v>
          </cell>
          <cell r="AK1163" t="str">
            <v>TW</v>
          </cell>
          <cell r="AL1163">
            <v>161</v>
          </cell>
          <cell r="AM1163">
            <v>196</v>
          </cell>
          <cell r="AN1163" t="str">
            <v>04 Co.Store</v>
          </cell>
          <cell r="AO1163" t="str">
            <v>South Central</v>
          </cell>
          <cell r="AP1163" t="str">
            <v>Central</v>
          </cell>
          <cell r="AQ1163"/>
          <cell r="AR1163">
            <v>165346</v>
          </cell>
          <cell r="AS1163">
            <v>406600</v>
          </cell>
        </row>
        <row r="1164">
          <cell r="A1164">
            <v>13049</v>
          </cell>
          <cell r="B1164" t="str">
            <v>TW LUBBOCK</v>
          </cell>
          <cell r="C1164" t="str">
            <v>M10918</v>
          </cell>
          <cell r="D1164" t="str">
            <v>Net 30, no pink card</v>
          </cell>
          <cell r="E1164">
            <v>30</v>
          </cell>
          <cell r="F1164" t="str">
            <v>Yes</v>
          </cell>
          <cell r="G1164" t="str">
            <v>TX</v>
          </cell>
          <cell r="H1164">
            <v>10</v>
          </cell>
          <cell r="I1164">
            <v>0.66500000000000004</v>
          </cell>
          <cell r="J1164" t="str">
            <v>Jake McEntee</v>
          </cell>
          <cell r="K1164" t="str">
            <v>LUBBOCK</v>
          </cell>
          <cell r="L1164" t="str">
            <v>TX</v>
          </cell>
          <cell r="M1164" t="str">
            <v>800-577-8858</v>
          </cell>
          <cell r="N1164"/>
          <cell r="O1164">
            <v>466</v>
          </cell>
          <cell r="P1164">
            <v>2003.8</v>
          </cell>
          <cell r="Q1164"/>
          <cell r="R1164">
            <v>0</v>
          </cell>
          <cell r="S1164"/>
          <cell r="T1164">
            <v>0</v>
          </cell>
          <cell r="U1164">
            <v>316</v>
          </cell>
          <cell r="V1164">
            <v>1358.8</v>
          </cell>
          <cell r="W1164">
            <v>401</v>
          </cell>
          <cell r="X1164">
            <v>1724.3</v>
          </cell>
          <cell r="Y1164"/>
          <cell r="Z1164">
            <v>0</v>
          </cell>
          <cell r="AA1164"/>
          <cell r="AB1164">
            <v>0</v>
          </cell>
          <cell r="AC1164"/>
          <cell r="AD1164">
            <v>0</v>
          </cell>
          <cell r="AE1164">
            <v>4.53E-2</v>
          </cell>
          <cell r="AF1164"/>
          <cell r="AG1164">
            <v>0</v>
          </cell>
          <cell r="AH1164">
            <v>3.85E-2</v>
          </cell>
          <cell r="AI1164">
            <v>3.85E-2</v>
          </cell>
          <cell r="AJ1164">
            <v>0.04</v>
          </cell>
          <cell r="AK1164" t="str">
            <v>TW</v>
          </cell>
          <cell r="AL1164">
            <v>161</v>
          </cell>
          <cell r="AM1164">
            <v>264</v>
          </cell>
          <cell r="AN1164" t="str">
            <v>04 Co.Store</v>
          </cell>
          <cell r="AO1164" t="str">
            <v>South Central</v>
          </cell>
          <cell r="AP1164" t="str">
            <v>Central</v>
          </cell>
          <cell r="AQ1164"/>
          <cell r="AR1164">
            <v>148234</v>
          </cell>
          <cell r="AS1164">
            <v>28675</v>
          </cell>
        </row>
        <row r="1165">
          <cell r="A1165">
            <v>12835</v>
          </cell>
          <cell r="B1165" t="str">
            <v>TW LYTLE</v>
          </cell>
          <cell r="C1165" t="str">
            <v>M10069</v>
          </cell>
          <cell r="D1165" t="str">
            <v>Net 30, no pink card</v>
          </cell>
          <cell r="E1165">
            <v>30</v>
          </cell>
          <cell r="F1165" t="str">
            <v>Yes</v>
          </cell>
          <cell r="G1165" t="str">
            <v>TX</v>
          </cell>
          <cell r="H1165">
            <v>10</v>
          </cell>
          <cell r="I1165">
            <v>0.66500000000000004</v>
          </cell>
          <cell r="J1165" t="str">
            <v>Jake McEntee</v>
          </cell>
          <cell r="K1165" t="str">
            <v>LYTLE</v>
          </cell>
          <cell r="L1165" t="str">
            <v>TX</v>
          </cell>
          <cell r="M1165" t="str">
            <v>800-577-8858</v>
          </cell>
          <cell r="N1165"/>
          <cell r="O1165">
            <v>414</v>
          </cell>
          <cell r="P1165">
            <v>1780.1999999999998</v>
          </cell>
          <cell r="Q1165"/>
          <cell r="R1165">
            <v>0</v>
          </cell>
          <cell r="S1165"/>
          <cell r="T1165">
            <v>0</v>
          </cell>
          <cell r="U1165">
            <v>402</v>
          </cell>
          <cell r="V1165">
            <v>1728.6</v>
          </cell>
          <cell r="W1165">
            <v>339</v>
          </cell>
          <cell r="X1165">
            <v>1457.7</v>
          </cell>
          <cell r="Y1165"/>
          <cell r="Z1165">
            <v>0</v>
          </cell>
          <cell r="AA1165"/>
          <cell r="AB1165">
            <v>0</v>
          </cell>
          <cell r="AC1165"/>
          <cell r="AD1165">
            <v>0</v>
          </cell>
          <cell r="AE1165">
            <v>3.4300000000000004E-2</v>
          </cell>
          <cell r="AF1165"/>
          <cell r="AG1165">
            <v>3.7569999999999999E-2</v>
          </cell>
          <cell r="AH1165">
            <v>3.7569999999999999E-2</v>
          </cell>
          <cell r="AI1165">
            <v>3.7569999999999999E-2</v>
          </cell>
          <cell r="AJ1165">
            <v>0.04</v>
          </cell>
          <cell r="AK1165" t="str">
            <v>TW</v>
          </cell>
          <cell r="AL1165">
            <v>161</v>
          </cell>
          <cell r="AM1165">
            <v>401</v>
          </cell>
          <cell r="AN1165" t="str">
            <v>04 Co.Store</v>
          </cell>
          <cell r="AO1165" t="str">
            <v>South Central</v>
          </cell>
          <cell r="AP1165" t="str">
            <v>Central</v>
          </cell>
          <cell r="AQ1165"/>
          <cell r="AR1165">
            <v>23837</v>
          </cell>
          <cell r="AS1165">
            <v>128991</v>
          </cell>
        </row>
        <row r="1166">
          <cell r="A1166">
            <v>12778</v>
          </cell>
          <cell r="B1166" t="str">
            <v>TW MADISONVILLE</v>
          </cell>
          <cell r="C1166" t="str">
            <v>M10065</v>
          </cell>
          <cell r="D1166" t="str">
            <v>Net 30, no pink card</v>
          </cell>
          <cell r="E1166">
            <v>30</v>
          </cell>
          <cell r="F1166" t="str">
            <v>Yes</v>
          </cell>
          <cell r="G1166" t="str">
            <v>TX</v>
          </cell>
          <cell r="H1166">
            <v>10</v>
          </cell>
          <cell r="I1166">
            <v>0.66500000000000004</v>
          </cell>
          <cell r="J1166" t="str">
            <v>Jake McEntee</v>
          </cell>
          <cell r="K1166" t="str">
            <v>MADISONVILLE</v>
          </cell>
          <cell r="L1166" t="str">
            <v>TX</v>
          </cell>
          <cell r="M1166" t="str">
            <v>800-577-8858</v>
          </cell>
          <cell r="N1166"/>
          <cell r="O1166">
            <v>191</v>
          </cell>
          <cell r="P1166">
            <v>821.3</v>
          </cell>
          <cell r="Q1166">
            <v>908</v>
          </cell>
          <cell r="R1166">
            <v>3904.3999999999996</v>
          </cell>
          <cell r="S1166"/>
          <cell r="T1166">
            <v>0</v>
          </cell>
          <cell r="U1166">
            <v>258</v>
          </cell>
          <cell r="V1166">
            <v>1109.3999999999999</v>
          </cell>
          <cell r="W1166">
            <v>181</v>
          </cell>
          <cell r="X1166">
            <v>778.3</v>
          </cell>
          <cell r="Y1166"/>
          <cell r="Z1166">
            <v>0</v>
          </cell>
          <cell r="AA1166"/>
          <cell r="AB1166">
            <v>0</v>
          </cell>
          <cell r="AC1166"/>
          <cell r="AD1166">
            <v>0</v>
          </cell>
          <cell r="AE1166">
            <v>2.4E-2</v>
          </cell>
          <cell r="AF1166"/>
          <cell r="AG1166">
            <v>2.1579999999999998E-2</v>
          </cell>
          <cell r="AH1166">
            <v>2.1579999999999998E-2</v>
          </cell>
          <cell r="AI1166">
            <v>2.1579999999999998E-2</v>
          </cell>
          <cell r="AJ1166">
            <v>0.04</v>
          </cell>
          <cell r="AK1166" t="str">
            <v>TW</v>
          </cell>
          <cell r="AL1166">
            <v>161</v>
          </cell>
          <cell r="AM1166">
            <v>196</v>
          </cell>
          <cell r="AN1166" t="str">
            <v>04 Co.Store</v>
          </cell>
          <cell r="AO1166" t="str">
            <v>South Central</v>
          </cell>
          <cell r="AP1166" t="str">
            <v>Central</v>
          </cell>
          <cell r="AQ1166"/>
          <cell r="AR1166">
            <v>188666</v>
          </cell>
          <cell r="AS1166">
            <v>60482</v>
          </cell>
        </row>
        <row r="1167">
          <cell r="A1167">
            <v>13539</v>
          </cell>
          <cell r="B1167" t="str">
            <v>TW - MT. PLEASANT - TDO</v>
          </cell>
          <cell r="C1167" t="str">
            <v>M10508</v>
          </cell>
          <cell r="D1167" t="str">
            <v>Net 30, no pink card</v>
          </cell>
          <cell r="E1167">
            <v>30</v>
          </cell>
          <cell r="F1167" t="str">
            <v>Yes</v>
          </cell>
          <cell r="G1167" t="str">
            <v>TX</v>
          </cell>
          <cell r="H1167">
            <v>10</v>
          </cell>
          <cell r="I1167">
            <v>0.66500000000000004</v>
          </cell>
          <cell r="J1167" t="str">
            <v>Jake McEntee</v>
          </cell>
          <cell r="K1167" t="str">
            <v>MT. PLEASANT</v>
          </cell>
          <cell r="L1167" t="str">
            <v>TX</v>
          </cell>
          <cell r="M1167" t="str">
            <v>800-577-8858</v>
          </cell>
          <cell r="N1167"/>
          <cell r="O1167">
            <v>0</v>
          </cell>
          <cell r="P1167">
            <v>0</v>
          </cell>
          <cell r="Q1167" t="str"/>
          <cell r="R1167" t="str"/>
          <cell r="S1167" t="str"/>
          <cell r="T1167" t="str"/>
          <cell r="U1167">
            <v>167</v>
          </cell>
          <cell r="V1167">
            <v>718.1</v>
          </cell>
          <cell r="W1167">
            <v>83</v>
          </cell>
          <cell r="X1167">
            <v>400</v>
          </cell>
          <cell r="Y1167">
            <v>838</v>
          </cell>
          <cell r="Z1167">
            <v>3603.3999999999996</v>
          </cell>
          <cell r="AA1167">
            <v>838</v>
          </cell>
          <cell r="AB1167">
            <v>3603.3999999999996</v>
          </cell>
          <cell r="AC1167">
            <v>838</v>
          </cell>
          <cell r="AD1167">
            <v>3603.3999999999996</v>
          </cell>
          <cell r="AE1167" t="str"/>
          <cell r="AF1167"/>
          <cell r="AG1167" t="str"/>
          <cell r="AH1167" t="str"/>
          <cell r="AI1167" t="str"/>
          <cell r="AJ1167">
            <v>0.04</v>
          </cell>
          <cell r="AK1167" t="str">
            <v>TW</v>
          </cell>
          <cell r="AL1167">
            <v>161</v>
          </cell>
          <cell r="AM1167"/>
          <cell r="AN1167" t="str">
            <v>04 Co.Store</v>
          </cell>
          <cell r="AO1167" t="str">
            <v>South Central</v>
          </cell>
          <cell r="AP1167" t="str">
            <v>Central</v>
          </cell>
          <cell r="AQ1167"/>
          <cell r="AR1167">
            <v>320527</v>
          </cell>
          <cell r="AS1167">
            <v>199796</v>
          </cell>
        </row>
        <row r="1168">
          <cell r="A1168">
            <v>12445</v>
          </cell>
          <cell r="B1168" t="str">
            <v>TW NEW CANEY</v>
          </cell>
          <cell r="C1168" t="str">
            <v>M10058</v>
          </cell>
          <cell r="D1168" t="str">
            <v>Net 30, no pink card</v>
          </cell>
          <cell r="E1168">
            <v>30</v>
          </cell>
          <cell r="F1168" t="str">
            <v>Yes</v>
          </cell>
          <cell r="G1168" t="str">
            <v>TX</v>
          </cell>
          <cell r="H1168">
            <v>10</v>
          </cell>
          <cell r="I1168">
            <v>0.66500000000000004</v>
          </cell>
          <cell r="J1168" t="str">
            <v>Jake McEntee</v>
          </cell>
          <cell r="K1168" t="str">
            <v>NEW CANEY</v>
          </cell>
          <cell r="L1168" t="str">
            <v>TX</v>
          </cell>
          <cell r="M1168" t="str">
            <v>800-577-8858</v>
          </cell>
          <cell r="N1168"/>
          <cell r="O1168">
            <v>227</v>
          </cell>
          <cell r="P1168">
            <v>976.09999999999991</v>
          </cell>
          <cell r="Q1168"/>
          <cell r="R1168">
            <v>0</v>
          </cell>
          <cell r="S1168"/>
          <cell r="T1168">
            <v>0</v>
          </cell>
          <cell r="U1168">
            <v>341</v>
          </cell>
          <cell r="V1168">
            <v>1466.3</v>
          </cell>
          <cell r="W1168">
            <v>227</v>
          </cell>
          <cell r="X1168">
            <v>976.09999999999991</v>
          </cell>
          <cell r="Y1168"/>
          <cell r="Z1168">
            <v>0</v>
          </cell>
          <cell r="AA1168"/>
          <cell r="AB1168">
            <v>0</v>
          </cell>
          <cell r="AC1168"/>
          <cell r="AD1168">
            <v>0</v>
          </cell>
          <cell r="AE1168">
            <v>2.4E-2</v>
          </cell>
          <cell r="AF1168"/>
          <cell r="AG1168">
            <v>2.64E-2</v>
          </cell>
          <cell r="AH1168">
            <v>2.64E-2</v>
          </cell>
          <cell r="AI1168">
            <v>2.64E-2</v>
          </cell>
          <cell r="AJ1168">
            <v>0.04</v>
          </cell>
          <cell r="AK1168" t="str">
            <v>TW</v>
          </cell>
          <cell r="AL1168">
            <v>161</v>
          </cell>
          <cell r="AM1168">
            <v>196</v>
          </cell>
          <cell r="AN1168" t="str">
            <v>04 Co.Store</v>
          </cell>
          <cell r="AO1168" t="str">
            <v>South Central</v>
          </cell>
          <cell r="AP1168" t="str">
            <v>Central</v>
          </cell>
          <cell r="AQ1168"/>
          <cell r="AR1168">
            <v>80798</v>
          </cell>
          <cell r="AS1168">
            <v>0</v>
          </cell>
        </row>
        <row r="1169">
          <cell r="A1169">
            <v>11185</v>
          </cell>
          <cell r="B1169" t="str">
            <v>TW ODESSA</v>
          </cell>
          <cell r="C1169" t="str">
            <v>M10082</v>
          </cell>
          <cell r="D1169" t="str">
            <v>Net 30, no pink card</v>
          </cell>
          <cell r="E1169">
            <v>30</v>
          </cell>
          <cell r="F1169" t="str">
            <v>Yes</v>
          </cell>
          <cell r="G1169" t="str">
            <v>TX</v>
          </cell>
          <cell r="H1169">
            <v>10</v>
          </cell>
          <cell r="I1169">
            <v>0.66500000000000004</v>
          </cell>
          <cell r="J1169" t="str">
            <v>Jake McEntee</v>
          </cell>
          <cell r="K1169" t="str">
            <v>ODESSA</v>
          </cell>
          <cell r="L1169" t="str">
            <v>TX</v>
          </cell>
          <cell r="M1169" t="str">
            <v>800-577-8858</v>
          </cell>
          <cell r="N1169"/>
          <cell r="O1169">
            <v>475</v>
          </cell>
          <cell r="P1169">
            <v>2042.5</v>
          </cell>
          <cell r="Q1169"/>
          <cell r="R1169">
            <v>0</v>
          </cell>
          <cell r="S1169"/>
          <cell r="T1169">
            <v>0</v>
          </cell>
          <cell r="U1169">
            <v>436</v>
          </cell>
          <cell r="V1169">
            <v>1874.8</v>
          </cell>
          <cell r="W1169">
            <v>411</v>
          </cell>
          <cell r="X1169">
            <v>1767.3</v>
          </cell>
          <cell r="Y1169"/>
          <cell r="Z1169">
            <v>0</v>
          </cell>
          <cell r="AA1169"/>
          <cell r="AB1169">
            <v>0</v>
          </cell>
          <cell r="AC1169"/>
          <cell r="AD1169">
            <v>0</v>
          </cell>
          <cell r="AE1169">
            <v>3.9800000000000002E-2</v>
          </cell>
          <cell r="AF1169"/>
          <cell r="AG1169">
            <v>3.7949999999999998E-2</v>
          </cell>
          <cell r="AH1169">
            <v>3.7949999999999998E-2</v>
          </cell>
          <cell r="AI1169">
            <v>3.7949999999999998E-2</v>
          </cell>
          <cell r="AJ1169">
            <v>0.04</v>
          </cell>
          <cell r="AK1169" t="str">
            <v>TW</v>
          </cell>
          <cell r="AL1169">
            <v>161</v>
          </cell>
          <cell r="AM1169">
            <v>327</v>
          </cell>
          <cell r="AN1169" t="str">
            <v>04 Co.Store</v>
          </cell>
          <cell r="AO1169" t="str">
            <v>South Central</v>
          </cell>
          <cell r="AP1169" t="str">
            <v>Central</v>
          </cell>
          <cell r="AQ1169"/>
          <cell r="AR1169">
            <v>320148</v>
          </cell>
          <cell r="AS1169">
            <v>50850</v>
          </cell>
        </row>
        <row r="1170">
          <cell r="A1170">
            <v>11975</v>
          </cell>
          <cell r="B1170" t="str">
            <v>TW ROCKWALL</v>
          </cell>
          <cell r="C1170" t="str">
            <v>M10086</v>
          </cell>
          <cell r="D1170" t="str">
            <v>Net 30, no pink card</v>
          </cell>
          <cell r="E1170">
            <v>30</v>
          </cell>
          <cell r="F1170" t="str">
            <v>Yes</v>
          </cell>
          <cell r="G1170" t="str">
            <v>TX</v>
          </cell>
          <cell r="H1170">
            <v>10</v>
          </cell>
          <cell r="I1170">
            <v>0.66500000000000004</v>
          </cell>
          <cell r="J1170" t="str">
            <v>Jake McEntee</v>
          </cell>
          <cell r="K1170" t="str">
            <v>ROCKWALL</v>
          </cell>
          <cell r="L1170" t="str">
            <v>TX</v>
          </cell>
          <cell r="M1170" t="str">
            <v>800-577-8858</v>
          </cell>
          <cell r="N1170"/>
          <cell r="O1170">
            <v>96</v>
          </cell>
          <cell r="P1170">
            <v>412.79999999999995</v>
          </cell>
          <cell r="Q1170">
            <v>819</v>
          </cell>
          <cell r="R1170">
            <v>3521.7</v>
          </cell>
          <cell r="S1170"/>
          <cell r="T1170">
            <v>0</v>
          </cell>
          <cell r="U1170">
            <v>117</v>
          </cell>
          <cell r="V1170">
            <v>503.09999999999997</v>
          </cell>
          <cell r="W1170">
            <v>35</v>
          </cell>
          <cell r="X1170">
            <v>150.5</v>
          </cell>
          <cell r="Y1170">
            <v>940</v>
          </cell>
          <cell r="Z1170">
            <v>4042</v>
          </cell>
          <cell r="AA1170">
            <v>940</v>
          </cell>
          <cell r="AB1170">
            <v>4042</v>
          </cell>
          <cell r="AC1170">
            <v>940</v>
          </cell>
          <cell r="AD1170">
            <v>4042</v>
          </cell>
          <cell r="AE1170">
            <v>2.4E-2</v>
          </cell>
          <cell r="AF1170"/>
          <cell r="AG1170">
            <v>1.617E-2</v>
          </cell>
          <cell r="AH1170">
            <v>1.617E-2</v>
          </cell>
          <cell r="AI1170">
            <v>1.617E-2</v>
          </cell>
          <cell r="AJ1170">
            <v>0.04</v>
          </cell>
          <cell r="AK1170" t="str">
            <v>TW</v>
          </cell>
          <cell r="AL1170">
            <v>161</v>
          </cell>
          <cell r="AM1170">
            <v>101</v>
          </cell>
          <cell r="AN1170" t="str">
            <v>04 Co.Store</v>
          </cell>
          <cell r="AO1170" t="str">
            <v>South Central</v>
          </cell>
          <cell r="AP1170" t="str">
            <v>Central</v>
          </cell>
          <cell r="AQ1170"/>
          <cell r="AR1170">
            <v>29856</v>
          </cell>
          <cell r="AS1170">
            <v>48340</v>
          </cell>
        </row>
        <row r="1171">
          <cell r="A1171">
            <v>12480</v>
          </cell>
          <cell r="B1171" t="str">
            <v>TW TOMBALL</v>
          </cell>
          <cell r="C1171" t="str">
            <v>M10399</v>
          </cell>
          <cell r="D1171" t="str">
            <v>Net 30, no pink card</v>
          </cell>
          <cell r="E1171">
            <v>30</v>
          </cell>
          <cell r="F1171" t="str">
            <v>Yes</v>
          </cell>
          <cell r="G1171" t="str">
            <v>TX</v>
          </cell>
          <cell r="H1171">
            <v>10</v>
          </cell>
          <cell r="I1171">
            <v>0.66500000000000004</v>
          </cell>
          <cell r="J1171" t="str">
            <v>Jake McEntee</v>
          </cell>
          <cell r="K1171" t="str">
            <v>TOMBALL</v>
          </cell>
          <cell r="L1171" t="str">
            <v>TX</v>
          </cell>
          <cell r="M1171" t="str">
            <v>800-577-8858</v>
          </cell>
          <cell r="N1171"/>
          <cell r="O1171">
            <v>269</v>
          </cell>
          <cell r="P1171">
            <v>1156.7</v>
          </cell>
          <cell r="Q1171"/>
          <cell r="R1171">
            <v>0</v>
          </cell>
          <cell r="S1171"/>
          <cell r="T1171">
            <v>0</v>
          </cell>
          <cell r="U1171">
            <v>353</v>
          </cell>
          <cell r="V1171">
            <v>1517.8999999999999</v>
          </cell>
          <cell r="W1171">
            <v>276</v>
          </cell>
          <cell r="X1171">
            <v>1186.8</v>
          </cell>
          <cell r="Y1171"/>
          <cell r="Z1171">
            <v>0</v>
          </cell>
          <cell r="AA1171"/>
          <cell r="AB1171">
            <v>0</v>
          </cell>
          <cell r="AC1171"/>
          <cell r="AD1171">
            <v>0</v>
          </cell>
          <cell r="AE1171">
            <v>2.4E-2</v>
          </cell>
          <cell r="AF1171"/>
          <cell r="AG1171">
            <v>2.912E-2</v>
          </cell>
          <cell r="AH1171">
            <v>2.912E-2</v>
          </cell>
          <cell r="AI1171">
            <v>2.912E-2</v>
          </cell>
          <cell r="AJ1171">
            <v>0.04</v>
          </cell>
          <cell r="AK1171" t="str">
            <v>TW</v>
          </cell>
          <cell r="AL1171">
            <v>161</v>
          </cell>
          <cell r="AM1171">
            <v>196</v>
          </cell>
          <cell r="AN1171" t="str">
            <v>04 Co.Store</v>
          </cell>
          <cell r="AO1171" t="str">
            <v>South Central</v>
          </cell>
          <cell r="AP1171" t="str">
            <v>Central</v>
          </cell>
          <cell r="AQ1171"/>
          <cell r="AR1171">
            <v>242861</v>
          </cell>
          <cell r="AS1171">
            <v>119036</v>
          </cell>
        </row>
        <row r="1172">
          <cell r="A1172">
            <v>13085</v>
          </cell>
          <cell r="B1172" t="str">
            <v>TW TX-BEAUMONT</v>
          </cell>
          <cell r="C1172" t="str">
            <v>M10974</v>
          </cell>
          <cell r="D1172" t="str">
            <v>Net 30, no pink card</v>
          </cell>
          <cell r="E1172">
            <v>30</v>
          </cell>
          <cell r="F1172" t="str">
            <v>Yes</v>
          </cell>
          <cell r="G1172" t="str">
            <v>TX</v>
          </cell>
          <cell r="H1172">
            <v>10</v>
          </cell>
          <cell r="I1172">
            <v>0.66500000000000004</v>
          </cell>
          <cell r="J1172" t="str">
            <v>Jake McEntee</v>
          </cell>
          <cell r="K1172" t="str">
            <v>BEAUMONT</v>
          </cell>
          <cell r="L1172" t="str">
            <v>TX</v>
          </cell>
          <cell r="M1172" t="str">
            <v>800-577-8858</v>
          </cell>
          <cell r="N1172"/>
          <cell r="O1172">
            <v>256</v>
          </cell>
          <cell r="P1172">
            <v>1100.8</v>
          </cell>
          <cell r="Q1172"/>
          <cell r="R1172">
            <v>0</v>
          </cell>
          <cell r="S1172"/>
          <cell r="T1172">
            <v>0</v>
          </cell>
          <cell r="U1172">
            <v>401</v>
          </cell>
          <cell r="V1172">
            <v>1724.3</v>
          </cell>
          <cell r="W1172">
            <v>244</v>
          </cell>
          <cell r="X1172">
            <v>1049.2</v>
          </cell>
          <cell r="Y1172"/>
          <cell r="Z1172">
            <v>0</v>
          </cell>
          <cell r="AA1172"/>
          <cell r="AB1172">
            <v>0</v>
          </cell>
          <cell r="AC1172"/>
          <cell r="AD1172">
            <v>0</v>
          </cell>
          <cell r="AE1172">
            <v>3.0990000000000004E-2</v>
          </cell>
          <cell r="AF1172"/>
          <cell r="AG1172">
            <v>2.8500000000000001E-2</v>
          </cell>
          <cell r="AH1172">
            <v>2.8500000000000001E-2</v>
          </cell>
          <cell r="AI1172">
            <v>2.8500000000000001E-2</v>
          </cell>
          <cell r="AJ1172">
            <v>0.04</v>
          </cell>
          <cell r="AK1172" t="str">
            <v>TW</v>
          </cell>
          <cell r="AL1172">
            <v>161</v>
          </cell>
          <cell r="AM1172">
            <v>34</v>
          </cell>
          <cell r="AN1172" t="str">
            <v>04 Co.Store</v>
          </cell>
          <cell r="AO1172" t="str">
            <v>South Central</v>
          </cell>
          <cell r="AP1172" t="str">
            <v>Central</v>
          </cell>
          <cell r="AQ1172"/>
          <cell r="AR1172">
            <v>159605</v>
          </cell>
          <cell r="AS1172">
            <v>0</v>
          </cell>
        </row>
        <row r="1173">
          <cell r="A1173">
            <v>13544</v>
          </cell>
          <cell r="B1173" t="str">
            <v>TW TYLER</v>
          </cell>
          <cell r="C1173" t="str">
            <v>M11516</v>
          </cell>
          <cell r="D1173" t="str">
            <v>Net 30, no pink card</v>
          </cell>
          <cell r="E1173">
            <v>30</v>
          </cell>
          <cell r="F1173" t="str">
            <v>Yes</v>
          </cell>
          <cell r="G1173" t="str">
            <v>TX</v>
          </cell>
          <cell r="H1173">
            <v>10</v>
          </cell>
          <cell r="I1173">
            <v>0.66500000000000004</v>
          </cell>
          <cell r="J1173" t="str">
            <v>Jake McEntee</v>
          </cell>
          <cell r="K1173" t="str">
            <v>TYLER</v>
          </cell>
          <cell r="L1173" t="str">
            <v>TX</v>
          </cell>
          <cell r="M1173" t="str">
            <v>800-577-8858</v>
          </cell>
          <cell r="N1173"/>
          <cell r="O1173">
            <v>77</v>
          </cell>
          <cell r="P1173">
            <v>331.09999999999997</v>
          </cell>
          <cell r="Q1173"/>
          <cell r="R1173">
            <v>0</v>
          </cell>
          <cell r="S1173"/>
          <cell r="T1173">
            <v>0</v>
          </cell>
          <cell r="U1173">
            <v>196</v>
          </cell>
          <cell r="V1173">
            <v>842.8</v>
          </cell>
          <cell r="W1173">
            <v>45</v>
          </cell>
          <cell r="X1173">
            <v>193.5</v>
          </cell>
          <cell r="Y1173"/>
          <cell r="Z1173">
            <v>0</v>
          </cell>
          <cell r="AA1173"/>
          <cell r="AB1173">
            <v>0</v>
          </cell>
          <cell r="AC1173"/>
          <cell r="AD1173">
            <v>0</v>
          </cell>
          <cell r="AE1173">
            <v>2.4E-2</v>
          </cell>
          <cell r="AF1173"/>
          <cell r="AG1173">
            <v>1.617E-2</v>
          </cell>
          <cell r="AH1173">
            <v>1.617E-2</v>
          </cell>
          <cell r="AI1173">
            <v>1.617E-2</v>
          </cell>
          <cell r="AJ1173">
            <v>0.04</v>
          </cell>
          <cell r="AK1173" t="str">
            <v>TW</v>
          </cell>
          <cell r="AL1173">
            <v>161</v>
          </cell>
          <cell r="AM1173"/>
          <cell r="AN1173" t="str">
            <v>04 Co.Store</v>
          </cell>
          <cell r="AO1173" t="str">
            <v>South Central</v>
          </cell>
          <cell r="AP1173" t="str">
            <v>Central</v>
          </cell>
          <cell r="AQ1173"/>
          <cell r="AR1173">
            <v>118080</v>
          </cell>
          <cell r="AS1173">
            <v>67312</v>
          </cell>
        </row>
        <row r="1174">
          <cell r="A1174">
            <v>12388</v>
          </cell>
          <cell r="B1174" t="str">
            <v>TW VAN ALSTYNE</v>
          </cell>
          <cell r="C1174" t="str">
            <v>M10057</v>
          </cell>
          <cell r="D1174" t="str">
            <v>Net 30, no pink card</v>
          </cell>
          <cell r="E1174">
            <v>30</v>
          </cell>
          <cell r="F1174" t="str">
            <v>Yes</v>
          </cell>
          <cell r="G1174" t="str">
            <v>TX</v>
          </cell>
          <cell r="H1174">
            <v>10</v>
          </cell>
          <cell r="I1174">
            <v>0.66500000000000004</v>
          </cell>
          <cell r="J1174" t="str">
            <v>Jake McEntee</v>
          </cell>
          <cell r="K1174" t="str">
            <v>VAN ALSTYNE</v>
          </cell>
          <cell r="L1174" t="str">
            <v>TX</v>
          </cell>
          <cell r="M1174" t="str">
            <v>800-577-8858</v>
          </cell>
          <cell r="N1174"/>
          <cell r="O1174">
            <v>117</v>
          </cell>
          <cell r="P1174">
            <v>503.09999999999997</v>
          </cell>
          <cell r="Q1174">
            <v>870</v>
          </cell>
          <cell r="R1174">
            <v>3741</v>
          </cell>
          <cell r="S1174"/>
          <cell r="T1174">
            <v>0</v>
          </cell>
          <cell r="U1174">
            <v>67</v>
          </cell>
          <cell r="V1174">
            <v>288.09999999999997</v>
          </cell>
          <cell r="W1174">
            <v>89</v>
          </cell>
          <cell r="X1174">
            <v>382.7</v>
          </cell>
          <cell r="Y1174"/>
          <cell r="Z1174">
            <v>0</v>
          </cell>
          <cell r="AA1174"/>
          <cell r="AB1174">
            <v>0</v>
          </cell>
          <cell r="AC1174"/>
          <cell r="AD1174">
            <v>0</v>
          </cell>
          <cell r="AE1174">
            <v>2.4E-2</v>
          </cell>
          <cell r="AF1174"/>
          <cell r="AG1174">
            <v>1.617E-2</v>
          </cell>
          <cell r="AH1174">
            <v>1.617E-2</v>
          </cell>
          <cell r="AI1174">
            <v>1.617E-2</v>
          </cell>
          <cell r="AJ1174">
            <v>0.04</v>
          </cell>
          <cell r="AK1174" t="str">
            <v>TW</v>
          </cell>
          <cell r="AL1174">
            <v>161</v>
          </cell>
          <cell r="AM1174">
            <v>418</v>
          </cell>
          <cell r="AN1174" t="str">
            <v>04 Co.Store</v>
          </cell>
          <cell r="AO1174" t="str">
            <v>South Central</v>
          </cell>
          <cell r="AP1174" t="str">
            <v>Central</v>
          </cell>
          <cell r="AQ1174"/>
          <cell r="AR1174">
            <v>0</v>
          </cell>
          <cell r="AS1174">
            <v>0</v>
          </cell>
        </row>
        <row r="1175">
          <cell r="A1175">
            <v>10066</v>
          </cell>
          <cell r="B1175" t="str">
            <v>TW WICHITA FALLS</v>
          </cell>
          <cell r="C1175" t="str">
            <v>M10084</v>
          </cell>
          <cell r="D1175" t="str">
            <v>Net 30, no pink card</v>
          </cell>
          <cell r="E1175">
            <v>30</v>
          </cell>
          <cell r="F1175" t="str">
            <v>Yes</v>
          </cell>
          <cell r="G1175" t="str">
            <v>TX</v>
          </cell>
          <cell r="H1175">
            <v>10</v>
          </cell>
          <cell r="I1175">
            <v>0.66500000000000004</v>
          </cell>
          <cell r="J1175" t="str">
            <v>Jake McEntee</v>
          </cell>
          <cell r="K1175" t="str">
            <v>WICHITA FALLS</v>
          </cell>
          <cell r="L1175" t="str">
            <v>TX</v>
          </cell>
          <cell r="M1175" t="str">
            <v>800-577-8858</v>
          </cell>
          <cell r="N1175"/>
          <cell r="O1175">
            <v>232</v>
          </cell>
          <cell r="P1175">
            <v>997.59999999999991</v>
          </cell>
          <cell r="Q1175"/>
          <cell r="R1175">
            <v>0</v>
          </cell>
          <cell r="S1175"/>
          <cell r="T1175">
            <v>0</v>
          </cell>
          <cell r="U1175">
            <v>109</v>
          </cell>
          <cell r="V1175">
            <v>468.7</v>
          </cell>
          <cell r="W1175">
            <v>183</v>
          </cell>
          <cell r="X1175">
            <v>786.9</v>
          </cell>
          <cell r="Y1175"/>
          <cell r="Z1175">
            <v>0</v>
          </cell>
          <cell r="AA1175"/>
          <cell r="AB1175">
            <v>0</v>
          </cell>
          <cell r="AC1175"/>
          <cell r="AD1175">
            <v>0</v>
          </cell>
          <cell r="AE1175">
            <v>2.4E-2</v>
          </cell>
          <cell r="AF1175"/>
          <cell r="AG1175">
            <v>2.1669999999999998E-2</v>
          </cell>
          <cell r="AH1175">
            <v>2.1669999999999998E-2</v>
          </cell>
          <cell r="AI1175">
            <v>2.1669999999999998E-2</v>
          </cell>
          <cell r="AJ1175">
            <v>0.04</v>
          </cell>
          <cell r="AK1175" t="str">
            <v>TW</v>
          </cell>
          <cell r="AL1175">
            <v>161</v>
          </cell>
          <cell r="AM1175">
            <v>473</v>
          </cell>
          <cell r="AN1175" t="str">
            <v>04 Co.Store</v>
          </cell>
          <cell r="AO1175" t="str">
            <v>South Central</v>
          </cell>
          <cell r="AP1175" t="str">
            <v>Central</v>
          </cell>
          <cell r="AQ1175"/>
          <cell r="AR1175">
            <v>114528</v>
          </cell>
          <cell r="AS1175">
            <v>40279</v>
          </cell>
        </row>
        <row r="1176">
          <cell r="A1176">
            <v>13092</v>
          </cell>
          <cell r="B1176" t="str">
            <v>UNITED AG</v>
          </cell>
          <cell r="C1176" t="str">
            <v>M10981</v>
          </cell>
          <cell r="D1176" t="str">
            <v>Net 30, no pink card</v>
          </cell>
          <cell r="E1176">
            <v>30</v>
          </cell>
          <cell r="F1176" t="str">
            <v>See Note</v>
          </cell>
          <cell r="G1176" t="str">
            <v>TX</v>
          </cell>
          <cell r="H1176">
            <v>5</v>
          </cell>
          <cell r="I1176">
            <v>0.66500000000000004</v>
          </cell>
          <cell r="J1176" t="str">
            <v>Dakota Nation</v>
          </cell>
          <cell r="K1176" t="str">
            <v>WACO</v>
          </cell>
          <cell r="L1176" t="str">
            <v>TX</v>
          </cell>
          <cell r="M1176" t="str">
            <v>800-577-8858</v>
          </cell>
          <cell r="N1176"/>
          <cell r="O1176">
            <v>219</v>
          </cell>
          <cell r="P1176">
            <v>941.69999999999993</v>
          </cell>
          <cell r="Q1176"/>
          <cell r="R1176">
            <v>0</v>
          </cell>
          <cell r="S1176"/>
          <cell r="T1176">
            <v>0</v>
          </cell>
          <cell r="U1176">
            <v>217</v>
          </cell>
          <cell r="V1176">
            <v>933.09999999999991</v>
          </cell>
          <cell r="W1176">
            <v>144</v>
          </cell>
          <cell r="X1176">
            <v>619.19999999999993</v>
          </cell>
          <cell r="Y1176"/>
          <cell r="Z1176">
            <v>0</v>
          </cell>
          <cell r="AA1176"/>
          <cell r="AB1176">
            <v>0</v>
          </cell>
          <cell r="AC1176"/>
          <cell r="AD1176">
            <v>0</v>
          </cell>
          <cell r="AE1176"/>
          <cell r="AF1176"/>
          <cell r="AG1176"/>
          <cell r="AH1176"/>
          <cell r="AI1176"/>
          <cell r="AJ1176">
            <v>0</v>
          </cell>
          <cell r="AK1176" t="str">
            <v>3P</v>
          </cell>
          <cell r="AL1176">
            <v>223</v>
          </cell>
          <cell r="AM1176">
            <v>459</v>
          </cell>
          <cell r="AN1176" t="str">
            <v>01 Existing Dealer</v>
          </cell>
          <cell r="AO1176" t="str">
            <v>South Central</v>
          </cell>
          <cell r="AP1176" t="str">
            <v>Central</v>
          </cell>
          <cell r="AQ1176"/>
          <cell r="AR1176">
            <v>23499</v>
          </cell>
          <cell r="AS1176">
            <v>14008</v>
          </cell>
        </row>
        <row r="1177">
          <cell r="A1177" t="str">
            <v>13092A</v>
          </cell>
          <cell r="B1177" t="str">
            <v>UNITED AG</v>
          </cell>
          <cell r="C1177" t="str">
            <v>M10981</v>
          </cell>
          <cell r="D1177" t="str">
            <v>Net 30, no pink card</v>
          </cell>
          <cell r="E1177">
            <v>30</v>
          </cell>
          <cell r="F1177" t="str">
            <v>See Note</v>
          </cell>
          <cell r="G1177" t="str">
            <v>TX</v>
          </cell>
          <cell r="H1177">
            <v>5</v>
          </cell>
          <cell r="I1177">
            <v>0.66500000000000004</v>
          </cell>
          <cell r="J1177" t="str">
            <v>Dakota Nation</v>
          </cell>
          <cell r="K1177" t="str">
            <v>WACO</v>
          </cell>
          <cell r="L1177" t="str">
            <v>TX</v>
          </cell>
          <cell r="M1177" t="str">
            <v>800-577-8858</v>
          </cell>
          <cell r="N1177"/>
          <cell r="O1177">
            <v>219</v>
          </cell>
          <cell r="P1177">
            <v>941.69999999999993</v>
          </cell>
          <cell r="Q1177"/>
          <cell r="R1177">
            <v>0</v>
          </cell>
          <cell r="S1177"/>
          <cell r="T1177">
            <v>0</v>
          </cell>
          <cell r="U1177">
            <v>217</v>
          </cell>
          <cell r="V1177">
            <v>933.09999999999991</v>
          </cell>
          <cell r="W1177">
            <v>144</v>
          </cell>
          <cell r="X1177">
            <v>619.19999999999993</v>
          </cell>
          <cell r="Y1177"/>
          <cell r="Z1177">
            <v>0</v>
          </cell>
          <cell r="AA1177"/>
          <cell r="AB1177">
            <v>0</v>
          </cell>
          <cell r="AC1177"/>
          <cell r="AD1177">
            <v>0</v>
          </cell>
          <cell r="AE1177"/>
          <cell r="AF1177"/>
          <cell r="AG1177"/>
          <cell r="AH1177"/>
          <cell r="AI1177"/>
          <cell r="AJ1177">
            <v>0</v>
          </cell>
          <cell r="AK1177" t="str">
            <v>3P</v>
          </cell>
          <cell r="AL1177">
            <v>223</v>
          </cell>
          <cell r="AM1177">
            <v>459</v>
          </cell>
          <cell r="AN1177" t="str">
            <v>01 Existing Dealer</v>
          </cell>
          <cell r="AO1177" t="str">
            <v>South Central</v>
          </cell>
          <cell r="AP1177" t="str">
            <v>Central</v>
          </cell>
          <cell r="AQ1177"/>
          <cell r="AR1177">
            <v>0</v>
          </cell>
          <cell r="AS1177">
            <v>0</v>
          </cell>
          <cell r="AT1177"/>
        </row>
        <row r="1178">
          <cell r="A1178" t="str">
            <v>13092B</v>
          </cell>
          <cell r="B1178" t="str">
            <v>UNITED AG</v>
          </cell>
          <cell r="C1178" t="str">
            <v>M10981</v>
          </cell>
          <cell r="D1178" t="str">
            <v>Net 30, no pink card</v>
          </cell>
          <cell r="E1178">
            <v>30</v>
          </cell>
          <cell r="F1178" t="str">
            <v>See Note</v>
          </cell>
          <cell r="G1178" t="str">
            <v>TX</v>
          </cell>
          <cell r="H1178">
            <v>5</v>
          </cell>
          <cell r="I1178">
            <v>0.66500000000000004</v>
          </cell>
          <cell r="J1178" t="str">
            <v>Dakota Nation</v>
          </cell>
          <cell r="K1178" t="str">
            <v>HILLSBORO</v>
          </cell>
          <cell r="L1178" t="str">
            <v>TX</v>
          </cell>
          <cell r="M1178" t="str">
            <v>800-577-8858</v>
          </cell>
          <cell r="N1178"/>
          <cell r="O1178">
            <v>184</v>
          </cell>
          <cell r="P1178">
            <v>791.19999999999993</v>
          </cell>
          <cell r="Q1178"/>
          <cell r="R1178">
            <v>0</v>
          </cell>
          <cell r="S1178"/>
          <cell r="T1178">
            <v>0</v>
          </cell>
          <cell r="U1178">
            <v>182</v>
          </cell>
          <cell r="V1178">
            <v>782.6</v>
          </cell>
          <cell r="W1178">
            <v>109</v>
          </cell>
          <cell r="X1178">
            <v>468.7</v>
          </cell>
          <cell r="Y1178"/>
          <cell r="Z1178">
            <v>0</v>
          </cell>
          <cell r="AA1178"/>
          <cell r="AB1178">
            <v>0</v>
          </cell>
          <cell r="AC1178"/>
          <cell r="AD1178">
            <v>0</v>
          </cell>
          <cell r="AE1178"/>
          <cell r="AF1178"/>
          <cell r="AG1178"/>
          <cell r="AH1178"/>
          <cell r="AI1178"/>
          <cell r="AJ1178">
            <v>0</v>
          </cell>
          <cell r="AK1178" t="str">
            <v>3P</v>
          </cell>
          <cell r="AL1178">
            <v>223</v>
          </cell>
          <cell r="AM1178">
            <v>459</v>
          </cell>
          <cell r="AN1178" t="str">
            <v>01 Existing Dealer</v>
          </cell>
          <cell r="AO1178" t="str">
            <v>South Central</v>
          </cell>
          <cell r="AP1178" t="str">
            <v>Central</v>
          </cell>
          <cell r="AQ1178"/>
          <cell r="AR1178">
            <v>0</v>
          </cell>
          <cell r="AS1178">
            <v>0</v>
          </cell>
          <cell r="AT1178"/>
        </row>
        <row r="1179">
          <cell r="A1179" t="str">
            <v>13092C</v>
          </cell>
          <cell r="B1179" t="str">
            <v>UNITED AG</v>
          </cell>
          <cell r="C1179" t="str">
            <v>M10981</v>
          </cell>
          <cell r="D1179" t="str">
            <v>Net 30, no pink card</v>
          </cell>
          <cell r="E1179">
            <v>30</v>
          </cell>
          <cell r="F1179" t="str">
            <v>See Note</v>
          </cell>
          <cell r="G1179" t="str">
            <v>TX</v>
          </cell>
          <cell r="H1179">
            <v>5</v>
          </cell>
          <cell r="I1179">
            <v>0.66500000000000004</v>
          </cell>
          <cell r="J1179" t="str">
            <v>Dakota Nation</v>
          </cell>
          <cell r="K1179" t="str">
            <v>CLEBURNE</v>
          </cell>
          <cell r="L1179" t="str">
            <v>TX</v>
          </cell>
          <cell r="M1179" t="str">
            <v>800-577-8858</v>
          </cell>
          <cell r="N1179"/>
          <cell r="O1179">
            <v>171</v>
          </cell>
          <cell r="P1179">
            <v>735.3</v>
          </cell>
          <cell r="Q1179"/>
          <cell r="R1179">
            <v>0</v>
          </cell>
          <cell r="S1179"/>
          <cell r="T1179">
            <v>0</v>
          </cell>
          <cell r="U1179">
            <v>155</v>
          </cell>
          <cell r="V1179">
            <v>666.5</v>
          </cell>
          <cell r="W1179">
            <v>100</v>
          </cell>
          <cell r="X1179">
            <v>430</v>
          </cell>
          <cell r="Y1179"/>
          <cell r="Z1179">
            <v>0</v>
          </cell>
          <cell r="AA1179"/>
          <cell r="AB1179">
            <v>0</v>
          </cell>
          <cell r="AC1179"/>
          <cell r="AD1179">
            <v>0</v>
          </cell>
          <cell r="AE1179"/>
          <cell r="AF1179"/>
          <cell r="AG1179"/>
          <cell r="AH1179"/>
          <cell r="AI1179"/>
          <cell r="AJ1179">
            <v>0</v>
          </cell>
          <cell r="AK1179" t="str">
            <v>3P</v>
          </cell>
          <cell r="AL1179">
            <v>223</v>
          </cell>
          <cell r="AM1179">
            <v>101</v>
          </cell>
          <cell r="AN1179" t="str">
            <v>01 Existing Dealer</v>
          </cell>
          <cell r="AO1179" t="str">
            <v>South Central</v>
          </cell>
          <cell r="AP1179" t="str">
            <v>Central</v>
          </cell>
          <cell r="AQ1179"/>
          <cell r="AR1179">
            <v>0</v>
          </cell>
          <cell r="AS1179">
            <v>0</v>
          </cell>
        </row>
        <row r="1180">
          <cell r="A1180" t="str">
            <v>13092D</v>
          </cell>
          <cell r="B1180" t="str">
            <v>UNITED AG</v>
          </cell>
          <cell r="C1180" t="str">
            <v>M10981</v>
          </cell>
          <cell r="D1180" t="str">
            <v>Net 30, no pink card</v>
          </cell>
          <cell r="E1180">
            <v>30</v>
          </cell>
          <cell r="F1180" t="str">
            <v>See Note</v>
          </cell>
          <cell r="G1180" t="str">
            <v>TX</v>
          </cell>
          <cell r="H1180">
            <v>5</v>
          </cell>
          <cell r="I1180">
            <v>0.66500000000000004</v>
          </cell>
          <cell r="J1180" t="str">
            <v>Dakota Nation</v>
          </cell>
          <cell r="K1180" t="str">
            <v>ENNIS</v>
          </cell>
          <cell r="L1180" t="str">
            <v>TX</v>
          </cell>
          <cell r="M1180" t="str">
            <v>800-577-8858</v>
          </cell>
          <cell r="N1180"/>
          <cell r="O1180">
            <v>146</v>
          </cell>
          <cell r="P1180">
            <v>627.79999999999995</v>
          </cell>
          <cell r="Q1180"/>
          <cell r="R1180">
            <v>0</v>
          </cell>
          <cell r="S1180"/>
          <cell r="T1180">
            <v>0</v>
          </cell>
          <cell r="U1180">
            <v>148</v>
          </cell>
          <cell r="V1180">
            <v>636.4</v>
          </cell>
          <cell r="W1180">
            <v>71</v>
          </cell>
          <cell r="X1180">
            <v>305.3</v>
          </cell>
          <cell r="Y1180"/>
          <cell r="Z1180">
            <v>0</v>
          </cell>
          <cell r="AA1180"/>
          <cell r="AB1180">
            <v>0</v>
          </cell>
          <cell r="AC1180"/>
          <cell r="AD1180">
            <v>0</v>
          </cell>
          <cell r="AE1180"/>
          <cell r="AF1180"/>
          <cell r="AG1180"/>
          <cell r="AH1180"/>
          <cell r="AI1180"/>
          <cell r="AJ1180">
            <v>0</v>
          </cell>
          <cell r="AK1180" t="str">
            <v>3P</v>
          </cell>
          <cell r="AL1180">
            <v>223</v>
          </cell>
          <cell r="AM1180">
            <v>101</v>
          </cell>
          <cell r="AN1180" t="str">
            <v>01 Existing Dealer</v>
          </cell>
          <cell r="AO1180" t="str">
            <v>South Central</v>
          </cell>
          <cell r="AP1180" t="str">
            <v>Central</v>
          </cell>
          <cell r="AQ1180"/>
          <cell r="AR1180">
            <v>0</v>
          </cell>
          <cell r="AS1180">
            <v>0</v>
          </cell>
        </row>
        <row r="1181">
          <cell r="A1181" t="str">
            <v>13092E</v>
          </cell>
          <cell r="B1181" t="str">
            <v>UNITED AG</v>
          </cell>
          <cell r="C1181" t="str">
            <v>M10981</v>
          </cell>
          <cell r="D1181" t="str">
            <v>Net 30, no pink card</v>
          </cell>
          <cell r="E1181">
            <v>30</v>
          </cell>
          <cell r="F1181" t="str">
            <v>See Note</v>
          </cell>
          <cell r="G1181" t="str">
            <v>TX</v>
          </cell>
          <cell r="H1181">
            <v>5</v>
          </cell>
          <cell r="I1181">
            <v>0.66500000000000004</v>
          </cell>
          <cell r="J1181" t="str">
            <v>Dakota Nation</v>
          </cell>
          <cell r="K1181" t="str">
            <v>WEATHERFORD</v>
          </cell>
          <cell r="L1181" t="str">
            <v>TX</v>
          </cell>
          <cell r="M1181" t="str">
            <v>800-577-8858</v>
          </cell>
          <cell r="N1181"/>
          <cell r="O1181">
            <v>177</v>
          </cell>
          <cell r="P1181">
            <v>761.1</v>
          </cell>
          <cell r="Q1181"/>
          <cell r="R1181">
            <v>0</v>
          </cell>
          <cell r="S1181"/>
          <cell r="T1181">
            <v>0</v>
          </cell>
          <cell r="U1181">
            <v>146</v>
          </cell>
          <cell r="V1181">
            <v>627.79999999999995</v>
          </cell>
          <cell r="W1181">
            <v>111</v>
          </cell>
          <cell r="X1181">
            <v>477.29999999999995</v>
          </cell>
          <cell r="Y1181"/>
          <cell r="Z1181">
            <v>0</v>
          </cell>
          <cell r="AA1181"/>
          <cell r="AB1181">
            <v>0</v>
          </cell>
          <cell r="AC1181"/>
          <cell r="AD1181">
            <v>0</v>
          </cell>
          <cell r="AE1181"/>
          <cell r="AF1181"/>
          <cell r="AG1181"/>
          <cell r="AH1181"/>
          <cell r="AI1181"/>
          <cell r="AJ1181">
            <v>0</v>
          </cell>
          <cell r="AK1181" t="str">
            <v>3P</v>
          </cell>
          <cell r="AL1181">
            <v>223</v>
          </cell>
          <cell r="AM1181">
            <v>101</v>
          </cell>
          <cell r="AN1181" t="str">
            <v>01 Existing Dealer</v>
          </cell>
          <cell r="AO1181" t="str">
            <v>South Central</v>
          </cell>
          <cell r="AP1181" t="str">
            <v>Central</v>
          </cell>
          <cell r="AQ1181"/>
          <cell r="AR1181">
            <v>0</v>
          </cell>
          <cell r="AS1181">
            <v>0</v>
          </cell>
        </row>
        <row r="1182">
          <cell r="A1182" t="str">
            <v>13092F</v>
          </cell>
          <cell r="B1182" t="str">
            <v>UNITED AG</v>
          </cell>
          <cell r="C1182" t="str">
            <v>M10981</v>
          </cell>
          <cell r="D1182" t="str">
            <v>Net 30, no pink card</v>
          </cell>
          <cell r="E1182">
            <v>30</v>
          </cell>
          <cell r="F1182" t="str">
            <v>See Note</v>
          </cell>
          <cell r="G1182" t="str">
            <v>TX</v>
          </cell>
          <cell r="H1182">
            <v>5</v>
          </cell>
          <cell r="I1182">
            <v>0.66500000000000004</v>
          </cell>
          <cell r="J1182" t="str">
            <v>Dakota Nation</v>
          </cell>
          <cell r="K1182" t="str">
            <v>MCKINNEY</v>
          </cell>
          <cell r="L1182" t="str">
            <v>TX</v>
          </cell>
          <cell r="M1182" t="str">
            <v>800-577-8858</v>
          </cell>
          <cell r="N1182"/>
          <cell r="O1182">
            <v>104</v>
          </cell>
          <cell r="P1182">
            <v>447.2</v>
          </cell>
          <cell r="Q1182"/>
          <cell r="R1182">
            <v>0</v>
          </cell>
          <cell r="S1182"/>
          <cell r="T1182">
            <v>0</v>
          </cell>
          <cell r="U1182">
            <v>83</v>
          </cell>
          <cell r="V1182">
            <v>356.9</v>
          </cell>
          <cell r="W1182">
            <v>80</v>
          </cell>
          <cell r="X1182">
            <v>344</v>
          </cell>
          <cell r="Y1182"/>
          <cell r="Z1182">
            <v>0</v>
          </cell>
          <cell r="AA1182"/>
          <cell r="AB1182">
            <v>0</v>
          </cell>
          <cell r="AC1182"/>
          <cell r="AD1182">
            <v>0</v>
          </cell>
          <cell r="AE1182"/>
          <cell r="AF1182"/>
          <cell r="AG1182"/>
          <cell r="AH1182"/>
          <cell r="AI1182"/>
          <cell r="AJ1182">
            <v>0</v>
          </cell>
          <cell r="AK1182" t="str">
            <v>3P</v>
          </cell>
          <cell r="AL1182">
            <v>223</v>
          </cell>
          <cell r="AM1182">
            <v>101</v>
          </cell>
          <cell r="AN1182" t="str">
            <v>01 Existing Dealer</v>
          </cell>
          <cell r="AO1182" t="str">
            <v>South Central</v>
          </cell>
          <cell r="AP1182" t="str">
            <v>Central</v>
          </cell>
          <cell r="AQ1182"/>
          <cell r="AR1182">
            <v>0</v>
          </cell>
          <cell r="AS1182">
            <v>0</v>
          </cell>
        </row>
        <row r="1183">
          <cell r="A1183" t="str">
            <v>13092G</v>
          </cell>
          <cell r="B1183" t="str">
            <v>UNITED AG</v>
          </cell>
          <cell r="C1183" t="str">
            <v>M10981</v>
          </cell>
          <cell r="D1183" t="str">
            <v>Net 30, no pink card</v>
          </cell>
          <cell r="E1183">
            <v>30</v>
          </cell>
          <cell r="F1183" t="str">
            <v>See Note</v>
          </cell>
          <cell r="G1183" t="str">
            <v>TX</v>
          </cell>
          <cell r="H1183">
            <v>5</v>
          </cell>
          <cell r="I1183">
            <v>0.66500000000000004</v>
          </cell>
          <cell r="J1183" t="str">
            <v>Dakota Nation</v>
          </cell>
          <cell r="K1183" t="str">
            <v>TERRELL</v>
          </cell>
          <cell r="L1183" t="str">
            <v>TX</v>
          </cell>
          <cell r="M1183" t="str">
            <v>800-577-8858</v>
          </cell>
          <cell r="N1183"/>
          <cell r="O1183">
            <v>103</v>
          </cell>
          <cell r="P1183">
            <v>442.9</v>
          </cell>
          <cell r="Q1183"/>
          <cell r="R1183">
            <v>0</v>
          </cell>
          <cell r="S1183"/>
          <cell r="T1183">
            <v>0</v>
          </cell>
          <cell r="U1183">
            <v>143</v>
          </cell>
          <cell r="V1183">
            <v>614.9</v>
          </cell>
          <cell r="W1183">
            <v>20</v>
          </cell>
          <cell r="X1183">
            <v>86</v>
          </cell>
          <cell r="Y1183"/>
          <cell r="Z1183">
            <v>0</v>
          </cell>
          <cell r="AA1183"/>
          <cell r="AB1183">
            <v>0</v>
          </cell>
          <cell r="AC1183"/>
          <cell r="AD1183">
            <v>0</v>
          </cell>
          <cell r="AE1183"/>
          <cell r="AF1183"/>
          <cell r="AG1183"/>
          <cell r="AH1183"/>
          <cell r="AI1183"/>
          <cell r="AJ1183">
            <v>0</v>
          </cell>
          <cell r="AK1183" t="str">
            <v>3P</v>
          </cell>
          <cell r="AL1183">
            <v>223</v>
          </cell>
          <cell r="AM1183">
            <v>101</v>
          </cell>
          <cell r="AN1183" t="str">
            <v>01 Existing Dealer</v>
          </cell>
          <cell r="AO1183" t="str">
            <v>South Central</v>
          </cell>
          <cell r="AP1183" t="str">
            <v>Central</v>
          </cell>
          <cell r="AQ1183"/>
          <cell r="AR1183">
            <v>0</v>
          </cell>
          <cell r="AS1183">
            <v>0</v>
          </cell>
        </row>
        <row r="1184">
          <cell r="A1184" t="str">
            <v>13092H</v>
          </cell>
          <cell r="B1184" t="str">
            <v>UNITED AG</v>
          </cell>
          <cell r="C1184" t="str">
            <v>M10981</v>
          </cell>
          <cell r="D1184" t="str">
            <v>Net 30, no pink card</v>
          </cell>
          <cell r="E1184">
            <v>30</v>
          </cell>
          <cell r="F1184" t="str">
            <v>See Note</v>
          </cell>
          <cell r="G1184" t="str">
            <v>TX</v>
          </cell>
          <cell r="H1184">
            <v>5</v>
          </cell>
          <cell r="I1184">
            <v>0.66500000000000004</v>
          </cell>
          <cell r="J1184" t="str">
            <v>Dakota Nation</v>
          </cell>
          <cell r="K1184" t="str">
            <v>MINEOLA</v>
          </cell>
          <cell r="L1184" t="str">
            <v>TX</v>
          </cell>
          <cell r="M1184" t="str">
            <v>800-577-8858</v>
          </cell>
          <cell r="N1184"/>
          <cell r="O1184">
            <v>60</v>
          </cell>
          <cell r="P1184">
            <v>258</v>
          </cell>
          <cell r="Q1184"/>
          <cell r="R1184">
            <v>0</v>
          </cell>
          <cell r="S1184"/>
          <cell r="T1184">
            <v>0</v>
          </cell>
          <cell r="U1184">
            <v>155</v>
          </cell>
          <cell r="V1184">
            <v>666.5</v>
          </cell>
          <cell r="W1184">
            <v>27</v>
          </cell>
          <cell r="X1184">
            <v>116.1</v>
          </cell>
          <cell r="Y1184"/>
          <cell r="Z1184">
            <v>0</v>
          </cell>
          <cell r="AA1184"/>
          <cell r="AB1184">
            <v>0</v>
          </cell>
          <cell r="AC1184"/>
          <cell r="AD1184">
            <v>0</v>
          </cell>
          <cell r="AE1184"/>
          <cell r="AF1184"/>
          <cell r="AG1184"/>
          <cell r="AH1184"/>
          <cell r="AI1184"/>
          <cell r="AJ1184">
            <v>0</v>
          </cell>
          <cell r="AK1184" t="str">
            <v>3P</v>
          </cell>
          <cell r="AL1184">
            <v>223</v>
          </cell>
          <cell r="AM1184">
            <v>452</v>
          </cell>
          <cell r="AN1184" t="str">
            <v>01 Existing Dealer</v>
          </cell>
          <cell r="AO1184" t="str">
            <v>South Central</v>
          </cell>
          <cell r="AP1184" t="str">
            <v>Central</v>
          </cell>
          <cell r="AQ1184"/>
          <cell r="AR1184">
            <v>0</v>
          </cell>
          <cell r="AS1184">
            <v>0</v>
          </cell>
        </row>
        <row r="1185">
          <cell r="A1185" t="str">
            <v>13092I</v>
          </cell>
          <cell r="B1185" t="str">
            <v>UNITED AG</v>
          </cell>
          <cell r="C1185" t="str">
            <v>M10981</v>
          </cell>
          <cell r="D1185" t="str">
            <v>Net 30, no pink card</v>
          </cell>
          <cell r="E1185">
            <v>30</v>
          </cell>
          <cell r="F1185" t="str">
            <v>See Note</v>
          </cell>
          <cell r="G1185" t="str">
            <v>TX</v>
          </cell>
          <cell r="H1185">
            <v>5</v>
          </cell>
          <cell r="I1185">
            <v>0.66500000000000004</v>
          </cell>
          <cell r="J1185" t="str">
            <v>Dakota Nation</v>
          </cell>
          <cell r="K1185" t="str">
            <v>MT. PLEASANT</v>
          </cell>
          <cell r="L1185" t="str">
            <v>TX</v>
          </cell>
          <cell r="M1185" t="str">
            <v>800-577-8858</v>
          </cell>
          <cell r="N1185"/>
          <cell r="O1185">
            <v>8</v>
          </cell>
          <cell r="P1185">
            <v>34.4</v>
          </cell>
          <cell r="Q1185"/>
          <cell r="R1185">
            <v>0</v>
          </cell>
          <cell r="S1185"/>
          <cell r="T1185">
            <v>0</v>
          </cell>
          <cell r="U1185">
            <v>159</v>
          </cell>
          <cell r="V1185">
            <v>683.69999999999993</v>
          </cell>
          <cell r="W1185">
            <v>82</v>
          </cell>
          <cell r="X1185">
            <v>352.59999999999997</v>
          </cell>
          <cell r="Y1185"/>
          <cell r="Z1185">
            <v>0</v>
          </cell>
          <cell r="AA1185"/>
          <cell r="AB1185">
            <v>0</v>
          </cell>
          <cell r="AC1185"/>
          <cell r="AD1185">
            <v>0</v>
          </cell>
          <cell r="AE1185"/>
          <cell r="AF1185"/>
          <cell r="AG1185"/>
          <cell r="AH1185"/>
          <cell r="AI1185"/>
          <cell r="AJ1185">
            <v>0</v>
          </cell>
          <cell r="AK1185" t="str">
            <v>3P</v>
          </cell>
          <cell r="AL1185">
            <v>223</v>
          </cell>
          <cell r="AM1185">
            <v>101</v>
          </cell>
          <cell r="AN1185" t="str">
            <v>01 Existing Dealer</v>
          </cell>
          <cell r="AO1185" t="str">
            <v>South Central</v>
          </cell>
          <cell r="AP1185" t="str">
            <v>Central</v>
          </cell>
          <cell r="AQ1185"/>
          <cell r="AR1185">
            <v>0</v>
          </cell>
          <cell r="AS1185">
            <v>0</v>
          </cell>
        </row>
        <row r="1186">
          <cell r="A1186" t="str">
            <v>13092J</v>
          </cell>
          <cell r="B1186" t="str">
            <v>UNITED AG</v>
          </cell>
          <cell r="C1186" t="str">
            <v>M10981</v>
          </cell>
          <cell r="D1186" t="str">
            <v>Net 30, no pink card</v>
          </cell>
          <cell r="E1186">
            <v>30</v>
          </cell>
          <cell r="F1186" t="str">
            <v>See Note</v>
          </cell>
          <cell r="G1186" t="str">
            <v>TX</v>
          </cell>
          <cell r="H1186">
            <v>5</v>
          </cell>
          <cell r="I1186">
            <v>0.66500000000000004</v>
          </cell>
          <cell r="J1186" t="str">
            <v>Dakota Nation</v>
          </cell>
          <cell r="K1186" t="str">
            <v>PARIS</v>
          </cell>
          <cell r="L1186" t="str">
            <v>TX</v>
          </cell>
          <cell r="M1186" t="str">
            <v>800-577-8858</v>
          </cell>
          <cell r="N1186"/>
          <cell r="O1186">
            <v>53</v>
          </cell>
          <cell r="P1186">
            <v>227.89999999999998</v>
          </cell>
          <cell r="Q1186"/>
          <cell r="R1186">
            <v>0</v>
          </cell>
          <cell r="S1186"/>
          <cell r="T1186">
            <v>0</v>
          </cell>
          <cell r="U1186">
            <v>105</v>
          </cell>
          <cell r="V1186">
            <v>451.5</v>
          </cell>
          <cell r="W1186">
            <v>85</v>
          </cell>
          <cell r="X1186">
            <v>365.5</v>
          </cell>
          <cell r="Y1186"/>
          <cell r="Z1186">
            <v>0</v>
          </cell>
          <cell r="AA1186"/>
          <cell r="AB1186">
            <v>0</v>
          </cell>
          <cell r="AC1186"/>
          <cell r="AD1186">
            <v>0</v>
          </cell>
          <cell r="AE1186"/>
          <cell r="AF1186"/>
          <cell r="AG1186"/>
          <cell r="AH1186"/>
          <cell r="AI1186"/>
          <cell r="AJ1186">
            <v>0</v>
          </cell>
          <cell r="AK1186" t="str">
            <v>3P</v>
          </cell>
          <cell r="AL1186">
            <v>223</v>
          </cell>
          <cell r="AM1186">
            <v>341</v>
          </cell>
          <cell r="AN1186" t="str">
            <v>01 Existing Dealer</v>
          </cell>
          <cell r="AO1186" t="str">
            <v>South Central</v>
          </cell>
          <cell r="AP1186" t="str">
            <v>Central</v>
          </cell>
          <cell r="AQ1186"/>
          <cell r="AR1186">
            <v>0</v>
          </cell>
          <cell r="AS1186">
            <v>0</v>
          </cell>
        </row>
        <row r="1187">
          <cell r="A1187" t="str">
            <v>13092K</v>
          </cell>
          <cell r="B1187" t="str">
            <v>UNITED AG</v>
          </cell>
          <cell r="C1187" t="str">
            <v>M10981</v>
          </cell>
          <cell r="D1187" t="str">
            <v>Net 30, no pink card</v>
          </cell>
          <cell r="E1187">
            <v>30</v>
          </cell>
          <cell r="F1187" t="str">
            <v>See Note</v>
          </cell>
          <cell r="G1187" t="str">
            <v>TX</v>
          </cell>
          <cell r="H1187">
            <v>5</v>
          </cell>
          <cell r="I1187">
            <v>0.66500000000000004</v>
          </cell>
          <cell r="J1187" t="str">
            <v>Dakota Nation</v>
          </cell>
          <cell r="K1187" t="str">
            <v>TEMPLE</v>
          </cell>
          <cell r="L1187" t="str">
            <v>TX</v>
          </cell>
          <cell r="M1187" t="str">
            <v>800-577-8858</v>
          </cell>
          <cell r="N1187"/>
          <cell r="O1187">
            <v>252</v>
          </cell>
          <cell r="P1187">
            <v>1083.5999999999999</v>
          </cell>
          <cell r="Q1187"/>
          <cell r="R1187">
            <v>0</v>
          </cell>
          <cell r="S1187"/>
          <cell r="T1187">
            <v>0</v>
          </cell>
          <cell r="U1187">
            <v>250</v>
          </cell>
          <cell r="V1187">
            <v>1075</v>
          </cell>
          <cell r="W1187">
            <v>177</v>
          </cell>
          <cell r="X1187">
            <v>761.1</v>
          </cell>
          <cell r="Y1187"/>
          <cell r="Z1187">
            <v>0</v>
          </cell>
          <cell r="AA1187"/>
          <cell r="AB1187">
            <v>0</v>
          </cell>
          <cell r="AC1187"/>
          <cell r="AD1187">
            <v>0</v>
          </cell>
          <cell r="AE1187"/>
          <cell r="AF1187"/>
          <cell r="AG1187"/>
          <cell r="AH1187"/>
          <cell r="AI1187"/>
          <cell r="AJ1187">
            <v>0</v>
          </cell>
          <cell r="AK1187" t="str">
            <v>3P</v>
          </cell>
          <cell r="AL1187">
            <v>223</v>
          </cell>
          <cell r="AM1187">
            <v>441</v>
          </cell>
          <cell r="AN1187" t="str">
            <v>01 Existing Dealer</v>
          </cell>
          <cell r="AO1187" t="str">
            <v>South Central</v>
          </cell>
          <cell r="AP1187" t="str">
            <v>Central</v>
          </cell>
          <cell r="AQ1187"/>
          <cell r="AR1187">
            <v>0</v>
          </cell>
          <cell r="AS1187">
            <v>0</v>
          </cell>
        </row>
        <row r="1188">
          <cell r="A1188" t="str">
            <v>13092L</v>
          </cell>
          <cell r="B1188" t="str">
            <v>UNITED AG</v>
          </cell>
          <cell r="C1188" t="str">
            <v>M10981</v>
          </cell>
          <cell r="D1188" t="str">
            <v>Net 30, no pink card</v>
          </cell>
          <cell r="E1188">
            <v>30</v>
          </cell>
          <cell r="F1188" t="str">
            <v>See Note</v>
          </cell>
          <cell r="G1188" t="str">
            <v>TX</v>
          </cell>
          <cell r="H1188">
            <v>5</v>
          </cell>
          <cell r="I1188">
            <v>0.66500000000000004</v>
          </cell>
          <cell r="J1188" t="str">
            <v>Dakota Nation</v>
          </cell>
          <cell r="K1188" t="str">
            <v>CAMERON</v>
          </cell>
          <cell r="L1188" t="str">
            <v>TX</v>
          </cell>
          <cell r="M1188" t="str">
            <v>800-577-8858</v>
          </cell>
          <cell r="N1188"/>
          <cell r="O1188">
            <v>265</v>
          </cell>
          <cell r="P1188">
            <v>1139.5</v>
          </cell>
          <cell r="Q1188"/>
          <cell r="R1188">
            <v>0</v>
          </cell>
          <cell r="S1188"/>
          <cell r="T1188">
            <v>0</v>
          </cell>
          <cell r="U1188">
            <v>263</v>
          </cell>
          <cell r="V1188">
            <v>1130.8999999999999</v>
          </cell>
          <cell r="W1188">
            <v>189</v>
          </cell>
          <cell r="X1188">
            <v>812.69999999999993</v>
          </cell>
          <cell r="Y1188"/>
          <cell r="Z1188">
            <v>0</v>
          </cell>
          <cell r="AA1188"/>
          <cell r="AB1188">
            <v>0</v>
          </cell>
          <cell r="AC1188"/>
          <cell r="AD1188">
            <v>0</v>
          </cell>
          <cell r="AE1188"/>
          <cell r="AF1188"/>
          <cell r="AG1188"/>
          <cell r="AH1188"/>
          <cell r="AI1188"/>
          <cell r="AJ1188">
            <v>0</v>
          </cell>
          <cell r="AK1188" t="str">
            <v>3P</v>
          </cell>
          <cell r="AL1188">
            <v>223</v>
          </cell>
          <cell r="AM1188">
            <v>441</v>
          </cell>
          <cell r="AN1188" t="str">
            <v>01 Existing Dealer</v>
          </cell>
          <cell r="AO1188" t="str">
            <v>South Central</v>
          </cell>
          <cell r="AP1188" t="str">
            <v>Central</v>
          </cell>
          <cell r="AQ1188"/>
          <cell r="AR1188">
            <v>0</v>
          </cell>
          <cell r="AS1188">
            <v>0</v>
          </cell>
        </row>
        <row r="1189">
          <cell r="A1189" t="str">
            <v>13092M</v>
          </cell>
          <cell r="B1189" t="str">
            <v>UNITED AG</v>
          </cell>
          <cell r="C1189" t="str">
            <v>M10981</v>
          </cell>
          <cell r="D1189" t="str">
            <v>Net 30, no pink card</v>
          </cell>
          <cell r="E1189">
            <v>30</v>
          </cell>
          <cell r="F1189" t="str">
            <v>See Note</v>
          </cell>
          <cell r="G1189" t="str">
            <v>TX</v>
          </cell>
          <cell r="H1189">
            <v>5</v>
          </cell>
          <cell r="I1189">
            <v>0.66500000000000004</v>
          </cell>
          <cell r="J1189" t="str">
            <v>Dakota Nation</v>
          </cell>
          <cell r="K1189" t="str">
            <v>BRYAN</v>
          </cell>
          <cell r="L1189" t="str">
            <v>TX</v>
          </cell>
          <cell r="M1189" t="str">
            <v>800-577-8858</v>
          </cell>
          <cell r="N1189"/>
          <cell r="O1189">
            <v>249</v>
          </cell>
          <cell r="P1189">
            <v>1070.7</v>
          </cell>
          <cell r="Q1189"/>
          <cell r="R1189">
            <v>0</v>
          </cell>
          <cell r="S1189"/>
          <cell r="T1189">
            <v>0</v>
          </cell>
          <cell r="U1189">
            <v>292</v>
          </cell>
          <cell r="V1189">
            <v>1255.5999999999999</v>
          </cell>
          <cell r="W1189">
            <v>177</v>
          </cell>
          <cell r="X1189">
            <v>761.1</v>
          </cell>
          <cell r="Y1189"/>
          <cell r="Z1189">
            <v>0</v>
          </cell>
          <cell r="AA1189"/>
          <cell r="AB1189">
            <v>0</v>
          </cell>
          <cell r="AC1189"/>
          <cell r="AD1189">
            <v>0</v>
          </cell>
          <cell r="AE1189"/>
          <cell r="AF1189"/>
          <cell r="AG1189"/>
          <cell r="AH1189"/>
          <cell r="AI1189"/>
          <cell r="AJ1189">
            <v>0</v>
          </cell>
          <cell r="AK1189" t="str">
            <v>3P</v>
          </cell>
          <cell r="AL1189">
            <v>223</v>
          </cell>
          <cell r="AM1189">
            <v>59</v>
          </cell>
          <cell r="AN1189" t="str">
            <v>01 Existing Dealer</v>
          </cell>
          <cell r="AO1189" t="str">
            <v>South Central</v>
          </cell>
          <cell r="AP1189" t="str">
            <v>Central</v>
          </cell>
          <cell r="AQ1189"/>
          <cell r="AR1189">
            <v>0</v>
          </cell>
          <cell r="AS1189">
            <v>0</v>
          </cell>
        </row>
        <row r="1190">
          <cell r="A1190" t="str">
            <v>13092N</v>
          </cell>
          <cell r="B1190" t="str">
            <v>UNITED AG</v>
          </cell>
          <cell r="C1190" t="str">
            <v>M10981</v>
          </cell>
          <cell r="D1190" t="str">
            <v>Net 30, no pink card</v>
          </cell>
          <cell r="E1190">
            <v>30</v>
          </cell>
          <cell r="F1190" t="str">
            <v>See Note</v>
          </cell>
          <cell r="G1190" t="str">
            <v>TX</v>
          </cell>
          <cell r="H1190">
            <v>5</v>
          </cell>
          <cell r="I1190">
            <v>0.66500000000000004</v>
          </cell>
          <cell r="J1190" t="str">
            <v>Dakota Nation</v>
          </cell>
          <cell r="K1190" t="str">
            <v>NAVASOTA</v>
          </cell>
          <cell r="L1190" t="str">
            <v>TX</v>
          </cell>
          <cell r="M1190" t="str">
            <v>800-577-8858</v>
          </cell>
          <cell r="N1190"/>
          <cell r="O1190">
            <v>259</v>
          </cell>
          <cell r="P1190">
            <v>1113.7</v>
          </cell>
          <cell r="Q1190"/>
          <cell r="R1190">
            <v>0</v>
          </cell>
          <cell r="S1190"/>
          <cell r="T1190">
            <v>0</v>
          </cell>
          <cell r="U1190">
            <v>303</v>
          </cell>
          <cell r="V1190">
            <v>1302.8999999999999</v>
          </cell>
          <cell r="W1190">
            <v>187</v>
          </cell>
          <cell r="X1190">
            <v>804.1</v>
          </cell>
          <cell r="Y1190"/>
          <cell r="Z1190">
            <v>0</v>
          </cell>
          <cell r="AA1190"/>
          <cell r="AB1190">
            <v>0</v>
          </cell>
          <cell r="AC1190"/>
          <cell r="AD1190">
            <v>0</v>
          </cell>
          <cell r="AE1190"/>
          <cell r="AF1190"/>
          <cell r="AG1190"/>
          <cell r="AH1190"/>
          <cell r="AI1190"/>
          <cell r="AJ1190">
            <v>0</v>
          </cell>
          <cell r="AK1190" t="str">
            <v>3P</v>
          </cell>
          <cell r="AL1190">
            <v>223</v>
          </cell>
          <cell r="AM1190">
            <v>196</v>
          </cell>
          <cell r="AN1190" t="str">
            <v>01 Existing Dealer</v>
          </cell>
          <cell r="AO1190" t="str">
            <v>South Central</v>
          </cell>
          <cell r="AP1190" t="str">
            <v>Central</v>
          </cell>
          <cell r="AQ1190"/>
          <cell r="AR1190">
            <v>0</v>
          </cell>
          <cell r="AS1190">
            <v>0</v>
          </cell>
        </row>
        <row r="1191">
          <cell r="A1191" t="str">
            <v>13092O</v>
          </cell>
          <cell r="B1191" t="str">
            <v>UNITED AG</v>
          </cell>
          <cell r="C1191" t="str">
            <v>M10981</v>
          </cell>
          <cell r="D1191" t="str">
            <v>Net 30, no pink card</v>
          </cell>
          <cell r="E1191">
            <v>30</v>
          </cell>
          <cell r="F1191" t="str">
            <v>See Note</v>
          </cell>
          <cell r="G1191" t="str">
            <v>TX</v>
          </cell>
          <cell r="H1191">
            <v>5</v>
          </cell>
          <cell r="I1191">
            <v>0.66500000000000004</v>
          </cell>
          <cell r="J1191" t="str">
            <v>Dakota Nation</v>
          </cell>
          <cell r="K1191" t="str">
            <v>TAYLOR</v>
          </cell>
          <cell r="L1191" t="str">
            <v>TX</v>
          </cell>
          <cell r="M1191" t="str">
            <v>800-577-8858</v>
          </cell>
          <cell r="N1191"/>
          <cell r="O1191">
            <v>301</v>
          </cell>
          <cell r="P1191">
            <v>1294.3</v>
          </cell>
          <cell r="Q1191"/>
          <cell r="R1191">
            <v>0</v>
          </cell>
          <cell r="S1191"/>
          <cell r="T1191">
            <v>0</v>
          </cell>
          <cell r="U1191">
            <v>300</v>
          </cell>
          <cell r="V1191">
            <v>1290</v>
          </cell>
          <cell r="W1191">
            <v>226</v>
          </cell>
          <cell r="X1191">
            <v>971.8</v>
          </cell>
          <cell r="Y1191"/>
          <cell r="Z1191">
            <v>0</v>
          </cell>
          <cell r="AA1191"/>
          <cell r="AB1191">
            <v>0</v>
          </cell>
          <cell r="AC1191"/>
          <cell r="AD1191">
            <v>0</v>
          </cell>
          <cell r="AE1191"/>
          <cell r="AF1191"/>
          <cell r="AG1191"/>
          <cell r="AH1191"/>
          <cell r="AI1191"/>
          <cell r="AJ1191">
            <v>0</v>
          </cell>
          <cell r="AK1191" t="str">
            <v>3P</v>
          </cell>
          <cell r="AL1191">
            <v>223</v>
          </cell>
          <cell r="AM1191">
            <v>27</v>
          </cell>
          <cell r="AN1191" t="str">
            <v>01 Existing Dealer</v>
          </cell>
          <cell r="AO1191" t="str">
            <v>South Central</v>
          </cell>
          <cell r="AP1191" t="str">
            <v>Central</v>
          </cell>
          <cell r="AQ1191"/>
          <cell r="AR1191">
            <v>0</v>
          </cell>
          <cell r="AS1191">
            <v>0</v>
          </cell>
        </row>
        <row r="1192">
          <cell r="A1192" t="str">
            <v>13092P</v>
          </cell>
          <cell r="B1192" t="str">
            <v>UNITED AG</v>
          </cell>
          <cell r="C1192" t="str">
            <v>M10981</v>
          </cell>
          <cell r="D1192" t="str">
            <v>Net 30, no pink card</v>
          </cell>
          <cell r="E1192">
            <v>30</v>
          </cell>
          <cell r="F1192" t="str">
            <v>See Note</v>
          </cell>
          <cell r="G1192" t="str">
            <v>TX</v>
          </cell>
          <cell r="H1192">
            <v>5</v>
          </cell>
          <cell r="I1192">
            <v>0.66500000000000004</v>
          </cell>
          <cell r="J1192" t="str">
            <v>Dakota Nation</v>
          </cell>
          <cell r="K1192" t="str">
            <v>SULPHER SPRINGS</v>
          </cell>
          <cell r="L1192" t="str">
            <v>TX</v>
          </cell>
          <cell r="M1192" t="str">
            <v>800-577-8858</v>
          </cell>
          <cell r="N1192"/>
          <cell r="O1192">
            <v>48</v>
          </cell>
          <cell r="P1192">
            <v>206.39999999999998</v>
          </cell>
          <cell r="Q1192"/>
          <cell r="R1192">
            <v>0</v>
          </cell>
          <cell r="S1192"/>
          <cell r="T1192">
            <v>0</v>
          </cell>
          <cell r="U1192">
            <v>123</v>
          </cell>
          <cell r="V1192">
            <v>528.9</v>
          </cell>
          <cell r="W1192">
            <v>40</v>
          </cell>
          <cell r="X1192">
            <v>172</v>
          </cell>
          <cell r="Y1192"/>
          <cell r="Z1192">
            <v>0</v>
          </cell>
          <cell r="AA1192"/>
          <cell r="AB1192">
            <v>0</v>
          </cell>
          <cell r="AC1192"/>
          <cell r="AD1192">
            <v>0</v>
          </cell>
          <cell r="AE1192"/>
          <cell r="AF1192"/>
          <cell r="AG1192"/>
          <cell r="AH1192"/>
          <cell r="AI1192"/>
          <cell r="AJ1192">
            <v>0</v>
          </cell>
          <cell r="AK1192" t="str">
            <v>3P</v>
          </cell>
          <cell r="AL1192">
            <v>223</v>
          </cell>
          <cell r="AM1192">
            <v>101</v>
          </cell>
          <cell r="AN1192" t="str">
            <v>01 Existing Dealer</v>
          </cell>
          <cell r="AO1192" t="str">
            <v>South Central</v>
          </cell>
          <cell r="AP1192" t="str">
            <v>Central</v>
          </cell>
          <cell r="AQ1192"/>
          <cell r="AR1192">
            <v>0</v>
          </cell>
          <cell r="AS1192">
            <v>0</v>
          </cell>
          <cell r="AT1192"/>
        </row>
        <row r="1193">
          <cell r="A1193" t="str">
            <v>13092Q</v>
          </cell>
          <cell r="B1193" t="str">
            <v>UNITED AG</v>
          </cell>
          <cell r="C1193" t="str">
            <v>M10981</v>
          </cell>
          <cell r="D1193" t="str">
            <v>Net 30, no pink card</v>
          </cell>
          <cell r="E1193">
            <v>30</v>
          </cell>
          <cell r="F1193" t="str">
            <v>See Note</v>
          </cell>
          <cell r="G1193" t="str">
            <v>TX</v>
          </cell>
          <cell r="H1193">
            <v>5</v>
          </cell>
          <cell r="I1193">
            <v>0.66500000000000004</v>
          </cell>
          <cell r="J1193" t="str">
            <v>Dakota Nation</v>
          </cell>
          <cell r="K1193" t="str">
            <v>VAN ALSTYNE</v>
          </cell>
          <cell r="L1193" t="str">
            <v>TX</v>
          </cell>
          <cell r="M1193" t="str">
            <v>800-577-8858</v>
          </cell>
          <cell r="N1193"/>
          <cell r="O1193">
            <v>117</v>
          </cell>
          <cell r="P1193">
            <v>503.09999999999997</v>
          </cell>
          <cell r="Q1193"/>
          <cell r="R1193">
            <v>0</v>
          </cell>
          <cell r="S1193"/>
          <cell r="T1193">
            <v>0</v>
          </cell>
          <cell r="U1193">
            <v>67</v>
          </cell>
          <cell r="V1193">
            <v>288.09999999999997</v>
          </cell>
          <cell r="W1193">
            <v>89</v>
          </cell>
          <cell r="X1193">
            <v>382.7</v>
          </cell>
          <cell r="Y1193"/>
          <cell r="Z1193">
            <v>0</v>
          </cell>
          <cell r="AA1193"/>
          <cell r="AB1193">
            <v>0</v>
          </cell>
          <cell r="AC1193"/>
          <cell r="AD1193">
            <v>0</v>
          </cell>
          <cell r="AE1193"/>
          <cell r="AF1193"/>
          <cell r="AG1193"/>
          <cell r="AH1193"/>
          <cell r="AI1193"/>
          <cell r="AJ1193">
            <v>0</v>
          </cell>
          <cell r="AK1193" t="str">
            <v>3P</v>
          </cell>
          <cell r="AL1193">
            <v>223</v>
          </cell>
          <cell r="AM1193">
            <v>418</v>
          </cell>
          <cell r="AN1193" t="str">
            <v>01 Existing Dealer</v>
          </cell>
          <cell r="AO1193" t="str">
            <v>South Central</v>
          </cell>
          <cell r="AP1193" t="str">
            <v>Central</v>
          </cell>
          <cell r="AQ1193"/>
          <cell r="AR1193">
            <v>0</v>
          </cell>
          <cell r="AS1193">
            <v>0</v>
          </cell>
          <cell r="AT1193"/>
        </row>
        <row r="1194">
          <cell r="A1194" t="str">
            <v>13092R</v>
          </cell>
          <cell r="B1194" t="str">
            <v>UNITED AG</v>
          </cell>
          <cell r="C1194" t="str">
            <v>M10981</v>
          </cell>
          <cell r="D1194" t="str">
            <v>Net 30, no pink card</v>
          </cell>
          <cell r="E1194">
            <v>30</v>
          </cell>
          <cell r="F1194" t="str">
            <v>See Note</v>
          </cell>
          <cell r="G1194" t="str">
            <v>TX</v>
          </cell>
          <cell r="H1194">
            <v>5</v>
          </cell>
          <cell r="I1194">
            <v>0.66500000000000004</v>
          </cell>
          <cell r="J1194" t="str">
            <v>Dakota Nation</v>
          </cell>
          <cell r="K1194" t="str">
            <v>RHOME</v>
          </cell>
          <cell r="L1194" t="str">
            <v>TX</v>
          </cell>
          <cell r="M1194" t="str">
            <v>800-577-8858</v>
          </cell>
          <cell r="N1194"/>
          <cell r="O1194">
            <v>168</v>
          </cell>
          <cell r="P1194">
            <v>722.4</v>
          </cell>
          <cell r="Q1194"/>
          <cell r="R1194">
            <v>0</v>
          </cell>
          <cell r="S1194"/>
          <cell r="T1194">
            <v>0</v>
          </cell>
          <cell r="U1194">
            <v>101</v>
          </cell>
          <cell r="V1194">
            <v>434.29999999999995</v>
          </cell>
          <cell r="W1194">
            <v>109</v>
          </cell>
          <cell r="X1194">
            <v>468.7</v>
          </cell>
          <cell r="Y1194"/>
          <cell r="Z1194">
            <v>0</v>
          </cell>
          <cell r="AA1194"/>
          <cell r="AB1194">
            <v>0</v>
          </cell>
          <cell r="AC1194"/>
          <cell r="AD1194">
            <v>0</v>
          </cell>
          <cell r="AE1194"/>
          <cell r="AF1194"/>
          <cell r="AG1194"/>
          <cell r="AH1194"/>
          <cell r="AI1194"/>
          <cell r="AJ1194">
            <v>0</v>
          </cell>
          <cell r="AK1194" t="str">
            <v>3P</v>
          </cell>
          <cell r="AL1194">
            <v>223</v>
          </cell>
          <cell r="AM1194">
            <v>101</v>
          </cell>
          <cell r="AN1194" t="str">
            <v>01 Existing Dealer</v>
          </cell>
          <cell r="AO1194" t="str">
            <v>South Central</v>
          </cell>
          <cell r="AP1194" t="str">
            <v>Central</v>
          </cell>
          <cell r="AQ1194"/>
          <cell r="AR1194">
            <v>0</v>
          </cell>
          <cell r="AS1194">
            <v>0</v>
          </cell>
          <cell r="AT1194"/>
        </row>
        <row r="1195">
          <cell r="A1195" t="str">
            <v>13092S</v>
          </cell>
          <cell r="B1195" t="str">
            <v>UNITED AG</v>
          </cell>
          <cell r="C1195" t="str">
            <v>M10981</v>
          </cell>
          <cell r="D1195" t="str">
            <v>Net 30, no pink card</v>
          </cell>
          <cell r="E1195">
            <v>30</v>
          </cell>
          <cell r="F1195" t="str">
            <v>See Note</v>
          </cell>
          <cell r="G1195" t="str">
            <v>TX</v>
          </cell>
          <cell r="H1195">
            <v>5</v>
          </cell>
          <cell r="I1195">
            <v>0.66500000000000004</v>
          </cell>
          <cell r="J1195" t="str">
            <v>Dakota Nation</v>
          </cell>
          <cell r="K1195" t="str">
            <v>TYLER</v>
          </cell>
          <cell r="L1195" t="str">
            <v>TX</v>
          </cell>
          <cell r="M1195" t="str">
            <v>800-577-8858</v>
          </cell>
          <cell r="N1195"/>
          <cell r="O1195">
            <v>81</v>
          </cell>
          <cell r="P1195">
            <v>348.3</v>
          </cell>
          <cell r="Q1195"/>
          <cell r="R1195">
            <v>0</v>
          </cell>
          <cell r="S1195"/>
          <cell r="T1195">
            <v>0</v>
          </cell>
          <cell r="U1195">
            <v>209</v>
          </cell>
          <cell r="V1195">
            <v>898.69999999999993</v>
          </cell>
          <cell r="W1195">
            <v>55</v>
          </cell>
          <cell r="X1195">
            <v>236.5</v>
          </cell>
          <cell r="Y1195"/>
          <cell r="Z1195">
            <v>0</v>
          </cell>
          <cell r="AA1195"/>
          <cell r="AB1195">
            <v>0</v>
          </cell>
          <cell r="AC1195"/>
          <cell r="AD1195">
            <v>0</v>
          </cell>
          <cell r="AE1195"/>
          <cell r="AF1195"/>
          <cell r="AG1195"/>
          <cell r="AH1195"/>
          <cell r="AI1195"/>
          <cell r="AJ1195">
            <v>0</v>
          </cell>
          <cell r="AK1195" t="str">
            <v>3P</v>
          </cell>
          <cell r="AL1195">
            <v>223</v>
          </cell>
          <cell r="AM1195">
            <v>452</v>
          </cell>
          <cell r="AN1195" t="str">
            <v>01 Existing Dealer</v>
          </cell>
          <cell r="AO1195" t="str">
            <v>South Central</v>
          </cell>
          <cell r="AP1195" t="str">
            <v>Central</v>
          </cell>
          <cell r="AQ1195"/>
          <cell r="AR1195">
            <v>0</v>
          </cell>
          <cell r="AS1195">
            <v>0</v>
          </cell>
        </row>
        <row r="1196">
          <cell r="A1196" t="str">
            <v>13092T</v>
          </cell>
          <cell r="B1196" t="str">
            <v>UNITED AG</v>
          </cell>
          <cell r="C1196" t="str">
            <v>M10981</v>
          </cell>
          <cell r="D1196" t="str">
            <v>Net 30, no pink card</v>
          </cell>
          <cell r="E1196">
            <v>30</v>
          </cell>
          <cell r="F1196" t="str">
            <v>See Note</v>
          </cell>
          <cell r="G1196" t="str">
            <v>TX</v>
          </cell>
          <cell r="H1196">
            <v>5</v>
          </cell>
          <cell r="I1196">
            <v>0.66500000000000004</v>
          </cell>
          <cell r="J1196" t="str">
            <v>Dakota Nation</v>
          </cell>
          <cell r="K1196" t="str">
            <v>ATHENS</v>
          </cell>
          <cell r="L1196" t="str">
            <v>TX</v>
          </cell>
          <cell r="M1196" t="str">
            <v>800-577-8858</v>
          </cell>
          <cell r="N1196"/>
          <cell r="O1196">
            <v>110</v>
          </cell>
          <cell r="P1196">
            <v>473</v>
          </cell>
          <cell r="Q1196"/>
          <cell r="R1196">
            <v>0</v>
          </cell>
          <cell r="S1196"/>
          <cell r="T1196">
            <v>0</v>
          </cell>
          <cell r="U1196">
            <v>187</v>
          </cell>
          <cell r="V1196">
            <v>804.1</v>
          </cell>
          <cell r="W1196">
            <v>38</v>
          </cell>
          <cell r="X1196">
            <v>163.4</v>
          </cell>
          <cell r="Y1196"/>
          <cell r="Z1196">
            <v>0</v>
          </cell>
          <cell r="AA1196"/>
          <cell r="AB1196">
            <v>0</v>
          </cell>
          <cell r="AC1196"/>
          <cell r="AD1196">
            <v>0</v>
          </cell>
          <cell r="AE1196"/>
          <cell r="AF1196"/>
          <cell r="AG1196"/>
          <cell r="AH1196"/>
          <cell r="AI1196"/>
          <cell r="AJ1196">
            <v>0</v>
          </cell>
          <cell r="AK1196" t="str">
            <v>3P</v>
          </cell>
          <cell r="AL1196">
            <v>223</v>
          </cell>
          <cell r="AM1196">
            <v>101</v>
          </cell>
          <cell r="AN1196" t="str">
            <v>01 Existing Dealer</v>
          </cell>
          <cell r="AO1196" t="str">
            <v>South Central</v>
          </cell>
          <cell r="AP1196" t="str">
            <v>Central</v>
          </cell>
          <cell r="AQ1196"/>
          <cell r="AR1196">
            <v>0</v>
          </cell>
          <cell r="AS1196">
            <v>0</v>
          </cell>
        </row>
        <row r="1197">
          <cell r="A1197" t="str">
            <v>13092W</v>
          </cell>
          <cell r="B1197" t="str">
            <v>UNITED AG</v>
          </cell>
          <cell r="C1197" t="str">
            <v>M10981</v>
          </cell>
          <cell r="D1197" t="str">
            <v>Net 30, no pink card</v>
          </cell>
          <cell r="E1197">
            <v>30</v>
          </cell>
          <cell r="F1197" t="str">
            <v>See Note</v>
          </cell>
          <cell r="G1197" t="str">
            <v>TX</v>
          </cell>
          <cell r="H1197">
            <v>5</v>
          </cell>
          <cell r="I1197">
            <v>0.66500000000000004</v>
          </cell>
          <cell r="J1197" t="str">
            <v>Dakota Nation</v>
          </cell>
          <cell r="K1197" t="str">
            <v>GAINESVILLE</v>
          </cell>
          <cell r="L1197" t="str">
            <v>TX</v>
          </cell>
          <cell r="M1197" t="str">
            <v>800-577-8858</v>
          </cell>
          <cell r="N1197"/>
          <cell r="O1197">
            <v>150</v>
          </cell>
          <cell r="P1197">
            <v>645</v>
          </cell>
          <cell r="Q1197"/>
          <cell r="R1197">
            <v>0</v>
          </cell>
          <cell r="S1197"/>
          <cell r="T1197">
            <v>0</v>
          </cell>
          <cell r="U1197">
            <v>49</v>
          </cell>
          <cell r="V1197">
            <v>210.7</v>
          </cell>
          <cell r="W1197">
            <v>123</v>
          </cell>
          <cell r="X1197">
            <v>528.9</v>
          </cell>
          <cell r="Y1197"/>
          <cell r="Z1197">
            <v>0</v>
          </cell>
          <cell r="AA1197"/>
          <cell r="AB1197">
            <v>0</v>
          </cell>
          <cell r="AC1197"/>
          <cell r="AD1197">
            <v>0</v>
          </cell>
          <cell r="AE1197"/>
          <cell r="AF1197"/>
          <cell r="AG1197"/>
          <cell r="AH1197"/>
          <cell r="AI1197"/>
          <cell r="AJ1197">
            <v>0</v>
          </cell>
          <cell r="AK1197" t="str">
            <v>3P</v>
          </cell>
          <cell r="AL1197">
            <v>223</v>
          </cell>
          <cell r="AM1197">
            <v>101</v>
          </cell>
          <cell r="AN1197" t="str">
            <v>01 Existing Dealer</v>
          </cell>
          <cell r="AO1197" t="str">
            <v>South Central</v>
          </cell>
          <cell r="AP1197" t="str">
            <v>Central</v>
          </cell>
          <cell r="AQ1197"/>
          <cell r="AR1197">
            <v>0</v>
          </cell>
          <cell r="AS1197">
            <v>0</v>
          </cell>
        </row>
        <row r="1198">
          <cell r="A1198" t="str">
            <v>13092!</v>
          </cell>
          <cell r="B1198" t="str">
            <v>UNITED AG</v>
          </cell>
          <cell r="C1198" t="str">
            <v>M10981</v>
          </cell>
          <cell r="D1198" t="str">
            <v>Net 30, no pink card</v>
          </cell>
          <cell r="E1198">
            <v>30</v>
          </cell>
          <cell r="F1198" t="str">
            <v>See Note</v>
          </cell>
          <cell r="G1198" t="str">
            <v>TX</v>
          </cell>
          <cell r="H1198">
            <v>5</v>
          </cell>
          <cell r="I1198">
            <v>0.66500000000000004</v>
          </cell>
          <cell r="J1198" t="str">
            <v>Dakota Nation</v>
          </cell>
          <cell r="K1198" t="str">
            <v>ABILENE</v>
          </cell>
          <cell r="L1198" t="str">
            <v>TX</v>
          </cell>
          <cell r="M1198" t="str">
            <v>800-577-8858</v>
          </cell>
          <cell r="N1198"/>
          <cell r="O1198">
            <v>303</v>
          </cell>
          <cell r="P1198">
            <v>1302.8999999999999</v>
          </cell>
          <cell r="Q1198"/>
          <cell r="R1198">
            <v>0</v>
          </cell>
          <cell r="S1198"/>
          <cell r="T1198">
            <v>0</v>
          </cell>
          <cell r="U1198">
            <v>266</v>
          </cell>
          <cell r="V1198">
            <v>1143.8</v>
          </cell>
          <cell r="W1198">
            <v>237</v>
          </cell>
          <cell r="X1198">
            <v>1019.0999999999999</v>
          </cell>
          <cell r="Y1198"/>
          <cell r="Z1198">
            <v>0</v>
          </cell>
          <cell r="AA1198"/>
          <cell r="AB1198">
            <v>0</v>
          </cell>
          <cell r="AC1198"/>
          <cell r="AD1198">
            <v>0</v>
          </cell>
          <cell r="AE1198"/>
          <cell r="AF1198"/>
          <cell r="AG1198"/>
          <cell r="AH1198"/>
          <cell r="AI1198"/>
          <cell r="AJ1198">
            <v>0</v>
          </cell>
          <cell r="AK1198" t="str">
            <v>3P</v>
          </cell>
          <cell r="AL1198">
            <v>223</v>
          </cell>
          <cell r="AM1198">
            <v>3</v>
          </cell>
          <cell r="AN1198" t="str">
            <v>01 Existing Dealer</v>
          </cell>
          <cell r="AO1198" t="str">
            <v>South Central</v>
          </cell>
          <cell r="AP1198" t="str">
            <v>Central</v>
          </cell>
          <cell r="AQ1198"/>
          <cell r="AR1198">
            <v>0</v>
          </cell>
          <cell r="AS1198">
            <v>0</v>
          </cell>
        </row>
        <row r="1199">
          <cell r="A1199" t="str">
            <v>13092?.</v>
          </cell>
          <cell r="B1199" t="str">
            <v>UNITED AG</v>
          </cell>
          <cell r="C1199" t="str">
            <v>M10981</v>
          </cell>
          <cell r="D1199" t="str">
            <v>Net 30, no pink card</v>
          </cell>
          <cell r="E1199">
            <v>30</v>
          </cell>
          <cell r="F1199" t="str">
            <v>See Note</v>
          </cell>
          <cell r="G1199" t="str">
            <v>TX</v>
          </cell>
          <cell r="H1199">
            <v>5</v>
          </cell>
          <cell r="I1199">
            <v>0.66500000000000004</v>
          </cell>
          <cell r="J1199" t="str">
            <v>Dakota Nation</v>
          </cell>
          <cell r="K1199" t="str">
            <v>BURKBURNETT</v>
          </cell>
          <cell r="L1199" t="str">
            <v>TX</v>
          </cell>
          <cell r="M1199" t="str">
            <v>800-577-8858</v>
          </cell>
          <cell r="N1199"/>
          <cell r="O1199">
            <v>249</v>
          </cell>
          <cell r="P1199">
            <v>1070.7</v>
          </cell>
          <cell r="Q1199"/>
          <cell r="R1199">
            <v>0</v>
          </cell>
          <cell r="S1199"/>
          <cell r="T1199">
            <v>0</v>
          </cell>
          <cell r="U1199">
            <v>114</v>
          </cell>
          <cell r="V1199">
            <v>490.2</v>
          </cell>
          <cell r="W1199">
            <v>207</v>
          </cell>
          <cell r="X1199">
            <v>890.09999999999991</v>
          </cell>
          <cell r="Y1199"/>
          <cell r="Z1199">
            <v>0</v>
          </cell>
          <cell r="AA1199"/>
          <cell r="AB1199">
            <v>0</v>
          </cell>
          <cell r="AC1199"/>
          <cell r="AD1199">
            <v>0</v>
          </cell>
          <cell r="AE1199"/>
          <cell r="AF1199"/>
          <cell r="AG1199"/>
          <cell r="AH1199"/>
          <cell r="AI1199"/>
          <cell r="AJ1199">
            <v>0</v>
          </cell>
          <cell r="AK1199" t="str">
            <v>3P</v>
          </cell>
          <cell r="AL1199">
            <v>223</v>
          </cell>
          <cell r="AM1199">
            <v>473</v>
          </cell>
          <cell r="AN1199" t="str">
            <v>01 Existing Dealer</v>
          </cell>
          <cell r="AO1199" t="str">
            <v>South Central</v>
          </cell>
          <cell r="AP1199" t="str">
            <v>Central</v>
          </cell>
          <cell r="AQ1199"/>
          <cell r="AR1199">
            <v>0</v>
          </cell>
          <cell r="AS1199">
            <v>0</v>
          </cell>
        </row>
        <row r="1200">
          <cell r="A1200">
            <v>11645</v>
          </cell>
          <cell r="B1200" t="str">
            <v>UNITED RENTALS</v>
          </cell>
          <cell r="C1200" t="str">
            <v>M08848</v>
          </cell>
          <cell r="D1200" t="str">
            <v>Net 60, no pink card</v>
          </cell>
          <cell r="E1200">
            <v>60</v>
          </cell>
          <cell r="F1200" t="str">
            <v>No</v>
          </cell>
          <cell r="G1200" t="str">
            <v>TX</v>
          </cell>
          <cell r="H1200">
            <v>5</v>
          </cell>
          <cell r="I1200">
            <v>0.66500000000000004</v>
          </cell>
          <cell r="J1200" t="str">
            <v>JL Smith</v>
          </cell>
          <cell r="K1200" t="str">
            <v>COLLEGE STATION</v>
          </cell>
          <cell r="L1200" t="str">
            <v>TX</v>
          </cell>
          <cell r="M1200" t="str">
            <v>800-577-8858</v>
          </cell>
          <cell r="N1200"/>
          <cell r="O1200" t="str"/>
          <cell r="P1200" t="str"/>
          <cell r="Q1200" t="str"/>
          <cell r="R1200" t="str"/>
          <cell r="S1200" t="str"/>
          <cell r="T1200" t="str"/>
          <cell r="U1200" t="str"/>
          <cell r="V1200" t="str"/>
          <cell r="W1200" t="str"/>
          <cell r="X1200" t="str"/>
          <cell r="Y1200"/>
          <cell r="Z1200">
            <v>0</v>
          </cell>
          <cell r="AA1200"/>
          <cell r="AB1200">
            <v>0</v>
          </cell>
          <cell r="AC1200"/>
          <cell r="AD1200">
            <v>0</v>
          </cell>
          <cell r="AE1200" t="str"/>
          <cell r="AF1200"/>
          <cell r="AG1200" t="str"/>
          <cell r="AH1200" t="str"/>
          <cell r="AI1200" t="str"/>
          <cell r="AJ1200">
            <v>0</v>
          </cell>
          <cell r="AK1200" t="str">
            <v>3P</v>
          </cell>
          <cell r="AL1200">
            <v>151</v>
          </cell>
          <cell r="AM1200">
            <v>59</v>
          </cell>
          <cell r="AN1200" t="str">
            <v>11 National</v>
          </cell>
          <cell r="AO1200" t="str">
            <v>South Central</v>
          </cell>
          <cell r="AP1200" t="str">
            <v>Central</v>
          </cell>
          <cell r="AQ1200"/>
          <cell r="AR1200">
            <v>0</v>
          </cell>
          <cell r="AS1200">
            <v>0</v>
          </cell>
        </row>
        <row r="1201">
          <cell r="A1201">
            <v>12742</v>
          </cell>
          <cell r="B1201" t="str">
            <v>UV COUNTRY</v>
          </cell>
          <cell r="C1201" t="str">
            <v>M10435</v>
          </cell>
          <cell r="D1201" t="str">
            <v>NET 5, BT+</v>
          </cell>
          <cell r="E1201" t="str">
            <v>F4 - Wells Fargo</v>
          </cell>
          <cell r="F1201" t="str">
            <v>Yes</v>
          </cell>
          <cell r="G1201" t="str">
            <v>TX</v>
          </cell>
          <cell r="H1201">
            <v>8</v>
          </cell>
          <cell r="I1201">
            <v>0.66500000000000004</v>
          </cell>
          <cell r="J1201" t="str">
            <v>JL Smith</v>
          </cell>
          <cell r="K1201" t="str">
            <v>ALVIN</v>
          </cell>
          <cell r="L1201" t="str">
            <v>TX</v>
          </cell>
          <cell r="M1201" t="str">
            <v>800-758-8858</v>
          </cell>
          <cell r="N1201"/>
          <cell r="O1201">
            <v>286</v>
          </cell>
          <cell r="P1201">
            <v>1229.8</v>
          </cell>
          <cell r="Q1201"/>
          <cell r="R1201">
            <v>0</v>
          </cell>
          <cell r="S1201"/>
          <cell r="T1201">
            <v>0</v>
          </cell>
          <cell r="U1201">
            <v>383</v>
          </cell>
          <cell r="V1201">
            <v>1646.8999999999999</v>
          </cell>
          <cell r="W1201">
            <v>306</v>
          </cell>
          <cell r="X1201">
            <v>1315.8</v>
          </cell>
          <cell r="Y1201"/>
          <cell r="Z1201">
            <v>0</v>
          </cell>
          <cell r="AA1201"/>
          <cell r="AB1201">
            <v>0</v>
          </cell>
          <cell r="AC1201"/>
          <cell r="AD1201">
            <v>0</v>
          </cell>
          <cell r="AE1201"/>
          <cell r="AF1201"/>
          <cell r="AG1201"/>
          <cell r="AH1201"/>
          <cell r="AI1201"/>
          <cell r="AJ1201">
            <v>0</v>
          </cell>
          <cell r="AK1201" t="str">
            <v>3P</v>
          </cell>
          <cell r="AL1201">
            <v>151</v>
          </cell>
          <cell r="AM1201">
            <v>196</v>
          </cell>
          <cell r="AN1201" t="str">
            <v>01 Existing Dealer</v>
          </cell>
          <cell r="AO1201" t="str">
            <v>South Central</v>
          </cell>
          <cell r="AP1201" t="str">
            <v>Central</v>
          </cell>
          <cell r="AQ1201"/>
          <cell r="AR1201">
            <v>0</v>
          </cell>
          <cell r="AS1201">
            <v>0</v>
          </cell>
        </row>
        <row r="1202">
          <cell r="A1202">
            <v>12033</v>
          </cell>
          <cell r="B1202" t="str">
            <v>VALUE RV</v>
          </cell>
          <cell r="C1202" t="str">
            <v>M10438</v>
          </cell>
          <cell r="D1202" t="str">
            <v>NET 5, BT+</v>
          </cell>
          <cell r="E1202" t="str">
            <v>F3 - Wells Fargo</v>
          </cell>
          <cell r="F1202" t="str">
            <v>Yes</v>
          </cell>
          <cell r="G1202" t="str">
            <v>TX</v>
          </cell>
          <cell r="H1202">
            <v>8</v>
          </cell>
          <cell r="I1202">
            <v>0.66500000000000004</v>
          </cell>
          <cell r="J1202" t="str">
            <v>Orphaned Acct</v>
          </cell>
          <cell r="K1202" t="str">
            <v>AMARILLO</v>
          </cell>
          <cell r="L1202" t="str">
            <v>TX</v>
          </cell>
          <cell r="M1202" t="str">
            <v>800-577-8858</v>
          </cell>
          <cell r="N1202"/>
          <cell r="O1202">
            <v>452</v>
          </cell>
          <cell r="P1202">
            <v>1943.6</v>
          </cell>
          <cell r="Q1202"/>
          <cell r="R1202">
            <v>0</v>
          </cell>
          <cell r="S1202"/>
          <cell r="T1202">
            <v>0</v>
          </cell>
          <cell r="U1202">
            <v>373</v>
          </cell>
          <cell r="V1202">
            <v>1603.8999999999999</v>
          </cell>
          <cell r="W1202">
            <v>404</v>
          </cell>
          <cell r="X1202">
            <v>1737.1999999999998</v>
          </cell>
          <cell r="Y1202"/>
          <cell r="Z1202">
            <v>0</v>
          </cell>
          <cell r="AA1202"/>
          <cell r="AB1202">
            <v>0</v>
          </cell>
          <cell r="AC1202"/>
          <cell r="AD1202">
            <v>0</v>
          </cell>
          <cell r="AE1202"/>
          <cell r="AF1202"/>
          <cell r="AG1202"/>
          <cell r="AH1202"/>
          <cell r="AI1202"/>
          <cell r="AJ1202">
            <v>0</v>
          </cell>
          <cell r="AK1202" t="str">
            <v>3P</v>
          </cell>
          <cell r="AL1202">
            <v>213</v>
          </cell>
          <cell r="AM1202">
            <v>13</v>
          </cell>
          <cell r="AN1202" t="str">
            <v>08 Inactive Dealer</v>
          </cell>
          <cell r="AO1202" t="str">
            <v>South Central</v>
          </cell>
          <cell r="AP1202" t="str">
            <v>Central</v>
          </cell>
          <cell r="AQ1202"/>
          <cell r="AR1202">
            <v>0</v>
          </cell>
          <cell r="AS1202">
            <v>0</v>
          </cell>
        </row>
        <row r="1203">
          <cell r="A1203">
            <v>13654</v>
          </cell>
          <cell r="B1203" t="str">
            <v xml:space="preserve">WEST TEXAS TOYS								</v>
          </cell>
          <cell r="C1203" t="str">
            <v>M11653</v>
          </cell>
          <cell r="D1203" t="str">
            <v>NET 5, BT+</v>
          </cell>
          <cell r="E1203" t="str">
            <v>FP - Northpoint</v>
          </cell>
          <cell r="F1203" t="str">
            <v>Yes</v>
          </cell>
          <cell r="G1203" t="str">
            <v>TX</v>
          </cell>
          <cell r="H1203">
            <v>8</v>
          </cell>
          <cell r="I1203">
            <v>0.66500000000000004</v>
          </cell>
          <cell r="J1203" t="str">
            <v>Trent Evans</v>
          </cell>
          <cell r="K1203" t="str">
            <v>PECOS</v>
          </cell>
          <cell r="L1203" t="str">
            <v>TX</v>
          </cell>
          <cell r="M1203" t="str">
            <v>800-577-8858</v>
          </cell>
          <cell r="N1203"/>
          <cell r="O1203">
            <v>542</v>
          </cell>
          <cell r="P1203">
            <v>2330.6</v>
          </cell>
          <cell r="Q1203"/>
          <cell r="R1203">
            <v>0</v>
          </cell>
          <cell r="S1203"/>
          <cell r="T1203">
            <v>0</v>
          </cell>
          <cell r="U1203">
            <v>482</v>
          </cell>
          <cell r="V1203">
            <v>2072.6</v>
          </cell>
          <cell r="W1203">
            <v>475</v>
          </cell>
          <cell r="X1203">
            <v>2042.5</v>
          </cell>
          <cell r="Y1203"/>
          <cell r="Z1203">
            <v>0</v>
          </cell>
          <cell r="AA1203">
            <v>1375</v>
          </cell>
          <cell r="AB1203">
            <v>5912.5</v>
          </cell>
          <cell r="AC1203">
            <v>1375</v>
          </cell>
          <cell r="AD1203">
            <v>5912.5</v>
          </cell>
          <cell r="AE1203"/>
          <cell r="AF1203"/>
          <cell r="AG1203"/>
          <cell r="AH1203"/>
          <cell r="AI1203"/>
          <cell r="AJ1203">
            <v>0</v>
          </cell>
          <cell r="AK1203" t="str">
            <v>3P</v>
          </cell>
          <cell r="AL1203">
            <v>226</v>
          </cell>
          <cell r="AM1203">
            <v>327</v>
          </cell>
          <cell r="AN1203" t="str">
            <v>03 New Dealer</v>
          </cell>
          <cell r="AO1203" t="str">
            <v>South Central</v>
          </cell>
          <cell r="AP1203" t="str">
            <v>Central</v>
          </cell>
          <cell r="AQ1203"/>
          <cell r="AR1203">
            <v>0</v>
          </cell>
          <cell r="AS1203">
            <v>0</v>
          </cell>
        </row>
        <row r="1204">
          <cell r="A1204">
            <v>12984</v>
          </cell>
          <cell r="B1204" t="str">
            <v>WRI OUTDOORS, LLC dba WRI TRACTORS</v>
          </cell>
          <cell r="C1204" t="str">
            <v>M10817</v>
          </cell>
          <cell r="D1204" t="str">
            <v>NET 5, BT+</v>
          </cell>
          <cell r="E1204" t="str">
            <v>COD</v>
          </cell>
          <cell r="F1204" t="str">
            <v>Yes</v>
          </cell>
          <cell r="G1204" t="str">
            <v>TX</v>
          </cell>
          <cell r="H1204">
            <v>7</v>
          </cell>
          <cell r="I1204">
            <v>0.66500000000000004</v>
          </cell>
          <cell r="J1204" t="str">
            <v>Orphaned Acct</v>
          </cell>
          <cell r="K1204" t="str">
            <v>BRYAN</v>
          </cell>
          <cell r="L1204" t="str">
            <v>TX</v>
          </cell>
          <cell r="M1204" t="str">
            <v>800-577-8858</v>
          </cell>
          <cell r="N1204"/>
          <cell r="O1204">
            <v>225</v>
          </cell>
          <cell r="P1204">
            <v>967.5</v>
          </cell>
          <cell r="Q1204"/>
          <cell r="R1204">
            <v>0</v>
          </cell>
          <cell r="S1204"/>
          <cell r="T1204">
            <v>0</v>
          </cell>
          <cell r="U1204">
            <v>276</v>
          </cell>
          <cell r="V1204">
            <v>1186.8</v>
          </cell>
          <cell r="W1204">
            <v>214</v>
          </cell>
          <cell r="X1204">
            <v>920.19999999999993</v>
          </cell>
          <cell r="Y1204"/>
          <cell r="Z1204">
            <v>0</v>
          </cell>
          <cell r="AA1204"/>
          <cell r="AB1204">
            <v>0</v>
          </cell>
          <cell r="AC1204"/>
          <cell r="AD1204">
            <v>0</v>
          </cell>
          <cell r="AE1204"/>
          <cell r="AF1204"/>
          <cell r="AG1204"/>
          <cell r="AH1204"/>
          <cell r="AI1204"/>
          <cell r="AJ1204">
            <v>0</v>
          </cell>
          <cell r="AK1204" t="str">
            <v>3P</v>
          </cell>
          <cell r="AL1204">
            <v>213</v>
          </cell>
          <cell r="AM1204">
            <v>59</v>
          </cell>
          <cell r="AN1204" t="str">
            <v>01 Existing Dealer</v>
          </cell>
          <cell r="AO1204" t="str">
            <v>South Central</v>
          </cell>
          <cell r="AP1204" t="str">
            <v>Central</v>
          </cell>
          <cell r="AQ1204"/>
          <cell r="AR1204">
            <v>0</v>
          </cell>
          <cell r="AS1204">
            <v>0</v>
          </cell>
        </row>
        <row r="1205">
          <cell r="A1205">
            <v>13180</v>
          </cell>
          <cell r="B1205" t="str">
            <v>ANGELO PELLETS INC</v>
          </cell>
          <cell r="C1205" t="str">
            <v>M11118</v>
          </cell>
          <cell r="D1205" t="str">
            <v>10 Days, no check</v>
          </cell>
          <cell r="E1205">
            <v>0.02</v>
          </cell>
          <cell r="F1205" t="str">
            <v>Yes</v>
          </cell>
          <cell r="G1205" t="str">
            <v>TX</v>
          </cell>
          <cell r="H1205">
            <v>5</v>
          </cell>
          <cell r="I1205">
            <v>0.71819999999999995</v>
          </cell>
          <cell r="J1205" t="str">
            <v>Orphaned Acct</v>
          </cell>
          <cell r="K1205" t="str">
            <v>SAN ANGELO</v>
          </cell>
          <cell r="L1205" t="str">
            <v>TX</v>
          </cell>
          <cell r="M1205" t="str">
            <v>800-577-8858</v>
          </cell>
          <cell r="N1205"/>
          <cell r="O1205">
            <v>325</v>
          </cell>
          <cell r="P1205">
            <v>1397.5</v>
          </cell>
          <cell r="Q1205"/>
          <cell r="R1205">
            <v>0</v>
          </cell>
          <cell r="S1205"/>
          <cell r="T1205">
            <v>0</v>
          </cell>
          <cell r="U1205">
            <v>346</v>
          </cell>
          <cell r="V1205">
            <v>1487.8</v>
          </cell>
          <cell r="W1205">
            <v>283</v>
          </cell>
          <cell r="X1205">
            <v>1216.8999999999999</v>
          </cell>
          <cell r="Y1205"/>
          <cell r="Z1205">
            <v>0</v>
          </cell>
          <cell r="AA1205"/>
          <cell r="AB1205">
            <v>0</v>
          </cell>
          <cell r="AC1205"/>
          <cell r="AD1205">
            <v>0</v>
          </cell>
          <cell r="AE1205"/>
          <cell r="AF1205"/>
          <cell r="AG1205"/>
          <cell r="AH1205"/>
          <cell r="AI1205"/>
          <cell r="AJ1205">
            <v>0</v>
          </cell>
          <cell r="AK1205" t="str">
            <v>OL</v>
          </cell>
          <cell r="AL1205">
            <v>213</v>
          </cell>
          <cell r="AM1205">
            <v>400</v>
          </cell>
          <cell r="AN1205" t="str">
            <v>02 Ramping</v>
          </cell>
          <cell r="AO1205" t="str">
            <v>South Central</v>
          </cell>
          <cell r="AP1205" t="str">
            <v>Central</v>
          </cell>
          <cell r="AQ1205"/>
          <cell r="AR1205">
            <v>0</v>
          </cell>
          <cell r="AS1205">
            <v>0</v>
          </cell>
        </row>
        <row r="1206">
          <cell r="A1206">
            <v>12424</v>
          </cell>
          <cell r="B1206" t="str">
            <v>B&amp;D RV</v>
          </cell>
          <cell r="C1206" t="str">
            <v>M10038</v>
          </cell>
          <cell r="D1206" t="str">
            <v>NET 5, BT+</v>
          </cell>
          <cell r="E1206" t="str">
            <v>F6 - Wells Fargo</v>
          </cell>
          <cell r="F1206" t="str">
            <v>Yes</v>
          </cell>
          <cell r="G1206" t="str">
            <v>ID</v>
          </cell>
          <cell r="H1206">
            <v>8</v>
          </cell>
          <cell r="I1206">
            <v>0.7</v>
          </cell>
          <cell r="J1206" t="str">
            <v>Nate Erickson</v>
          </cell>
          <cell r="K1206" t="str">
            <v>VERNAL</v>
          </cell>
          <cell r="L1206" t="str">
            <v>UT</v>
          </cell>
          <cell r="M1206" t="str">
            <v>208-459-0106</v>
          </cell>
          <cell r="N1206"/>
          <cell r="O1206">
            <v>1266</v>
          </cell>
          <cell r="P1206">
            <v>5443.8</v>
          </cell>
          <cell r="Q1206"/>
          <cell r="R1206">
            <v>0</v>
          </cell>
          <cell r="S1206">
            <v>532</v>
          </cell>
          <cell r="T1206">
            <v>2287.6</v>
          </cell>
          <cell r="U1206">
            <v>1112</v>
          </cell>
          <cell r="V1206">
            <v>4781.5999999999995</v>
          </cell>
          <cell r="W1206">
            <v>1218</v>
          </cell>
          <cell r="X1206">
            <v>5237.3999999999996</v>
          </cell>
          <cell r="Y1206"/>
          <cell r="Z1206">
            <v>0</v>
          </cell>
          <cell r="AA1206"/>
          <cell r="AB1206">
            <v>0</v>
          </cell>
          <cell r="AC1206"/>
          <cell r="AD1206">
            <v>0</v>
          </cell>
          <cell r="AE1206"/>
          <cell r="AF1206"/>
          <cell r="AG1206"/>
          <cell r="AH1206"/>
          <cell r="AI1206"/>
          <cell r="AJ1206">
            <v>1.4999999999999999E-2</v>
          </cell>
          <cell r="AK1206" t="str">
            <v>3P</v>
          </cell>
          <cell r="AL1206">
            <v>187</v>
          </cell>
          <cell r="AM1206">
            <v>399</v>
          </cell>
          <cell r="AN1206" t="str">
            <v>01 Existing Dealer</v>
          </cell>
          <cell r="AO1206" t="str">
            <v>Southwest</v>
          </cell>
          <cell r="AP1206" t="str">
            <v>West</v>
          </cell>
          <cell r="AQ1206"/>
          <cell r="AR1206">
            <v>104774</v>
          </cell>
          <cell r="AS1206">
            <v>0</v>
          </cell>
        </row>
        <row r="1207">
          <cell r="A1207" t="str">
            <v>13397M</v>
          </cell>
          <cell r="B1207" t="str">
            <v>BCMS / SILVERLINE</v>
          </cell>
          <cell r="C1207" t="str">
            <v>M11363</v>
          </cell>
          <cell r="D1207" t="str">
            <v>Return Mail, no pink card</v>
          </cell>
          <cell r="E1207" t="str">
            <v>F3 - Wells Fargo</v>
          </cell>
          <cell r="F1207" t="str">
            <v>Yes</v>
          </cell>
          <cell r="G1207" t="str">
            <v>TX</v>
          </cell>
          <cell r="H1207">
            <v>8</v>
          </cell>
          <cell r="I1207">
            <v>0.66500000000000004</v>
          </cell>
          <cell r="J1207" t="str">
            <v>Trent Evans</v>
          </cell>
          <cell r="K1207" t="str">
            <v>MONA</v>
          </cell>
          <cell r="L1207" t="str">
            <v>UT</v>
          </cell>
          <cell r="M1207" t="str">
            <v>800-577-8858</v>
          </cell>
          <cell r="N1207"/>
          <cell r="O1207">
            <v>1307</v>
          </cell>
          <cell r="P1207">
            <v>5620.0999999999995</v>
          </cell>
          <cell r="Q1207"/>
          <cell r="R1207">
            <v>0</v>
          </cell>
          <cell r="S1207"/>
          <cell r="T1207">
            <v>0</v>
          </cell>
          <cell r="U1207">
            <v>1181</v>
          </cell>
          <cell r="V1207">
            <v>5078.3</v>
          </cell>
          <cell r="W1207">
            <v>1267</v>
          </cell>
          <cell r="X1207">
            <v>5448.0999999999995</v>
          </cell>
          <cell r="Y1207"/>
          <cell r="Z1207">
            <v>0</v>
          </cell>
          <cell r="AA1207"/>
          <cell r="AB1207">
            <v>0</v>
          </cell>
          <cell r="AC1207"/>
          <cell r="AD1207">
            <v>0</v>
          </cell>
          <cell r="AE1207"/>
          <cell r="AF1207"/>
          <cell r="AG1207"/>
          <cell r="AH1207"/>
          <cell r="AI1207"/>
          <cell r="AJ1207">
            <v>0.03</v>
          </cell>
          <cell r="AK1207" t="str">
            <v>3P</v>
          </cell>
          <cell r="AL1207">
            <v>226</v>
          </cell>
          <cell r="AM1207"/>
          <cell r="AN1207" t="str">
            <v>01 Existing Dealer</v>
          </cell>
          <cell r="AO1207" t="str">
            <v>Southwest</v>
          </cell>
          <cell r="AP1207" t="str">
            <v>West</v>
          </cell>
          <cell r="AQ1207"/>
          <cell r="AR1207">
            <v>0</v>
          </cell>
          <cell r="AS1207">
            <v>0</v>
          </cell>
        </row>
        <row r="1208">
          <cell r="A1208">
            <v>12972</v>
          </cell>
          <cell r="B1208" t="str">
            <v>FREEDOM FORD</v>
          </cell>
          <cell r="C1208" t="str">
            <v>M10806</v>
          </cell>
          <cell r="D1208" t="str">
            <v>NET 5, BT+</v>
          </cell>
          <cell r="E1208" t="str">
            <v>CO</v>
          </cell>
          <cell r="F1208" t="str">
            <v>Yes</v>
          </cell>
          <cell r="G1208" t="str">
            <v>ID</v>
          </cell>
          <cell r="H1208">
            <v>7</v>
          </cell>
          <cell r="I1208">
            <v>0.7</v>
          </cell>
          <cell r="J1208" t="str">
            <v>Nate Erickson</v>
          </cell>
          <cell r="K1208" t="str">
            <v>GUNNISON</v>
          </cell>
          <cell r="L1208" t="str">
            <v>UT</v>
          </cell>
          <cell r="M1208" t="str">
            <v>800-577-8858</v>
          </cell>
          <cell r="N1208"/>
          <cell r="O1208">
            <v>1301</v>
          </cell>
          <cell r="P1208">
            <v>5594.3</v>
          </cell>
          <cell r="Q1208"/>
          <cell r="R1208">
            <v>0</v>
          </cell>
          <cell r="S1208">
            <v>486</v>
          </cell>
          <cell r="T1208">
            <v>2089.7999999999997</v>
          </cell>
          <cell r="U1208">
            <v>1223</v>
          </cell>
          <cell r="V1208">
            <v>5258.9</v>
          </cell>
          <cell r="W1208">
            <v>1253</v>
          </cell>
          <cell r="X1208">
            <v>5387.9</v>
          </cell>
          <cell r="Y1208"/>
          <cell r="Z1208">
            <v>0</v>
          </cell>
          <cell r="AA1208"/>
          <cell r="AB1208">
            <v>0</v>
          </cell>
          <cell r="AC1208"/>
          <cell r="AD1208">
            <v>0</v>
          </cell>
          <cell r="AE1208"/>
          <cell r="AF1208"/>
          <cell r="AG1208"/>
          <cell r="AH1208"/>
          <cell r="AI1208"/>
          <cell r="AJ1208">
            <v>0</v>
          </cell>
          <cell r="AK1208" t="str">
            <v>3P</v>
          </cell>
          <cell r="AL1208">
            <v>187</v>
          </cell>
          <cell r="AM1208">
            <v>399</v>
          </cell>
          <cell r="AN1208" t="str">
            <v>01 Existing Dealer</v>
          </cell>
          <cell r="AO1208" t="str">
            <v>Southwest</v>
          </cell>
          <cell r="AP1208" t="str">
            <v>West</v>
          </cell>
          <cell r="AQ1208"/>
          <cell r="AR1208">
            <v>0</v>
          </cell>
          <cell r="AS1208">
            <v>0</v>
          </cell>
        </row>
        <row r="1209">
          <cell r="A1209">
            <v>10283</v>
          </cell>
          <cell r="B1209" t="str">
            <v>JOLLEYS</v>
          </cell>
          <cell r="C1209" t="str">
            <v>M10246</v>
          </cell>
          <cell r="D1209" t="str">
            <v>Net 15, no pink card</v>
          </cell>
          <cell r="E1209">
            <v>15</v>
          </cell>
          <cell r="F1209" t="str">
            <v>Yes</v>
          </cell>
          <cell r="G1209" t="str">
            <v>TX</v>
          </cell>
          <cell r="H1209">
            <v>5</v>
          </cell>
          <cell r="I1209">
            <v>0.7</v>
          </cell>
          <cell r="J1209" t="str">
            <v>Orphaned Acct</v>
          </cell>
          <cell r="K1209" t="str">
            <v>CEDAR CITY</v>
          </cell>
          <cell r="L1209" t="str">
            <v>UT</v>
          </cell>
          <cell r="M1209" t="str">
            <v>800-577-8858</v>
          </cell>
          <cell r="N1209"/>
          <cell r="O1209">
            <v>1482</v>
          </cell>
          <cell r="P1209">
            <v>6372.5999999999995</v>
          </cell>
          <cell r="Q1209"/>
          <cell r="R1209">
            <v>0</v>
          </cell>
          <cell r="S1209">
            <v>611</v>
          </cell>
          <cell r="T1209">
            <v>2627.2999999999997</v>
          </cell>
          <cell r="U1209">
            <v>1403</v>
          </cell>
          <cell r="V1209">
            <v>6032.9</v>
          </cell>
          <cell r="W1209">
            <v>1434</v>
          </cell>
          <cell r="X1209">
            <v>6166.2</v>
          </cell>
          <cell r="Y1209"/>
          <cell r="Z1209">
            <v>0</v>
          </cell>
          <cell r="AA1209"/>
          <cell r="AB1209">
            <v>0</v>
          </cell>
          <cell r="AC1209"/>
          <cell r="AD1209">
            <v>0</v>
          </cell>
          <cell r="AE1209"/>
          <cell r="AF1209"/>
          <cell r="AG1209"/>
          <cell r="AH1209"/>
          <cell r="AI1209"/>
          <cell r="AJ1209">
            <v>0</v>
          </cell>
          <cell r="AK1209" t="str">
            <v>3P</v>
          </cell>
          <cell r="AL1209">
            <v>213</v>
          </cell>
          <cell r="AM1209">
            <v>392</v>
          </cell>
          <cell r="AN1209" t="str">
            <v>01 Existing Dealer</v>
          </cell>
          <cell r="AO1209" t="str">
            <v>Southwest</v>
          </cell>
          <cell r="AP1209" t="str">
            <v>West</v>
          </cell>
          <cell r="AQ1209"/>
          <cell r="AR1209">
            <v>0</v>
          </cell>
          <cell r="AS1209">
            <v>0</v>
          </cell>
        </row>
        <row r="1210">
          <cell r="A1210">
            <v>11885</v>
          </cell>
          <cell r="B1210" t="str">
            <v>JOLLEYS</v>
          </cell>
          <cell r="C1210" t="str">
            <v>M10246</v>
          </cell>
          <cell r="D1210" t="str">
            <v>NET 5, BT+</v>
          </cell>
          <cell r="E1210" t="str">
            <v>FP - Wells Fargo</v>
          </cell>
          <cell r="F1210" t="str">
            <v>Yes</v>
          </cell>
          <cell r="G1210" t="str">
            <v>TX</v>
          </cell>
          <cell r="H1210">
            <v>8</v>
          </cell>
          <cell r="I1210">
            <v>0.7</v>
          </cell>
          <cell r="J1210" t="str">
            <v>Orphaned Acct</v>
          </cell>
          <cell r="K1210" t="str">
            <v>CEDAR CITY</v>
          </cell>
          <cell r="L1210" t="str">
            <v>UT</v>
          </cell>
          <cell r="M1210" t="str">
            <v>800-577-8858</v>
          </cell>
          <cell r="N1210"/>
          <cell r="O1210">
            <v>1482</v>
          </cell>
          <cell r="P1210">
            <v>6372.5999999999995</v>
          </cell>
          <cell r="Q1210"/>
          <cell r="R1210">
            <v>0</v>
          </cell>
          <cell r="S1210">
            <v>611</v>
          </cell>
          <cell r="T1210">
            <v>2627.2999999999997</v>
          </cell>
          <cell r="U1210">
            <v>1403</v>
          </cell>
          <cell r="V1210">
            <v>6032.9</v>
          </cell>
          <cell r="W1210">
            <v>1434</v>
          </cell>
          <cell r="X1210">
            <v>6166.2</v>
          </cell>
          <cell r="Y1210"/>
          <cell r="Z1210">
            <v>0</v>
          </cell>
          <cell r="AA1210"/>
          <cell r="AB1210">
            <v>0</v>
          </cell>
          <cell r="AC1210"/>
          <cell r="AD1210">
            <v>0</v>
          </cell>
          <cell r="AE1210"/>
          <cell r="AF1210"/>
          <cell r="AG1210"/>
          <cell r="AH1210"/>
          <cell r="AI1210"/>
          <cell r="AJ1210">
            <v>0</v>
          </cell>
          <cell r="AK1210" t="str">
            <v>3P</v>
          </cell>
          <cell r="AL1210">
            <v>213</v>
          </cell>
          <cell r="AM1210">
            <v>392</v>
          </cell>
          <cell r="AN1210" t="str">
            <v>01 Existing Dealer</v>
          </cell>
          <cell r="AO1210" t="str">
            <v>Southwest</v>
          </cell>
          <cell r="AP1210" t="str">
            <v>West</v>
          </cell>
          <cell r="AQ1210"/>
          <cell r="AR1210">
            <v>0</v>
          </cell>
          <cell r="AS1210">
            <v>0</v>
          </cell>
        </row>
        <row r="1211">
          <cell r="A1211">
            <v>12526</v>
          </cell>
          <cell r="B1211" t="str">
            <v>NEED IT NOW RENTALS, LLC</v>
          </cell>
          <cell r="C1211" t="str">
            <v>M10298</v>
          </cell>
          <cell r="D1211" t="str">
            <v>NET 5, BT+</v>
          </cell>
          <cell r="E1211" t="str">
            <v>CF</v>
          </cell>
          <cell r="F1211" t="str">
            <v>Yes</v>
          </cell>
          <cell r="G1211" t="str">
            <v>ID</v>
          </cell>
          <cell r="H1211">
            <v>7</v>
          </cell>
          <cell r="I1211">
            <v>0.7</v>
          </cell>
          <cell r="J1211" t="str">
            <v>Orphaned Acct</v>
          </cell>
          <cell r="K1211" t="str">
            <v>KANAB</v>
          </cell>
          <cell r="L1211" t="str">
            <v>UT</v>
          </cell>
          <cell r="M1211" t="str">
            <v>208-459-0106</v>
          </cell>
          <cell r="N1211"/>
          <cell r="O1211">
            <v>1258</v>
          </cell>
          <cell r="P1211">
            <v>5409.4</v>
          </cell>
          <cell r="Q1211"/>
          <cell r="R1211">
            <v>0</v>
          </cell>
          <cell r="S1211">
            <v>673</v>
          </cell>
          <cell r="T1211">
            <v>2893.9</v>
          </cell>
          <cell r="U1211">
            <v>1176</v>
          </cell>
          <cell r="V1211">
            <v>5056.8</v>
          </cell>
          <cell r="W1211">
            <v>1210</v>
          </cell>
          <cell r="X1211">
            <v>5203</v>
          </cell>
          <cell r="Y1211"/>
          <cell r="Z1211">
            <v>0</v>
          </cell>
          <cell r="AA1211"/>
          <cell r="AB1211">
            <v>0</v>
          </cell>
          <cell r="AC1211"/>
          <cell r="AD1211">
            <v>0</v>
          </cell>
          <cell r="AE1211"/>
          <cell r="AF1211"/>
          <cell r="AG1211"/>
          <cell r="AH1211"/>
          <cell r="AI1211"/>
          <cell r="AJ1211">
            <v>0</v>
          </cell>
          <cell r="AK1211" t="str">
            <v>3P</v>
          </cell>
          <cell r="AL1211">
            <v>213</v>
          </cell>
          <cell r="AM1211">
            <v>392</v>
          </cell>
          <cell r="AN1211" t="str">
            <v>08 Inactive Dealer</v>
          </cell>
          <cell r="AO1211" t="str">
            <v>Southwest</v>
          </cell>
          <cell r="AP1211" t="str">
            <v>West</v>
          </cell>
          <cell r="AQ1211"/>
          <cell r="AR1211">
            <v>0</v>
          </cell>
          <cell r="AS1211">
            <v>0</v>
          </cell>
        </row>
        <row r="1212">
          <cell r="A1212">
            <v>12971</v>
          </cell>
          <cell r="B1212" t="str">
            <v>PLANET AUTO INC</v>
          </cell>
          <cell r="C1212" t="str">
            <v>M10798</v>
          </cell>
          <cell r="D1212" t="str">
            <v>NET 5, BT+</v>
          </cell>
          <cell r="E1212" t="str">
            <v>FP - Wells Fargo</v>
          </cell>
          <cell r="F1212" t="str">
            <v>Yes</v>
          </cell>
          <cell r="G1212" t="str">
            <v>ID</v>
          </cell>
          <cell r="H1212">
            <v>8</v>
          </cell>
          <cell r="I1212">
            <v>0.7</v>
          </cell>
          <cell r="J1212" t="str">
            <v>Orphaned Acct</v>
          </cell>
          <cell r="K1212" t="str">
            <v>HYDE PARK</v>
          </cell>
          <cell r="L1212" t="str">
            <v>UT</v>
          </cell>
          <cell r="M1212" t="str">
            <v>800-577-8858</v>
          </cell>
          <cell r="N1212"/>
          <cell r="O1212">
            <v>1448</v>
          </cell>
          <cell r="P1212">
            <v>6226.4</v>
          </cell>
          <cell r="Q1212"/>
          <cell r="R1212">
            <v>0</v>
          </cell>
          <cell r="S1212">
            <v>321</v>
          </cell>
          <cell r="T1212">
            <v>1380.3</v>
          </cell>
          <cell r="U1212">
            <v>1369</v>
          </cell>
          <cell r="V1212">
            <v>5886.7</v>
          </cell>
          <cell r="W1212">
            <v>1399</v>
          </cell>
          <cell r="X1212">
            <v>6015.7</v>
          </cell>
          <cell r="Y1212"/>
          <cell r="Z1212">
            <v>0</v>
          </cell>
          <cell r="AA1212"/>
          <cell r="AB1212">
            <v>0</v>
          </cell>
          <cell r="AC1212"/>
          <cell r="AD1212">
            <v>0</v>
          </cell>
          <cell r="AE1212"/>
          <cell r="AF1212"/>
          <cell r="AG1212"/>
          <cell r="AH1212"/>
          <cell r="AI1212"/>
          <cell r="AJ1212">
            <v>0</v>
          </cell>
          <cell r="AK1212" t="str">
            <v>3P</v>
          </cell>
          <cell r="AL1212">
            <v>213</v>
          </cell>
          <cell r="AM1212">
            <v>258</v>
          </cell>
          <cell r="AN1212" t="str">
            <v>08 Inactive Dealer</v>
          </cell>
          <cell r="AO1212" t="str">
            <v>Southwest</v>
          </cell>
          <cell r="AP1212" t="str">
            <v>West</v>
          </cell>
          <cell r="AQ1212"/>
          <cell r="AR1212">
            <v>0</v>
          </cell>
          <cell r="AS1212">
            <v>0</v>
          </cell>
        </row>
        <row r="1213">
          <cell r="A1213">
            <v>12940</v>
          </cell>
          <cell r="B1213" t="str">
            <v>SEA JAY, LLC dba CJ WADE TRAILER SALES</v>
          </cell>
          <cell r="C1213" t="str">
            <v>M10369</v>
          </cell>
          <cell r="D1213" t="str">
            <v>NET 5, BT+</v>
          </cell>
          <cell r="E1213" t="str">
            <v>F1 - Wells Fargo</v>
          </cell>
          <cell r="F1213" t="str">
            <v>Yes</v>
          </cell>
          <cell r="G1213" t="str">
            <v>TX</v>
          </cell>
          <cell r="H1213">
            <v>8</v>
          </cell>
          <cell r="I1213">
            <v>0.66500000000000004</v>
          </cell>
          <cell r="J1213" t="str">
            <v>Orphaned Acct</v>
          </cell>
          <cell r="K1213" t="str">
            <v>ST. GEORGE</v>
          </cell>
          <cell r="L1213" t="str">
            <v>UT</v>
          </cell>
          <cell r="M1213" t="str">
            <v>800-577-8858</v>
          </cell>
          <cell r="N1213"/>
          <cell r="O1213">
            <v>1341</v>
          </cell>
          <cell r="P1213">
            <v>5766.3</v>
          </cell>
          <cell r="Q1213"/>
          <cell r="R1213">
            <v>0</v>
          </cell>
          <cell r="S1213">
            <v>680</v>
          </cell>
          <cell r="T1213">
            <v>2924</v>
          </cell>
          <cell r="U1213">
            <v>1263</v>
          </cell>
          <cell r="V1213">
            <v>5430.9</v>
          </cell>
          <cell r="W1213">
            <v>1293</v>
          </cell>
          <cell r="X1213">
            <v>5559.9</v>
          </cell>
          <cell r="Y1213"/>
          <cell r="Z1213">
            <v>0</v>
          </cell>
          <cell r="AA1213"/>
          <cell r="AB1213">
            <v>0</v>
          </cell>
          <cell r="AC1213"/>
          <cell r="AD1213">
            <v>0</v>
          </cell>
          <cell r="AE1213"/>
          <cell r="AF1213"/>
          <cell r="AG1213"/>
          <cell r="AH1213"/>
          <cell r="AI1213"/>
          <cell r="AJ1213">
            <v>0</v>
          </cell>
          <cell r="AK1213" t="str">
            <v>3P</v>
          </cell>
          <cell r="AL1213">
            <v>213</v>
          </cell>
          <cell r="AM1213">
            <v>392</v>
          </cell>
          <cell r="AN1213" t="str">
            <v>08 Inactive Dealer</v>
          </cell>
          <cell r="AO1213" t="str">
            <v>Southwest</v>
          </cell>
          <cell r="AP1213" t="str">
            <v>West</v>
          </cell>
          <cell r="AQ1213"/>
          <cell r="AR1213">
            <v>0</v>
          </cell>
          <cell r="AS1213">
            <v>0</v>
          </cell>
        </row>
        <row r="1214">
          <cell r="A1214">
            <v>12821</v>
          </cell>
          <cell r="B1214" t="str">
            <v>TW AMERICAN FORK</v>
          </cell>
          <cell r="C1214" t="str">
            <v>M10056</v>
          </cell>
          <cell r="D1214" t="str">
            <v>Net 30, no pink card</v>
          </cell>
          <cell r="E1214">
            <v>30</v>
          </cell>
          <cell r="F1214" t="str">
            <v>Yes</v>
          </cell>
          <cell r="G1214" t="str">
            <v>ID</v>
          </cell>
          <cell r="H1214">
            <v>10</v>
          </cell>
          <cell r="I1214">
            <v>0.7</v>
          </cell>
          <cell r="J1214" t="str">
            <v>Jake McEntee</v>
          </cell>
          <cell r="K1214" t="str">
            <v>AMERICAN FORK</v>
          </cell>
          <cell r="L1214" t="str">
            <v>UT</v>
          </cell>
          <cell r="M1214" t="str">
            <v>800-577-8858</v>
          </cell>
          <cell r="N1214"/>
          <cell r="O1214">
            <v>1334</v>
          </cell>
          <cell r="P1214">
            <v>5736.2</v>
          </cell>
          <cell r="Q1214"/>
          <cell r="R1214">
            <v>0</v>
          </cell>
          <cell r="S1214">
            <v>393</v>
          </cell>
          <cell r="T1214">
            <v>1689.8999999999999</v>
          </cell>
          <cell r="U1214">
            <v>1291</v>
          </cell>
          <cell r="V1214">
            <v>5551.3</v>
          </cell>
          <cell r="W1214">
            <v>1285</v>
          </cell>
          <cell r="X1214">
            <v>5525.5</v>
          </cell>
          <cell r="Y1214"/>
          <cell r="Z1214">
            <v>0</v>
          </cell>
          <cell r="AA1214">
            <v>1681</v>
          </cell>
          <cell r="AB1214">
            <v>7228.2999999999993</v>
          </cell>
          <cell r="AC1214">
            <v>1681</v>
          </cell>
          <cell r="AD1214">
            <v>7228.2999999999993</v>
          </cell>
          <cell r="AE1214">
            <v>3.6000000000000004E-2</v>
          </cell>
          <cell r="AF1214"/>
          <cell r="AG1214">
            <v>3.5999999999999997E-2</v>
          </cell>
          <cell r="AH1214">
            <v>0.11020000000000001</v>
          </cell>
          <cell r="AI1214">
            <v>0.11650000000000001</v>
          </cell>
          <cell r="AJ1214">
            <v>0.06</v>
          </cell>
          <cell r="AK1214" t="str">
            <v>TW</v>
          </cell>
          <cell r="AL1214">
            <v>161</v>
          </cell>
          <cell r="AM1214">
            <v>365</v>
          </cell>
          <cell r="AN1214" t="str">
            <v>04 Co.Store</v>
          </cell>
          <cell r="AO1214" t="str">
            <v>Southwest</v>
          </cell>
          <cell r="AP1214" t="str">
            <v>West</v>
          </cell>
          <cell r="AQ1214"/>
          <cell r="AR1214">
            <v>381625</v>
          </cell>
          <cell r="AS1214">
            <v>219279</v>
          </cell>
        </row>
        <row r="1215">
          <cell r="A1215">
            <v>12766</v>
          </cell>
          <cell r="B1215" t="str">
            <v>TW OGDEN</v>
          </cell>
          <cell r="C1215" t="str">
            <v>M10094</v>
          </cell>
          <cell r="D1215" t="str">
            <v>Net 30, no pink card</v>
          </cell>
          <cell r="E1215">
            <v>30</v>
          </cell>
          <cell r="F1215" t="str">
            <v>Yes</v>
          </cell>
          <cell r="G1215" t="str">
            <v>ID</v>
          </cell>
          <cell r="H1215">
            <v>10</v>
          </cell>
          <cell r="I1215">
            <v>0.7</v>
          </cell>
          <cell r="J1215" t="str">
            <v>Orphaned Acct</v>
          </cell>
          <cell r="K1215" t="str">
            <v>WEST HAVEN</v>
          </cell>
          <cell r="L1215" t="str">
            <v>UT</v>
          </cell>
          <cell r="M1215" t="str">
            <v>800-577-8858</v>
          </cell>
          <cell r="N1215"/>
          <cell r="O1215">
            <v>1399</v>
          </cell>
          <cell r="P1215">
            <v>6015.7</v>
          </cell>
          <cell r="Q1215"/>
          <cell r="R1215">
            <v>0</v>
          </cell>
          <cell r="S1215">
            <v>326</v>
          </cell>
          <cell r="T1215">
            <v>1401.8</v>
          </cell>
          <cell r="U1215">
            <v>1313</v>
          </cell>
          <cell r="V1215">
            <v>5645.9</v>
          </cell>
          <cell r="W1215">
            <v>1350</v>
          </cell>
          <cell r="X1215">
            <v>5805</v>
          </cell>
          <cell r="Y1215"/>
          <cell r="Z1215">
            <v>0</v>
          </cell>
          <cell r="AA1215"/>
          <cell r="AB1215">
            <v>0</v>
          </cell>
          <cell r="AC1215"/>
          <cell r="AD1215">
            <v>0</v>
          </cell>
          <cell r="AE1215">
            <v>3.15E-2</v>
          </cell>
          <cell r="AF1215"/>
          <cell r="AG1215">
            <v>3.15E-2</v>
          </cell>
          <cell r="AH1215">
            <v>0.112</v>
          </cell>
          <cell r="AI1215">
            <v>0.1225</v>
          </cell>
          <cell r="AJ1215">
            <v>0.04</v>
          </cell>
          <cell r="AK1215" t="str">
            <v>TW</v>
          </cell>
          <cell r="AL1215">
            <v>213</v>
          </cell>
          <cell r="AM1215">
            <v>399</v>
          </cell>
          <cell r="AN1215" t="str">
            <v>09 Inactive Co Store</v>
          </cell>
          <cell r="AO1215" t="str">
            <v>Southwest</v>
          </cell>
          <cell r="AP1215" t="str">
            <v>West</v>
          </cell>
          <cell r="AQ1215"/>
          <cell r="AR1215">
            <v>0</v>
          </cell>
          <cell r="AS1215">
            <v>0</v>
          </cell>
        </row>
        <row r="1216">
          <cell r="A1216">
            <v>13631</v>
          </cell>
          <cell r="B1216" t="str">
            <v>WASATCH - HURRICANE</v>
          </cell>
          <cell r="C1216" t="str">
            <v>M10515</v>
          </cell>
          <cell r="D1216" t="str">
            <v>Net 30, no pink card</v>
          </cell>
          <cell r="E1216" t="str">
            <v>F3 - Northpoint</v>
          </cell>
          <cell r="F1216" t="str">
            <v>Yes</v>
          </cell>
          <cell r="G1216" t="str">
            <v>ID</v>
          </cell>
          <cell r="H1216">
            <v>5</v>
          </cell>
          <cell r="I1216">
            <v>0.7</v>
          </cell>
          <cell r="J1216" t="str">
            <v>Nate Erickson</v>
          </cell>
          <cell r="K1216" t="str">
            <v>HURRICANE</v>
          </cell>
          <cell r="L1216" t="str">
            <v>UT</v>
          </cell>
          <cell r="M1216" t="str">
            <v>800-577-8858</v>
          </cell>
          <cell r="N1216"/>
          <cell r="O1216">
            <v>1245</v>
          </cell>
          <cell r="P1216">
            <v>5353.5</v>
          </cell>
          <cell r="Q1216"/>
          <cell r="R1216">
            <v>0</v>
          </cell>
          <cell r="S1216">
            <v>651</v>
          </cell>
          <cell r="T1216">
            <v>2799.2999999999997</v>
          </cell>
          <cell r="U1216">
            <v>1120</v>
          </cell>
          <cell r="V1216">
            <v>4816</v>
          </cell>
          <cell r="W1216">
            <v>1203</v>
          </cell>
          <cell r="X1216">
            <v>5172.8999999999996</v>
          </cell>
          <cell r="Y1216"/>
          <cell r="Z1216">
            <v>0</v>
          </cell>
          <cell r="AA1216">
            <v>1835</v>
          </cell>
          <cell r="AB1216">
            <v>7890.5</v>
          </cell>
          <cell r="AC1216">
            <v>1835</v>
          </cell>
          <cell r="AD1216">
            <v>7890.5</v>
          </cell>
          <cell r="AE1216"/>
          <cell r="AF1216"/>
          <cell r="AG1216"/>
          <cell r="AH1216"/>
          <cell r="AI1216"/>
          <cell r="AJ1216">
            <v>0.06</v>
          </cell>
          <cell r="AK1216" t="str">
            <v>3P</v>
          </cell>
          <cell r="AL1216">
            <v>187</v>
          </cell>
          <cell r="AM1216">
            <v>392</v>
          </cell>
          <cell r="AN1216" t="str">
            <v>03 New Dealer</v>
          </cell>
          <cell r="AO1216" t="str">
            <v>Southwest</v>
          </cell>
          <cell r="AP1216" t="str">
            <v>West</v>
          </cell>
          <cell r="AQ1216"/>
          <cell r="AR1216">
            <v>0</v>
          </cell>
          <cell r="AS1216">
            <v>0</v>
          </cell>
        </row>
        <row r="1217">
          <cell r="A1217">
            <v>13609</v>
          </cell>
          <cell r="B1217" t="str">
            <v>WASATCH - LAYTON</v>
          </cell>
          <cell r="C1217" t="str">
            <v>M10515</v>
          </cell>
          <cell r="D1217" t="str">
            <v>Net 30, no pink card</v>
          </cell>
          <cell r="E1217" t="str">
            <v>F3 - Northpoint</v>
          </cell>
          <cell r="F1217" t="str">
            <v>Yes</v>
          </cell>
          <cell r="G1217" t="str">
            <v>ID</v>
          </cell>
          <cell r="H1217">
            <v>10</v>
          </cell>
          <cell r="I1217">
            <v>0.7</v>
          </cell>
          <cell r="J1217" t="str">
            <v>Nate Erickson</v>
          </cell>
          <cell r="K1217" t="str">
            <v>LAYTON</v>
          </cell>
          <cell r="L1217" t="str">
            <v>UT</v>
          </cell>
          <cell r="M1217" t="str">
            <v>800-577-8858</v>
          </cell>
          <cell r="N1217"/>
          <cell r="O1217">
            <v>1362</v>
          </cell>
          <cell r="P1217">
            <v>5856.5999999999995</v>
          </cell>
          <cell r="Q1217"/>
          <cell r="R1217">
            <v>0</v>
          </cell>
          <cell r="S1217">
            <v>338</v>
          </cell>
          <cell r="T1217">
            <v>1453.3999999999999</v>
          </cell>
          <cell r="U1217">
            <v>1234</v>
          </cell>
          <cell r="V1217">
            <v>5306.2</v>
          </cell>
          <cell r="W1217">
            <v>1320</v>
          </cell>
          <cell r="X1217">
            <v>5676</v>
          </cell>
          <cell r="Y1217"/>
          <cell r="Z1217">
            <v>0</v>
          </cell>
          <cell r="AA1217">
            <v>1654</v>
          </cell>
          <cell r="AB1217">
            <v>7112.2</v>
          </cell>
          <cell r="AC1217">
            <v>1654</v>
          </cell>
          <cell r="AD1217">
            <v>7112.2</v>
          </cell>
          <cell r="AE1217"/>
          <cell r="AF1217"/>
          <cell r="AG1217"/>
          <cell r="AH1217"/>
          <cell r="AI1217"/>
          <cell r="AJ1217">
            <v>0.06</v>
          </cell>
          <cell r="AK1217" t="str">
            <v>3P</v>
          </cell>
          <cell r="AL1217">
            <v>187</v>
          </cell>
          <cell r="AM1217">
            <v>399</v>
          </cell>
          <cell r="AN1217" t="str">
            <v>03 New Dealer</v>
          </cell>
          <cell r="AO1217" t="str">
            <v>Southwest</v>
          </cell>
          <cell r="AP1217" t="str">
            <v>West</v>
          </cell>
          <cell r="AQ1217"/>
          <cell r="AR1217">
            <v>46832</v>
          </cell>
          <cell r="AS1217">
            <v>56755</v>
          </cell>
        </row>
        <row r="1218">
          <cell r="A1218">
            <v>13608</v>
          </cell>
          <cell r="B1218" t="str">
            <v>WASATCH - SPRINGVILLE</v>
          </cell>
          <cell r="C1218" t="str">
            <v>M10515</v>
          </cell>
          <cell r="D1218" t="str">
            <v>Net 30, no pink card</v>
          </cell>
          <cell r="E1218" t="str">
            <v>F3 - Northpoint</v>
          </cell>
          <cell r="F1218" t="str">
            <v>Yes</v>
          </cell>
          <cell r="G1218" t="str">
            <v>ID</v>
          </cell>
          <cell r="H1218">
            <v>10</v>
          </cell>
          <cell r="I1218">
            <v>0.7</v>
          </cell>
          <cell r="J1218" t="str">
            <v>Nate Erickson</v>
          </cell>
          <cell r="K1218" t="str">
            <v>SPRINGVILLE</v>
          </cell>
          <cell r="L1218" t="str">
            <v>UT</v>
          </cell>
          <cell r="M1218" t="str">
            <v>800-577-8858</v>
          </cell>
          <cell r="N1218"/>
          <cell r="O1218">
            <v>1282</v>
          </cell>
          <cell r="P1218">
            <v>5512.5999999999995</v>
          </cell>
          <cell r="Q1218"/>
          <cell r="R1218">
            <v>0</v>
          </cell>
          <cell r="S1218">
            <v>411</v>
          </cell>
          <cell r="T1218">
            <v>1767.3</v>
          </cell>
          <cell r="U1218">
            <v>1154</v>
          </cell>
          <cell r="V1218">
            <v>4962.2</v>
          </cell>
          <cell r="W1218">
            <v>1240</v>
          </cell>
          <cell r="X1218">
            <v>5332</v>
          </cell>
          <cell r="Y1218"/>
          <cell r="Z1218">
            <v>0</v>
          </cell>
          <cell r="AA1218">
            <v>1691</v>
          </cell>
          <cell r="AB1218">
            <v>7271.2999999999993</v>
          </cell>
          <cell r="AC1218">
            <v>1691</v>
          </cell>
          <cell r="AD1218">
            <v>7271.2999999999993</v>
          </cell>
          <cell r="AE1218"/>
          <cell r="AF1218"/>
          <cell r="AG1218"/>
          <cell r="AH1218"/>
          <cell r="AI1218"/>
          <cell r="AJ1218">
            <v>0.06</v>
          </cell>
          <cell r="AK1218" t="str">
            <v>3P</v>
          </cell>
          <cell r="AL1218">
            <v>187</v>
          </cell>
          <cell r="AM1218">
            <v>365</v>
          </cell>
          <cell r="AN1218" t="str">
            <v>03 New Dealer</v>
          </cell>
          <cell r="AO1218" t="str">
            <v>Southwest</v>
          </cell>
          <cell r="AP1218" t="str">
            <v>West</v>
          </cell>
          <cell r="AQ1218"/>
          <cell r="AR1218">
            <v>0</v>
          </cell>
          <cell r="AS1218">
            <v>0</v>
          </cell>
        </row>
        <row r="1219">
          <cell r="A1219">
            <v>12701</v>
          </cell>
          <cell r="B1219" t="str">
            <v>ABINGDON EQUIPMENT</v>
          </cell>
          <cell r="C1219" t="str">
            <v>M10009</v>
          </cell>
          <cell r="D1219" t="str">
            <v>NET 5, BT+</v>
          </cell>
          <cell r="E1219" t="str">
            <v>FP - Wells Fargo</v>
          </cell>
          <cell r="F1219" t="str">
            <v>Yes</v>
          </cell>
          <cell r="G1219" t="str">
            <v>OH</v>
          </cell>
          <cell r="H1219">
            <v>8</v>
          </cell>
          <cell r="I1219">
            <v>0.66500000000000004</v>
          </cell>
          <cell r="J1219" t="str">
            <v>Orphaned Acct</v>
          </cell>
          <cell r="K1219" t="str">
            <v>ABINGDON</v>
          </cell>
          <cell r="L1219" t="str">
            <v>VA</v>
          </cell>
          <cell r="M1219" t="str">
            <v>800-577-8858</v>
          </cell>
          <cell r="N1219"/>
          <cell r="O1219">
            <v>854</v>
          </cell>
          <cell r="P1219">
            <v>3672.2</v>
          </cell>
          <cell r="Q1219">
            <v>443</v>
          </cell>
          <cell r="R1219">
            <v>1904.8999999999999</v>
          </cell>
          <cell r="S1219"/>
          <cell r="T1219">
            <v>0</v>
          </cell>
          <cell r="U1219">
            <v>950</v>
          </cell>
          <cell r="V1219">
            <v>4085</v>
          </cell>
          <cell r="W1219">
            <v>934</v>
          </cell>
          <cell r="X1219">
            <v>4016.2</v>
          </cell>
          <cell r="Y1219">
            <v>267</v>
          </cell>
          <cell r="Z1219">
            <v>1148.0999999999999</v>
          </cell>
          <cell r="AA1219">
            <v>267</v>
          </cell>
          <cell r="AB1219">
            <v>1148.0999999999999</v>
          </cell>
          <cell r="AC1219">
            <v>267</v>
          </cell>
          <cell r="AD1219">
            <v>1148.0999999999999</v>
          </cell>
          <cell r="AE1219"/>
          <cell r="AF1219"/>
          <cell r="AG1219"/>
          <cell r="AH1219"/>
          <cell r="AI1219"/>
          <cell r="AJ1219">
            <v>0</v>
          </cell>
          <cell r="AK1219" t="str">
            <v>3P</v>
          </cell>
          <cell r="AL1219">
            <v>213</v>
          </cell>
          <cell r="AM1219">
            <v>229</v>
          </cell>
          <cell r="AN1219" t="str">
            <v>08 Inactive Dealer</v>
          </cell>
          <cell r="AO1219" t="str">
            <v>Southeast</v>
          </cell>
          <cell r="AP1219" t="str">
            <v>North</v>
          </cell>
          <cell r="AQ1219"/>
          <cell r="AR1219">
            <v>0</v>
          </cell>
          <cell r="AS1219">
            <v>0</v>
          </cell>
        </row>
        <row r="1220">
          <cell r="A1220">
            <v>12867</v>
          </cell>
          <cell r="B1220" t="str">
            <v>COMMONWEALTH MOTORSPORTS</v>
          </cell>
          <cell r="C1220" t="str">
            <v>M10156</v>
          </cell>
          <cell r="D1220" t="str">
            <v>NET 5, BT+</v>
          </cell>
          <cell r="E1220" t="str">
            <v>FP - Wells Fargo</v>
          </cell>
          <cell r="F1220" t="str">
            <v>Yes</v>
          </cell>
          <cell r="G1220" t="str">
            <v>OH</v>
          </cell>
          <cell r="H1220">
            <v>8</v>
          </cell>
          <cell r="I1220">
            <v>0.66500000000000004</v>
          </cell>
          <cell r="J1220" t="str">
            <v>Orphaned Acct</v>
          </cell>
          <cell r="K1220" t="str">
            <v>HAYES</v>
          </cell>
          <cell r="L1220" t="str">
            <v>VA</v>
          </cell>
          <cell r="M1220" t="str">
            <v>800-577-8858</v>
          </cell>
          <cell r="N1220"/>
          <cell r="O1220">
            <v>1351</v>
          </cell>
          <cell r="P1220">
            <v>5809.3</v>
          </cell>
          <cell r="Q1220">
            <v>898</v>
          </cell>
          <cell r="R1220">
            <v>3861.3999999999996</v>
          </cell>
          <cell r="S1220"/>
          <cell r="T1220">
            <v>0</v>
          </cell>
          <cell r="U1220">
            <v>1445</v>
          </cell>
          <cell r="V1220">
            <v>6213.5</v>
          </cell>
          <cell r="W1220">
            <v>1432</v>
          </cell>
          <cell r="X1220">
            <v>6157.5999999999995</v>
          </cell>
          <cell r="Y1220">
            <v>549</v>
          </cell>
          <cell r="Z1220">
            <v>2360.6999999999998</v>
          </cell>
          <cell r="AA1220">
            <v>549</v>
          </cell>
          <cell r="AB1220">
            <v>2360.6999999999998</v>
          </cell>
          <cell r="AC1220">
            <v>549</v>
          </cell>
          <cell r="AD1220">
            <v>2360.6999999999998</v>
          </cell>
          <cell r="AE1220"/>
          <cell r="AF1220"/>
          <cell r="AG1220"/>
          <cell r="AH1220"/>
          <cell r="AI1220"/>
          <cell r="AJ1220">
            <v>0</v>
          </cell>
          <cell r="AK1220" t="str">
            <v>3P</v>
          </cell>
          <cell r="AL1220">
            <v>213</v>
          </cell>
          <cell r="AM1220">
            <v>324</v>
          </cell>
          <cell r="AN1220" t="str">
            <v>01 Existing Dealer</v>
          </cell>
          <cell r="AO1220" t="str">
            <v>Southeast</v>
          </cell>
          <cell r="AP1220" t="str">
            <v>North</v>
          </cell>
          <cell r="AQ1220"/>
          <cell r="AR1220">
            <v>0</v>
          </cell>
          <cell r="AS1220">
            <v>0</v>
          </cell>
        </row>
        <row r="1221">
          <cell r="A1221">
            <v>12456</v>
          </cell>
          <cell r="B1221" t="str">
            <v>COMMONWEALTH TRAILER</v>
          </cell>
          <cell r="C1221" t="str">
            <v>M10157</v>
          </cell>
          <cell r="D1221" t="str">
            <v>NET 5, BT+</v>
          </cell>
          <cell r="E1221" t="str">
            <v>FP - Wells Fargo</v>
          </cell>
          <cell r="F1221" t="str">
            <v>Yes</v>
          </cell>
          <cell r="G1221" t="str">
            <v>OH</v>
          </cell>
          <cell r="H1221">
            <v>8</v>
          </cell>
          <cell r="I1221">
            <v>0.66500000000000004</v>
          </cell>
          <cell r="J1221" t="str">
            <v>Orphaned Acct</v>
          </cell>
          <cell r="K1221" t="str">
            <v>SANDSTON</v>
          </cell>
          <cell r="L1221" t="str">
            <v>VA</v>
          </cell>
          <cell r="M1221" t="str">
            <v>800-577-8858</v>
          </cell>
          <cell r="N1221"/>
          <cell r="O1221">
            <v>1172</v>
          </cell>
          <cell r="P1221">
            <v>5039.5999999999995</v>
          </cell>
          <cell r="Q1221">
            <v>634</v>
          </cell>
          <cell r="R1221">
            <v>2726.2</v>
          </cell>
          <cell r="S1221"/>
          <cell r="T1221">
            <v>0</v>
          </cell>
          <cell r="U1221">
            <v>1269</v>
          </cell>
          <cell r="V1221">
            <v>5456.7</v>
          </cell>
          <cell r="W1221">
            <v>1253</v>
          </cell>
          <cell r="X1221">
            <v>5387.9</v>
          </cell>
          <cell r="Y1221"/>
          <cell r="Z1221">
            <v>0</v>
          </cell>
          <cell r="AA1221"/>
          <cell r="AB1221">
            <v>0</v>
          </cell>
          <cell r="AC1221"/>
          <cell r="AD1221">
            <v>0</v>
          </cell>
          <cell r="AE1221"/>
          <cell r="AF1221"/>
          <cell r="AG1221"/>
          <cell r="AH1221"/>
          <cell r="AI1221"/>
          <cell r="AJ1221">
            <v>0</v>
          </cell>
          <cell r="AK1221" t="str">
            <v>3P</v>
          </cell>
          <cell r="AL1221">
            <v>213</v>
          </cell>
          <cell r="AM1221">
            <v>374</v>
          </cell>
          <cell r="AN1221" t="str">
            <v>08 Inactive Dealer</v>
          </cell>
          <cell r="AO1221" t="str">
            <v>Southeast</v>
          </cell>
          <cell r="AP1221" t="str">
            <v>North</v>
          </cell>
          <cell r="AQ1221"/>
          <cell r="AR1221">
            <v>0</v>
          </cell>
          <cell r="AS1221">
            <v>0</v>
          </cell>
        </row>
        <row r="1222">
          <cell r="A1222">
            <v>12993</v>
          </cell>
          <cell r="B1222" t="str">
            <v>ELLIOTT'S AUTO SALES INC</v>
          </cell>
          <cell r="C1222" t="str">
            <v>M10831</v>
          </cell>
          <cell r="D1222" t="str">
            <v>NET 5, BT+</v>
          </cell>
          <cell r="E1222" t="str">
            <v>F4 - Wells Fargo</v>
          </cell>
          <cell r="F1222" t="str">
            <v>Yes</v>
          </cell>
          <cell r="G1222" t="str">
            <v>OH</v>
          </cell>
          <cell r="H1222">
            <v>7</v>
          </cell>
          <cell r="I1222">
            <v>0.66500000000000004</v>
          </cell>
          <cell r="J1222" t="str">
            <v>JL Smith</v>
          </cell>
          <cell r="K1222" t="str">
            <v>SOUTH BOSTON</v>
          </cell>
          <cell r="L1222" t="str">
            <v>VA</v>
          </cell>
          <cell r="M1222" t="str">
            <v>800-577-8858</v>
          </cell>
          <cell r="N1222"/>
          <cell r="O1222">
            <v>1060</v>
          </cell>
          <cell r="P1222">
            <v>4558</v>
          </cell>
          <cell r="Q1222">
            <v>520</v>
          </cell>
          <cell r="R1222">
            <v>2236</v>
          </cell>
          <cell r="S1222"/>
          <cell r="T1222">
            <v>0</v>
          </cell>
          <cell r="U1222">
            <v>1157</v>
          </cell>
          <cell r="V1222">
            <v>4975.0999999999995</v>
          </cell>
          <cell r="W1222">
            <v>1147</v>
          </cell>
          <cell r="X1222">
            <v>4932.0999999999995</v>
          </cell>
          <cell r="Y1222">
            <v>450</v>
          </cell>
          <cell r="Z1222">
            <v>1935</v>
          </cell>
          <cell r="AA1222">
            <v>450</v>
          </cell>
          <cell r="AB1222">
            <v>1935</v>
          </cell>
          <cell r="AC1222">
            <v>450</v>
          </cell>
          <cell r="AD1222">
            <v>1935</v>
          </cell>
          <cell r="AE1222"/>
          <cell r="AF1222"/>
          <cell r="AG1222"/>
          <cell r="AH1222"/>
          <cell r="AI1222"/>
          <cell r="AJ1222">
            <v>0</v>
          </cell>
          <cell r="AK1222" t="str">
            <v>3P</v>
          </cell>
          <cell r="AL1222">
            <v>151</v>
          </cell>
          <cell r="AM1222">
            <v>104</v>
          </cell>
          <cell r="AN1222" t="str">
            <v>01 Existing Dealer</v>
          </cell>
          <cell r="AO1222" t="str">
            <v>Southeast</v>
          </cell>
          <cell r="AP1222" t="str">
            <v>North</v>
          </cell>
          <cell r="AQ1222"/>
          <cell r="AR1222">
            <v>0</v>
          </cell>
          <cell r="AS1222">
            <v>0</v>
          </cell>
        </row>
        <row r="1223">
          <cell r="A1223">
            <v>12799</v>
          </cell>
          <cell r="B1223" t="str">
            <v>HOMESTEAD HARDWARE, LLC</v>
          </cell>
          <cell r="C1223" t="str">
            <v>M10221</v>
          </cell>
          <cell r="D1223" t="str">
            <v>NET 5, BT+</v>
          </cell>
          <cell r="E1223" t="str">
            <v>CO</v>
          </cell>
          <cell r="F1223" t="str">
            <v>Yes</v>
          </cell>
          <cell r="G1223" t="str">
            <v>OH</v>
          </cell>
          <cell r="H1223">
            <v>7</v>
          </cell>
          <cell r="I1223">
            <v>0.66500000000000004</v>
          </cell>
          <cell r="J1223" t="str">
            <v>Orphaned Acct</v>
          </cell>
          <cell r="K1223" t="str">
            <v>WOODFORD</v>
          </cell>
          <cell r="L1223" t="str">
            <v>VA</v>
          </cell>
          <cell r="M1223" t="str">
            <v>800-577-8858</v>
          </cell>
          <cell r="N1223"/>
          <cell r="O1223">
            <v>1194</v>
          </cell>
          <cell r="P1223">
            <v>5134.2</v>
          </cell>
          <cell r="Q1223">
            <v>683</v>
          </cell>
          <cell r="R1223">
            <v>2936.9</v>
          </cell>
          <cell r="S1223"/>
          <cell r="T1223">
            <v>0</v>
          </cell>
          <cell r="U1223">
            <v>1291</v>
          </cell>
          <cell r="V1223">
            <v>5551.3</v>
          </cell>
          <cell r="W1223">
            <v>1274</v>
          </cell>
          <cell r="X1223">
            <v>5478.2</v>
          </cell>
          <cell r="Y1223"/>
          <cell r="Z1223">
            <v>0</v>
          </cell>
          <cell r="AA1223"/>
          <cell r="AB1223">
            <v>0</v>
          </cell>
          <cell r="AC1223"/>
          <cell r="AD1223">
            <v>0</v>
          </cell>
          <cell r="AE1223"/>
          <cell r="AF1223"/>
          <cell r="AG1223"/>
          <cell r="AH1223"/>
          <cell r="AI1223"/>
          <cell r="AJ1223">
            <v>0</v>
          </cell>
          <cell r="AK1223" t="str">
            <v>3P</v>
          </cell>
          <cell r="AL1223">
            <v>213</v>
          </cell>
          <cell r="AM1223">
            <v>156</v>
          </cell>
          <cell r="AN1223" t="str">
            <v>08 Inactive Dealer</v>
          </cell>
          <cell r="AO1223" t="str">
            <v>Southeast</v>
          </cell>
          <cell r="AP1223" t="str">
            <v>North</v>
          </cell>
          <cell r="AQ1223"/>
          <cell r="AR1223">
            <v>0</v>
          </cell>
          <cell r="AS1223">
            <v>0</v>
          </cell>
        </row>
        <row r="1224">
          <cell r="A1224">
            <v>12452</v>
          </cell>
          <cell r="B1224" t="str">
            <v>MARK IV</v>
          </cell>
          <cell r="C1224" t="str">
            <v>M10275</v>
          </cell>
          <cell r="D1224" t="str">
            <v>NET 5, BT+</v>
          </cell>
          <cell r="E1224" t="str">
            <v>F6 - Wells Fargo</v>
          </cell>
          <cell r="F1224" t="str">
            <v>Yes</v>
          </cell>
          <cell r="G1224" t="str">
            <v>OH</v>
          </cell>
          <cell r="H1224">
            <v>8</v>
          </cell>
          <cell r="I1224">
            <v>0.66500000000000004</v>
          </cell>
          <cell r="J1224" t="str">
            <v>JL Smith</v>
          </cell>
          <cell r="K1224" t="str">
            <v>WYTHEVILLE</v>
          </cell>
          <cell r="L1224" t="str">
            <v>VA</v>
          </cell>
          <cell r="M1224" t="str">
            <v>800-577-8858</v>
          </cell>
          <cell r="N1224"/>
          <cell r="O1224">
            <v>907</v>
          </cell>
          <cell r="P1224">
            <v>3900.1</v>
          </cell>
          <cell r="Q1224">
            <v>491</v>
          </cell>
          <cell r="R1224">
            <v>2111.2999999999997</v>
          </cell>
          <cell r="S1224"/>
          <cell r="T1224">
            <v>0</v>
          </cell>
          <cell r="U1224">
            <v>1004</v>
          </cell>
          <cell r="V1224">
            <v>4317.2</v>
          </cell>
          <cell r="W1224">
            <v>988</v>
          </cell>
          <cell r="X1224">
            <v>4248.3999999999996</v>
          </cell>
          <cell r="Y1224">
            <v>296</v>
          </cell>
          <cell r="Z1224">
            <v>1272.8</v>
          </cell>
          <cell r="AA1224">
            <v>296</v>
          </cell>
          <cell r="AB1224">
            <v>1272.8</v>
          </cell>
          <cell r="AC1224">
            <v>296</v>
          </cell>
          <cell r="AD1224">
            <v>1272.8</v>
          </cell>
          <cell r="AE1224"/>
          <cell r="AF1224"/>
          <cell r="AG1224"/>
          <cell r="AH1224"/>
          <cell r="AI1224"/>
          <cell r="AJ1224">
            <v>0</v>
          </cell>
          <cell r="AK1224" t="str">
            <v>3P</v>
          </cell>
          <cell r="AL1224">
            <v>151</v>
          </cell>
          <cell r="AM1224">
            <v>229</v>
          </cell>
          <cell r="AN1224" t="str">
            <v>01 Existing Dealer</v>
          </cell>
          <cell r="AO1224" t="str">
            <v>Southeast</v>
          </cell>
          <cell r="AP1224" t="str">
            <v>North</v>
          </cell>
          <cell r="AQ1224"/>
          <cell r="AR1224">
            <v>0</v>
          </cell>
          <cell r="AS1224">
            <v>0</v>
          </cell>
        </row>
        <row r="1225">
          <cell r="A1225" t="str">
            <v>12452A</v>
          </cell>
          <cell r="B1225" t="str">
            <v>MARK IV</v>
          </cell>
          <cell r="C1225" t="str">
            <v>M10275</v>
          </cell>
          <cell r="D1225" t="str">
            <v>NET 5, BT+</v>
          </cell>
          <cell r="E1225" t="str">
            <v>F6 - Wells Fargo</v>
          </cell>
          <cell r="F1225" t="str">
            <v>Yes</v>
          </cell>
          <cell r="G1225" t="str">
            <v>OH</v>
          </cell>
          <cell r="H1225">
            <v>8</v>
          </cell>
          <cell r="I1225">
            <v>0.66500000000000004</v>
          </cell>
          <cell r="J1225" t="str">
            <v>JL Smith</v>
          </cell>
          <cell r="K1225" t="str">
            <v>RADFORD</v>
          </cell>
          <cell r="L1225" t="str">
            <v>VA</v>
          </cell>
          <cell r="M1225" t="str">
            <v>800-577-8858</v>
          </cell>
          <cell r="N1225"/>
          <cell r="O1225"/>
          <cell r="P1225">
            <v>0</v>
          </cell>
          <cell r="Q1225"/>
          <cell r="R1225">
            <v>0</v>
          </cell>
          <cell r="S1225"/>
          <cell r="T1225">
            <v>0</v>
          </cell>
          <cell r="U1225"/>
          <cell r="V1225">
            <v>0</v>
          </cell>
          <cell r="W1225"/>
          <cell r="X1225">
            <v>0</v>
          </cell>
          <cell r="Y1225"/>
          <cell r="Z1225">
            <v>0</v>
          </cell>
          <cell r="AA1225"/>
          <cell r="AB1225">
            <v>0</v>
          </cell>
          <cell r="AC1225"/>
          <cell r="AD1225">
            <v>0</v>
          </cell>
          <cell r="AE1225"/>
          <cell r="AF1225"/>
          <cell r="AG1225"/>
          <cell r="AH1225"/>
          <cell r="AI1225"/>
          <cell r="AJ1225">
            <v>0</v>
          </cell>
          <cell r="AK1225" t="str">
            <v>3P</v>
          </cell>
          <cell r="AL1225">
            <v>151</v>
          </cell>
          <cell r="AM1225">
            <v>376</v>
          </cell>
          <cell r="AN1225" t="str">
            <v>01 Existing Dealer</v>
          </cell>
          <cell r="AO1225" t="str">
            <v>Southeast</v>
          </cell>
          <cell r="AP1225" t="str">
            <v>North</v>
          </cell>
          <cell r="AQ1225"/>
          <cell r="AR1225">
            <v>0</v>
          </cell>
          <cell r="AS1225">
            <v>0</v>
          </cell>
          <cell r="AT1225"/>
        </row>
        <row r="1226">
          <cell r="A1226">
            <v>13174</v>
          </cell>
          <cell r="B1226" t="str">
            <v>MOTION TRAILER</v>
          </cell>
          <cell r="C1226" t="str">
            <v>M11150</v>
          </cell>
          <cell r="D1226" t="str">
            <v>Return Mail, no pink card</v>
          </cell>
          <cell r="E1226" t="str">
            <v>F3 - Northpoint</v>
          </cell>
          <cell r="F1226" t="str">
            <v>Yes</v>
          </cell>
          <cell r="G1226" t="str">
            <v>OH</v>
          </cell>
          <cell r="H1226">
            <v>8</v>
          </cell>
          <cell r="I1226">
            <v>0.66500000000000004</v>
          </cell>
          <cell r="J1226" t="str">
            <v>Lane Davis</v>
          </cell>
          <cell r="K1226" t="str">
            <v>VIRGINA BEACH</v>
          </cell>
          <cell r="L1226" t="str">
            <v>VA</v>
          </cell>
          <cell r="M1226" t="str">
            <v>800-577-8858</v>
          </cell>
          <cell r="N1226"/>
          <cell r="O1226">
            <v>1250</v>
          </cell>
          <cell r="P1226">
            <v>5375</v>
          </cell>
          <cell r="Q1226">
            <v>653</v>
          </cell>
          <cell r="R1226">
            <v>2807.9</v>
          </cell>
          <cell r="S1226"/>
          <cell r="T1226">
            <v>0</v>
          </cell>
          <cell r="U1226">
            <v>1347</v>
          </cell>
          <cell r="V1226">
            <v>5792.0999999999995</v>
          </cell>
          <cell r="W1226">
            <v>1312</v>
          </cell>
          <cell r="X1226">
            <v>5641.5999999999995</v>
          </cell>
          <cell r="Y1226">
            <v>590</v>
          </cell>
          <cell r="Z1226">
            <v>2537</v>
          </cell>
          <cell r="AA1226">
            <v>590</v>
          </cell>
          <cell r="AB1226">
            <v>2537</v>
          </cell>
          <cell r="AC1226">
            <v>590</v>
          </cell>
          <cell r="AD1226">
            <v>2537</v>
          </cell>
          <cell r="AE1226"/>
          <cell r="AF1226"/>
          <cell r="AG1226"/>
          <cell r="AH1226"/>
          <cell r="AI1226"/>
          <cell r="AJ1226">
            <v>4.4999999999999998E-2</v>
          </cell>
          <cell r="AK1226" t="str">
            <v>3P</v>
          </cell>
          <cell r="AL1226">
            <v>275</v>
          </cell>
          <cell r="AM1226">
            <v>324</v>
          </cell>
          <cell r="AN1226" t="str">
            <v>02 Ramping</v>
          </cell>
          <cell r="AO1226" t="str">
            <v>Southeast</v>
          </cell>
          <cell r="AP1226" t="str">
            <v>North</v>
          </cell>
          <cell r="AQ1226"/>
          <cell r="AR1226">
            <v>215180</v>
          </cell>
          <cell r="AS1226">
            <v>45297</v>
          </cell>
          <cell r="AT1226"/>
        </row>
        <row r="1227">
          <cell r="A1227" t="str">
            <v>13174B</v>
          </cell>
          <cell r="B1227" t="str">
            <v>MOTION TRAILER - GLEN</v>
          </cell>
          <cell r="C1227" t="str">
            <v>M11150</v>
          </cell>
          <cell r="D1227" t="str">
            <v>Return Mail, no pink card</v>
          </cell>
          <cell r="E1227" t="str">
            <v>F3 - Northpoint</v>
          </cell>
          <cell r="F1227" t="str">
            <v>Yes</v>
          </cell>
          <cell r="G1227" t="str">
            <v>OH</v>
          </cell>
          <cell r="H1227">
            <v>8</v>
          </cell>
          <cell r="I1227">
            <v>0.66500000000000004</v>
          </cell>
          <cell r="J1227" t="str">
            <v>Lane Davis</v>
          </cell>
          <cell r="K1227" t="str">
            <v>GLEN ALLEN</v>
          </cell>
          <cell r="L1227" t="str">
            <v>VA</v>
          </cell>
          <cell r="M1227" t="str">
            <v>800-577-8858</v>
          </cell>
          <cell r="N1227"/>
          <cell r="O1227">
            <v>1250</v>
          </cell>
          <cell r="P1227">
            <v>5375</v>
          </cell>
          <cell r="Q1227">
            <v>651</v>
          </cell>
          <cell r="R1227">
            <v>2799.2999999999997</v>
          </cell>
          <cell r="S1227"/>
          <cell r="T1227">
            <v>0</v>
          </cell>
          <cell r="U1227">
            <v>1347</v>
          </cell>
          <cell r="V1227">
            <v>5792.0999999999995</v>
          </cell>
          <cell r="W1227">
            <v>1312</v>
          </cell>
          <cell r="X1227">
            <v>5641.5999999999995</v>
          </cell>
          <cell r="Y1227">
            <v>477</v>
          </cell>
          <cell r="Z1227">
            <v>2051.1</v>
          </cell>
          <cell r="AA1227">
            <v>477</v>
          </cell>
          <cell r="AB1227">
            <v>2051.1</v>
          </cell>
          <cell r="AC1227">
            <v>477</v>
          </cell>
          <cell r="AD1227">
            <v>2051.1</v>
          </cell>
          <cell r="AE1227"/>
          <cell r="AF1227"/>
          <cell r="AG1227"/>
          <cell r="AH1227"/>
          <cell r="AI1227"/>
          <cell r="AJ1227">
            <v>4.4999999999999998E-2</v>
          </cell>
          <cell r="AK1227" t="str">
            <v>3P</v>
          </cell>
          <cell r="AL1227">
            <v>275</v>
          </cell>
          <cell r="AM1227">
            <v>374</v>
          </cell>
          <cell r="AN1227" t="str">
            <v>02 Ramping</v>
          </cell>
          <cell r="AO1227" t="str">
            <v>Southeast</v>
          </cell>
          <cell r="AP1227" t="str">
            <v>North</v>
          </cell>
          <cell r="AQ1227"/>
          <cell r="AR1227">
            <v>0</v>
          </cell>
          <cell r="AS1227">
            <v>0</v>
          </cell>
          <cell r="AT1227"/>
        </row>
        <row r="1228">
          <cell r="A1228">
            <v>13226</v>
          </cell>
          <cell r="B1228" t="str">
            <v>MOTION TRAILER - GLEN</v>
          </cell>
          <cell r="C1228" t="str">
            <v>M11150</v>
          </cell>
          <cell r="D1228" t="str">
            <v>NET 5, BT+</v>
          </cell>
          <cell r="E1228" t="str">
            <v>F3, not using</v>
          </cell>
          <cell r="F1228" t="str">
            <v>Yes</v>
          </cell>
          <cell r="G1228" t="str">
            <v>OH</v>
          </cell>
          <cell r="H1228">
            <v>8</v>
          </cell>
          <cell r="I1228">
            <v>0.66500000000000004</v>
          </cell>
          <cell r="J1228" t="str">
            <v>Lane Davis</v>
          </cell>
          <cell r="K1228" t="str">
            <v>GLEN ALLEN</v>
          </cell>
          <cell r="L1228" t="str">
            <v>VA</v>
          </cell>
          <cell r="M1228" t="str">
            <v>800-577-8858</v>
          </cell>
          <cell r="N1228"/>
          <cell r="O1228">
            <v>1250</v>
          </cell>
          <cell r="P1228">
            <v>5375</v>
          </cell>
          <cell r="Q1228">
            <v>653</v>
          </cell>
          <cell r="R1228">
            <v>2807.9</v>
          </cell>
          <cell r="S1228"/>
          <cell r="T1228">
            <v>0</v>
          </cell>
          <cell r="U1228">
            <v>1347</v>
          </cell>
          <cell r="V1228">
            <v>5792.0999999999995</v>
          </cell>
          <cell r="W1228">
            <v>1312</v>
          </cell>
          <cell r="X1228">
            <v>5641.5999999999995</v>
          </cell>
          <cell r="Y1228">
            <v>477</v>
          </cell>
          <cell r="Z1228">
            <v>2051.1</v>
          </cell>
          <cell r="AA1228">
            <v>477</v>
          </cell>
          <cell r="AB1228">
            <v>2051.1</v>
          </cell>
          <cell r="AC1228">
            <v>477</v>
          </cell>
          <cell r="AD1228">
            <v>2051.1</v>
          </cell>
          <cell r="AE1228"/>
          <cell r="AF1228"/>
          <cell r="AG1228"/>
          <cell r="AH1228"/>
          <cell r="AI1228"/>
          <cell r="AJ1228">
            <v>4.4999999999999998E-2</v>
          </cell>
          <cell r="AK1228" t="str">
            <v>3P</v>
          </cell>
          <cell r="AL1228">
            <v>275</v>
          </cell>
          <cell r="AM1228">
            <v>374</v>
          </cell>
          <cell r="AN1228" t="str">
            <v>02 Ramping</v>
          </cell>
          <cell r="AO1228" t="str">
            <v>Southeast</v>
          </cell>
          <cell r="AP1228" t="str">
            <v>North</v>
          </cell>
          <cell r="AQ1228"/>
          <cell r="AR1228">
            <v>0</v>
          </cell>
          <cell r="AS1228">
            <v>0</v>
          </cell>
        </row>
        <row r="1229">
          <cell r="A1229" t="str">
            <v>13226A</v>
          </cell>
          <cell r="B1229" t="str">
            <v>MOTION TRAILER - GLEN</v>
          </cell>
          <cell r="C1229" t="str">
            <v>M11150</v>
          </cell>
          <cell r="D1229" t="str">
            <v>NET 5, BT+</v>
          </cell>
          <cell r="E1229" t="str">
            <v>F3, not using</v>
          </cell>
          <cell r="F1229" t="str">
            <v>Yes</v>
          </cell>
          <cell r="G1229" t="str">
            <v>OH</v>
          </cell>
          <cell r="H1229">
            <v>8</v>
          </cell>
          <cell r="I1229">
            <v>0.66500000000000004</v>
          </cell>
          <cell r="J1229" t="str">
            <v>Lane Davis</v>
          </cell>
          <cell r="K1229" t="str">
            <v>GLEN ALLEN</v>
          </cell>
          <cell r="L1229" t="str">
            <v>VA</v>
          </cell>
          <cell r="M1229" t="str">
            <v>800-577-8858</v>
          </cell>
          <cell r="N1229"/>
          <cell r="O1229">
            <v>1250</v>
          </cell>
          <cell r="P1229">
            <v>5375</v>
          </cell>
          <cell r="Q1229">
            <v>653</v>
          </cell>
          <cell r="R1229">
            <v>2807.9</v>
          </cell>
          <cell r="S1229"/>
          <cell r="T1229">
            <v>0</v>
          </cell>
          <cell r="U1229">
            <v>1347</v>
          </cell>
          <cell r="V1229">
            <v>5792.0999999999995</v>
          </cell>
          <cell r="W1229">
            <v>1312</v>
          </cell>
          <cell r="X1229">
            <v>5641.5999999999995</v>
          </cell>
          <cell r="Y1229">
            <v>477</v>
          </cell>
          <cell r="Z1229">
            <v>2051.1</v>
          </cell>
          <cell r="AA1229">
            <v>477</v>
          </cell>
          <cell r="AB1229">
            <v>2051.1</v>
          </cell>
          <cell r="AC1229">
            <v>477</v>
          </cell>
          <cell r="AD1229">
            <v>2051.1</v>
          </cell>
          <cell r="AE1229"/>
          <cell r="AF1229"/>
          <cell r="AG1229"/>
          <cell r="AH1229"/>
          <cell r="AI1229"/>
          <cell r="AJ1229">
            <v>4.4999999999999998E-2</v>
          </cell>
          <cell r="AK1229" t="str">
            <v>3P</v>
          </cell>
          <cell r="AL1229">
            <v>275</v>
          </cell>
          <cell r="AM1229">
            <v>374</v>
          </cell>
          <cell r="AN1229" t="str">
            <v>02 Ramping</v>
          </cell>
          <cell r="AO1229" t="str">
            <v>Southeast</v>
          </cell>
          <cell r="AP1229" t="str">
            <v>North</v>
          </cell>
          <cell r="AQ1229"/>
          <cell r="AR1229">
            <v>0</v>
          </cell>
          <cell r="AS1229">
            <v>0</v>
          </cell>
        </row>
        <row r="1230">
          <cell r="A1230" t="str">
            <v>13174A</v>
          </cell>
          <cell r="B1230" t="str">
            <v>MOTION TRAILER - NORFOLK</v>
          </cell>
          <cell r="C1230" t="str">
            <v>M11150</v>
          </cell>
          <cell r="D1230" t="str">
            <v>Return Mail, no pink card</v>
          </cell>
          <cell r="E1230" t="str">
            <v>F3 - Northpoint</v>
          </cell>
          <cell r="F1230" t="str">
            <v>Yes</v>
          </cell>
          <cell r="G1230" t="str">
            <v>OH</v>
          </cell>
          <cell r="H1230">
            <v>8</v>
          </cell>
          <cell r="I1230">
            <v>0.66500000000000004</v>
          </cell>
          <cell r="J1230" t="str">
            <v>Lane Davis</v>
          </cell>
          <cell r="K1230" t="str">
            <v>NORFOLK</v>
          </cell>
          <cell r="L1230" t="str">
            <v>VA</v>
          </cell>
          <cell r="M1230" t="str">
            <v>800-577-8858</v>
          </cell>
          <cell r="N1230"/>
          <cell r="O1230">
            <v>1250</v>
          </cell>
          <cell r="P1230">
            <v>5375</v>
          </cell>
          <cell r="Q1230">
            <v>652</v>
          </cell>
          <cell r="R1230">
            <v>2803.6</v>
          </cell>
          <cell r="S1230"/>
          <cell r="T1230">
            <v>0</v>
          </cell>
          <cell r="U1230">
            <v>1347</v>
          </cell>
          <cell r="V1230">
            <v>5792.0999999999995</v>
          </cell>
          <cell r="W1230">
            <v>1312</v>
          </cell>
          <cell r="X1230">
            <v>5641.5999999999995</v>
          </cell>
          <cell r="Y1230">
            <v>569</v>
          </cell>
          <cell r="Z1230">
            <v>2446.6999999999998</v>
          </cell>
          <cell r="AA1230">
            <v>569</v>
          </cell>
          <cell r="AB1230">
            <v>2446.6999999999998</v>
          </cell>
          <cell r="AC1230">
            <v>569</v>
          </cell>
          <cell r="AD1230">
            <v>2446.6999999999998</v>
          </cell>
          <cell r="AE1230"/>
          <cell r="AF1230"/>
          <cell r="AG1230"/>
          <cell r="AH1230"/>
          <cell r="AI1230"/>
          <cell r="AJ1230">
            <v>4.4999999999999998E-2</v>
          </cell>
          <cell r="AK1230" t="str">
            <v>3P</v>
          </cell>
          <cell r="AL1230">
            <v>275</v>
          </cell>
          <cell r="AM1230">
            <v>324</v>
          </cell>
          <cell r="AN1230" t="str">
            <v>02 Ramping</v>
          </cell>
          <cell r="AO1230" t="str">
            <v>Southeast</v>
          </cell>
          <cell r="AP1230" t="str">
            <v>North</v>
          </cell>
          <cell r="AQ1230"/>
          <cell r="AR1230">
            <v>0</v>
          </cell>
          <cell r="AS1230">
            <v>0</v>
          </cell>
        </row>
        <row r="1231">
          <cell r="A1231">
            <v>12437</v>
          </cell>
          <cell r="B1231" t="str">
            <v>NEW LONDON</v>
          </cell>
          <cell r="C1231" t="str">
            <v>M10301</v>
          </cell>
          <cell r="D1231" t="str">
            <v>NET 5, BT+</v>
          </cell>
          <cell r="E1231" t="str">
            <v>F6 - Wells Fargo</v>
          </cell>
          <cell r="F1231" t="str">
            <v>Yes</v>
          </cell>
          <cell r="G1231" t="str">
            <v>OH</v>
          </cell>
          <cell r="H1231">
            <v>8</v>
          </cell>
          <cell r="I1231">
            <v>0.66500000000000004</v>
          </cell>
          <cell r="J1231" t="str">
            <v>Dakota Nation</v>
          </cell>
          <cell r="K1231" t="str">
            <v>FOREST</v>
          </cell>
          <cell r="L1231" t="str">
            <v>VA</v>
          </cell>
          <cell r="M1231" t="str">
            <v>800-577-8858</v>
          </cell>
          <cell r="N1231"/>
          <cell r="O1231">
            <v>1029</v>
          </cell>
          <cell r="P1231">
            <v>4424.7</v>
          </cell>
          <cell r="Q1231">
            <v>561</v>
          </cell>
          <cell r="R1231">
            <v>2412.2999999999997</v>
          </cell>
          <cell r="S1231"/>
          <cell r="T1231">
            <v>0</v>
          </cell>
          <cell r="U1231">
            <v>1126</v>
          </cell>
          <cell r="V1231">
            <v>4841.8</v>
          </cell>
          <cell r="W1231">
            <v>1110</v>
          </cell>
          <cell r="X1231">
            <v>4773</v>
          </cell>
          <cell r="Y1231">
            <v>382</v>
          </cell>
          <cell r="Z1231">
            <v>1642.6</v>
          </cell>
          <cell r="AA1231">
            <v>382</v>
          </cell>
          <cell r="AB1231">
            <v>1642.6</v>
          </cell>
          <cell r="AC1231">
            <v>382</v>
          </cell>
          <cell r="AD1231">
            <v>1642.6</v>
          </cell>
          <cell r="AE1231"/>
          <cell r="AF1231"/>
          <cell r="AG1231"/>
          <cell r="AH1231"/>
          <cell r="AI1231"/>
          <cell r="AJ1231">
            <v>0</v>
          </cell>
          <cell r="AK1231" t="str">
            <v>3P</v>
          </cell>
          <cell r="AL1231">
            <v>223</v>
          </cell>
          <cell r="AM1231">
            <v>376</v>
          </cell>
          <cell r="AN1231" t="str">
            <v>01 Existing Dealer</v>
          </cell>
          <cell r="AO1231" t="str">
            <v>Southeast</v>
          </cell>
          <cell r="AP1231" t="str">
            <v>North</v>
          </cell>
          <cell r="AQ1231"/>
          <cell r="AR1231">
            <v>57030</v>
          </cell>
          <cell r="AS1231">
            <v>33822</v>
          </cell>
        </row>
        <row r="1232">
          <cell r="A1232">
            <v>12176</v>
          </cell>
          <cell r="B1232" t="str">
            <v>PIEDMONT POWER</v>
          </cell>
          <cell r="C1232" t="str">
            <v>M10326</v>
          </cell>
          <cell r="D1232" t="str">
            <v>NET 5, BT+</v>
          </cell>
          <cell r="E1232" t="str">
            <v>FP - Wells Fargo</v>
          </cell>
          <cell r="F1232" t="str">
            <v>Yes</v>
          </cell>
          <cell r="G1232" t="str">
            <v>OH</v>
          </cell>
          <cell r="H1232">
            <v>8</v>
          </cell>
          <cell r="I1232">
            <v>0.66500000000000004</v>
          </cell>
          <cell r="J1232" t="str">
            <v>JL Smith</v>
          </cell>
          <cell r="K1232" t="str">
            <v>ORANGE</v>
          </cell>
          <cell r="L1232" t="str">
            <v>VA</v>
          </cell>
          <cell r="M1232" t="str">
            <v>800-577-8858</v>
          </cell>
          <cell r="N1232"/>
          <cell r="O1232">
            <v>1128</v>
          </cell>
          <cell r="P1232">
            <v>4850.3999999999996</v>
          </cell>
          <cell r="Q1232">
            <v>658</v>
          </cell>
          <cell r="R1232">
            <v>2829.4</v>
          </cell>
          <cell r="S1232"/>
          <cell r="T1232">
            <v>0</v>
          </cell>
          <cell r="U1232">
            <v>1224</v>
          </cell>
          <cell r="V1232">
            <v>5263.2</v>
          </cell>
          <cell r="W1232">
            <v>1208</v>
          </cell>
          <cell r="X1232">
            <v>5194.3999999999996</v>
          </cell>
          <cell r="Y1232">
            <v>443</v>
          </cell>
          <cell r="Z1232">
            <v>1904.8999999999999</v>
          </cell>
          <cell r="AA1232">
            <v>443</v>
          </cell>
          <cell r="AB1232">
            <v>1904.8999999999999</v>
          </cell>
          <cell r="AC1232">
            <v>443</v>
          </cell>
          <cell r="AD1232">
            <v>1904.8999999999999</v>
          </cell>
          <cell r="AE1232"/>
          <cell r="AF1232"/>
          <cell r="AG1232"/>
          <cell r="AH1232"/>
          <cell r="AI1232"/>
          <cell r="AJ1232">
            <v>0</v>
          </cell>
          <cell r="AK1232" t="str">
            <v>3P</v>
          </cell>
          <cell r="AL1232">
            <v>213</v>
          </cell>
          <cell r="AM1232">
            <v>75</v>
          </cell>
          <cell r="AN1232" t="str">
            <v>01 Existing Dealer</v>
          </cell>
          <cell r="AO1232" t="str">
            <v>Southeast</v>
          </cell>
          <cell r="AP1232" t="str">
            <v>North</v>
          </cell>
          <cell r="AQ1232"/>
          <cell r="AR1232">
            <v>0</v>
          </cell>
          <cell r="AS1232">
            <v>-72680</v>
          </cell>
        </row>
        <row r="1233">
          <cell r="A1233">
            <v>10426</v>
          </cell>
          <cell r="B1233" t="str">
            <v>RUCKERSVILLE</v>
          </cell>
          <cell r="C1233" t="str">
            <v>M10360</v>
          </cell>
          <cell r="D1233" t="str">
            <v>NET 5, BT+</v>
          </cell>
          <cell r="E1233" t="str">
            <v>CO</v>
          </cell>
          <cell r="F1233" t="str">
            <v>Yes</v>
          </cell>
          <cell r="G1233" t="str">
            <v>OH</v>
          </cell>
          <cell r="H1233">
            <v>6</v>
          </cell>
          <cell r="I1233">
            <v>0.66500000000000004</v>
          </cell>
          <cell r="J1233" t="str">
            <v>Orphaned Acct</v>
          </cell>
          <cell r="K1233" t="str">
            <v>RUCKERSVILLE</v>
          </cell>
          <cell r="L1233" t="str">
            <v>VA</v>
          </cell>
          <cell r="M1233" t="str">
            <v>800-577-8858</v>
          </cell>
          <cell r="N1233"/>
          <cell r="O1233">
            <v>1106</v>
          </cell>
          <cell r="P1233">
            <v>4755.8</v>
          </cell>
          <cell r="Q1233">
            <v>637</v>
          </cell>
          <cell r="R1233">
            <v>2739.1</v>
          </cell>
          <cell r="S1233"/>
          <cell r="T1233">
            <v>0</v>
          </cell>
          <cell r="U1233">
            <v>1203</v>
          </cell>
          <cell r="V1233">
            <v>5172.8999999999996</v>
          </cell>
          <cell r="W1233">
            <v>1187</v>
          </cell>
          <cell r="X1233">
            <v>5104.0999999999995</v>
          </cell>
          <cell r="Y1233">
            <v>431</v>
          </cell>
          <cell r="Z1233">
            <v>1853.3</v>
          </cell>
          <cell r="AA1233">
            <v>431</v>
          </cell>
          <cell r="AB1233">
            <v>1853.3</v>
          </cell>
          <cell r="AC1233">
            <v>431</v>
          </cell>
          <cell r="AD1233">
            <v>1853.3</v>
          </cell>
          <cell r="AE1233"/>
          <cell r="AF1233"/>
          <cell r="AG1233"/>
          <cell r="AH1233"/>
          <cell r="AI1233"/>
          <cell r="AJ1233">
            <v>0</v>
          </cell>
          <cell r="AK1233" t="str">
            <v>3P</v>
          </cell>
          <cell r="AL1233">
            <v>213</v>
          </cell>
          <cell r="AM1233">
            <v>75</v>
          </cell>
          <cell r="AN1233" t="str">
            <v>01 Existing Dealer</v>
          </cell>
          <cell r="AO1233" t="str">
            <v>Southeast</v>
          </cell>
          <cell r="AP1233" t="str">
            <v>North</v>
          </cell>
          <cell r="AQ1233"/>
          <cell r="AR1233">
            <v>0</v>
          </cell>
          <cell r="AS1233">
            <v>0</v>
          </cell>
        </row>
        <row r="1234">
          <cell r="A1234">
            <v>12546</v>
          </cell>
          <cell r="B1234" t="str">
            <v>RUCKERSVILLE</v>
          </cell>
          <cell r="C1234" t="str">
            <v>M10360</v>
          </cell>
          <cell r="D1234" t="str">
            <v>NET 5, BT+</v>
          </cell>
          <cell r="E1234" t="str">
            <v>S1</v>
          </cell>
          <cell r="F1234" t="str">
            <v>Yes</v>
          </cell>
          <cell r="G1234" t="str">
            <v>OH</v>
          </cell>
          <cell r="H1234">
            <v>6</v>
          </cell>
          <cell r="I1234">
            <v>0.66500000000000004</v>
          </cell>
          <cell r="J1234" t="str">
            <v>Orphaned Acct</v>
          </cell>
          <cell r="K1234" t="str">
            <v>RUCKERSVILLE</v>
          </cell>
          <cell r="L1234" t="str">
            <v>VA</v>
          </cell>
          <cell r="M1234" t="str">
            <v>800-577-8858</v>
          </cell>
          <cell r="N1234"/>
          <cell r="O1234">
            <v>1106</v>
          </cell>
          <cell r="P1234">
            <v>4755.8</v>
          </cell>
          <cell r="Q1234">
            <v>637</v>
          </cell>
          <cell r="R1234">
            <v>2739.1</v>
          </cell>
          <cell r="S1234"/>
          <cell r="T1234">
            <v>0</v>
          </cell>
          <cell r="U1234">
            <v>1203</v>
          </cell>
          <cell r="V1234">
            <v>5172.8999999999996</v>
          </cell>
          <cell r="W1234">
            <v>1187</v>
          </cell>
          <cell r="X1234">
            <v>5104.0999999999995</v>
          </cell>
          <cell r="Y1234">
            <v>431</v>
          </cell>
          <cell r="Z1234">
            <v>1853.3</v>
          </cell>
          <cell r="AA1234">
            <v>431</v>
          </cell>
          <cell r="AB1234">
            <v>1853.3</v>
          </cell>
          <cell r="AC1234">
            <v>431</v>
          </cell>
          <cell r="AD1234">
            <v>1853.3</v>
          </cell>
          <cell r="AE1234"/>
          <cell r="AF1234"/>
          <cell r="AG1234"/>
          <cell r="AH1234"/>
          <cell r="AI1234"/>
          <cell r="AJ1234">
            <v>0</v>
          </cell>
          <cell r="AK1234" t="str">
            <v>3P</v>
          </cell>
          <cell r="AL1234">
            <v>213</v>
          </cell>
          <cell r="AM1234">
            <v>75</v>
          </cell>
          <cell r="AN1234" t="str">
            <v>01 Existing Dealer</v>
          </cell>
          <cell r="AO1234" t="str">
            <v>Southeast</v>
          </cell>
          <cell r="AP1234" t="str">
            <v>North</v>
          </cell>
          <cell r="AQ1234"/>
          <cell r="AR1234">
            <v>0</v>
          </cell>
          <cell r="AS1234">
            <v>0</v>
          </cell>
        </row>
        <row r="1235">
          <cell r="A1235">
            <v>13538</v>
          </cell>
          <cell r="B1235" t="str">
            <v>TAYLOR FORBES</v>
          </cell>
          <cell r="C1235" t="str">
            <v>M11286</v>
          </cell>
          <cell r="D1235" t="str">
            <v>NET 5, BT+</v>
          </cell>
          <cell r="E1235">
            <v>5</v>
          </cell>
          <cell r="F1235" t="str">
            <v>Yes</v>
          </cell>
          <cell r="G1235" t="str">
            <v>OH</v>
          </cell>
          <cell r="H1235">
            <v>5</v>
          </cell>
          <cell r="I1235">
            <v>0.66500000000000004</v>
          </cell>
          <cell r="J1235" t="str">
            <v>JL Smith</v>
          </cell>
          <cell r="K1235" t="str">
            <v>FARMVILLE</v>
          </cell>
          <cell r="L1235" t="str">
            <v>VA</v>
          </cell>
          <cell r="M1235" t="str">
            <v>800-577-8858</v>
          </cell>
          <cell r="N1235"/>
          <cell r="O1235">
            <v>1081</v>
          </cell>
          <cell r="P1235">
            <v>4648.3</v>
          </cell>
          <cell r="Q1235">
            <v>575</v>
          </cell>
          <cell r="R1235">
            <v>2472.5</v>
          </cell>
          <cell r="S1235"/>
          <cell r="T1235">
            <v>0</v>
          </cell>
          <cell r="U1235">
            <v>1184</v>
          </cell>
          <cell r="V1235">
            <v>5091.2</v>
          </cell>
          <cell r="W1235">
            <v>1160</v>
          </cell>
          <cell r="X1235">
            <v>4988</v>
          </cell>
          <cell r="Y1235">
            <v>455</v>
          </cell>
          <cell r="Z1235">
            <v>1956.5</v>
          </cell>
          <cell r="AA1235">
            <v>455</v>
          </cell>
          <cell r="AB1235">
            <v>1956.5</v>
          </cell>
          <cell r="AC1235">
            <v>455</v>
          </cell>
          <cell r="AD1235">
            <v>1956.5</v>
          </cell>
          <cell r="AE1235"/>
          <cell r="AF1235"/>
          <cell r="AG1235"/>
          <cell r="AH1235"/>
          <cell r="AI1235"/>
          <cell r="AJ1235">
            <v>0</v>
          </cell>
          <cell r="AK1235" t="str">
            <v>3P</v>
          </cell>
          <cell r="AL1235">
            <v>151</v>
          </cell>
          <cell r="AM1235">
            <v>374</v>
          </cell>
          <cell r="AN1235" t="str">
            <v>03 New Dealer</v>
          </cell>
          <cell r="AO1235" t="str">
            <v>Southeast</v>
          </cell>
          <cell r="AP1235" t="str">
            <v>North</v>
          </cell>
          <cell r="AQ1235"/>
          <cell r="AR1235">
            <v>0</v>
          </cell>
          <cell r="AS1235">
            <v>50873</v>
          </cell>
        </row>
        <row r="1236">
          <cell r="A1236" t="str">
            <v>13029D</v>
          </cell>
          <cell r="B1236" t="str">
            <v>TRUCK'N AMERICA</v>
          </cell>
          <cell r="C1236" t="str">
            <v>M10428</v>
          </cell>
          <cell r="D1236" t="str">
            <v>Net 60, no pink card</v>
          </cell>
          <cell r="E1236">
            <v>60</v>
          </cell>
          <cell r="F1236" t="str">
            <v>Yes</v>
          </cell>
          <cell r="G1236" t="str">
            <v>OH</v>
          </cell>
          <cell r="H1236">
            <v>5</v>
          </cell>
          <cell r="I1236">
            <v>0.66500000000000004</v>
          </cell>
          <cell r="J1236" t="str">
            <v>JL Smith</v>
          </cell>
          <cell r="K1236" t="str">
            <v>PURCELLVILLE</v>
          </cell>
          <cell r="L1236" t="str">
            <v>VA</v>
          </cell>
          <cell r="M1236" t="str">
            <v>800-577-8858</v>
          </cell>
          <cell r="N1236"/>
          <cell r="O1236">
            <v>1176</v>
          </cell>
          <cell r="P1236">
            <v>5056.8</v>
          </cell>
          <cell r="Q1236">
            <v>740</v>
          </cell>
          <cell r="R1236">
            <v>3182</v>
          </cell>
          <cell r="S1236"/>
          <cell r="T1236">
            <v>0</v>
          </cell>
          <cell r="U1236">
            <v>1273</v>
          </cell>
          <cell r="V1236">
            <v>5473.9</v>
          </cell>
          <cell r="W1236">
            <v>1257</v>
          </cell>
          <cell r="X1236">
            <v>5405.0999999999995</v>
          </cell>
          <cell r="Y1236">
            <v>424</v>
          </cell>
          <cell r="Z1236">
            <v>1823.1999999999998</v>
          </cell>
          <cell r="AA1236">
            <v>424</v>
          </cell>
          <cell r="AB1236">
            <v>1823.1999999999998</v>
          </cell>
          <cell r="AC1236">
            <v>424</v>
          </cell>
          <cell r="AD1236">
            <v>1823.1999999999998</v>
          </cell>
          <cell r="AE1236"/>
          <cell r="AF1236"/>
          <cell r="AG1236"/>
          <cell r="AH1236"/>
          <cell r="AI1236"/>
          <cell r="AJ1236">
            <v>5.0000000000000001E-3</v>
          </cell>
          <cell r="AK1236" t="str">
            <v>3P</v>
          </cell>
          <cell r="AL1236">
            <v>151</v>
          </cell>
          <cell r="AM1236">
            <v>461</v>
          </cell>
          <cell r="AN1236" t="str">
            <v>01 Existing Dealer</v>
          </cell>
          <cell r="AO1236" t="str">
            <v>Southeast</v>
          </cell>
          <cell r="AP1236" t="str">
            <v>North</v>
          </cell>
          <cell r="AQ1236"/>
          <cell r="AR1236">
            <v>0</v>
          </cell>
          <cell r="AS1236">
            <v>0</v>
          </cell>
        </row>
        <row r="1237">
          <cell r="A1237" t="str">
            <v>13029E</v>
          </cell>
          <cell r="B1237" t="str">
            <v>TRUCK'N AMERICA</v>
          </cell>
          <cell r="C1237" t="str">
            <v>M10428</v>
          </cell>
          <cell r="D1237" t="str">
            <v>Net 60, no pink card</v>
          </cell>
          <cell r="E1237">
            <v>60</v>
          </cell>
          <cell r="F1237" t="str">
            <v>Yes</v>
          </cell>
          <cell r="G1237" t="str">
            <v>OH</v>
          </cell>
          <cell r="H1237">
            <v>5</v>
          </cell>
          <cell r="I1237">
            <v>0.66500000000000004</v>
          </cell>
          <cell r="J1237" t="str">
            <v>JL Smith</v>
          </cell>
          <cell r="K1237" t="str">
            <v>FREDERICKSBURG</v>
          </cell>
          <cell r="L1237" t="str">
            <v>VA</v>
          </cell>
          <cell r="M1237" t="str">
            <v>800-577-8858</v>
          </cell>
          <cell r="N1237"/>
          <cell r="O1237">
            <v>1170</v>
          </cell>
          <cell r="P1237">
            <v>5031</v>
          </cell>
          <cell r="Q1237">
            <v>701</v>
          </cell>
          <cell r="R1237">
            <v>3014.2999999999997</v>
          </cell>
          <cell r="S1237"/>
          <cell r="T1237">
            <v>0</v>
          </cell>
          <cell r="U1237">
            <v>1267</v>
          </cell>
          <cell r="V1237">
            <v>5448.0999999999995</v>
          </cell>
          <cell r="W1237">
            <v>1250</v>
          </cell>
          <cell r="X1237">
            <v>5375</v>
          </cell>
          <cell r="Y1237">
            <v>481</v>
          </cell>
          <cell r="Z1237">
            <v>2068.2999999999997</v>
          </cell>
          <cell r="AA1237">
            <v>481</v>
          </cell>
          <cell r="AB1237">
            <v>2068.2999999999997</v>
          </cell>
          <cell r="AC1237">
            <v>481</v>
          </cell>
          <cell r="AD1237">
            <v>2068.2999999999997</v>
          </cell>
          <cell r="AE1237"/>
          <cell r="AF1237"/>
          <cell r="AG1237"/>
          <cell r="AH1237"/>
          <cell r="AI1237"/>
          <cell r="AJ1237">
            <v>5.0000000000000001E-3</v>
          </cell>
          <cell r="AK1237" t="str">
            <v>3P</v>
          </cell>
          <cell r="AL1237">
            <v>151</v>
          </cell>
          <cell r="AM1237">
            <v>156</v>
          </cell>
          <cell r="AN1237" t="str">
            <v>01 Existing Dealer</v>
          </cell>
          <cell r="AO1237" t="str">
            <v>Southeast</v>
          </cell>
          <cell r="AP1237" t="str">
            <v>North</v>
          </cell>
          <cell r="AQ1237"/>
          <cell r="AR1237">
            <v>0</v>
          </cell>
          <cell r="AS1237">
            <v>0</v>
          </cell>
        </row>
        <row r="1238">
          <cell r="A1238">
            <v>12928</v>
          </cell>
          <cell r="B1238" t="str">
            <v>TW CULPEPER</v>
          </cell>
          <cell r="C1238" t="str">
            <v>M10078</v>
          </cell>
          <cell r="D1238" t="str">
            <v>Net 30, no pink card</v>
          </cell>
          <cell r="E1238">
            <v>30</v>
          </cell>
          <cell r="F1238" t="str">
            <v>Yes</v>
          </cell>
          <cell r="G1238" t="str">
            <v>OH</v>
          </cell>
          <cell r="H1238">
            <v>10</v>
          </cell>
          <cell r="I1238">
            <v>0.66500000000000004</v>
          </cell>
          <cell r="J1238" t="str">
            <v>Jake McEntee</v>
          </cell>
          <cell r="K1238" t="str">
            <v>CULPEPER</v>
          </cell>
          <cell r="L1238" t="str">
            <v>VA</v>
          </cell>
          <cell r="M1238" t="str">
            <v>800-577-8858</v>
          </cell>
          <cell r="N1238"/>
          <cell r="O1238">
            <v>1136</v>
          </cell>
          <cell r="P1238">
            <v>4884.8</v>
          </cell>
          <cell r="Q1238">
            <v>665</v>
          </cell>
          <cell r="R1238">
            <v>2859.5</v>
          </cell>
          <cell r="S1238"/>
          <cell r="T1238">
            <v>0</v>
          </cell>
          <cell r="U1238">
            <v>1232</v>
          </cell>
          <cell r="V1238">
            <v>5297.5999999999995</v>
          </cell>
          <cell r="W1238">
            <v>1216</v>
          </cell>
          <cell r="X1238">
            <v>5228.8</v>
          </cell>
          <cell r="Y1238">
            <v>457</v>
          </cell>
          <cell r="Z1238">
            <v>1965.1</v>
          </cell>
          <cell r="AA1238">
            <v>457</v>
          </cell>
          <cell r="AB1238">
            <v>1965.1</v>
          </cell>
          <cell r="AC1238">
            <v>457</v>
          </cell>
          <cell r="AD1238">
            <v>1965.1</v>
          </cell>
          <cell r="AE1238">
            <v>2.4E-2</v>
          </cell>
          <cell r="AF1238"/>
          <cell r="AG1238">
            <v>9.1990000000000002E-2</v>
          </cell>
          <cell r="AH1238">
            <v>9.1990000000000002E-2</v>
          </cell>
          <cell r="AI1238">
            <v>9.1990000000000002E-2</v>
          </cell>
          <cell r="AJ1238">
            <v>0.04</v>
          </cell>
          <cell r="AK1238" t="str">
            <v>TW</v>
          </cell>
          <cell r="AL1238">
            <v>161</v>
          </cell>
          <cell r="AM1238">
            <v>461</v>
          </cell>
          <cell r="AN1238" t="str">
            <v>04 Co.Store</v>
          </cell>
          <cell r="AO1238" t="str">
            <v>Southeast</v>
          </cell>
          <cell r="AP1238" t="str">
            <v>North</v>
          </cell>
          <cell r="AQ1238"/>
          <cell r="AR1238">
            <v>139949</v>
          </cell>
          <cell r="AS1238">
            <v>227041</v>
          </cell>
        </row>
        <row r="1239">
          <cell r="A1239">
            <v>12882</v>
          </cell>
          <cell r="B1239" t="str">
            <v>TW GLEN ALLEN</v>
          </cell>
          <cell r="C1239" t="str">
            <v>M10073</v>
          </cell>
          <cell r="D1239" t="str">
            <v>Net 30, no pink card</v>
          </cell>
          <cell r="E1239">
            <v>30</v>
          </cell>
          <cell r="F1239" t="str">
            <v>Yes</v>
          </cell>
          <cell r="G1239" t="str">
            <v>OH</v>
          </cell>
          <cell r="H1239">
            <v>10</v>
          </cell>
          <cell r="I1239">
            <v>0.66500000000000004</v>
          </cell>
          <cell r="J1239" t="str">
            <v>Orphaned Acct</v>
          </cell>
          <cell r="K1239" t="str">
            <v>GLEN ALLEN</v>
          </cell>
          <cell r="L1239" t="str">
            <v>VA</v>
          </cell>
          <cell r="M1239" t="str">
            <v>800-577-8858</v>
          </cell>
          <cell r="N1239"/>
          <cell r="O1239">
            <v>1155</v>
          </cell>
          <cell r="P1239">
            <v>4966.5</v>
          </cell>
          <cell r="Q1239">
            <v>651</v>
          </cell>
          <cell r="R1239">
            <v>2799.2999999999997</v>
          </cell>
          <cell r="S1239"/>
          <cell r="T1239">
            <v>0</v>
          </cell>
          <cell r="U1239">
            <v>1251</v>
          </cell>
          <cell r="V1239">
            <v>5379.3</v>
          </cell>
          <cell r="W1239">
            <v>1235</v>
          </cell>
          <cell r="X1239">
            <v>5310.5</v>
          </cell>
          <cell r="Y1239">
            <v>477</v>
          </cell>
          <cell r="Z1239">
            <v>2051.1</v>
          </cell>
          <cell r="AA1239">
            <v>477</v>
          </cell>
          <cell r="AB1239">
            <v>2051.1</v>
          </cell>
          <cell r="AC1239">
            <v>477</v>
          </cell>
          <cell r="AD1239">
            <v>2051.1</v>
          </cell>
          <cell r="AE1239">
            <v>2.4E-2</v>
          </cell>
          <cell r="AF1239"/>
          <cell r="AG1239">
            <v>9.1990000000000002E-2</v>
          </cell>
          <cell r="AH1239">
            <v>9.1990000000000002E-2</v>
          </cell>
          <cell r="AI1239">
            <v>9.1990000000000002E-2</v>
          </cell>
          <cell r="AJ1239">
            <v>0.04</v>
          </cell>
          <cell r="AK1239" t="str">
            <v>TW</v>
          </cell>
          <cell r="AL1239">
            <v>213</v>
          </cell>
          <cell r="AM1239">
            <v>374</v>
          </cell>
          <cell r="AN1239" t="str">
            <v>09 Inactive Co Store</v>
          </cell>
          <cell r="AO1239" t="str">
            <v>Southeast</v>
          </cell>
          <cell r="AP1239" t="str">
            <v>North</v>
          </cell>
          <cell r="AQ1239"/>
          <cell r="AR1239">
            <v>0</v>
          </cell>
          <cell r="AS1239">
            <v>0</v>
          </cell>
        </row>
        <row r="1240">
          <cell r="A1240">
            <v>12938</v>
          </cell>
          <cell r="B1240" t="str">
            <v>TW NORFOLK</v>
          </cell>
          <cell r="C1240" t="str">
            <v>M10080</v>
          </cell>
          <cell r="D1240" t="str">
            <v>Net 30, no pink card</v>
          </cell>
          <cell r="E1240">
            <v>30</v>
          </cell>
          <cell r="F1240" t="str">
            <v>Yes</v>
          </cell>
          <cell r="G1240" t="str">
            <v>OH</v>
          </cell>
          <cell r="H1240">
            <v>10</v>
          </cell>
          <cell r="I1240">
            <v>0.66500000000000004</v>
          </cell>
          <cell r="J1240" t="str">
            <v>Orphaned Acct</v>
          </cell>
          <cell r="K1240" t="str">
            <v>NORFOLK</v>
          </cell>
          <cell r="L1240" t="str">
            <v>VA</v>
          </cell>
          <cell r="M1240" t="str">
            <v>800-577-8858</v>
          </cell>
          <cell r="N1240"/>
          <cell r="O1240">
            <v>1250</v>
          </cell>
          <cell r="P1240">
            <v>5375</v>
          </cell>
          <cell r="Q1240">
            <v>653</v>
          </cell>
          <cell r="R1240">
            <v>2807.9</v>
          </cell>
          <cell r="S1240"/>
          <cell r="T1240">
            <v>0</v>
          </cell>
          <cell r="U1240">
            <v>1347</v>
          </cell>
          <cell r="V1240">
            <v>5792.0999999999995</v>
          </cell>
          <cell r="W1240">
            <v>1312</v>
          </cell>
          <cell r="X1240">
            <v>5641.5999999999995</v>
          </cell>
          <cell r="Y1240">
            <v>576</v>
          </cell>
          <cell r="Z1240">
            <v>2476.7999999999997</v>
          </cell>
          <cell r="AA1240">
            <v>576</v>
          </cell>
          <cell r="AB1240">
            <v>2476.7999999999997</v>
          </cell>
          <cell r="AC1240">
            <v>576</v>
          </cell>
          <cell r="AD1240">
            <v>2476.7999999999997</v>
          </cell>
          <cell r="AE1240">
            <v>2.4E-2</v>
          </cell>
          <cell r="AF1240"/>
          <cell r="AG1240">
            <v>9.1990000000000002E-2</v>
          </cell>
          <cell r="AH1240">
            <v>9.1990000000000002E-2</v>
          </cell>
          <cell r="AI1240">
            <v>9.1990000000000002E-2</v>
          </cell>
          <cell r="AJ1240">
            <v>0.04</v>
          </cell>
          <cell r="AK1240" t="str">
            <v>TW</v>
          </cell>
          <cell r="AL1240">
            <v>213</v>
          </cell>
          <cell r="AM1240">
            <v>324</v>
          </cell>
          <cell r="AN1240" t="str">
            <v>09 Inactive Co Store</v>
          </cell>
          <cell r="AO1240" t="str">
            <v>Southeast</v>
          </cell>
          <cell r="AP1240" t="str">
            <v>North</v>
          </cell>
          <cell r="AQ1240"/>
          <cell r="AR1240">
            <v>0</v>
          </cell>
          <cell r="AS1240">
            <v>0</v>
          </cell>
        </row>
        <row r="1241">
          <cell r="A1241">
            <v>13617</v>
          </cell>
          <cell r="B1241" t="str">
            <v>WRIGHT WAY MOTORS</v>
          </cell>
          <cell r="C1241" t="str">
            <v>M11594</v>
          </cell>
          <cell r="D1241" t="str">
            <v>NET 5, BT+</v>
          </cell>
          <cell r="E1241" t="str">
            <v>CO</v>
          </cell>
          <cell r="F1241" t="str">
            <v>Yes</v>
          </cell>
          <cell r="G1241" t="str">
            <v>OH</v>
          </cell>
          <cell r="H1241">
            <v>7</v>
          </cell>
          <cell r="I1241">
            <v>0.66500000000000004</v>
          </cell>
          <cell r="J1241" t="str">
            <v>JL Smith</v>
          </cell>
          <cell r="K1241" t="str">
            <v>COVINGTON</v>
          </cell>
          <cell r="L1241" t="str">
            <v>VA</v>
          </cell>
          <cell r="M1241" t="str">
            <v>800-577-8858</v>
          </cell>
          <cell r="N1241"/>
          <cell r="O1241">
            <v>1031</v>
          </cell>
          <cell r="P1241">
            <v>4433.3</v>
          </cell>
          <cell r="Q1241">
            <v>567</v>
          </cell>
          <cell r="R1241">
            <v>2438.1</v>
          </cell>
          <cell r="S1241"/>
          <cell r="T1241">
            <v>0</v>
          </cell>
          <cell r="U1241">
            <v>1188</v>
          </cell>
          <cell r="V1241">
            <v>5108.3999999999996</v>
          </cell>
          <cell r="W1241">
            <v>1112</v>
          </cell>
          <cell r="X1241">
            <v>4781.5999999999995</v>
          </cell>
          <cell r="Y1241"/>
          <cell r="Z1241">
            <v>0</v>
          </cell>
          <cell r="AA1241">
            <v>318</v>
          </cell>
          <cell r="AB1241">
            <v>1367.3999999999999</v>
          </cell>
          <cell r="AC1241">
            <v>318</v>
          </cell>
          <cell r="AD1241">
            <v>1367.3999999999999</v>
          </cell>
          <cell r="AE1241"/>
          <cell r="AF1241"/>
          <cell r="AG1241"/>
          <cell r="AH1241"/>
          <cell r="AI1241"/>
          <cell r="AJ1241">
            <v>0</v>
          </cell>
          <cell r="AK1241" t="str">
            <v>3P</v>
          </cell>
          <cell r="AL1241">
            <v>151</v>
          </cell>
          <cell r="AM1241">
            <v>376</v>
          </cell>
          <cell r="AN1241" t="str">
            <v>03 New Dealer</v>
          </cell>
          <cell r="AO1241" t="str">
            <v>Southeast</v>
          </cell>
          <cell r="AP1241" t="str">
            <v>North</v>
          </cell>
          <cell r="AQ1241">
            <v>24426</v>
          </cell>
          <cell r="AR1241">
            <v>0</v>
          </cell>
          <cell r="AS1241">
            <v>0</v>
          </cell>
        </row>
        <row r="1242">
          <cell r="A1242">
            <v>13232</v>
          </cell>
          <cell r="B1242" t="str">
            <v>BIG TEX - BURLINGTON</v>
          </cell>
          <cell r="C1242" t="str">
            <v>M11125</v>
          </cell>
          <cell r="D1242" t="str">
            <v>Net 30, no pink card</v>
          </cell>
          <cell r="E1242">
            <v>30</v>
          </cell>
          <cell r="F1242" t="str">
            <v>Yes</v>
          </cell>
          <cell r="G1242" t="str">
            <v>OH</v>
          </cell>
          <cell r="H1242">
            <v>10</v>
          </cell>
          <cell r="I1242">
            <v>0.66500000000000004</v>
          </cell>
          <cell r="J1242" t="str">
            <v>Jake McEntee</v>
          </cell>
          <cell r="K1242" t="str">
            <v>COLCHESTER</v>
          </cell>
          <cell r="L1242" t="str">
            <v>VT</v>
          </cell>
          <cell r="M1242" t="str">
            <v>800-577-8858</v>
          </cell>
          <cell r="N1242"/>
          <cell r="O1242">
            <v>1653</v>
          </cell>
          <cell r="P1242">
            <v>7107.9</v>
          </cell>
          <cell r="Q1242">
            <v>1271</v>
          </cell>
          <cell r="R1242">
            <v>5465.3</v>
          </cell>
          <cell r="S1242"/>
          <cell r="T1242">
            <v>0</v>
          </cell>
          <cell r="U1242">
            <v>1733</v>
          </cell>
          <cell r="V1242">
            <v>7451.9</v>
          </cell>
          <cell r="W1242">
            <v>1733</v>
          </cell>
          <cell r="X1242">
            <v>7451.9</v>
          </cell>
          <cell r="Y1242">
            <v>791</v>
          </cell>
          <cell r="Z1242">
            <v>3401.2999999999997</v>
          </cell>
          <cell r="AA1242">
            <v>791</v>
          </cell>
          <cell r="AB1242">
            <v>3401.2999999999997</v>
          </cell>
          <cell r="AC1242">
            <v>791</v>
          </cell>
          <cell r="AD1242">
            <v>3401.2999999999997</v>
          </cell>
          <cell r="AE1242"/>
          <cell r="AF1242"/>
          <cell r="AG1242"/>
          <cell r="AH1242"/>
          <cell r="AI1242"/>
          <cell r="AJ1242">
            <v>0.04</v>
          </cell>
          <cell r="AK1242" t="str">
            <v>TW</v>
          </cell>
          <cell r="AL1242">
            <v>161</v>
          </cell>
          <cell r="AM1242">
            <v>63</v>
          </cell>
          <cell r="AN1242" t="str">
            <v>04 Co.Store</v>
          </cell>
          <cell r="AO1242" t="str">
            <v>Northeast</v>
          </cell>
          <cell r="AP1242" t="str">
            <v>North</v>
          </cell>
          <cell r="AQ1242"/>
          <cell r="AR1242">
            <v>0</v>
          </cell>
          <cell r="AS1242">
            <v>0</v>
          </cell>
        </row>
        <row r="1243">
          <cell r="A1243">
            <v>13230</v>
          </cell>
          <cell r="B1243" t="str">
            <v>BIG TEX - RUTLAND</v>
          </cell>
          <cell r="C1243" t="str">
            <v>M11131</v>
          </cell>
          <cell r="D1243" t="str">
            <v>Net 30, no pink card</v>
          </cell>
          <cell r="E1243">
            <v>30</v>
          </cell>
          <cell r="F1243" t="str">
            <v>Yes</v>
          </cell>
          <cell r="G1243" t="str">
            <v>OH</v>
          </cell>
          <cell r="H1243">
            <v>10</v>
          </cell>
          <cell r="I1243">
            <v>0.66500000000000004</v>
          </cell>
          <cell r="J1243" t="str">
            <v>Jake McEntee</v>
          </cell>
          <cell r="K1243" t="str">
            <v>NORTH CLARENDON</v>
          </cell>
          <cell r="L1243" t="str">
            <v>VT</v>
          </cell>
          <cell r="M1243" t="str">
            <v>800-577-8858</v>
          </cell>
          <cell r="N1243"/>
          <cell r="O1243">
            <v>1600</v>
          </cell>
          <cell r="P1243">
            <v>6880</v>
          </cell>
          <cell r="Q1243">
            <v>1206</v>
          </cell>
          <cell r="R1243">
            <v>5185.8</v>
          </cell>
          <cell r="S1243"/>
          <cell r="T1243">
            <v>0</v>
          </cell>
          <cell r="U1243">
            <v>1654</v>
          </cell>
          <cell r="V1243">
            <v>7112.2</v>
          </cell>
          <cell r="W1243">
            <v>1681</v>
          </cell>
          <cell r="X1243">
            <v>7228.2999999999993</v>
          </cell>
          <cell r="Y1243">
            <v>768</v>
          </cell>
          <cell r="Z1243">
            <v>3302.3999999999996</v>
          </cell>
          <cell r="AA1243">
            <v>768</v>
          </cell>
          <cell r="AB1243">
            <v>3302.3999999999996</v>
          </cell>
          <cell r="AC1243">
            <v>768</v>
          </cell>
          <cell r="AD1243">
            <v>3302.3999999999996</v>
          </cell>
          <cell r="AE1243"/>
          <cell r="AF1243"/>
          <cell r="AG1243"/>
          <cell r="AH1243"/>
          <cell r="AI1243"/>
          <cell r="AJ1243">
            <v>0.04</v>
          </cell>
          <cell r="AK1243" t="str">
            <v>TW</v>
          </cell>
          <cell r="AL1243">
            <v>161</v>
          </cell>
          <cell r="AM1243">
            <v>388</v>
          </cell>
          <cell r="AN1243" t="str">
            <v>04 Co.Store</v>
          </cell>
          <cell r="AO1243" t="str">
            <v>Northeast</v>
          </cell>
          <cell r="AP1243" t="str">
            <v>North</v>
          </cell>
          <cell r="AQ1243"/>
          <cell r="AR1243">
            <v>0</v>
          </cell>
          <cell r="AS1243">
            <v>0</v>
          </cell>
        </row>
        <row r="1244">
          <cell r="A1244">
            <v>13231</v>
          </cell>
          <cell r="B1244" t="str">
            <v>BIG TEX - SOUTH ROYALTON</v>
          </cell>
          <cell r="C1244" t="str">
            <v>M10271</v>
          </cell>
          <cell r="D1244" t="str">
            <v>Net 30, no pink card</v>
          </cell>
          <cell r="E1244">
            <v>30</v>
          </cell>
          <cell r="F1244" t="str">
            <v>Yes</v>
          </cell>
          <cell r="G1244" t="str">
            <v>OH</v>
          </cell>
          <cell r="H1244">
            <v>10</v>
          </cell>
          <cell r="I1244">
            <v>0.66500000000000004</v>
          </cell>
          <cell r="J1244" t="str">
            <v>Jake McEntee</v>
          </cell>
          <cell r="K1244" t="str">
            <v>SOUTH ROYALTON</v>
          </cell>
          <cell r="L1244" t="str">
            <v>VT</v>
          </cell>
          <cell r="M1244" t="str">
            <v>800-577-8858</v>
          </cell>
          <cell r="N1244"/>
          <cell r="O1244">
            <v>1712</v>
          </cell>
          <cell r="P1244">
            <v>7361.5999999999995</v>
          </cell>
          <cell r="Q1244">
            <v>1257</v>
          </cell>
          <cell r="R1244">
            <v>5405.0999999999995</v>
          </cell>
          <cell r="S1244"/>
          <cell r="T1244">
            <v>0</v>
          </cell>
          <cell r="U1244">
            <v>1702</v>
          </cell>
          <cell r="V1244">
            <v>7318.5999999999995</v>
          </cell>
          <cell r="W1244">
            <v>1793</v>
          </cell>
          <cell r="X1244">
            <v>7709.9</v>
          </cell>
          <cell r="Y1244">
            <v>807</v>
          </cell>
          <cell r="Z1244">
            <v>3470.1</v>
          </cell>
          <cell r="AA1244">
            <v>807</v>
          </cell>
          <cell r="AB1244">
            <v>3470.1</v>
          </cell>
          <cell r="AC1244">
            <v>807</v>
          </cell>
          <cell r="AD1244">
            <v>3470.1</v>
          </cell>
          <cell r="AE1244"/>
          <cell r="AF1244"/>
          <cell r="AG1244"/>
          <cell r="AH1244"/>
          <cell r="AI1244"/>
          <cell r="AJ1244">
            <v>0.04</v>
          </cell>
          <cell r="AK1244" t="str">
            <v>TW</v>
          </cell>
          <cell r="AL1244">
            <v>161</v>
          </cell>
          <cell r="AM1244">
            <v>249</v>
          </cell>
          <cell r="AN1244" t="str">
            <v>04 Co.Store</v>
          </cell>
          <cell r="AO1244" t="str">
            <v>Northeast</v>
          </cell>
          <cell r="AP1244" t="str">
            <v>North</v>
          </cell>
          <cell r="AQ1244"/>
          <cell r="AR1244">
            <v>0</v>
          </cell>
          <cell r="AS1244">
            <v>0</v>
          </cell>
        </row>
        <row r="1245">
          <cell r="A1245">
            <v>12877</v>
          </cell>
          <cell r="B1245" t="str">
            <v>CARROLL'S AUTOMOTIVE INC</v>
          </cell>
          <cell r="C1245" t="str">
            <v>M10134</v>
          </cell>
          <cell r="D1245" t="str">
            <v>NET 5, BT+</v>
          </cell>
          <cell r="E1245" t="str">
            <v>FP</v>
          </cell>
          <cell r="F1245" t="str">
            <v>Yes</v>
          </cell>
          <cell r="G1245" t="str">
            <v>OH</v>
          </cell>
          <cell r="H1245">
            <v>8</v>
          </cell>
          <cell r="I1245">
            <v>0.66500000000000004</v>
          </cell>
          <cell r="J1245" t="str">
            <v>Orphaned Acct</v>
          </cell>
          <cell r="K1245" t="str">
            <v>LYNDONVILLE</v>
          </cell>
          <cell r="L1245" t="str">
            <v>VT</v>
          </cell>
          <cell r="M1245" t="str">
            <v>800-577-8858</v>
          </cell>
          <cell r="N1245"/>
          <cell r="O1245">
            <v>1763</v>
          </cell>
          <cell r="P1245">
            <v>7580.9</v>
          </cell>
          <cell r="Q1245">
            <v>1121</v>
          </cell>
          <cell r="R1245">
            <v>4820.3</v>
          </cell>
          <cell r="S1245"/>
          <cell r="T1245">
            <v>0</v>
          </cell>
          <cell r="U1245">
            <v>1790</v>
          </cell>
          <cell r="V1245">
            <v>7697</v>
          </cell>
          <cell r="W1245">
            <v>1843</v>
          </cell>
          <cell r="X1245">
            <v>7924.9</v>
          </cell>
          <cell r="Y1245">
            <v>893</v>
          </cell>
          <cell r="Z1245">
            <v>3839.8999999999996</v>
          </cell>
          <cell r="AA1245">
            <v>893</v>
          </cell>
          <cell r="AB1245">
            <v>3839.8999999999996</v>
          </cell>
          <cell r="AC1245">
            <v>893</v>
          </cell>
          <cell r="AD1245">
            <v>3839.8999999999996</v>
          </cell>
          <cell r="AE1245"/>
          <cell r="AF1245"/>
          <cell r="AG1245"/>
          <cell r="AH1245"/>
          <cell r="AI1245"/>
          <cell r="AJ1245">
            <v>0</v>
          </cell>
          <cell r="AK1245" t="str">
            <v>3P</v>
          </cell>
          <cell r="AL1245">
            <v>213</v>
          </cell>
          <cell r="AM1245">
            <v>63</v>
          </cell>
          <cell r="AN1245" t="str">
            <v>08 Inactive Dealer</v>
          </cell>
          <cell r="AO1245" t="str">
            <v>Northeast</v>
          </cell>
          <cell r="AP1245" t="str">
            <v>North</v>
          </cell>
          <cell r="AQ1245"/>
          <cell r="AR1245">
            <v>0</v>
          </cell>
          <cell r="AS1245">
            <v>0</v>
          </cell>
        </row>
        <row r="1246">
          <cell r="A1246">
            <v>12038</v>
          </cell>
          <cell r="B1246" t="str">
            <v>CHAMPLAIN VALLEY</v>
          </cell>
          <cell r="C1246" t="str">
            <v>M10140</v>
          </cell>
          <cell r="D1246" t="str">
            <v>NET 5, BT+</v>
          </cell>
          <cell r="E1246" t="str">
            <v>FP</v>
          </cell>
          <cell r="F1246" t="str">
            <v>Yes</v>
          </cell>
          <cell r="G1246" t="str">
            <v>OH</v>
          </cell>
          <cell r="H1246">
            <v>8</v>
          </cell>
          <cell r="I1246">
            <v>0.66500000000000004</v>
          </cell>
          <cell r="J1246" t="str">
            <v>Orphaned Acct</v>
          </cell>
          <cell r="K1246" t="str">
            <v>MIDDLEBURY</v>
          </cell>
          <cell r="L1246" t="str">
            <v>VT</v>
          </cell>
          <cell r="M1246" t="str">
            <v>800-577-8858</v>
          </cell>
          <cell r="N1246"/>
          <cell r="O1246">
            <v>1615</v>
          </cell>
          <cell r="P1246">
            <v>6944.5</v>
          </cell>
          <cell r="Q1246">
            <v>1234</v>
          </cell>
          <cell r="R1246">
            <v>5306.2</v>
          </cell>
          <cell r="S1246"/>
          <cell r="T1246">
            <v>0</v>
          </cell>
          <cell r="U1246">
            <v>1669</v>
          </cell>
          <cell r="V1246">
            <v>7176.7</v>
          </cell>
          <cell r="W1246">
            <v>1696</v>
          </cell>
          <cell r="X1246">
            <v>7292.7999999999993</v>
          </cell>
          <cell r="Y1246">
            <v>763</v>
          </cell>
          <cell r="Z1246">
            <v>3280.9</v>
          </cell>
          <cell r="AA1246">
            <v>763</v>
          </cell>
          <cell r="AB1246">
            <v>3280.9</v>
          </cell>
          <cell r="AC1246">
            <v>763</v>
          </cell>
          <cell r="AD1246">
            <v>3280.9</v>
          </cell>
          <cell r="AE1246"/>
          <cell r="AF1246"/>
          <cell r="AG1246"/>
          <cell r="AH1246"/>
          <cell r="AI1246"/>
          <cell r="AJ1246">
            <v>0</v>
          </cell>
          <cell r="AK1246" t="str">
            <v>3P</v>
          </cell>
          <cell r="AL1246">
            <v>213</v>
          </cell>
          <cell r="AM1246">
            <v>63</v>
          </cell>
          <cell r="AN1246" t="str">
            <v>01 Existing Dealer</v>
          </cell>
          <cell r="AO1246" t="str">
            <v>Northeast</v>
          </cell>
          <cell r="AP1246" t="str">
            <v>North</v>
          </cell>
          <cell r="AQ1246"/>
          <cell r="AR1246">
            <v>0</v>
          </cell>
          <cell r="AS1246">
            <v>0</v>
          </cell>
        </row>
        <row r="1247">
          <cell r="A1247" t="str">
            <v>12038A</v>
          </cell>
          <cell r="B1247" t="str">
            <v>CHAMPLAIN VALLEY</v>
          </cell>
          <cell r="C1247" t="str">
            <v>M10140</v>
          </cell>
          <cell r="D1247" t="str">
            <v>NET 5, BT+</v>
          </cell>
          <cell r="E1247" t="str">
            <v>FP</v>
          </cell>
          <cell r="F1247" t="str">
            <v>Yes</v>
          </cell>
          <cell r="G1247" t="str">
            <v>OH</v>
          </cell>
          <cell r="H1247">
            <v>8</v>
          </cell>
          <cell r="I1247">
            <v>0.66500000000000004</v>
          </cell>
          <cell r="J1247" t="str">
            <v>Orphaned Acct</v>
          </cell>
          <cell r="K1247" t="str">
            <v>DERBY</v>
          </cell>
          <cell r="L1247" t="str">
            <v>VT</v>
          </cell>
          <cell r="M1247" t="str">
            <v>800-577-8858</v>
          </cell>
          <cell r="N1247"/>
          <cell r="O1247">
            <v>1732</v>
          </cell>
          <cell r="P1247">
            <v>7447.5999999999995</v>
          </cell>
          <cell r="Q1247">
            <v>1342</v>
          </cell>
          <cell r="R1247">
            <v>5770.5999999999995</v>
          </cell>
          <cell r="S1247"/>
          <cell r="T1247">
            <v>0</v>
          </cell>
          <cell r="U1247">
            <v>1756</v>
          </cell>
          <cell r="V1247">
            <v>7550.7999999999993</v>
          </cell>
          <cell r="W1247">
            <v>1812</v>
          </cell>
          <cell r="X1247">
            <v>7791.5999999999995</v>
          </cell>
          <cell r="Y1247">
            <v>864</v>
          </cell>
          <cell r="Z1247">
            <v>3715.2</v>
          </cell>
          <cell r="AA1247">
            <v>864</v>
          </cell>
          <cell r="AB1247">
            <v>3715.2</v>
          </cell>
          <cell r="AC1247">
            <v>864</v>
          </cell>
          <cell r="AD1247">
            <v>3715.2</v>
          </cell>
          <cell r="AE1247"/>
          <cell r="AF1247"/>
          <cell r="AG1247"/>
          <cell r="AH1247"/>
          <cell r="AI1247"/>
          <cell r="AJ1247">
            <v>0</v>
          </cell>
          <cell r="AK1247" t="str">
            <v>3P</v>
          </cell>
          <cell r="AL1247">
            <v>213</v>
          </cell>
          <cell r="AM1247">
            <v>63</v>
          </cell>
          <cell r="AN1247" t="str">
            <v>01 Existing Dealer</v>
          </cell>
          <cell r="AO1247" t="str">
            <v>Northeast</v>
          </cell>
          <cell r="AP1247" t="str">
            <v>North</v>
          </cell>
          <cell r="AQ1247"/>
          <cell r="AR1247">
            <v>0</v>
          </cell>
          <cell r="AS1247">
            <v>0</v>
          </cell>
        </row>
        <row r="1248">
          <cell r="A1248" t="str">
            <v>12038B</v>
          </cell>
          <cell r="B1248" t="str">
            <v>CHAMPLAIN VALLEY</v>
          </cell>
          <cell r="C1248" t="str">
            <v>M10140</v>
          </cell>
          <cell r="D1248" t="str">
            <v>NET 5, BT+</v>
          </cell>
          <cell r="E1248" t="str">
            <v>FP</v>
          </cell>
          <cell r="F1248" t="str">
            <v>Yes</v>
          </cell>
          <cell r="G1248" t="str">
            <v>OH</v>
          </cell>
          <cell r="H1248">
            <v>8</v>
          </cell>
          <cell r="I1248">
            <v>0.66500000000000004</v>
          </cell>
          <cell r="J1248" t="str">
            <v>Orphaned Acct</v>
          </cell>
          <cell r="K1248" t="str">
            <v>ST. ALBANS</v>
          </cell>
          <cell r="L1248" t="str">
            <v>VT</v>
          </cell>
          <cell r="M1248" t="str">
            <v>800-577-8858</v>
          </cell>
          <cell r="N1248"/>
          <cell r="O1248">
            <v>1688</v>
          </cell>
          <cell r="P1248">
            <v>7258.4</v>
          </cell>
          <cell r="Q1248">
            <v>1291</v>
          </cell>
          <cell r="R1248">
            <v>5551.3</v>
          </cell>
          <cell r="S1248"/>
          <cell r="T1248">
            <v>0</v>
          </cell>
          <cell r="U1248">
            <v>1712</v>
          </cell>
          <cell r="V1248">
            <v>7361.5999999999995</v>
          </cell>
          <cell r="W1248">
            <v>1768</v>
          </cell>
          <cell r="X1248">
            <v>7602.4</v>
          </cell>
          <cell r="Y1248">
            <v>811</v>
          </cell>
          <cell r="Z1248">
            <v>3487.2999999999997</v>
          </cell>
          <cell r="AA1248">
            <v>811</v>
          </cell>
          <cell r="AB1248">
            <v>3487.2999999999997</v>
          </cell>
          <cell r="AC1248">
            <v>811</v>
          </cell>
          <cell r="AD1248">
            <v>3487.2999999999997</v>
          </cell>
          <cell r="AE1248"/>
          <cell r="AF1248"/>
          <cell r="AG1248"/>
          <cell r="AH1248"/>
          <cell r="AI1248"/>
          <cell r="AJ1248">
            <v>0</v>
          </cell>
          <cell r="AK1248" t="str">
            <v>3P</v>
          </cell>
          <cell r="AL1248">
            <v>213</v>
          </cell>
          <cell r="AM1248">
            <v>63</v>
          </cell>
          <cell r="AN1248" t="str">
            <v>01 Existing Dealer</v>
          </cell>
          <cell r="AO1248" t="str">
            <v>Northeast</v>
          </cell>
          <cell r="AP1248" t="str">
            <v>North</v>
          </cell>
          <cell r="AQ1248"/>
          <cell r="AR1248">
            <v>0</v>
          </cell>
          <cell r="AS1248">
            <v>0</v>
          </cell>
        </row>
        <row r="1249">
          <cell r="A1249">
            <v>13025</v>
          </cell>
          <cell r="B1249" t="str">
            <v>COUNTRY MOTORS INC dba COUNTRY AG</v>
          </cell>
          <cell r="C1249" t="str">
            <v>M10879</v>
          </cell>
          <cell r="D1249" t="str">
            <v>NET 5, BT+</v>
          </cell>
          <cell r="E1249" t="str">
            <v>CO</v>
          </cell>
          <cell r="F1249" t="str">
            <v>Yes</v>
          </cell>
          <cell r="G1249" t="str">
            <v>OH</v>
          </cell>
          <cell r="H1249">
            <v>7</v>
          </cell>
          <cell r="I1249">
            <v>0.66500000000000004</v>
          </cell>
          <cell r="J1249" t="str">
            <v>Orphaned Acct</v>
          </cell>
          <cell r="K1249" t="str">
            <v>ORWELL</v>
          </cell>
          <cell r="L1249" t="str">
            <v>VT</v>
          </cell>
          <cell r="M1249" t="str">
            <v>800-577-8858</v>
          </cell>
          <cell r="N1249"/>
          <cell r="O1249">
            <v>1597</v>
          </cell>
          <cell r="P1249">
            <v>6867.0999999999995</v>
          </cell>
          <cell r="Q1249">
            <v>1266</v>
          </cell>
          <cell r="R1249">
            <v>5443.8</v>
          </cell>
          <cell r="S1249"/>
          <cell r="T1249">
            <v>0</v>
          </cell>
          <cell r="U1249">
            <v>1651</v>
          </cell>
          <cell r="V1249">
            <v>7099.2999999999993</v>
          </cell>
          <cell r="W1249">
            <v>1677</v>
          </cell>
          <cell r="X1249">
            <v>7211.0999999999995</v>
          </cell>
          <cell r="Y1249">
            <v>765</v>
          </cell>
          <cell r="Z1249">
            <v>3289.5</v>
          </cell>
          <cell r="AA1249">
            <v>765</v>
          </cell>
          <cell r="AB1249">
            <v>3289.5</v>
          </cell>
          <cell r="AC1249">
            <v>765</v>
          </cell>
          <cell r="AD1249">
            <v>3289.5</v>
          </cell>
          <cell r="AE1249"/>
          <cell r="AF1249"/>
          <cell r="AG1249"/>
          <cell r="AH1249"/>
          <cell r="AI1249"/>
          <cell r="AJ1249">
            <v>0</v>
          </cell>
          <cell r="AK1249" t="str">
            <v>3P</v>
          </cell>
          <cell r="AL1249">
            <v>213</v>
          </cell>
          <cell r="AM1249">
            <v>63</v>
          </cell>
          <cell r="AN1249" t="str">
            <v>08 Inactive Dealer</v>
          </cell>
          <cell r="AO1249" t="str">
            <v>Northeast</v>
          </cell>
          <cell r="AP1249" t="str">
            <v>North</v>
          </cell>
          <cell r="AQ1249"/>
          <cell r="AR1249">
            <v>0</v>
          </cell>
          <cell r="AS1249">
            <v>0</v>
          </cell>
          <cell r="AT1249"/>
        </row>
        <row r="1250">
          <cell r="A1250">
            <v>13065</v>
          </cell>
          <cell r="B1250" t="str">
            <v>IC SALES LLC, dba KINGDON TRAILERS</v>
          </cell>
          <cell r="C1250" t="str">
            <v>M10936</v>
          </cell>
          <cell r="D1250" t="str">
            <v>NET 5, BT+</v>
          </cell>
          <cell r="E1250" t="str">
            <v>FP - Wells Fargo</v>
          </cell>
          <cell r="F1250" t="str">
            <v>Yes</v>
          </cell>
          <cell r="G1250" t="str">
            <v>OH</v>
          </cell>
          <cell r="H1250">
            <v>8</v>
          </cell>
          <cell r="I1250">
            <v>0.66500000000000004</v>
          </cell>
          <cell r="J1250" t="str">
            <v>Orphaned Acct</v>
          </cell>
          <cell r="K1250" t="str">
            <v>DANVILLE</v>
          </cell>
          <cell r="L1250" t="str">
            <v>VT</v>
          </cell>
          <cell r="M1250" t="str">
            <v>802-249-2763</v>
          </cell>
          <cell r="N1250"/>
          <cell r="O1250">
            <v>1762</v>
          </cell>
          <cell r="P1250">
            <v>7576.5999999999995</v>
          </cell>
          <cell r="Q1250">
            <v>1306</v>
          </cell>
          <cell r="R1250">
            <v>5615.8</v>
          </cell>
          <cell r="S1250"/>
          <cell r="T1250">
            <v>0</v>
          </cell>
          <cell r="U1250">
            <v>1746</v>
          </cell>
          <cell r="V1250">
            <v>7507.7999999999993</v>
          </cell>
          <cell r="W1250">
            <v>1842</v>
          </cell>
          <cell r="X1250">
            <v>7920.5999999999995</v>
          </cell>
          <cell r="Y1250">
            <v>862</v>
          </cell>
          <cell r="Z1250">
            <v>3706.6</v>
          </cell>
          <cell r="AA1250">
            <v>862</v>
          </cell>
          <cell r="AB1250">
            <v>3706.6</v>
          </cell>
          <cell r="AC1250">
            <v>862</v>
          </cell>
          <cell r="AD1250">
            <v>3706.6</v>
          </cell>
          <cell r="AE1250"/>
          <cell r="AF1250"/>
          <cell r="AG1250"/>
          <cell r="AH1250"/>
          <cell r="AI1250"/>
          <cell r="AJ1250">
            <v>0</v>
          </cell>
          <cell r="AK1250" t="str">
            <v>3P</v>
          </cell>
          <cell r="AL1250">
            <v>213</v>
          </cell>
          <cell r="AM1250">
            <v>104</v>
          </cell>
          <cell r="AN1250" t="str">
            <v>08 Inactive Dealer</v>
          </cell>
          <cell r="AO1250" t="str">
            <v>Northeast</v>
          </cell>
          <cell r="AP1250" t="str">
            <v>North</v>
          </cell>
          <cell r="AQ1250"/>
          <cell r="AR1250">
            <v>0</v>
          </cell>
          <cell r="AS1250">
            <v>0</v>
          </cell>
          <cell r="AT1250"/>
        </row>
        <row r="1251">
          <cell r="A1251">
            <v>11958</v>
          </cell>
          <cell r="B1251" t="str">
            <v>LUCKY'S TRAILER SALES INC.</v>
          </cell>
          <cell r="C1251" t="str">
            <v>M10271</v>
          </cell>
          <cell r="D1251" t="str">
            <v>NET 5, BT+</v>
          </cell>
          <cell r="E1251" t="str">
            <v>CO</v>
          </cell>
          <cell r="F1251" t="str">
            <v>Yes</v>
          </cell>
          <cell r="G1251" t="str">
            <v>OH</v>
          </cell>
          <cell r="H1251">
            <v>7</v>
          </cell>
          <cell r="I1251">
            <v>0.66500000000000004</v>
          </cell>
          <cell r="J1251" t="str">
            <v>Orphaned Acct</v>
          </cell>
          <cell r="K1251" t="str">
            <v>SOUTH ROYALTON</v>
          </cell>
          <cell r="L1251" t="str">
            <v>VT</v>
          </cell>
          <cell r="M1251" t="str">
            <v>800-577-8858</v>
          </cell>
          <cell r="N1251"/>
          <cell r="O1251">
            <v>1712</v>
          </cell>
          <cell r="P1251">
            <v>7361.5999999999995</v>
          </cell>
          <cell r="Q1251">
            <v>1257</v>
          </cell>
          <cell r="R1251">
            <v>5405.0999999999995</v>
          </cell>
          <cell r="S1251"/>
          <cell r="T1251">
            <v>0</v>
          </cell>
          <cell r="U1251">
            <v>1702</v>
          </cell>
          <cell r="V1251">
            <v>7318.5999999999995</v>
          </cell>
          <cell r="W1251">
            <v>1793</v>
          </cell>
          <cell r="X1251">
            <v>7709.9</v>
          </cell>
          <cell r="Y1251">
            <v>807</v>
          </cell>
          <cell r="Z1251">
            <v>3470.1</v>
          </cell>
          <cell r="AA1251">
            <v>807</v>
          </cell>
          <cell r="AB1251">
            <v>3470.1</v>
          </cell>
          <cell r="AC1251">
            <v>807</v>
          </cell>
          <cell r="AD1251">
            <v>3470.1</v>
          </cell>
          <cell r="AE1251"/>
          <cell r="AF1251"/>
          <cell r="AG1251"/>
          <cell r="AH1251"/>
          <cell r="AI1251"/>
          <cell r="AJ1251">
            <v>0.01</v>
          </cell>
          <cell r="AK1251" t="str">
            <v>3P</v>
          </cell>
          <cell r="AL1251">
            <v>213</v>
          </cell>
          <cell r="AM1251">
            <v>249</v>
          </cell>
          <cell r="AN1251" t="str">
            <v>08 Inactive Dealer</v>
          </cell>
          <cell r="AO1251" t="str">
            <v>Northeast</v>
          </cell>
          <cell r="AP1251" t="str">
            <v>North</v>
          </cell>
          <cell r="AQ1251"/>
          <cell r="AR1251">
            <v>0</v>
          </cell>
          <cell r="AS1251">
            <v>0</v>
          </cell>
          <cell r="AT1251"/>
        </row>
        <row r="1252">
          <cell r="A1252">
            <v>10316</v>
          </cell>
          <cell r="B1252" t="str">
            <v>LUCKY'S TRAILER SALES INC.</v>
          </cell>
          <cell r="C1252" t="str">
            <v>M10271</v>
          </cell>
          <cell r="D1252" t="str">
            <v>NET 5, BT+</v>
          </cell>
          <cell r="E1252" t="str">
            <v>FP - Northpoint</v>
          </cell>
          <cell r="F1252" t="str">
            <v>Yes</v>
          </cell>
          <cell r="G1252" t="str">
            <v>OH</v>
          </cell>
          <cell r="H1252">
            <v>8</v>
          </cell>
          <cell r="I1252">
            <v>0.66500000000000004</v>
          </cell>
          <cell r="J1252" t="str">
            <v>Orphaned Acct</v>
          </cell>
          <cell r="K1252" t="str">
            <v>SOUTH ROYALTON</v>
          </cell>
          <cell r="L1252" t="str">
            <v>VT</v>
          </cell>
          <cell r="M1252" t="str">
            <v>800-577-8858</v>
          </cell>
          <cell r="N1252"/>
          <cell r="O1252">
            <v>1712</v>
          </cell>
          <cell r="P1252">
            <v>7361.5999999999995</v>
          </cell>
          <cell r="Q1252">
            <v>1257</v>
          </cell>
          <cell r="R1252">
            <v>5405.0999999999995</v>
          </cell>
          <cell r="S1252"/>
          <cell r="T1252">
            <v>0</v>
          </cell>
          <cell r="U1252">
            <v>1702</v>
          </cell>
          <cell r="V1252">
            <v>7318.5999999999995</v>
          </cell>
          <cell r="W1252">
            <v>1793</v>
          </cell>
          <cell r="X1252">
            <v>7709.9</v>
          </cell>
          <cell r="Y1252">
            <v>807</v>
          </cell>
          <cell r="Z1252">
            <v>3470.1</v>
          </cell>
          <cell r="AA1252">
            <v>807</v>
          </cell>
          <cell r="AB1252">
            <v>3470.1</v>
          </cell>
          <cell r="AC1252">
            <v>807</v>
          </cell>
          <cell r="AD1252">
            <v>3470.1</v>
          </cell>
          <cell r="AE1252"/>
          <cell r="AF1252"/>
          <cell r="AG1252"/>
          <cell r="AH1252"/>
          <cell r="AI1252"/>
          <cell r="AJ1252">
            <v>0.01</v>
          </cell>
          <cell r="AK1252" t="str">
            <v>3P</v>
          </cell>
          <cell r="AL1252">
            <v>213</v>
          </cell>
          <cell r="AM1252">
            <v>249</v>
          </cell>
          <cell r="AN1252" t="str">
            <v>08 Inactive Dealer</v>
          </cell>
          <cell r="AO1252" t="str">
            <v>Northeast</v>
          </cell>
          <cell r="AP1252" t="str">
            <v>North</v>
          </cell>
          <cell r="AQ1252"/>
          <cell r="AR1252">
            <v>0</v>
          </cell>
          <cell r="AS1252">
            <v>0</v>
          </cell>
        </row>
        <row r="1253">
          <cell r="A1253">
            <v>10317</v>
          </cell>
          <cell r="B1253" t="str">
            <v>LUCKY'S TRAILER SALES INC.</v>
          </cell>
          <cell r="C1253" t="str">
            <v>M10271</v>
          </cell>
          <cell r="D1253" t="str">
            <v>NET 5, BT+</v>
          </cell>
          <cell r="E1253" t="str">
            <v>C6</v>
          </cell>
          <cell r="F1253" t="str">
            <v>Yes</v>
          </cell>
          <cell r="G1253" t="str">
            <v>OH</v>
          </cell>
          <cell r="H1253">
            <v>9</v>
          </cell>
          <cell r="I1253">
            <v>0.66500000000000004</v>
          </cell>
          <cell r="J1253" t="str">
            <v>Orphaned Acct</v>
          </cell>
          <cell r="K1253" t="str">
            <v>SOUTH ROYALTON</v>
          </cell>
          <cell r="L1253" t="str">
            <v>VT</v>
          </cell>
          <cell r="M1253" t="str">
            <v>800-577-8858</v>
          </cell>
          <cell r="N1253"/>
          <cell r="O1253">
            <v>1712</v>
          </cell>
          <cell r="P1253">
            <v>7361.5999999999995</v>
          </cell>
          <cell r="Q1253">
            <v>1257</v>
          </cell>
          <cell r="R1253">
            <v>5405.0999999999995</v>
          </cell>
          <cell r="S1253"/>
          <cell r="T1253">
            <v>0</v>
          </cell>
          <cell r="U1253">
            <v>1702</v>
          </cell>
          <cell r="V1253">
            <v>7318.5999999999995</v>
          </cell>
          <cell r="W1253">
            <v>1793</v>
          </cell>
          <cell r="X1253">
            <v>7709.9</v>
          </cell>
          <cell r="Y1253">
            <v>807</v>
          </cell>
          <cell r="Z1253">
            <v>3470.1</v>
          </cell>
          <cell r="AA1253">
            <v>807</v>
          </cell>
          <cell r="AB1253">
            <v>3470.1</v>
          </cell>
          <cell r="AC1253">
            <v>807</v>
          </cell>
          <cell r="AD1253">
            <v>3470.1</v>
          </cell>
          <cell r="AE1253"/>
          <cell r="AF1253"/>
          <cell r="AG1253"/>
          <cell r="AH1253"/>
          <cell r="AI1253"/>
          <cell r="AJ1253">
            <v>0.01</v>
          </cell>
          <cell r="AK1253" t="str">
            <v>3P</v>
          </cell>
          <cell r="AL1253">
            <v>213</v>
          </cell>
          <cell r="AM1253">
            <v>249</v>
          </cell>
          <cell r="AN1253" t="str">
            <v>08 Inactive Dealer</v>
          </cell>
          <cell r="AO1253" t="str">
            <v>Northeast</v>
          </cell>
          <cell r="AP1253" t="str">
            <v>North</v>
          </cell>
          <cell r="AQ1253"/>
          <cell r="AR1253">
            <v>0</v>
          </cell>
          <cell r="AS1253">
            <v>0</v>
          </cell>
          <cell r="AT1253"/>
        </row>
        <row r="1254">
          <cell r="A1254">
            <v>10083</v>
          </cell>
          <cell r="B1254" t="str">
            <v>BILL KOENIG</v>
          </cell>
          <cell r="C1254" t="str">
            <v>M10101</v>
          </cell>
          <cell r="D1254" t="str">
            <v>NET 5, BT+</v>
          </cell>
          <cell r="E1254" t="str">
            <v>CO</v>
          </cell>
          <cell r="F1254" t="str">
            <v>Yes</v>
          </cell>
          <cell r="G1254" t="str">
            <v>ID</v>
          </cell>
          <cell r="H1254">
            <v>7</v>
          </cell>
          <cell r="I1254">
            <v>0.7</v>
          </cell>
          <cell r="J1254" t="str">
            <v>Nate Erickson</v>
          </cell>
          <cell r="K1254" t="str">
            <v>PORT ANGELES</v>
          </cell>
          <cell r="L1254" t="str">
            <v>WA</v>
          </cell>
          <cell r="M1254" t="str">
            <v>800-577-8858</v>
          </cell>
          <cell r="N1254"/>
          <cell r="O1254">
            <v>2283</v>
          </cell>
          <cell r="P1254">
            <v>9816.9</v>
          </cell>
          <cell r="Q1254"/>
          <cell r="R1254">
            <v>0</v>
          </cell>
          <cell r="S1254">
            <v>596</v>
          </cell>
          <cell r="T1254">
            <v>2562.7999999999997</v>
          </cell>
          <cell r="U1254">
            <v>2155</v>
          </cell>
          <cell r="V1254">
            <v>9266.5</v>
          </cell>
          <cell r="W1254">
            <v>2241</v>
          </cell>
          <cell r="X1254">
            <v>9636.2999999999993</v>
          </cell>
          <cell r="Y1254"/>
          <cell r="Z1254">
            <v>0</v>
          </cell>
          <cell r="AA1254"/>
          <cell r="AB1254">
            <v>0</v>
          </cell>
          <cell r="AC1254"/>
          <cell r="AD1254">
            <v>0</v>
          </cell>
          <cell r="AE1254"/>
          <cell r="AF1254"/>
          <cell r="AG1254"/>
          <cell r="AH1254"/>
          <cell r="AI1254"/>
          <cell r="AJ1254">
            <v>0</v>
          </cell>
          <cell r="AK1254" t="str">
            <v>3P</v>
          </cell>
          <cell r="AL1254">
            <v>187</v>
          </cell>
          <cell r="AM1254">
            <v>356</v>
          </cell>
          <cell r="AN1254" t="str">
            <v>01 Existing Dealer</v>
          </cell>
          <cell r="AO1254" t="str">
            <v>Northwest</v>
          </cell>
          <cell r="AP1254" t="str">
            <v>West</v>
          </cell>
          <cell r="AQ1254"/>
          <cell r="AR1254">
            <v>0</v>
          </cell>
          <cell r="AS1254">
            <v>0</v>
          </cell>
          <cell r="AT1254"/>
        </row>
        <row r="1255">
          <cell r="A1255">
            <v>12057</v>
          </cell>
          <cell r="B1255" t="str">
            <v>BULLDOG</v>
          </cell>
          <cell r="C1255" t="str">
            <v>M10121</v>
          </cell>
          <cell r="D1255" t="str">
            <v>Net 60, no pink card</v>
          </cell>
          <cell r="E1255">
            <v>60</v>
          </cell>
          <cell r="F1255" t="str">
            <v>Yes</v>
          </cell>
          <cell r="G1255" t="str">
            <v>ID</v>
          </cell>
          <cell r="H1255">
            <v>7</v>
          </cell>
          <cell r="I1255">
            <v>0.7</v>
          </cell>
          <cell r="J1255" t="str">
            <v>Nate Erickson</v>
          </cell>
          <cell r="K1255" t="str">
            <v>CHEHALIS</v>
          </cell>
          <cell r="L1255" t="str">
            <v>WA</v>
          </cell>
          <cell r="M1255" t="str">
            <v>208-459-0106</v>
          </cell>
          <cell r="N1255"/>
          <cell r="O1255">
            <v>2204</v>
          </cell>
          <cell r="P1255">
            <v>9477.1999999999989</v>
          </cell>
          <cell r="Q1255"/>
          <cell r="R1255">
            <v>0</v>
          </cell>
          <cell r="S1255">
            <v>482</v>
          </cell>
          <cell r="T1255">
            <v>2072.6</v>
          </cell>
          <cell r="U1255">
            <v>2120</v>
          </cell>
          <cell r="V1255">
            <v>9116</v>
          </cell>
          <cell r="W1255">
            <v>2155</v>
          </cell>
          <cell r="X1255">
            <v>9266.5</v>
          </cell>
          <cell r="Y1255"/>
          <cell r="Z1255">
            <v>0</v>
          </cell>
          <cell r="AA1255"/>
          <cell r="AB1255">
            <v>0</v>
          </cell>
          <cell r="AC1255"/>
          <cell r="AD1255">
            <v>0</v>
          </cell>
          <cell r="AE1255"/>
          <cell r="AF1255"/>
          <cell r="AG1255"/>
          <cell r="AH1255"/>
          <cell r="AI1255"/>
          <cell r="AJ1255">
            <v>0.04</v>
          </cell>
          <cell r="AK1255" t="str">
            <v>3P</v>
          </cell>
          <cell r="AL1255">
            <v>187</v>
          </cell>
          <cell r="AM1255">
            <v>331</v>
          </cell>
          <cell r="AN1255" t="str">
            <v>01 Existing Dealer</v>
          </cell>
          <cell r="AO1255" t="str">
            <v>Northwest</v>
          </cell>
          <cell r="AP1255" t="str">
            <v>West</v>
          </cell>
          <cell r="AQ1255"/>
          <cell r="AR1255">
            <v>78449</v>
          </cell>
          <cell r="AS1255">
            <v>175939</v>
          </cell>
          <cell r="AT1255"/>
        </row>
        <row r="1256">
          <cell r="A1256">
            <v>12056</v>
          </cell>
          <cell r="B1256" t="str">
            <v>BULLDOG</v>
          </cell>
          <cell r="C1256" t="str">
            <v>M10121</v>
          </cell>
          <cell r="D1256" t="str">
            <v>NET 5, BT+</v>
          </cell>
          <cell r="E1256" t="str">
            <v>C6</v>
          </cell>
          <cell r="F1256" t="str">
            <v>No</v>
          </cell>
          <cell r="G1256" t="str">
            <v>ID</v>
          </cell>
          <cell r="H1256">
            <v>9</v>
          </cell>
          <cell r="I1256">
            <v>0.7</v>
          </cell>
          <cell r="J1256" t="str">
            <v>Nate Erickson</v>
          </cell>
          <cell r="K1256" t="str">
            <v>CHEHALIS</v>
          </cell>
          <cell r="L1256" t="str">
            <v>WA</v>
          </cell>
          <cell r="M1256" t="str">
            <v>208-459-0106</v>
          </cell>
          <cell r="N1256"/>
          <cell r="O1256">
            <v>2204</v>
          </cell>
          <cell r="P1256">
            <v>9477.1999999999989</v>
          </cell>
          <cell r="Q1256"/>
          <cell r="R1256">
            <v>0</v>
          </cell>
          <cell r="S1256">
            <v>482</v>
          </cell>
          <cell r="T1256">
            <v>2072.6</v>
          </cell>
          <cell r="U1256">
            <v>2120</v>
          </cell>
          <cell r="V1256">
            <v>9116</v>
          </cell>
          <cell r="W1256"/>
          <cell r="X1256">
            <v>0</v>
          </cell>
          <cell r="Y1256"/>
          <cell r="Z1256">
            <v>0</v>
          </cell>
          <cell r="AA1256"/>
          <cell r="AB1256">
            <v>0</v>
          </cell>
          <cell r="AC1256"/>
          <cell r="AD1256">
            <v>0</v>
          </cell>
          <cell r="AE1256"/>
          <cell r="AF1256"/>
          <cell r="AG1256"/>
          <cell r="AH1256"/>
          <cell r="AI1256"/>
          <cell r="AJ1256">
            <v>0.04</v>
          </cell>
          <cell r="AK1256" t="str">
            <v>3P</v>
          </cell>
          <cell r="AL1256">
            <v>187</v>
          </cell>
          <cell r="AM1256">
            <v>331</v>
          </cell>
          <cell r="AN1256" t="str">
            <v>01 Existing Dealer</v>
          </cell>
          <cell r="AO1256" t="str">
            <v>Northwest</v>
          </cell>
          <cell r="AP1256" t="str">
            <v>West</v>
          </cell>
          <cell r="AQ1256"/>
          <cell r="AR1256">
            <v>0</v>
          </cell>
          <cell r="AS1256">
            <v>0</v>
          </cell>
        </row>
        <row r="1257">
          <cell r="A1257">
            <v>11377</v>
          </cell>
          <cell r="B1257" t="str">
            <v>BURROWS TRACTOR</v>
          </cell>
          <cell r="C1257" t="str">
            <v>M10124</v>
          </cell>
          <cell r="D1257" t="str">
            <v>NET 5, BT+</v>
          </cell>
          <cell r="E1257" t="str">
            <v>CO</v>
          </cell>
          <cell r="F1257" t="str">
            <v>Yes</v>
          </cell>
          <cell r="G1257" t="str">
            <v>ID</v>
          </cell>
          <cell r="H1257">
            <v>7</v>
          </cell>
          <cell r="I1257">
            <v>0.7</v>
          </cell>
          <cell r="J1257" t="str">
            <v>Orphaned Acct</v>
          </cell>
          <cell r="K1257" t="str">
            <v>YAKIMA</v>
          </cell>
          <cell r="L1257" t="str">
            <v>WA</v>
          </cell>
          <cell r="M1257" t="str">
            <v>800-577-8858</v>
          </cell>
          <cell r="N1257"/>
          <cell r="O1257">
            <v>2054</v>
          </cell>
          <cell r="P1257">
            <v>8832.1999999999989</v>
          </cell>
          <cell r="Q1257"/>
          <cell r="R1257">
            <v>0</v>
          </cell>
          <cell r="S1257">
            <v>333</v>
          </cell>
          <cell r="T1257">
            <v>1431.8999999999999</v>
          </cell>
          <cell r="U1257">
            <v>1971</v>
          </cell>
          <cell r="V1257">
            <v>8475.2999999999993</v>
          </cell>
          <cell r="W1257">
            <v>2006</v>
          </cell>
          <cell r="X1257">
            <v>8625.7999999999993</v>
          </cell>
          <cell r="Y1257"/>
          <cell r="Z1257">
            <v>0</v>
          </cell>
          <cell r="AA1257"/>
          <cell r="AB1257">
            <v>0</v>
          </cell>
          <cell r="AC1257"/>
          <cell r="AD1257">
            <v>0</v>
          </cell>
          <cell r="AE1257"/>
          <cell r="AF1257"/>
          <cell r="AG1257"/>
          <cell r="AH1257"/>
          <cell r="AI1257"/>
          <cell r="AJ1257">
            <v>0</v>
          </cell>
          <cell r="AK1257" t="str">
            <v>3P</v>
          </cell>
          <cell r="AL1257">
            <v>213</v>
          </cell>
          <cell r="AM1257">
            <v>482</v>
          </cell>
          <cell r="AN1257" t="str">
            <v>01 Existing Dealer</v>
          </cell>
          <cell r="AO1257" t="str">
            <v>Northwest</v>
          </cell>
          <cell r="AP1257" t="str">
            <v>West</v>
          </cell>
          <cell r="AQ1257"/>
          <cell r="AR1257">
            <v>0</v>
          </cell>
          <cell r="AS1257">
            <v>0</v>
          </cell>
        </row>
        <row r="1258">
          <cell r="A1258">
            <v>11800</v>
          </cell>
          <cell r="B1258" t="str">
            <v>BURROWS TRACTOR</v>
          </cell>
          <cell r="C1258" t="str">
            <v>M10124</v>
          </cell>
          <cell r="D1258" t="str">
            <v>NET 5, BT+</v>
          </cell>
          <cell r="E1258" t="str">
            <v>FP - Wells Fargo</v>
          </cell>
          <cell r="F1258" t="str">
            <v>Yes</v>
          </cell>
          <cell r="G1258" t="str">
            <v>ID</v>
          </cell>
          <cell r="H1258">
            <v>8</v>
          </cell>
          <cell r="I1258">
            <v>0.7</v>
          </cell>
          <cell r="J1258" t="str">
            <v>Orphaned Acct</v>
          </cell>
          <cell r="K1258" t="str">
            <v>YAKIMA</v>
          </cell>
          <cell r="L1258" t="str">
            <v>WA</v>
          </cell>
          <cell r="M1258" t="str">
            <v>800-577-8858</v>
          </cell>
          <cell r="N1258"/>
          <cell r="O1258">
            <v>2054</v>
          </cell>
          <cell r="P1258">
            <v>8832.1999999999989</v>
          </cell>
          <cell r="Q1258"/>
          <cell r="R1258">
            <v>0</v>
          </cell>
          <cell r="S1258">
            <v>333</v>
          </cell>
          <cell r="T1258">
            <v>1431.8999999999999</v>
          </cell>
          <cell r="U1258">
            <v>1971</v>
          </cell>
          <cell r="V1258">
            <v>8475.2999999999993</v>
          </cell>
          <cell r="W1258">
            <v>2006</v>
          </cell>
          <cell r="X1258">
            <v>8625.7999999999993</v>
          </cell>
          <cell r="Y1258"/>
          <cell r="Z1258">
            <v>0</v>
          </cell>
          <cell r="AA1258"/>
          <cell r="AB1258">
            <v>0</v>
          </cell>
          <cell r="AC1258"/>
          <cell r="AD1258">
            <v>0</v>
          </cell>
          <cell r="AE1258"/>
          <cell r="AF1258"/>
          <cell r="AG1258"/>
          <cell r="AH1258"/>
          <cell r="AI1258"/>
          <cell r="AJ1258">
            <v>0</v>
          </cell>
          <cell r="AK1258" t="str">
            <v>3P</v>
          </cell>
          <cell r="AL1258">
            <v>213</v>
          </cell>
          <cell r="AM1258">
            <v>482</v>
          </cell>
          <cell r="AN1258" t="str">
            <v>01 Existing Dealer</v>
          </cell>
          <cell r="AO1258" t="str">
            <v>Northwest</v>
          </cell>
          <cell r="AP1258" t="str">
            <v>West</v>
          </cell>
          <cell r="AQ1258"/>
          <cell r="AR1258">
            <v>0</v>
          </cell>
          <cell r="AS1258">
            <v>0</v>
          </cell>
        </row>
        <row r="1259">
          <cell r="A1259">
            <v>13370</v>
          </cell>
          <cell r="B1259" t="str">
            <v>FUN COUNTRY</v>
          </cell>
          <cell r="C1259" t="str">
            <v>M11344</v>
          </cell>
          <cell r="D1259" t="str">
            <v>NET 5, BT+</v>
          </cell>
          <cell r="E1259" t="str">
            <v>CO</v>
          </cell>
          <cell r="F1259" t="str">
            <v>Yes</v>
          </cell>
          <cell r="G1259" t="str">
            <v>ID</v>
          </cell>
          <cell r="H1259">
            <v>7</v>
          </cell>
          <cell r="I1259">
            <v>0.7</v>
          </cell>
          <cell r="J1259" t="str">
            <v>Nate Erickson</v>
          </cell>
          <cell r="K1259" t="str">
            <v>THE DALLES</v>
          </cell>
          <cell r="L1259" t="str">
            <v>OR</v>
          </cell>
          <cell r="M1259" t="str">
            <v>208-459-0106</v>
          </cell>
          <cell r="N1259"/>
          <cell r="O1259">
            <v>2042</v>
          </cell>
          <cell r="P1259">
            <v>8780.6</v>
          </cell>
          <cell r="Q1259"/>
          <cell r="R1259">
            <v>0</v>
          </cell>
          <cell r="S1259">
            <v>321</v>
          </cell>
          <cell r="T1259">
            <v>1380.3</v>
          </cell>
          <cell r="U1259">
            <v>1964</v>
          </cell>
          <cell r="V1259">
            <v>8445.1999999999989</v>
          </cell>
          <cell r="W1259">
            <v>1994</v>
          </cell>
          <cell r="X1259">
            <v>8574.1999999999989</v>
          </cell>
          <cell r="Y1259"/>
          <cell r="Z1259">
            <v>0</v>
          </cell>
          <cell r="AA1259"/>
          <cell r="AB1259">
            <v>0</v>
          </cell>
          <cell r="AC1259"/>
          <cell r="AD1259">
            <v>0</v>
          </cell>
          <cell r="AE1259"/>
          <cell r="AF1259"/>
          <cell r="AG1259"/>
          <cell r="AH1259"/>
          <cell r="AI1259"/>
          <cell r="AJ1259">
            <v>0</v>
          </cell>
          <cell r="AK1259" t="str">
            <v>3P</v>
          </cell>
          <cell r="AL1259">
            <v>187</v>
          </cell>
          <cell r="AM1259">
            <v>358</v>
          </cell>
          <cell r="AN1259" t="str">
            <v>01 Existing Dealer</v>
          </cell>
          <cell r="AO1259" t="str">
            <v>Northwest</v>
          </cell>
          <cell r="AP1259" t="str">
            <v>West</v>
          </cell>
          <cell r="AQ1259"/>
          <cell r="AR1259">
            <v>0</v>
          </cell>
          <cell r="AS1259">
            <v>0</v>
          </cell>
        </row>
        <row r="1260">
          <cell r="A1260">
            <v>13377</v>
          </cell>
          <cell r="B1260" t="str">
            <v>FUN COUNTRY</v>
          </cell>
          <cell r="C1260" t="str">
            <v>M11344</v>
          </cell>
          <cell r="D1260" t="str">
            <v>NET 5, BT+</v>
          </cell>
          <cell r="E1260" t="str">
            <v>FP - Wells Fargo</v>
          </cell>
          <cell r="F1260" t="str">
            <v>Yes</v>
          </cell>
          <cell r="G1260" t="str">
            <v>ID</v>
          </cell>
          <cell r="H1260">
            <v>8</v>
          </cell>
          <cell r="I1260">
            <v>0.7</v>
          </cell>
          <cell r="J1260" t="str">
            <v>Nate Erickson</v>
          </cell>
          <cell r="K1260" t="str">
            <v>THE DALLES</v>
          </cell>
          <cell r="L1260" t="str">
            <v>OR</v>
          </cell>
          <cell r="M1260" t="str">
            <v>208-459-0106</v>
          </cell>
          <cell r="N1260"/>
          <cell r="O1260">
            <v>2042</v>
          </cell>
          <cell r="P1260">
            <v>8780.6</v>
          </cell>
          <cell r="Q1260"/>
          <cell r="R1260">
            <v>0</v>
          </cell>
          <cell r="S1260">
            <v>321</v>
          </cell>
          <cell r="T1260">
            <v>1380.3</v>
          </cell>
          <cell r="U1260">
            <v>1964</v>
          </cell>
          <cell r="V1260">
            <v>8445.1999999999989</v>
          </cell>
          <cell r="W1260">
            <v>1994</v>
          </cell>
          <cell r="X1260">
            <v>8574.1999999999989</v>
          </cell>
          <cell r="Y1260"/>
          <cell r="Z1260">
            <v>0</v>
          </cell>
          <cell r="AA1260"/>
          <cell r="AB1260">
            <v>0</v>
          </cell>
          <cell r="AC1260"/>
          <cell r="AD1260">
            <v>0</v>
          </cell>
          <cell r="AE1260"/>
          <cell r="AF1260"/>
          <cell r="AG1260"/>
          <cell r="AH1260"/>
          <cell r="AI1260"/>
          <cell r="AJ1260">
            <v>0</v>
          </cell>
          <cell r="AK1260" t="str">
            <v>3P</v>
          </cell>
          <cell r="AL1260">
            <v>187</v>
          </cell>
          <cell r="AM1260">
            <v>358</v>
          </cell>
          <cell r="AN1260" t="str">
            <v>01 Existing Dealer</v>
          </cell>
          <cell r="AO1260" t="str">
            <v>Northwest</v>
          </cell>
          <cell r="AP1260" t="str">
            <v>West</v>
          </cell>
          <cell r="AQ1260"/>
          <cell r="AR1260">
            <v>0</v>
          </cell>
          <cell r="AS1260">
            <v>0</v>
          </cell>
        </row>
        <row r="1261">
          <cell r="A1261" t="str">
            <v>13037A</v>
          </cell>
          <cell r="B1261" t="str">
            <v>GATEWAY</v>
          </cell>
          <cell r="C1261" t="str">
            <v>M10773</v>
          </cell>
          <cell r="D1261" t="str">
            <v>NET 5, BT+</v>
          </cell>
          <cell r="E1261" t="str">
            <v>F1-Wells Fargo</v>
          </cell>
          <cell r="F1261" t="str">
            <v>Yes</v>
          </cell>
          <cell r="G1261" t="str">
            <v>ID</v>
          </cell>
          <cell r="H1261">
            <v>9</v>
          </cell>
          <cell r="I1261">
            <v>0.7</v>
          </cell>
          <cell r="J1261" t="str">
            <v>Nate Erickson</v>
          </cell>
          <cell r="K1261" t="str">
            <v>WALLA WALLA</v>
          </cell>
          <cell r="L1261" t="str">
            <v>WA</v>
          </cell>
          <cell r="M1261" t="str">
            <v>800-459-0106</v>
          </cell>
          <cell r="N1261"/>
          <cell r="O1261">
            <v>1982</v>
          </cell>
          <cell r="P1261">
            <v>8522.6</v>
          </cell>
          <cell r="Q1261"/>
          <cell r="R1261">
            <v>0</v>
          </cell>
          <cell r="S1261">
            <v>227</v>
          </cell>
          <cell r="T1261">
            <v>976.09999999999991</v>
          </cell>
          <cell r="U1261">
            <v>1851</v>
          </cell>
          <cell r="V1261">
            <v>7959.2999999999993</v>
          </cell>
          <cell r="W1261">
            <v>1912</v>
          </cell>
          <cell r="X1261">
            <v>8221.6</v>
          </cell>
          <cell r="Y1261"/>
          <cell r="Z1261">
            <v>0</v>
          </cell>
          <cell r="AA1261"/>
          <cell r="AB1261">
            <v>0</v>
          </cell>
          <cell r="AC1261"/>
          <cell r="AD1261">
            <v>0</v>
          </cell>
          <cell r="AE1261"/>
          <cell r="AF1261"/>
          <cell r="AG1261"/>
          <cell r="AH1261"/>
          <cell r="AI1261"/>
          <cell r="AJ1261">
            <v>0.03</v>
          </cell>
          <cell r="AK1261" t="str">
            <v>3P</v>
          </cell>
          <cell r="AL1261">
            <v>187</v>
          </cell>
          <cell r="AM1261">
            <v>460</v>
          </cell>
          <cell r="AN1261" t="str">
            <v>01 Existing Dealer</v>
          </cell>
          <cell r="AO1261" t="str">
            <v>Northwest</v>
          </cell>
          <cell r="AP1261" t="str">
            <v>West</v>
          </cell>
          <cell r="AQ1261"/>
          <cell r="AR1261">
            <v>0</v>
          </cell>
          <cell r="AS1261">
            <v>0</v>
          </cell>
        </row>
        <row r="1262">
          <cell r="A1262">
            <v>11099</v>
          </cell>
          <cell r="B1262" t="str">
            <v>KIPERTS</v>
          </cell>
          <cell r="C1262" t="str">
            <v>M10253</v>
          </cell>
          <cell r="D1262" t="str">
            <v>NET 5, BT+</v>
          </cell>
          <cell r="E1262" t="str">
            <v>FP - Wells Fargo</v>
          </cell>
          <cell r="F1262" t="str">
            <v>Yes</v>
          </cell>
          <cell r="G1262" t="str">
            <v>ID</v>
          </cell>
          <cell r="H1262">
            <v>8</v>
          </cell>
          <cell r="I1262">
            <v>0.7</v>
          </cell>
          <cell r="J1262" t="str">
            <v>Nate Erickson</v>
          </cell>
          <cell r="K1262" t="str">
            <v>OLYMPIA</v>
          </cell>
          <cell r="L1262" t="str">
            <v>WA</v>
          </cell>
          <cell r="M1262" t="str">
            <v>800-577-8858</v>
          </cell>
          <cell r="N1262"/>
          <cell r="O1262">
            <v>2239</v>
          </cell>
          <cell r="P1262">
            <v>9627.6999999999989</v>
          </cell>
          <cell r="Q1262"/>
          <cell r="R1262">
            <v>0</v>
          </cell>
          <cell r="S1262">
            <v>517</v>
          </cell>
          <cell r="T1262">
            <v>2223.1</v>
          </cell>
          <cell r="U1262">
            <v>2155</v>
          </cell>
          <cell r="V1262">
            <v>9266.5</v>
          </cell>
          <cell r="W1262">
            <v>2190</v>
          </cell>
          <cell r="X1262">
            <v>9417</v>
          </cell>
          <cell r="Y1262"/>
          <cell r="Z1262">
            <v>0</v>
          </cell>
          <cell r="AA1262"/>
          <cell r="AB1262">
            <v>0</v>
          </cell>
          <cell r="AC1262"/>
          <cell r="AD1262">
            <v>0</v>
          </cell>
          <cell r="AE1262"/>
          <cell r="AF1262"/>
          <cell r="AG1262"/>
          <cell r="AH1262"/>
          <cell r="AI1262"/>
          <cell r="AJ1262">
            <v>0.01</v>
          </cell>
          <cell r="AK1262" t="str">
            <v>3P</v>
          </cell>
          <cell r="AL1262">
            <v>187</v>
          </cell>
          <cell r="AM1262">
            <v>331</v>
          </cell>
          <cell r="AN1262" t="str">
            <v>01 Existing Dealer</v>
          </cell>
          <cell r="AO1262" t="str">
            <v>Northwest</v>
          </cell>
          <cell r="AP1262" t="str">
            <v>West</v>
          </cell>
          <cell r="AQ1262"/>
          <cell r="AR1262">
            <v>0</v>
          </cell>
          <cell r="AS1262">
            <v>0</v>
          </cell>
        </row>
        <row r="1263">
          <cell r="A1263">
            <v>11930</v>
          </cell>
          <cell r="B1263" t="str">
            <v>KIPERTS</v>
          </cell>
          <cell r="C1263" t="str">
            <v>M10253</v>
          </cell>
          <cell r="D1263" t="str">
            <v>NET 5, BT+</v>
          </cell>
          <cell r="E1263" t="str">
            <v>CO</v>
          </cell>
          <cell r="F1263" t="str">
            <v>Yes</v>
          </cell>
          <cell r="G1263" t="str">
            <v>ID</v>
          </cell>
          <cell r="H1263">
            <v>7</v>
          </cell>
          <cell r="I1263">
            <v>0.7</v>
          </cell>
          <cell r="J1263" t="str">
            <v>Nate Erickson</v>
          </cell>
          <cell r="K1263" t="str">
            <v>OLYMPIA</v>
          </cell>
          <cell r="L1263" t="str">
            <v>WA</v>
          </cell>
          <cell r="M1263" t="str">
            <v>800-577-8858</v>
          </cell>
          <cell r="N1263"/>
          <cell r="O1263">
            <v>2239</v>
          </cell>
          <cell r="P1263">
            <v>9627.6999999999989</v>
          </cell>
          <cell r="Q1263"/>
          <cell r="R1263">
            <v>0</v>
          </cell>
          <cell r="S1263">
            <v>517</v>
          </cell>
          <cell r="T1263">
            <v>2223.1</v>
          </cell>
          <cell r="U1263">
            <v>2155</v>
          </cell>
          <cell r="V1263">
            <v>9266.5</v>
          </cell>
          <cell r="W1263">
            <v>2190</v>
          </cell>
          <cell r="X1263">
            <v>9417</v>
          </cell>
          <cell r="Y1263"/>
          <cell r="Z1263">
            <v>0</v>
          </cell>
          <cell r="AA1263"/>
          <cell r="AB1263">
            <v>0</v>
          </cell>
          <cell r="AC1263"/>
          <cell r="AD1263">
            <v>0</v>
          </cell>
          <cell r="AE1263"/>
          <cell r="AF1263"/>
          <cell r="AG1263"/>
          <cell r="AH1263"/>
          <cell r="AI1263"/>
          <cell r="AJ1263">
            <v>4.4999999999999998E-2</v>
          </cell>
          <cell r="AK1263" t="str">
            <v>3P</v>
          </cell>
          <cell r="AL1263">
            <v>187</v>
          </cell>
          <cell r="AM1263">
            <v>331</v>
          </cell>
          <cell r="AN1263" t="str">
            <v>01 Existing Dealer</v>
          </cell>
          <cell r="AO1263" t="str">
            <v>Northwest</v>
          </cell>
          <cell r="AP1263" t="str">
            <v>West</v>
          </cell>
          <cell r="AQ1263"/>
          <cell r="AR1263">
            <v>131189</v>
          </cell>
          <cell r="AS1263">
            <v>245842</v>
          </cell>
        </row>
        <row r="1264">
          <cell r="A1264">
            <v>10881</v>
          </cell>
          <cell r="B1264" t="str">
            <v>KITSAP TRACTOR</v>
          </cell>
          <cell r="C1264" t="str">
            <v>M11358</v>
          </cell>
          <cell r="D1264" t="str">
            <v>NET 5, BT+</v>
          </cell>
          <cell r="E1264"/>
          <cell r="F1264" t="str">
            <v>Yes</v>
          </cell>
          <cell r="G1264" t="str">
            <v>ID</v>
          </cell>
          <cell r="H1264">
            <v>8</v>
          </cell>
          <cell r="I1264">
            <v>0.7</v>
          </cell>
          <cell r="J1264" t="str">
            <v>Orphaned Acct</v>
          </cell>
          <cell r="K1264" t="str">
            <v>SILVERDALE</v>
          </cell>
          <cell r="L1264" t="str">
            <v>WA</v>
          </cell>
          <cell r="M1264" t="str">
            <v>800-577-8858</v>
          </cell>
          <cell r="N1264"/>
          <cell r="O1264">
            <v>2272</v>
          </cell>
          <cell r="P1264">
            <v>9769.6</v>
          </cell>
          <cell r="Q1264"/>
          <cell r="R1264">
            <v>0</v>
          </cell>
          <cell r="S1264">
            <v>517</v>
          </cell>
          <cell r="T1264">
            <v>2223.1</v>
          </cell>
          <cell r="U1264">
            <v>2141</v>
          </cell>
          <cell r="V1264">
            <v>9206.2999999999993</v>
          </cell>
          <cell r="W1264">
            <v>2200</v>
          </cell>
          <cell r="X1264">
            <v>9460</v>
          </cell>
          <cell r="Y1264"/>
          <cell r="Z1264">
            <v>0</v>
          </cell>
          <cell r="AA1264"/>
          <cell r="AB1264">
            <v>0</v>
          </cell>
          <cell r="AC1264"/>
          <cell r="AD1264">
            <v>0</v>
          </cell>
          <cell r="AE1264"/>
          <cell r="AF1264"/>
          <cell r="AG1264"/>
          <cell r="AH1264"/>
          <cell r="AI1264"/>
          <cell r="AJ1264">
            <v>0</v>
          </cell>
          <cell r="AK1264" t="str">
            <v>3P</v>
          </cell>
          <cell r="AL1264">
            <v>213</v>
          </cell>
          <cell r="AM1264">
            <v>55</v>
          </cell>
          <cell r="AN1264" t="str">
            <v>01 Existing Dealer</v>
          </cell>
          <cell r="AO1264" t="str">
            <v>Northwest</v>
          </cell>
          <cell r="AP1264" t="str">
            <v>West</v>
          </cell>
          <cell r="AQ1264"/>
          <cell r="AR1264">
            <v>0</v>
          </cell>
          <cell r="AS1264">
            <v>0</v>
          </cell>
        </row>
        <row r="1265">
          <cell r="A1265" t="str">
            <v>10881A</v>
          </cell>
          <cell r="B1265" t="str">
            <v>KITSAP TRACTOR</v>
          </cell>
          <cell r="C1265" t="str">
            <v>M11358</v>
          </cell>
          <cell r="D1265" t="str">
            <v>NET 5, BT+</v>
          </cell>
          <cell r="E1265"/>
          <cell r="F1265" t="str">
            <v>Yes</v>
          </cell>
          <cell r="G1265" t="str">
            <v>ID</v>
          </cell>
          <cell r="H1265">
            <v>8</v>
          </cell>
          <cell r="I1265">
            <v>0.7</v>
          </cell>
          <cell r="J1265" t="str">
            <v>Orphaned Acct</v>
          </cell>
          <cell r="K1265" t="str">
            <v>MARYSVILLE</v>
          </cell>
          <cell r="L1265" t="str">
            <v>WA</v>
          </cell>
          <cell r="M1265" t="str">
            <v>800-577-8858</v>
          </cell>
          <cell r="N1265"/>
          <cell r="O1265">
            <v>2255</v>
          </cell>
          <cell r="P1265">
            <v>9696.5</v>
          </cell>
          <cell r="Q1265"/>
          <cell r="R1265">
            <v>0</v>
          </cell>
          <cell r="S1265">
            <v>501</v>
          </cell>
          <cell r="T1265">
            <v>2154.2999999999997</v>
          </cell>
          <cell r="U1265">
            <v>2124</v>
          </cell>
          <cell r="V1265">
            <v>9133.1999999999989</v>
          </cell>
          <cell r="W1265">
            <v>2183</v>
          </cell>
          <cell r="X1265">
            <v>9386.9</v>
          </cell>
          <cell r="Y1265"/>
          <cell r="Z1265">
            <v>0</v>
          </cell>
          <cell r="AA1265"/>
          <cell r="AB1265">
            <v>0</v>
          </cell>
          <cell r="AC1265"/>
          <cell r="AD1265">
            <v>0</v>
          </cell>
          <cell r="AE1265"/>
          <cell r="AF1265"/>
          <cell r="AG1265"/>
          <cell r="AH1265"/>
          <cell r="AI1265"/>
          <cell r="AJ1265">
            <v>0</v>
          </cell>
          <cell r="AK1265" t="str">
            <v>3P</v>
          </cell>
          <cell r="AL1265">
            <v>213</v>
          </cell>
          <cell r="AM1265">
            <v>413</v>
          </cell>
          <cell r="AN1265" t="str">
            <v>01 Existing Dealer</v>
          </cell>
          <cell r="AO1265" t="str">
            <v>Northwest</v>
          </cell>
          <cell r="AP1265" t="str">
            <v>West</v>
          </cell>
          <cell r="AQ1265"/>
          <cell r="AR1265">
            <v>0</v>
          </cell>
          <cell r="AS1265">
            <v>0</v>
          </cell>
        </row>
        <row r="1266">
          <cell r="A1266">
            <v>11850</v>
          </cell>
          <cell r="B1266" t="str">
            <v>LINK'S</v>
          </cell>
          <cell r="C1266" t="str">
            <v>M10266</v>
          </cell>
          <cell r="D1266" t="str">
            <v>NET 5, BT+</v>
          </cell>
          <cell r="E1266" t="str">
            <v>FP - Wells Fargo</v>
          </cell>
          <cell r="F1266" t="str">
            <v>Yes</v>
          </cell>
          <cell r="G1266" t="str">
            <v>ID</v>
          </cell>
          <cell r="H1266">
            <v>8</v>
          </cell>
          <cell r="I1266">
            <v>0.7</v>
          </cell>
          <cell r="J1266" t="str">
            <v>Nate Erickson</v>
          </cell>
          <cell r="K1266" t="str">
            <v>LYNDEN</v>
          </cell>
          <cell r="L1266" t="str">
            <v>WA</v>
          </cell>
          <cell r="M1266" t="str">
            <v>208-459-0106</v>
          </cell>
          <cell r="N1266"/>
          <cell r="O1266">
            <v>2297</v>
          </cell>
          <cell r="P1266">
            <v>9877.1</v>
          </cell>
          <cell r="Q1266"/>
          <cell r="R1266">
            <v>0</v>
          </cell>
          <cell r="S1266">
            <v>575</v>
          </cell>
          <cell r="T1266">
            <v>2472.5</v>
          </cell>
          <cell r="U1266">
            <v>2213</v>
          </cell>
          <cell r="V1266">
            <v>9515.9</v>
          </cell>
          <cell r="W1266">
            <v>2248</v>
          </cell>
          <cell r="X1266">
            <v>9666.4</v>
          </cell>
          <cell r="Y1266"/>
          <cell r="Z1266">
            <v>0</v>
          </cell>
          <cell r="AA1266"/>
          <cell r="AB1266">
            <v>0</v>
          </cell>
          <cell r="AC1266"/>
          <cell r="AD1266">
            <v>0</v>
          </cell>
          <cell r="AE1266"/>
          <cell r="AF1266"/>
          <cell r="AG1266"/>
          <cell r="AH1266"/>
          <cell r="AI1266"/>
          <cell r="AJ1266">
            <v>0</v>
          </cell>
          <cell r="AK1266" t="str">
            <v>3P</v>
          </cell>
          <cell r="AL1266">
            <v>187</v>
          </cell>
          <cell r="AM1266">
            <v>36</v>
          </cell>
          <cell r="AN1266" t="str">
            <v>01 Existing Dealer</v>
          </cell>
          <cell r="AO1266" t="str">
            <v>Northwest</v>
          </cell>
          <cell r="AP1266" t="str">
            <v>West</v>
          </cell>
          <cell r="AQ1266"/>
          <cell r="AR1266">
            <v>0</v>
          </cell>
          <cell r="AS1266">
            <v>0</v>
          </cell>
        </row>
        <row r="1267">
          <cell r="A1267">
            <v>13476</v>
          </cell>
          <cell r="B1267" t="str">
            <v>PREMIER</v>
          </cell>
          <cell r="C1267" t="str">
            <v>M10336</v>
          </cell>
          <cell r="D1267" t="str">
            <v>Return Mail, no pink card</v>
          </cell>
          <cell r="E1267" t="str">
            <v>F6 - Wells Fargo</v>
          </cell>
          <cell r="F1267" t="str">
            <v>Yes</v>
          </cell>
          <cell r="G1267" t="str">
            <v>ID</v>
          </cell>
          <cell r="H1267">
            <v>8</v>
          </cell>
          <cell r="I1267">
            <v>0.7</v>
          </cell>
          <cell r="J1267" t="str">
            <v>Nate Erickson</v>
          </cell>
          <cell r="K1267" t="str">
            <v>UNION GAP</v>
          </cell>
          <cell r="L1267" t="str">
            <v>WA</v>
          </cell>
          <cell r="M1267" t="str">
            <v>208-459-0106</v>
          </cell>
          <cell r="N1267"/>
          <cell r="O1267">
            <v>2054</v>
          </cell>
          <cell r="P1267">
            <v>8832.1999999999989</v>
          </cell>
          <cell r="Q1267"/>
          <cell r="R1267">
            <v>0</v>
          </cell>
          <cell r="S1267">
            <v>333</v>
          </cell>
          <cell r="T1267">
            <v>1431.8999999999999</v>
          </cell>
          <cell r="U1267">
            <v>1975</v>
          </cell>
          <cell r="V1267">
            <v>8492.5</v>
          </cell>
          <cell r="W1267">
            <v>2006</v>
          </cell>
          <cell r="X1267">
            <v>8625.7999999999993</v>
          </cell>
          <cell r="Y1267"/>
          <cell r="Z1267">
            <v>0</v>
          </cell>
          <cell r="AA1267"/>
          <cell r="AB1267">
            <v>0</v>
          </cell>
          <cell r="AC1267"/>
          <cell r="AD1267">
            <v>0</v>
          </cell>
          <cell r="AE1267"/>
          <cell r="AF1267"/>
          <cell r="AG1267"/>
          <cell r="AH1267"/>
          <cell r="AI1267"/>
          <cell r="AJ1267">
            <v>0.03</v>
          </cell>
          <cell r="AK1267" t="str">
            <v>3P</v>
          </cell>
          <cell r="AL1267">
            <v>187</v>
          </cell>
          <cell r="AM1267">
            <v>482</v>
          </cell>
          <cell r="AN1267" t="str">
            <v>01 Existing Dealer</v>
          </cell>
          <cell r="AO1267" t="str">
            <v>Northwest</v>
          </cell>
          <cell r="AP1267" t="str">
            <v>West</v>
          </cell>
          <cell r="AQ1267"/>
          <cell r="AR1267">
            <v>102135</v>
          </cell>
          <cell r="AS1267">
            <v>401240</v>
          </cell>
        </row>
        <row r="1268">
          <cell r="A1268" t="str">
            <v>13476A</v>
          </cell>
          <cell r="B1268" t="str">
            <v>PREMIER</v>
          </cell>
          <cell r="C1268" t="str">
            <v>M10336</v>
          </cell>
          <cell r="D1268" t="str">
            <v>Return Mail, no pink card</v>
          </cell>
          <cell r="E1268" t="str">
            <v>F6 - Wells Fargo</v>
          </cell>
          <cell r="F1268" t="str">
            <v>Yes</v>
          </cell>
          <cell r="G1268" t="str">
            <v>ID</v>
          </cell>
          <cell r="H1268">
            <v>8</v>
          </cell>
          <cell r="I1268">
            <v>0.7</v>
          </cell>
          <cell r="J1268" t="str">
            <v>Nate Erickson</v>
          </cell>
          <cell r="K1268" t="str">
            <v>MOSES LAKE</v>
          </cell>
          <cell r="L1268" t="str">
            <v>WA</v>
          </cell>
          <cell r="M1268" t="str">
            <v>208-459-0106</v>
          </cell>
          <cell r="N1268"/>
          <cell r="O1268">
            <v>2057</v>
          </cell>
          <cell r="P1268">
            <v>8845.1</v>
          </cell>
          <cell r="Q1268"/>
          <cell r="R1268">
            <v>0</v>
          </cell>
          <cell r="S1268">
            <v>336</v>
          </cell>
          <cell r="T1268">
            <v>1444.8</v>
          </cell>
          <cell r="U1268">
            <v>1981</v>
          </cell>
          <cell r="V1268">
            <v>8518.2999999999993</v>
          </cell>
          <cell r="W1268">
            <v>2009</v>
          </cell>
          <cell r="X1268">
            <v>8638.6999999999989</v>
          </cell>
          <cell r="Y1268"/>
          <cell r="Z1268">
            <v>0</v>
          </cell>
          <cell r="AA1268"/>
          <cell r="AB1268">
            <v>0</v>
          </cell>
          <cell r="AC1268"/>
          <cell r="AD1268">
            <v>0</v>
          </cell>
          <cell r="AE1268"/>
          <cell r="AF1268"/>
          <cell r="AG1268"/>
          <cell r="AH1268"/>
          <cell r="AI1268"/>
          <cell r="AJ1268">
            <v>0.03</v>
          </cell>
          <cell r="AK1268" t="str">
            <v>3P</v>
          </cell>
          <cell r="AL1268">
            <v>187</v>
          </cell>
          <cell r="AM1268">
            <v>468</v>
          </cell>
          <cell r="AN1268" t="str">
            <v>01 Existing Dealer</v>
          </cell>
          <cell r="AO1268" t="str">
            <v>Northwest</v>
          </cell>
          <cell r="AP1268" t="str">
            <v>West</v>
          </cell>
          <cell r="AQ1268"/>
          <cell r="AR1268">
            <v>0</v>
          </cell>
          <cell r="AS1268">
            <v>0</v>
          </cell>
        </row>
        <row r="1269">
          <cell r="A1269" t="str">
            <v>13476B</v>
          </cell>
          <cell r="B1269" t="str">
            <v>PREMIER</v>
          </cell>
          <cell r="C1269" t="str">
            <v>M10336</v>
          </cell>
          <cell r="D1269" t="str">
            <v>Return Mail, no pink card</v>
          </cell>
          <cell r="E1269" t="str">
            <v>F6 - Wells Fargo</v>
          </cell>
          <cell r="F1269" t="str">
            <v>Yes</v>
          </cell>
          <cell r="G1269" t="str">
            <v>ID</v>
          </cell>
          <cell r="H1269">
            <v>8</v>
          </cell>
          <cell r="I1269">
            <v>0.7</v>
          </cell>
          <cell r="J1269" t="str">
            <v>Nate Erickson</v>
          </cell>
          <cell r="K1269" t="str">
            <v>WOODLAND</v>
          </cell>
          <cell r="L1269" t="str">
            <v>WA</v>
          </cell>
          <cell r="M1269" t="str">
            <v>208-459-0106</v>
          </cell>
          <cell r="N1269"/>
          <cell r="O1269">
            <v>2146</v>
          </cell>
          <cell r="P1269">
            <v>9227.7999999999993</v>
          </cell>
          <cell r="Q1269"/>
          <cell r="R1269">
            <v>0</v>
          </cell>
          <cell r="S1269">
            <v>424</v>
          </cell>
          <cell r="T1269">
            <v>1823.1999999999998</v>
          </cell>
          <cell r="U1269">
            <v>2063</v>
          </cell>
          <cell r="V1269">
            <v>8870.9</v>
          </cell>
          <cell r="W1269">
            <v>2098</v>
          </cell>
          <cell r="X1269">
            <v>9021.4</v>
          </cell>
          <cell r="Y1269"/>
          <cell r="Z1269">
            <v>0</v>
          </cell>
          <cell r="AA1269"/>
          <cell r="AB1269">
            <v>0</v>
          </cell>
          <cell r="AC1269"/>
          <cell r="AD1269">
            <v>0</v>
          </cell>
          <cell r="AE1269"/>
          <cell r="AF1269"/>
          <cell r="AG1269"/>
          <cell r="AH1269"/>
          <cell r="AI1269"/>
          <cell r="AJ1269">
            <v>0.03</v>
          </cell>
          <cell r="AK1269" t="str">
            <v>3P</v>
          </cell>
          <cell r="AL1269">
            <v>187</v>
          </cell>
          <cell r="AM1269">
            <v>261</v>
          </cell>
          <cell r="AN1269" t="str">
            <v>01 Existing Dealer</v>
          </cell>
          <cell r="AO1269" t="str">
            <v>Northwest</v>
          </cell>
          <cell r="AP1269" t="str">
            <v>West</v>
          </cell>
          <cell r="AQ1269"/>
          <cell r="AR1269">
            <v>0</v>
          </cell>
          <cell r="AS1269">
            <v>0</v>
          </cell>
        </row>
        <row r="1270">
          <cell r="A1270" t="str">
            <v>13476C</v>
          </cell>
          <cell r="B1270" t="str">
            <v>PREMIER</v>
          </cell>
          <cell r="C1270" t="str">
            <v>M10336</v>
          </cell>
          <cell r="D1270" t="str">
            <v>Return Mail, no pink card</v>
          </cell>
          <cell r="E1270" t="str">
            <v>F6 - Wells Fargo</v>
          </cell>
          <cell r="F1270" t="str">
            <v>Yes</v>
          </cell>
          <cell r="G1270" t="str">
            <v>ID</v>
          </cell>
          <cell r="H1270">
            <v>8</v>
          </cell>
          <cell r="I1270">
            <v>0.7</v>
          </cell>
          <cell r="J1270" t="str">
            <v>Nate Erickson</v>
          </cell>
          <cell r="K1270" t="str">
            <v>KENNEWICK</v>
          </cell>
          <cell r="L1270" t="str">
            <v>WA</v>
          </cell>
          <cell r="M1270" t="str">
            <v>208-459-0106</v>
          </cell>
          <cell r="N1270"/>
          <cell r="O1270">
            <v>1987</v>
          </cell>
          <cell r="P1270">
            <v>8544.1</v>
          </cell>
          <cell r="Q1270"/>
          <cell r="R1270">
            <v>0</v>
          </cell>
          <cell r="S1270">
            <v>264</v>
          </cell>
          <cell r="T1270">
            <v>1135.2</v>
          </cell>
          <cell r="U1270">
            <v>1903</v>
          </cell>
          <cell r="V1270">
            <v>8182.9</v>
          </cell>
          <cell r="W1270">
            <v>1938</v>
          </cell>
          <cell r="X1270">
            <v>8333.4</v>
          </cell>
          <cell r="Y1270"/>
          <cell r="Z1270">
            <v>0</v>
          </cell>
          <cell r="AA1270"/>
          <cell r="AB1270">
            <v>0</v>
          </cell>
          <cell r="AC1270"/>
          <cell r="AD1270">
            <v>0</v>
          </cell>
          <cell r="AE1270"/>
          <cell r="AF1270"/>
          <cell r="AG1270"/>
          <cell r="AH1270"/>
          <cell r="AI1270"/>
          <cell r="AJ1270">
            <v>0.03</v>
          </cell>
          <cell r="AK1270" t="str">
            <v>3P</v>
          </cell>
          <cell r="AL1270">
            <v>187</v>
          </cell>
          <cell r="AM1270">
            <v>228</v>
          </cell>
          <cell r="AN1270" t="str">
            <v>01 Existing Dealer</v>
          </cell>
          <cell r="AO1270" t="str">
            <v>Northwest</v>
          </cell>
          <cell r="AP1270" t="str">
            <v>West</v>
          </cell>
          <cell r="AQ1270"/>
          <cell r="AR1270">
            <v>0</v>
          </cell>
          <cell r="AS1270">
            <v>0</v>
          </cell>
        </row>
        <row r="1271">
          <cell r="A1271" t="str">
            <v>13476D</v>
          </cell>
          <cell r="B1271" t="str">
            <v>PREMIER</v>
          </cell>
          <cell r="C1271" t="str">
            <v>M10336</v>
          </cell>
          <cell r="D1271" t="str">
            <v>Return Mail, no pink card</v>
          </cell>
          <cell r="E1271" t="str">
            <v>F6 - Wells Fargo</v>
          </cell>
          <cell r="F1271" t="str">
            <v>Yes</v>
          </cell>
          <cell r="G1271" t="str">
            <v>ID</v>
          </cell>
          <cell r="H1271">
            <v>8</v>
          </cell>
          <cell r="I1271">
            <v>0.7</v>
          </cell>
          <cell r="J1271" t="str">
            <v>Nate Erickson</v>
          </cell>
          <cell r="K1271" t="str">
            <v>ELLENBURG</v>
          </cell>
          <cell r="L1271" t="str">
            <v>WA</v>
          </cell>
          <cell r="M1271" t="str">
            <v>208-459-0106</v>
          </cell>
          <cell r="N1271"/>
          <cell r="O1271">
            <v>2093</v>
          </cell>
          <cell r="P1271">
            <v>8999.9</v>
          </cell>
          <cell r="Q1271"/>
          <cell r="R1271">
            <v>0</v>
          </cell>
          <cell r="S1271">
            <v>372</v>
          </cell>
          <cell r="T1271">
            <v>1599.6</v>
          </cell>
          <cell r="U1271">
            <v>2014</v>
          </cell>
          <cell r="V1271">
            <v>8660.1999999999989</v>
          </cell>
          <cell r="W1271">
            <v>2045</v>
          </cell>
          <cell r="X1271">
            <v>8793.5</v>
          </cell>
          <cell r="Y1271"/>
          <cell r="Z1271">
            <v>0</v>
          </cell>
          <cell r="AA1271"/>
          <cell r="AB1271">
            <v>0</v>
          </cell>
          <cell r="AC1271"/>
          <cell r="AD1271">
            <v>0</v>
          </cell>
          <cell r="AE1271"/>
          <cell r="AF1271"/>
          <cell r="AG1271"/>
          <cell r="AH1271"/>
          <cell r="AI1271"/>
          <cell r="AJ1271">
            <v>0.03</v>
          </cell>
          <cell r="AK1271" t="str">
            <v>3P</v>
          </cell>
          <cell r="AL1271">
            <v>187</v>
          </cell>
          <cell r="AM1271">
            <v>482</v>
          </cell>
          <cell r="AN1271" t="str">
            <v>01 Existing Dealer</v>
          </cell>
          <cell r="AO1271" t="str">
            <v>Northwest</v>
          </cell>
          <cell r="AP1271" t="str">
            <v>West</v>
          </cell>
          <cell r="AQ1271"/>
          <cell r="AR1271">
            <v>0</v>
          </cell>
          <cell r="AS1271">
            <v>0</v>
          </cell>
        </row>
        <row r="1272">
          <cell r="A1272" t="str">
            <v>13476E</v>
          </cell>
          <cell r="B1272" t="str">
            <v>PREMIER</v>
          </cell>
          <cell r="C1272" t="str">
            <v>M10336</v>
          </cell>
          <cell r="D1272" t="str">
            <v>Return Mail, no pink card</v>
          </cell>
          <cell r="E1272" t="str">
            <v>F6 - Wells Fargo</v>
          </cell>
          <cell r="F1272" t="str">
            <v>Yes</v>
          </cell>
          <cell r="G1272" t="str">
            <v>ID</v>
          </cell>
          <cell r="H1272">
            <v>8</v>
          </cell>
          <cell r="I1272">
            <v>0.7</v>
          </cell>
          <cell r="J1272" t="str">
            <v>Nate Erickson</v>
          </cell>
          <cell r="K1272" t="str">
            <v>MT. VERNON</v>
          </cell>
          <cell r="L1272" t="str">
            <v>WA</v>
          </cell>
          <cell r="M1272" t="str">
            <v>208-459-0106</v>
          </cell>
          <cell r="N1272"/>
          <cell r="O1272">
            <v>2281</v>
          </cell>
          <cell r="P1272">
            <v>9808.2999999999993</v>
          </cell>
          <cell r="Q1272"/>
          <cell r="R1272">
            <v>0</v>
          </cell>
          <cell r="S1272">
            <v>533</v>
          </cell>
          <cell r="T1272">
            <v>2291.9</v>
          </cell>
          <cell r="U1272">
            <v>2150</v>
          </cell>
          <cell r="V1272">
            <v>9245</v>
          </cell>
          <cell r="W1272">
            <v>2211</v>
          </cell>
          <cell r="X1272">
            <v>9507.2999999999993</v>
          </cell>
          <cell r="Y1272"/>
          <cell r="Z1272">
            <v>0</v>
          </cell>
          <cell r="AA1272"/>
          <cell r="AB1272">
            <v>0</v>
          </cell>
          <cell r="AC1272"/>
          <cell r="AD1272">
            <v>0</v>
          </cell>
          <cell r="AE1272"/>
          <cell r="AF1272"/>
          <cell r="AG1272"/>
          <cell r="AH1272"/>
          <cell r="AI1272"/>
          <cell r="AJ1272">
            <v>0.03</v>
          </cell>
          <cell r="AK1272" t="str">
            <v>3P</v>
          </cell>
          <cell r="AL1272">
            <v>187</v>
          </cell>
          <cell r="AM1272">
            <v>413</v>
          </cell>
          <cell r="AN1272" t="str">
            <v>01 Existing Dealer</v>
          </cell>
          <cell r="AO1272" t="str">
            <v>Northwest</v>
          </cell>
          <cell r="AP1272" t="str">
            <v>West</v>
          </cell>
          <cell r="AQ1272"/>
          <cell r="AR1272">
            <v>0</v>
          </cell>
          <cell r="AS1272">
            <v>0</v>
          </cell>
        </row>
        <row r="1273">
          <cell r="A1273" t="str">
            <v>13476F</v>
          </cell>
          <cell r="B1273" t="str">
            <v>PREMIER</v>
          </cell>
          <cell r="C1273" t="str">
            <v>M10336</v>
          </cell>
          <cell r="D1273" t="str">
            <v>Return Mail, no pink card</v>
          </cell>
          <cell r="E1273" t="str">
            <v>F6 - Wells Fargo</v>
          </cell>
          <cell r="F1273" t="str">
            <v>Yes</v>
          </cell>
          <cell r="G1273" t="str">
            <v>ID</v>
          </cell>
          <cell r="H1273">
            <v>8</v>
          </cell>
          <cell r="I1273">
            <v>0.7</v>
          </cell>
          <cell r="J1273" t="str">
            <v>Nate Erickson</v>
          </cell>
          <cell r="K1273" t="str">
            <v>SHELTON</v>
          </cell>
          <cell r="L1273" t="str">
            <v>WA</v>
          </cell>
          <cell r="M1273" t="str">
            <v>208-459-0106</v>
          </cell>
          <cell r="N1273"/>
          <cell r="O1273">
            <v>2249</v>
          </cell>
          <cell r="P1273">
            <v>9670.6999999999989</v>
          </cell>
          <cell r="Q1273"/>
          <cell r="R1273">
            <v>0</v>
          </cell>
          <cell r="S1273">
            <v>528</v>
          </cell>
          <cell r="T1273">
            <v>2270.4</v>
          </cell>
          <cell r="U1273">
            <v>2170</v>
          </cell>
          <cell r="V1273">
            <v>9331</v>
          </cell>
          <cell r="W1273">
            <v>2201</v>
          </cell>
          <cell r="X1273">
            <v>9464.2999999999993</v>
          </cell>
          <cell r="Y1273"/>
          <cell r="Z1273">
            <v>0</v>
          </cell>
          <cell r="AA1273"/>
          <cell r="AB1273">
            <v>0</v>
          </cell>
          <cell r="AC1273"/>
          <cell r="AD1273">
            <v>0</v>
          </cell>
          <cell r="AE1273"/>
          <cell r="AF1273"/>
          <cell r="AG1273"/>
          <cell r="AH1273"/>
          <cell r="AI1273"/>
          <cell r="AJ1273">
            <v>0.03</v>
          </cell>
          <cell r="AK1273" t="str">
            <v>3P</v>
          </cell>
          <cell r="AL1273">
            <v>187</v>
          </cell>
          <cell r="AM1273">
            <v>331</v>
          </cell>
          <cell r="AN1273" t="str">
            <v>01 Existing Dealer</v>
          </cell>
          <cell r="AO1273" t="str">
            <v>Northwest</v>
          </cell>
          <cell r="AP1273" t="str">
            <v>West</v>
          </cell>
          <cell r="AQ1273"/>
          <cell r="AR1273">
            <v>0</v>
          </cell>
          <cell r="AS1273">
            <v>0</v>
          </cell>
        </row>
        <row r="1274">
          <cell r="A1274" t="str">
            <v>13476G</v>
          </cell>
          <cell r="B1274" t="str">
            <v>PREMIER</v>
          </cell>
          <cell r="C1274" t="str">
            <v>M10336</v>
          </cell>
          <cell r="D1274" t="str">
            <v>Return Mail, no pink card</v>
          </cell>
          <cell r="E1274" t="str">
            <v>F6 - Northpoint</v>
          </cell>
          <cell r="F1274" t="str">
            <v>Yes</v>
          </cell>
          <cell r="G1274" t="str">
            <v>ID</v>
          </cell>
          <cell r="H1274">
            <v>8</v>
          </cell>
          <cell r="I1274">
            <v>0.7</v>
          </cell>
          <cell r="J1274" t="str">
            <v>Nate Erickson</v>
          </cell>
          <cell r="K1274" t="str">
            <v>THE DALLES</v>
          </cell>
          <cell r="L1274" t="str">
            <v>OR</v>
          </cell>
          <cell r="M1274" t="str">
            <v>208-459-0106</v>
          </cell>
          <cell r="N1274"/>
          <cell r="O1274">
            <v>2042</v>
          </cell>
          <cell r="P1274">
            <v>8780.6</v>
          </cell>
          <cell r="Q1274"/>
          <cell r="R1274">
            <v>0</v>
          </cell>
          <cell r="S1274">
            <v>321</v>
          </cell>
          <cell r="T1274">
            <v>1380.3</v>
          </cell>
          <cell r="U1274">
            <v>1964</v>
          </cell>
          <cell r="V1274">
            <v>8445.1999999999989</v>
          </cell>
          <cell r="W1274">
            <v>1994</v>
          </cell>
          <cell r="X1274">
            <v>8574.1999999999989</v>
          </cell>
          <cell r="Y1274"/>
          <cell r="Z1274">
            <v>0</v>
          </cell>
          <cell r="AA1274"/>
          <cell r="AB1274">
            <v>0</v>
          </cell>
          <cell r="AC1274"/>
          <cell r="AD1274">
            <v>0</v>
          </cell>
          <cell r="AE1274"/>
          <cell r="AF1274"/>
          <cell r="AG1274"/>
          <cell r="AH1274"/>
          <cell r="AI1274"/>
          <cell r="AJ1274">
            <v>0.03</v>
          </cell>
          <cell r="AK1274" t="str">
            <v>3P</v>
          </cell>
          <cell r="AL1274">
            <v>187</v>
          </cell>
          <cell r="AM1274">
            <v>358</v>
          </cell>
          <cell r="AN1274" t="str">
            <v>01 Existing Dealer</v>
          </cell>
          <cell r="AO1274" t="str">
            <v>Northwest</v>
          </cell>
          <cell r="AP1274" t="str">
            <v>West</v>
          </cell>
          <cell r="AQ1274"/>
          <cell r="AR1274">
            <v>0</v>
          </cell>
          <cell r="AS1274">
            <v>0</v>
          </cell>
        </row>
        <row r="1275">
          <cell r="A1275">
            <v>12599</v>
          </cell>
          <cell r="B1275" t="str">
            <v>PREMIER</v>
          </cell>
          <cell r="C1275" t="str">
            <v>M10336</v>
          </cell>
          <cell r="D1275" t="str">
            <v>Return Mail, no pink card</v>
          </cell>
          <cell r="E1275" t="str">
            <v>F6 - Wells Fargo</v>
          </cell>
          <cell r="F1275" t="str">
            <v>Yes</v>
          </cell>
          <cell r="G1275" t="str">
            <v>ID</v>
          </cell>
          <cell r="H1275">
            <v>8</v>
          </cell>
          <cell r="I1275">
            <v>0.7</v>
          </cell>
          <cell r="J1275" t="str">
            <v>Nate Erickson</v>
          </cell>
          <cell r="K1275" t="str">
            <v>UNION GAP</v>
          </cell>
          <cell r="L1275" t="str">
            <v>WA</v>
          </cell>
          <cell r="M1275" t="str">
            <v>208-459-0106</v>
          </cell>
          <cell r="N1275"/>
          <cell r="O1275">
            <v>2054</v>
          </cell>
          <cell r="P1275">
            <v>8832.1999999999989</v>
          </cell>
          <cell r="Q1275"/>
          <cell r="R1275">
            <v>0</v>
          </cell>
          <cell r="S1275">
            <v>333</v>
          </cell>
          <cell r="T1275">
            <v>1431.8999999999999</v>
          </cell>
          <cell r="U1275">
            <v>1975</v>
          </cell>
          <cell r="V1275">
            <v>8492.5</v>
          </cell>
          <cell r="W1275">
            <v>2006</v>
          </cell>
          <cell r="X1275">
            <v>8625.7999999999993</v>
          </cell>
          <cell r="Y1275"/>
          <cell r="Z1275">
            <v>0</v>
          </cell>
          <cell r="AA1275"/>
          <cell r="AB1275">
            <v>0</v>
          </cell>
          <cell r="AC1275"/>
          <cell r="AD1275">
            <v>0</v>
          </cell>
          <cell r="AE1275"/>
          <cell r="AF1275"/>
          <cell r="AG1275"/>
          <cell r="AH1275"/>
          <cell r="AI1275"/>
          <cell r="AJ1275">
            <v>0.03</v>
          </cell>
          <cell r="AK1275" t="str">
            <v>3P</v>
          </cell>
          <cell r="AL1275">
            <v>187</v>
          </cell>
          <cell r="AM1275">
            <v>482</v>
          </cell>
          <cell r="AN1275" t="str">
            <v>01 Existing Dealer</v>
          </cell>
          <cell r="AO1275" t="str">
            <v>Northwest</v>
          </cell>
          <cell r="AP1275" t="str">
            <v>West</v>
          </cell>
          <cell r="AQ1275"/>
          <cell r="AR1275">
            <v>0</v>
          </cell>
          <cell r="AS1275">
            <v>0</v>
          </cell>
        </row>
        <row r="1276">
          <cell r="A1276" t="str">
            <v>12599A</v>
          </cell>
          <cell r="B1276" t="str">
            <v>PREMIER</v>
          </cell>
          <cell r="C1276" t="str">
            <v>M10336</v>
          </cell>
          <cell r="D1276" t="str">
            <v>Return Mail, no pink card</v>
          </cell>
          <cell r="E1276" t="str">
            <v>F6 - Wells Fargo</v>
          </cell>
          <cell r="F1276" t="str">
            <v>Yes</v>
          </cell>
          <cell r="G1276" t="str">
            <v>ID</v>
          </cell>
          <cell r="H1276">
            <v>8</v>
          </cell>
          <cell r="I1276">
            <v>0.7</v>
          </cell>
          <cell r="J1276" t="str">
            <v>Nate Erickson</v>
          </cell>
          <cell r="K1276" t="str">
            <v>MOSES LAKE</v>
          </cell>
          <cell r="L1276" t="str">
            <v>WA</v>
          </cell>
          <cell r="M1276" t="str">
            <v>208-459-0106</v>
          </cell>
          <cell r="N1276"/>
          <cell r="O1276">
            <v>2057</v>
          </cell>
          <cell r="P1276">
            <v>8845.1</v>
          </cell>
          <cell r="Q1276"/>
          <cell r="R1276">
            <v>0</v>
          </cell>
          <cell r="S1276">
            <v>336</v>
          </cell>
          <cell r="T1276">
            <v>1444.8</v>
          </cell>
          <cell r="U1276">
            <v>1981</v>
          </cell>
          <cell r="V1276">
            <v>8518.2999999999993</v>
          </cell>
          <cell r="W1276">
            <v>2009</v>
          </cell>
          <cell r="X1276">
            <v>8638.6999999999989</v>
          </cell>
          <cell r="Y1276"/>
          <cell r="Z1276">
            <v>0</v>
          </cell>
          <cell r="AA1276"/>
          <cell r="AB1276">
            <v>0</v>
          </cell>
          <cell r="AC1276"/>
          <cell r="AD1276">
            <v>0</v>
          </cell>
          <cell r="AE1276"/>
          <cell r="AF1276"/>
          <cell r="AG1276"/>
          <cell r="AH1276"/>
          <cell r="AI1276"/>
          <cell r="AJ1276">
            <v>0.03</v>
          </cell>
          <cell r="AK1276" t="str">
            <v>3P</v>
          </cell>
          <cell r="AL1276">
            <v>187</v>
          </cell>
          <cell r="AM1276">
            <v>468</v>
          </cell>
          <cell r="AN1276" t="str">
            <v>01 Existing Dealer</v>
          </cell>
          <cell r="AO1276" t="str">
            <v>Northwest</v>
          </cell>
          <cell r="AP1276" t="str">
            <v>West</v>
          </cell>
          <cell r="AQ1276"/>
          <cell r="AR1276">
            <v>0</v>
          </cell>
          <cell r="AS1276">
            <v>0</v>
          </cell>
        </row>
        <row r="1277">
          <cell r="A1277" t="str">
            <v>12599B</v>
          </cell>
          <cell r="B1277" t="str">
            <v>PREMIER</v>
          </cell>
          <cell r="C1277" t="str">
            <v>M10336</v>
          </cell>
          <cell r="D1277" t="str">
            <v>Return Mail, no pink card</v>
          </cell>
          <cell r="E1277" t="str">
            <v>FP - Wells Fargo</v>
          </cell>
          <cell r="F1277" t="str">
            <v>Yes</v>
          </cell>
          <cell r="G1277" t="str">
            <v>ID</v>
          </cell>
          <cell r="H1277">
            <v>8</v>
          </cell>
          <cell r="I1277">
            <v>0.7</v>
          </cell>
          <cell r="J1277" t="str">
            <v>Nate Erickson</v>
          </cell>
          <cell r="K1277" t="str">
            <v>WOODLAND</v>
          </cell>
          <cell r="L1277" t="str">
            <v>WA</v>
          </cell>
          <cell r="M1277" t="str">
            <v>208-459-0106</v>
          </cell>
          <cell r="N1277"/>
          <cell r="O1277">
            <v>2146</v>
          </cell>
          <cell r="P1277">
            <v>9227.7999999999993</v>
          </cell>
          <cell r="Q1277"/>
          <cell r="R1277">
            <v>0</v>
          </cell>
          <cell r="S1277">
            <v>424</v>
          </cell>
          <cell r="T1277">
            <v>1823.1999999999998</v>
          </cell>
          <cell r="U1277">
            <v>2063</v>
          </cell>
          <cell r="V1277">
            <v>8870.9</v>
          </cell>
          <cell r="W1277">
            <v>2098</v>
          </cell>
          <cell r="X1277">
            <v>9021.4</v>
          </cell>
          <cell r="Y1277"/>
          <cell r="Z1277">
            <v>0</v>
          </cell>
          <cell r="AA1277"/>
          <cell r="AB1277">
            <v>0</v>
          </cell>
          <cell r="AC1277"/>
          <cell r="AD1277">
            <v>0</v>
          </cell>
          <cell r="AE1277"/>
          <cell r="AF1277"/>
          <cell r="AG1277"/>
          <cell r="AH1277"/>
          <cell r="AI1277"/>
          <cell r="AJ1277">
            <v>0.03</v>
          </cell>
          <cell r="AK1277" t="str">
            <v>3P</v>
          </cell>
          <cell r="AL1277">
            <v>187</v>
          </cell>
          <cell r="AM1277">
            <v>261</v>
          </cell>
          <cell r="AN1277" t="str">
            <v>01 Existing Dealer</v>
          </cell>
          <cell r="AO1277" t="str">
            <v>Northwest</v>
          </cell>
          <cell r="AP1277" t="str">
            <v>West</v>
          </cell>
          <cell r="AQ1277"/>
          <cell r="AR1277">
            <v>0</v>
          </cell>
          <cell r="AS1277">
            <v>0</v>
          </cell>
        </row>
        <row r="1278">
          <cell r="A1278" t="str">
            <v>12599C</v>
          </cell>
          <cell r="B1278" t="str">
            <v>PREMIER</v>
          </cell>
          <cell r="C1278" t="str">
            <v>M10336</v>
          </cell>
          <cell r="D1278" t="str">
            <v>Return Mail, no pink card</v>
          </cell>
          <cell r="E1278" t="str">
            <v>FP - Wells Fargo</v>
          </cell>
          <cell r="F1278" t="str">
            <v>Yes</v>
          </cell>
          <cell r="G1278" t="str">
            <v>ID</v>
          </cell>
          <cell r="H1278">
            <v>8</v>
          </cell>
          <cell r="I1278">
            <v>0.7</v>
          </cell>
          <cell r="J1278" t="str">
            <v>Nate Erickson</v>
          </cell>
          <cell r="K1278" t="str">
            <v>KENNEWICK</v>
          </cell>
          <cell r="L1278" t="str">
            <v>WA</v>
          </cell>
          <cell r="M1278" t="str">
            <v>208-459-0106</v>
          </cell>
          <cell r="N1278"/>
          <cell r="O1278">
            <v>1987</v>
          </cell>
          <cell r="P1278">
            <v>8544.1</v>
          </cell>
          <cell r="Q1278"/>
          <cell r="R1278">
            <v>0</v>
          </cell>
          <cell r="S1278">
            <v>264</v>
          </cell>
          <cell r="T1278">
            <v>1135.2</v>
          </cell>
          <cell r="U1278">
            <v>1903</v>
          </cell>
          <cell r="V1278">
            <v>8182.9</v>
          </cell>
          <cell r="W1278">
            <v>1938</v>
          </cell>
          <cell r="X1278">
            <v>8333.4</v>
          </cell>
          <cell r="Y1278"/>
          <cell r="Z1278">
            <v>0</v>
          </cell>
          <cell r="AA1278"/>
          <cell r="AB1278">
            <v>0</v>
          </cell>
          <cell r="AC1278"/>
          <cell r="AD1278">
            <v>0</v>
          </cell>
          <cell r="AE1278"/>
          <cell r="AF1278"/>
          <cell r="AG1278"/>
          <cell r="AH1278"/>
          <cell r="AI1278"/>
          <cell r="AJ1278">
            <v>0.03</v>
          </cell>
          <cell r="AK1278" t="str">
            <v>3P</v>
          </cell>
          <cell r="AL1278">
            <v>187</v>
          </cell>
          <cell r="AM1278">
            <v>228</v>
          </cell>
          <cell r="AN1278" t="str">
            <v>01 Existing Dealer</v>
          </cell>
          <cell r="AO1278" t="str">
            <v>Northwest</v>
          </cell>
          <cell r="AP1278" t="str">
            <v>West</v>
          </cell>
          <cell r="AQ1278"/>
          <cell r="AR1278">
            <v>0</v>
          </cell>
          <cell r="AS1278">
            <v>0</v>
          </cell>
        </row>
        <row r="1279">
          <cell r="A1279" t="str">
            <v>12599D</v>
          </cell>
          <cell r="B1279" t="str">
            <v>PREMIER</v>
          </cell>
          <cell r="C1279" t="str">
            <v>M10336</v>
          </cell>
          <cell r="D1279" t="str">
            <v>Return Mail, no pink card</v>
          </cell>
          <cell r="E1279" t="str">
            <v>FP - Wells Fargo</v>
          </cell>
          <cell r="F1279" t="str">
            <v>Yes</v>
          </cell>
          <cell r="G1279" t="str">
            <v>ID</v>
          </cell>
          <cell r="H1279">
            <v>8</v>
          </cell>
          <cell r="I1279">
            <v>0.7</v>
          </cell>
          <cell r="J1279" t="str">
            <v>Nate Erickson</v>
          </cell>
          <cell r="K1279" t="str">
            <v>ELLENBURG</v>
          </cell>
          <cell r="L1279" t="str">
            <v>WA</v>
          </cell>
          <cell r="M1279" t="str">
            <v>208-459-0106</v>
          </cell>
          <cell r="N1279"/>
          <cell r="O1279">
            <v>2093</v>
          </cell>
          <cell r="P1279">
            <v>8999.9</v>
          </cell>
          <cell r="Q1279"/>
          <cell r="R1279">
            <v>0</v>
          </cell>
          <cell r="S1279">
            <v>372</v>
          </cell>
          <cell r="T1279">
            <v>1599.6</v>
          </cell>
          <cell r="U1279">
            <v>2014</v>
          </cell>
          <cell r="V1279">
            <v>8660.1999999999989</v>
          </cell>
          <cell r="W1279">
            <v>2045</v>
          </cell>
          <cell r="X1279">
            <v>8793.5</v>
          </cell>
          <cell r="Y1279"/>
          <cell r="Z1279">
            <v>0</v>
          </cell>
          <cell r="AA1279"/>
          <cell r="AB1279">
            <v>0</v>
          </cell>
          <cell r="AC1279"/>
          <cell r="AD1279">
            <v>0</v>
          </cell>
          <cell r="AE1279"/>
          <cell r="AF1279"/>
          <cell r="AG1279"/>
          <cell r="AH1279"/>
          <cell r="AI1279"/>
          <cell r="AJ1279">
            <v>0.03</v>
          </cell>
          <cell r="AK1279" t="str">
            <v>3P</v>
          </cell>
          <cell r="AL1279">
            <v>187</v>
          </cell>
          <cell r="AM1279">
            <v>482</v>
          </cell>
          <cell r="AN1279" t="str">
            <v>01 Existing Dealer</v>
          </cell>
          <cell r="AO1279" t="str">
            <v>Northwest</v>
          </cell>
          <cell r="AP1279" t="str">
            <v>West</v>
          </cell>
          <cell r="AQ1279"/>
          <cell r="AR1279">
            <v>0</v>
          </cell>
          <cell r="AS1279">
            <v>0</v>
          </cell>
        </row>
        <row r="1280">
          <cell r="A1280" t="str">
            <v>12599E</v>
          </cell>
          <cell r="B1280" t="str">
            <v>PREMIER</v>
          </cell>
          <cell r="C1280" t="str">
            <v>M10336</v>
          </cell>
          <cell r="D1280" t="str">
            <v>Return Mail, no pink card</v>
          </cell>
          <cell r="E1280" t="str">
            <v>FP - Wells Fargo</v>
          </cell>
          <cell r="F1280" t="str">
            <v>Yes</v>
          </cell>
          <cell r="G1280" t="str">
            <v>ID</v>
          </cell>
          <cell r="H1280">
            <v>8</v>
          </cell>
          <cell r="I1280">
            <v>0.7</v>
          </cell>
          <cell r="J1280" t="str">
            <v>Nate Erickson</v>
          </cell>
          <cell r="K1280" t="str">
            <v>MT. VERNON</v>
          </cell>
          <cell r="L1280" t="str">
            <v>WA</v>
          </cell>
          <cell r="M1280" t="str">
            <v>208-459-0106</v>
          </cell>
          <cell r="N1280"/>
          <cell r="O1280">
            <v>2281</v>
          </cell>
          <cell r="P1280">
            <v>9808.2999999999993</v>
          </cell>
          <cell r="Q1280"/>
          <cell r="R1280">
            <v>0</v>
          </cell>
          <cell r="S1280">
            <v>533</v>
          </cell>
          <cell r="T1280">
            <v>2291.9</v>
          </cell>
          <cell r="U1280">
            <v>2150</v>
          </cell>
          <cell r="V1280">
            <v>9245</v>
          </cell>
          <cell r="W1280">
            <v>2211</v>
          </cell>
          <cell r="X1280">
            <v>9507.2999999999993</v>
          </cell>
          <cell r="Y1280"/>
          <cell r="Z1280">
            <v>0</v>
          </cell>
          <cell r="AA1280"/>
          <cell r="AB1280">
            <v>0</v>
          </cell>
          <cell r="AC1280"/>
          <cell r="AD1280">
            <v>0</v>
          </cell>
          <cell r="AE1280"/>
          <cell r="AF1280"/>
          <cell r="AG1280"/>
          <cell r="AH1280"/>
          <cell r="AI1280"/>
          <cell r="AJ1280">
            <v>0.03</v>
          </cell>
          <cell r="AK1280" t="str">
            <v>3P</v>
          </cell>
          <cell r="AL1280">
            <v>187</v>
          </cell>
          <cell r="AM1280">
            <v>413</v>
          </cell>
          <cell r="AN1280" t="str">
            <v>01 Existing Dealer</v>
          </cell>
          <cell r="AO1280" t="str">
            <v>Northwest</v>
          </cell>
          <cell r="AP1280" t="str">
            <v>West</v>
          </cell>
          <cell r="AQ1280"/>
          <cell r="AR1280">
            <v>0</v>
          </cell>
          <cell r="AS1280">
            <v>0</v>
          </cell>
        </row>
        <row r="1281">
          <cell r="A1281" t="str">
            <v>12599F</v>
          </cell>
          <cell r="B1281" t="str">
            <v>PREMIER</v>
          </cell>
          <cell r="C1281" t="str">
            <v>M10336</v>
          </cell>
          <cell r="D1281" t="str">
            <v>Return Mail, no pink card</v>
          </cell>
          <cell r="E1281" t="str">
            <v>FP - Wells Fargo</v>
          </cell>
          <cell r="F1281" t="str">
            <v>Yes</v>
          </cell>
          <cell r="G1281" t="str">
            <v>ID</v>
          </cell>
          <cell r="H1281">
            <v>8</v>
          </cell>
          <cell r="I1281">
            <v>0.7</v>
          </cell>
          <cell r="J1281" t="str">
            <v>Nate Erickson</v>
          </cell>
          <cell r="K1281" t="str">
            <v>SHELTON</v>
          </cell>
          <cell r="L1281" t="str">
            <v>WA</v>
          </cell>
          <cell r="M1281" t="str">
            <v>208-459-0106</v>
          </cell>
          <cell r="N1281"/>
          <cell r="O1281">
            <v>2249</v>
          </cell>
          <cell r="P1281">
            <v>9670.6999999999989</v>
          </cell>
          <cell r="Q1281"/>
          <cell r="R1281">
            <v>0</v>
          </cell>
          <cell r="S1281">
            <v>528</v>
          </cell>
          <cell r="T1281">
            <v>2270.4</v>
          </cell>
          <cell r="U1281">
            <v>2170</v>
          </cell>
          <cell r="V1281">
            <v>9331</v>
          </cell>
          <cell r="W1281">
            <v>2201</v>
          </cell>
          <cell r="X1281">
            <v>9464.2999999999993</v>
          </cell>
          <cell r="Y1281"/>
          <cell r="Z1281">
            <v>0</v>
          </cell>
          <cell r="AA1281"/>
          <cell r="AB1281">
            <v>0</v>
          </cell>
          <cell r="AC1281"/>
          <cell r="AD1281">
            <v>0</v>
          </cell>
          <cell r="AE1281"/>
          <cell r="AF1281"/>
          <cell r="AG1281"/>
          <cell r="AH1281"/>
          <cell r="AI1281"/>
          <cell r="AJ1281">
            <v>0.03</v>
          </cell>
          <cell r="AK1281" t="str">
            <v>3P</v>
          </cell>
          <cell r="AL1281">
            <v>187</v>
          </cell>
          <cell r="AM1281">
            <v>331</v>
          </cell>
          <cell r="AN1281" t="str">
            <v>01 Existing Dealer</v>
          </cell>
          <cell r="AO1281" t="str">
            <v>Northwest</v>
          </cell>
          <cell r="AP1281" t="str">
            <v>West</v>
          </cell>
          <cell r="AQ1281"/>
          <cell r="AR1281">
            <v>0</v>
          </cell>
          <cell r="AS1281">
            <v>0</v>
          </cell>
        </row>
        <row r="1282">
          <cell r="A1282" t="str">
            <v>12599G</v>
          </cell>
          <cell r="B1282" t="str">
            <v>PREMIER</v>
          </cell>
          <cell r="C1282" t="str">
            <v>M10336</v>
          </cell>
          <cell r="D1282" t="str">
            <v>Return Mail, no pink card</v>
          </cell>
          <cell r="E1282" t="str">
            <v>FP - Wells Fargo</v>
          </cell>
          <cell r="F1282" t="str">
            <v>Yes</v>
          </cell>
          <cell r="G1282" t="str">
            <v>ID</v>
          </cell>
          <cell r="H1282">
            <v>8</v>
          </cell>
          <cell r="I1282">
            <v>0.7</v>
          </cell>
          <cell r="J1282" t="str">
            <v>Nate Erickson</v>
          </cell>
          <cell r="K1282" t="str">
            <v>ABERDEEN</v>
          </cell>
          <cell r="L1282" t="str">
            <v>WA</v>
          </cell>
          <cell r="M1282" t="str">
            <v>208-459-0106</v>
          </cell>
          <cell r="N1282"/>
          <cell r="O1282">
            <v>2260</v>
          </cell>
          <cell r="P1282">
            <v>9718</v>
          </cell>
          <cell r="Q1282"/>
          <cell r="R1282">
            <v>0</v>
          </cell>
          <cell r="S1282">
            <v>538</v>
          </cell>
          <cell r="T1282">
            <v>2313.4</v>
          </cell>
          <cell r="U1282">
            <v>2181</v>
          </cell>
          <cell r="V1282">
            <v>9378.2999999999993</v>
          </cell>
          <cell r="W1282">
            <v>2211</v>
          </cell>
          <cell r="X1282">
            <v>9507.2999999999993</v>
          </cell>
          <cell r="Y1282"/>
          <cell r="Z1282">
            <v>0</v>
          </cell>
          <cell r="AA1282"/>
          <cell r="AB1282">
            <v>0</v>
          </cell>
          <cell r="AC1282"/>
          <cell r="AD1282">
            <v>0</v>
          </cell>
          <cell r="AE1282"/>
          <cell r="AF1282"/>
          <cell r="AG1282"/>
          <cell r="AH1282"/>
          <cell r="AI1282"/>
          <cell r="AJ1282">
            <v>0.03</v>
          </cell>
          <cell r="AK1282" t="str">
            <v>3P</v>
          </cell>
          <cell r="AL1282">
            <v>187</v>
          </cell>
          <cell r="AM1282">
            <v>2</v>
          </cell>
          <cell r="AN1282" t="str">
            <v>01 Existing Dealer</v>
          </cell>
          <cell r="AO1282" t="str">
            <v>Northwest</v>
          </cell>
          <cell r="AP1282" t="str">
            <v>West</v>
          </cell>
          <cell r="AQ1282"/>
          <cell r="AR1282">
            <v>0</v>
          </cell>
          <cell r="AS1282">
            <v>0</v>
          </cell>
        </row>
        <row r="1283">
          <cell r="A1283" t="str">
            <v>11645J</v>
          </cell>
          <cell r="B1283" t="str">
            <v>UNITED RENTALS</v>
          </cell>
          <cell r="C1283" t="str">
            <v>M08848</v>
          </cell>
          <cell r="D1283" t="str">
            <v>Net 60, no pink card</v>
          </cell>
          <cell r="E1283">
            <v>60</v>
          </cell>
          <cell r="F1283" t="str">
            <v>No</v>
          </cell>
          <cell r="G1283" t="str">
            <v>ID</v>
          </cell>
          <cell r="H1283">
            <v>5</v>
          </cell>
          <cell r="I1283">
            <v>0.66500000000000004</v>
          </cell>
          <cell r="J1283" t="str">
            <v>JL Smith</v>
          </cell>
          <cell r="K1283" t="str">
            <v>PASCO</v>
          </cell>
          <cell r="L1283" t="str">
            <v>WA</v>
          </cell>
          <cell r="M1283" t="str">
            <v>800-577-8858</v>
          </cell>
          <cell r="N1283"/>
          <cell r="O1283" t="str"/>
          <cell r="P1283" t="str"/>
          <cell r="Q1283" t="str"/>
          <cell r="R1283" t="str"/>
          <cell r="S1283" t="str"/>
          <cell r="T1283" t="str"/>
          <cell r="U1283" t="str"/>
          <cell r="V1283" t="str"/>
          <cell r="W1283" t="str"/>
          <cell r="X1283" t="str"/>
          <cell r="Y1283"/>
          <cell r="Z1283">
            <v>0</v>
          </cell>
          <cell r="AA1283"/>
          <cell r="AB1283">
            <v>0</v>
          </cell>
          <cell r="AC1283"/>
          <cell r="AD1283">
            <v>0</v>
          </cell>
          <cell r="AE1283" t="str"/>
          <cell r="AF1283"/>
          <cell r="AG1283" t="str"/>
          <cell r="AH1283" t="str"/>
          <cell r="AI1283" t="str"/>
          <cell r="AJ1283">
            <v>0</v>
          </cell>
          <cell r="AK1283" t="str">
            <v>3P</v>
          </cell>
          <cell r="AL1283">
            <v>151</v>
          </cell>
          <cell r="AM1283"/>
          <cell r="AN1283" t="str">
            <v>11 National</v>
          </cell>
          <cell r="AO1283" t="str">
            <v>Northwest</v>
          </cell>
          <cell r="AP1283" t="str">
            <v>West</v>
          </cell>
          <cell r="AQ1283"/>
          <cell r="AR1283">
            <v>0</v>
          </cell>
          <cell r="AS1283">
            <v>0</v>
          </cell>
        </row>
        <row r="1284">
          <cell r="A1284">
            <v>13531</v>
          </cell>
          <cell r="B1284" t="str">
            <v>SIX ROBBLEES dba TRAILERS NW</v>
          </cell>
          <cell r="C1284" t="str">
            <v>M10423</v>
          </cell>
          <cell r="D1284" t="str">
            <v>Net 15, no pink card</v>
          </cell>
          <cell r="E1284">
            <v>15</v>
          </cell>
          <cell r="F1284" t="str">
            <v>Yes</v>
          </cell>
          <cell r="G1284" t="str">
            <v>ID</v>
          </cell>
          <cell r="H1284">
            <v>5</v>
          </cell>
          <cell r="I1284">
            <v>0.7</v>
          </cell>
          <cell r="J1284" t="str">
            <v>Nate Erickson</v>
          </cell>
          <cell r="K1284" t="str">
            <v>MAPLE VALLEY</v>
          </cell>
          <cell r="L1284" t="str">
            <v>WA</v>
          </cell>
          <cell r="M1284" t="str">
            <v>208-459-0106</v>
          </cell>
          <cell r="N1284"/>
          <cell r="O1284">
            <v>2188</v>
          </cell>
          <cell r="P1284">
            <v>9408.4</v>
          </cell>
          <cell r="Q1284"/>
          <cell r="R1284">
            <v>0</v>
          </cell>
          <cell r="S1284">
            <v>466</v>
          </cell>
          <cell r="T1284">
            <v>2003.8</v>
          </cell>
          <cell r="U1284">
            <v>2109</v>
          </cell>
          <cell r="V1284">
            <v>9068.6999999999989</v>
          </cell>
          <cell r="W1284">
            <v>2140</v>
          </cell>
          <cell r="X1284">
            <v>9202</v>
          </cell>
          <cell r="Y1284"/>
          <cell r="Z1284">
            <v>0</v>
          </cell>
          <cell r="AA1284"/>
          <cell r="AB1284">
            <v>0</v>
          </cell>
          <cell r="AC1284"/>
          <cell r="AD1284">
            <v>0</v>
          </cell>
          <cell r="AE1284"/>
          <cell r="AF1284"/>
          <cell r="AG1284"/>
          <cell r="AH1284"/>
          <cell r="AI1284"/>
          <cell r="AJ1284">
            <v>1.4999999999999999E-2</v>
          </cell>
          <cell r="AK1284" t="str">
            <v>3P</v>
          </cell>
          <cell r="AL1284">
            <v>187</v>
          </cell>
          <cell r="AM1284">
            <v>413</v>
          </cell>
          <cell r="AN1284" t="str">
            <v>01 Existing Dealer</v>
          </cell>
          <cell r="AO1284" t="str">
            <v>Northwest</v>
          </cell>
          <cell r="AP1284" t="str">
            <v>West</v>
          </cell>
          <cell r="AQ1284"/>
          <cell r="AR1284">
            <v>100053</v>
          </cell>
          <cell r="AS1284">
            <v>0</v>
          </cell>
        </row>
        <row r="1285">
          <cell r="A1285">
            <v>12034</v>
          </cell>
          <cell r="B1285" t="str">
            <v>TRAILERS NW</v>
          </cell>
          <cell r="C1285" t="str">
            <v>M10423</v>
          </cell>
          <cell r="D1285" t="str">
            <v>Net 15, no pink card</v>
          </cell>
          <cell r="E1285">
            <v>15</v>
          </cell>
          <cell r="F1285" t="str">
            <v>Yes</v>
          </cell>
          <cell r="G1285" t="str">
            <v>ID</v>
          </cell>
          <cell r="H1285">
            <v>5</v>
          </cell>
          <cell r="I1285">
            <v>0.7</v>
          </cell>
          <cell r="J1285" t="str">
            <v>Nate Erickson</v>
          </cell>
          <cell r="K1285" t="str">
            <v>MAPLE VALLEY</v>
          </cell>
          <cell r="L1285" t="str">
            <v>WA</v>
          </cell>
          <cell r="M1285" t="str">
            <v>208-459-0106</v>
          </cell>
          <cell r="N1285"/>
          <cell r="O1285">
            <v>2188</v>
          </cell>
          <cell r="P1285">
            <v>9408.4</v>
          </cell>
          <cell r="Q1285"/>
          <cell r="R1285">
            <v>0</v>
          </cell>
          <cell r="S1285">
            <v>466</v>
          </cell>
          <cell r="T1285">
            <v>2003.8</v>
          </cell>
          <cell r="U1285">
            <v>2109</v>
          </cell>
          <cell r="V1285">
            <v>9068.6999999999989</v>
          </cell>
          <cell r="W1285">
            <v>2140</v>
          </cell>
          <cell r="X1285">
            <v>9202</v>
          </cell>
          <cell r="Y1285"/>
          <cell r="Z1285">
            <v>0</v>
          </cell>
          <cell r="AA1285"/>
          <cell r="AB1285">
            <v>0</v>
          </cell>
          <cell r="AC1285"/>
          <cell r="AD1285">
            <v>0</v>
          </cell>
          <cell r="AE1285"/>
          <cell r="AF1285"/>
          <cell r="AG1285"/>
          <cell r="AH1285"/>
          <cell r="AI1285"/>
          <cell r="AJ1285">
            <v>0</v>
          </cell>
          <cell r="AK1285" t="str">
            <v>3P</v>
          </cell>
          <cell r="AL1285">
            <v>187</v>
          </cell>
          <cell r="AM1285">
            <v>413</v>
          </cell>
          <cell r="AN1285" t="str">
            <v>01 Existing Dealer</v>
          </cell>
          <cell r="AO1285" t="str">
            <v>Northwest</v>
          </cell>
          <cell r="AP1285" t="str">
            <v>West</v>
          </cell>
          <cell r="AQ1285"/>
          <cell r="AR1285">
            <v>0</v>
          </cell>
          <cell r="AS1285">
            <v>0</v>
          </cell>
        </row>
        <row r="1286">
          <cell r="A1286">
            <v>12086</v>
          </cell>
          <cell r="B1286" t="str">
            <v>TRAILERS NW</v>
          </cell>
          <cell r="C1286" t="str">
            <v>M10423</v>
          </cell>
          <cell r="D1286" t="str">
            <v>NET 5, BT+</v>
          </cell>
          <cell r="E1286" t="str">
            <v>Inactive</v>
          </cell>
          <cell r="F1286" t="str">
            <v>No</v>
          </cell>
          <cell r="G1286" t="str">
            <v>ID</v>
          </cell>
          <cell r="H1286">
            <v>6</v>
          </cell>
          <cell r="I1286">
            <v>0.7</v>
          </cell>
          <cell r="J1286" t="str">
            <v>House</v>
          </cell>
          <cell r="K1286" t="str">
            <v>MAPLE VALLEY</v>
          </cell>
          <cell r="L1286" t="str">
            <v>WA</v>
          </cell>
          <cell r="M1286" t="str">
            <v>208-459-0106</v>
          </cell>
          <cell r="N1286"/>
          <cell r="O1286">
            <v>2188</v>
          </cell>
          <cell r="P1286">
            <v>9408.4</v>
          </cell>
          <cell r="Q1286"/>
          <cell r="R1286">
            <v>0</v>
          </cell>
          <cell r="S1286">
            <v>466</v>
          </cell>
          <cell r="T1286">
            <v>2003.8</v>
          </cell>
          <cell r="U1286">
            <v>2109</v>
          </cell>
          <cell r="V1286">
            <v>9068.6999999999989</v>
          </cell>
          <cell r="W1286">
            <v>2140</v>
          </cell>
          <cell r="X1286">
            <v>9202</v>
          </cell>
          <cell r="Y1286"/>
          <cell r="Z1286">
            <v>0</v>
          </cell>
          <cell r="AA1286"/>
          <cell r="AB1286">
            <v>0</v>
          </cell>
          <cell r="AC1286"/>
          <cell r="AD1286">
            <v>0</v>
          </cell>
          <cell r="AE1286"/>
          <cell r="AF1286"/>
          <cell r="AG1286"/>
          <cell r="AH1286"/>
          <cell r="AI1286"/>
          <cell r="AJ1286">
            <v>0</v>
          </cell>
          <cell r="AK1286" t="str">
            <v>3P</v>
          </cell>
          <cell r="AL1286">
            <v>400</v>
          </cell>
          <cell r="AM1286">
            <v>413</v>
          </cell>
          <cell r="AN1286" t="str">
            <v>01 Existing Dealer</v>
          </cell>
          <cell r="AO1286" t="str">
            <v>Northwest</v>
          </cell>
          <cell r="AP1286" t="str">
            <v>West</v>
          </cell>
          <cell r="AQ1286"/>
          <cell r="AR1286">
            <v>0</v>
          </cell>
          <cell r="AS1286">
            <v>0</v>
          </cell>
        </row>
        <row r="1287">
          <cell r="A1287">
            <v>13415</v>
          </cell>
          <cell r="B1287" t="str">
            <v>51 TRAILER</v>
          </cell>
          <cell r="C1287" t="str">
            <v>M10001</v>
          </cell>
          <cell r="D1287" t="str">
            <v>NET 5, BT+</v>
          </cell>
          <cell r="E1287" t="str">
            <v>F3 - Northpoint</v>
          </cell>
          <cell r="F1287" t="str">
            <v>Yes</v>
          </cell>
          <cell r="G1287" t="str">
            <v>OH</v>
          </cell>
          <cell r="H1287">
            <v>8</v>
          </cell>
          <cell r="I1287">
            <v>0.66500000000000004</v>
          </cell>
          <cell r="J1287" t="str">
            <v>Trent Evans</v>
          </cell>
          <cell r="K1287" t="str">
            <v>STOUGHTON</v>
          </cell>
          <cell r="L1287" t="str">
            <v>WI</v>
          </cell>
          <cell r="M1287" t="str">
            <v>800-577-8858</v>
          </cell>
          <cell r="N1287"/>
          <cell r="O1287">
            <v>894</v>
          </cell>
          <cell r="P1287">
            <v>3844.2</v>
          </cell>
          <cell r="Q1287">
            <v>1000</v>
          </cell>
          <cell r="R1287">
            <v>4300</v>
          </cell>
          <cell r="S1287">
            <v>1723</v>
          </cell>
          <cell r="T1287">
            <v>7408.9</v>
          </cell>
          <cell r="U1287">
            <v>910</v>
          </cell>
          <cell r="V1287">
            <v>3913</v>
          </cell>
          <cell r="W1287">
            <v>975</v>
          </cell>
          <cell r="X1287">
            <v>4192.5</v>
          </cell>
          <cell r="Y1287">
            <v>472</v>
          </cell>
          <cell r="Z1287">
            <v>2029.6</v>
          </cell>
          <cell r="AA1287">
            <v>472</v>
          </cell>
          <cell r="AB1287">
            <v>2029.6</v>
          </cell>
          <cell r="AC1287">
            <v>472</v>
          </cell>
          <cell r="AD1287">
            <v>2029.6</v>
          </cell>
          <cell r="AE1287"/>
          <cell r="AF1287"/>
          <cell r="AG1287"/>
          <cell r="AH1287"/>
          <cell r="AI1287"/>
          <cell r="AJ1287">
            <v>0.03</v>
          </cell>
          <cell r="AK1287" t="str">
            <v>3P</v>
          </cell>
          <cell r="AL1287">
            <v>226</v>
          </cell>
          <cell r="AM1287">
            <v>272</v>
          </cell>
          <cell r="AN1287" t="str">
            <v>01 Existing Dealer</v>
          </cell>
          <cell r="AO1287" t="str">
            <v>Midwest</v>
          </cell>
          <cell r="AP1287" t="str">
            <v>Central</v>
          </cell>
          <cell r="AQ1287"/>
          <cell r="AR1287">
            <v>165586</v>
          </cell>
          <cell r="AS1287">
            <v>96102</v>
          </cell>
        </row>
        <row r="1288">
          <cell r="A1288" t="str">
            <v>13415A</v>
          </cell>
          <cell r="B1288" t="str">
            <v>51 TRAILER</v>
          </cell>
          <cell r="C1288" t="str">
            <v>M10001</v>
          </cell>
          <cell r="D1288" t="str">
            <v>NET 5, BT+</v>
          </cell>
          <cell r="E1288" t="str">
            <v>F3 - Northpoint</v>
          </cell>
          <cell r="F1288" t="str">
            <v>Yes</v>
          </cell>
          <cell r="G1288" t="str">
            <v>OH</v>
          </cell>
          <cell r="H1288">
            <v>8</v>
          </cell>
          <cell r="I1288">
            <v>0.66500000000000004</v>
          </cell>
          <cell r="J1288" t="str">
            <v>Trent Evans</v>
          </cell>
          <cell r="K1288" t="str">
            <v>WATERTOWN</v>
          </cell>
          <cell r="L1288" t="str">
            <v>WI</v>
          </cell>
          <cell r="M1288" t="str">
            <v>800-577-8858</v>
          </cell>
          <cell r="N1288"/>
          <cell r="O1288">
            <v>908</v>
          </cell>
          <cell r="P1288">
            <v>3904.3999999999996</v>
          </cell>
          <cell r="Q1288">
            <v>1010</v>
          </cell>
          <cell r="R1288">
            <v>4343</v>
          </cell>
          <cell r="S1288"/>
          <cell r="T1288">
            <v>0</v>
          </cell>
          <cell r="U1288">
            <v>926</v>
          </cell>
          <cell r="V1288">
            <v>3981.7999999999997</v>
          </cell>
          <cell r="W1288">
            <v>987</v>
          </cell>
          <cell r="X1288">
            <v>4244.0999999999995</v>
          </cell>
          <cell r="Y1288"/>
          <cell r="Z1288">
            <v>0</v>
          </cell>
          <cell r="AA1288">
            <v>462</v>
          </cell>
          <cell r="AB1288">
            <v>1986.6</v>
          </cell>
          <cell r="AC1288">
            <v>462</v>
          </cell>
          <cell r="AD1288">
            <v>1986.6</v>
          </cell>
          <cell r="AE1288"/>
          <cell r="AF1288"/>
          <cell r="AG1288"/>
          <cell r="AH1288"/>
          <cell r="AI1288"/>
          <cell r="AJ1288">
            <v>0.03</v>
          </cell>
          <cell r="AK1288" t="str">
            <v>3P</v>
          </cell>
          <cell r="AL1288">
            <v>226</v>
          </cell>
          <cell r="AM1288">
            <v>297</v>
          </cell>
          <cell r="AN1288" t="str">
            <v>01 Existing Dealer</v>
          </cell>
          <cell r="AO1288" t="str">
            <v>Midwest</v>
          </cell>
          <cell r="AP1288" t="str">
            <v>Central</v>
          </cell>
          <cell r="AQ1288"/>
          <cell r="AR1288">
            <v>0</v>
          </cell>
          <cell r="AS1288">
            <v>0</v>
          </cell>
        </row>
        <row r="1289">
          <cell r="A1289">
            <v>11965</v>
          </cell>
          <cell r="B1289" t="str">
            <v>51 TRAILER</v>
          </cell>
          <cell r="C1289" t="str">
            <v>M10001</v>
          </cell>
          <cell r="D1289" t="str">
            <v>NET 5, BT+</v>
          </cell>
          <cell r="E1289" t="str">
            <v>CO</v>
          </cell>
          <cell r="F1289" t="str">
            <v>Yes</v>
          </cell>
          <cell r="G1289" t="str">
            <v>OH</v>
          </cell>
          <cell r="H1289">
            <v>7</v>
          </cell>
          <cell r="I1289">
            <v>0.66500000000000004</v>
          </cell>
          <cell r="J1289" t="str">
            <v>Trent Evans</v>
          </cell>
          <cell r="K1289" t="str">
            <v>STOUGHTON</v>
          </cell>
          <cell r="L1289" t="str">
            <v>WI</v>
          </cell>
          <cell r="M1289" t="str">
            <v>800-577-8858</v>
          </cell>
          <cell r="N1289"/>
          <cell r="O1289">
            <v>894</v>
          </cell>
          <cell r="P1289">
            <v>3844.2</v>
          </cell>
          <cell r="Q1289">
            <v>1000</v>
          </cell>
          <cell r="R1289">
            <v>4300</v>
          </cell>
          <cell r="S1289">
            <v>1723</v>
          </cell>
          <cell r="T1289">
            <v>7408.9</v>
          </cell>
          <cell r="U1289">
            <v>910</v>
          </cell>
          <cell r="V1289">
            <v>3913</v>
          </cell>
          <cell r="W1289">
            <v>975</v>
          </cell>
          <cell r="X1289">
            <v>4192.5</v>
          </cell>
          <cell r="Y1289">
            <v>472</v>
          </cell>
          <cell r="Z1289">
            <v>2029.6</v>
          </cell>
          <cell r="AA1289">
            <v>472</v>
          </cell>
          <cell r="AB1289">
            <v>2029.6</v>
          </cell>
          <cell r="AC1289">
            <v>472</v>
          </cell>
          <cell r="AD1289">
            <v>2029.6</v>
          </cell>
          <cell r="AE1289"/>
          <cell r="AF1289"/>
          <cell r="AG1289"/>
          <cell r="AH1289"/>
          <cell r="AI1289"/>
          <cell r="AJ1289">
            <v>0.03</v>
          </cell>
          <cell r="AK1289" t="str">
            <v>3P</v>
          </cell>
          <cell r="AL1289">
            <v>226</v>
          </cell>
          <cell r="AM1289">
            <v>272</v>
          </cell>
          <cell r="AN1289" t="str">
            <v>01 Existing Dealer</v>
          </cell>
          <cell r="AO1289" t="str">
            <v>Midwest</v>
          </cell>
          <cell r="AP1289" t="str">
            <v>Central</v>
          </cell>
          <cell r="AQ1289"/>
          <cell r="AR1289">
            <v>0</v>
          </cell>
          <cell r="AS1289">
            <v>0</v>
          </cell>
        </row>
        <row r="1290">
          <cell r="A1290">
            <v>12719</v>
          </cell>
          <cell r="B1290" t="str">
            <v>BIL-BAR TRAILER SALES &amp; SERVICE</v>
          </cell>
          <cell r="C1290" t="str">
            <v>M10100</v>
          </cell>
          <cell r="D1290" t="str">
            <v>NET 5, BT+</v>
          </cell>
          <cell r="E1290" t="str">
            <v>FP - Wells Fargo</v>
          </cell>
          <cell r="F1290" t="str">
            <v>Yes</v>
          </cell>
          <cell r="G1290" t="str">
            <v>OH</v>
          </cell>
          <cell r="H1290">
            <v>8</v>
          </cell>
          <cell r="I1290">
            <v>0.66500000000000004</v>
          </cell>
          <cell r="J1290" t="str">
            <v>Orphaned Acct</v>
          </cell>
          <cell r="K1290" t="str">
            <v>NASHOTAH</v>
          </cell>
          <cell r="L1290" t="str">
            <v>WI</v>
          </cell>
          <cell r="M1290" t="str">
            <v>800-577-8858</v>
          </cell>
          <cell r="N1290"/>
          <cell r="O1290">
            <v>968</v>
          </cell>
          <cell r="P1290">
            <v>4162.3999999999996</v>
          </cell>
          <cell r="Q1290">
            <v>989</v>
          </cell>
          <cell r="R1290">
            <v>4252.7</v>
          </cell>
          <cell r="S1290"/>
          <cell r="T1290">
            <v>0</v>
          </cell>
          <cell r="U1290">
            <v>939</v>
          </cell>
          <cell r="V1290">
            <v>4037.7</v>
          </cell>
          <cell r="W1290">
            <v>1048</v>
          </cell>
          <cell r="X1290">
            <v>4506.3999999999996</v>
          </cell>
          <cell r="Y1290">
            <v>458</v>
          </cell>
          <cell r="Z1290">
            <v>1969.3999999999999</v>
          </cell>
          <cell r="AA1290">
            <v>458</v>
          </cell>
          <cell r="AB1290">
            <v>1969.3999999999999</v>
          </cell>
          <cell r="AC1290">
            <v>458</v>
          </cell>
          <cell r="AD1290">
            <v>1969.3999999999999</v>
          </cell>
          <cell r="AE1290"/>
          <cell r="AF1290"/>
          <cell r="AG1290"/>
          <cell r="AH1290"/>
          <cell r="AI1290"/>
          <cell r="AJ1290">
            <v>0</v>
          </cell>
          <cell r="AK1290" t="str">
            <v>3P</v>
          </cell>
          <cell r="AL1290">
            <v>213</v>
          </cell>
          <cell r="AM1290">
            <v>297</v>
          </cell>
          <cell r="AN1290" t="str">
            <v>08 Inactive Dealer</v>
          </cell>
          <cell r="AO1290" t="str">
            <v>Midwest</v>
          </cell>
          <cell r="AP1290" t="str">
            <v>Central</v>
          </cell>
          <cell r="AQ1290"/>
          <cell r="AR1290">
            <v>0</v>
          </cell>
          <cell r="AS1290">
            <v>0</v>
          </cell>
        </row>
        <row r="1291">
          <cell r="A1291">
            <v>12704</v>
          </cell>
          <cell r="B1291" t="str">
            <v>FRENCHVILLE</v>
          </cell>
          <cell r="C1291" t="str">
            <v>M10197</v>
          </cell>
          <cell r="D1291" t="str">
            <v>NET 5, BT+</v>
          </cell>
          <cell r="E1291" t="str">
            <v>CO</v>
          </cell>
          <cell r="F1291" t="str">
            <v>Yes</v>
          </cell>
          <cell r="G1291" t="str">
            <v>OH</v>
          </cell>
          <cell r="H1291">
            <v>7</v>
          </cell>
          <cell r="I1291">
            <v>0.66500000000000004</v>
          </cell>
          <cell r="J1291" t="str">
            <v>Trent Evans</v>
          </cell>
          <cell r="K1291" t="str">
            <v>ETTRICK</v>
          </cell>
          <cell r="L1291" t="str">
            <v>WI</v>
          </cell>
          <cell r="M1291" t="str">
            <v>800-577-8858</v>
          </cell>
          <cell r="N1291"/>
          <cell r="O1291">
            <v>936</v>
          </cell>
          <cell r="P1291">
            <v>4024.7999999999997</v>
          </cell>
          <cell r="Q1291">
            <v>1170</v>
          </cell>
          <cell r="R1291">
            <v>5031</v>
          </cell>
          <cell r="S1291"/>
          <cell r="T1291">
            <v>0</v>
          </cell>
          <cell r="U1291">
            <v>890</v>
          </cell>
          <cell r="V1291">
            <v>3827</v>
          </cell>
          <cell r="W1291">
            <v>998</v>
          </cell>
          <cell r="X1291">
            <v>4291.3999999999996</v>
          </cell>
          <cell r="Y1291">
            <v>630</v>
          </cell>
          <cell r="Z1291">
            <v>2709</v>
          </cell>
          <cell r="AA1291">
            <v>630</v>
          </cell>
          <cell r="AB1291">
            <v>2709</v>
          </cell>
          <cell r="AC1291">
            <v>630</v>
          </cell>
          <cell r="AD1291">
            <v>2709</v>
          </cell>
          <cell r="AE1291"/>
          <cell r="AF1291"/>
          <cell r="AG1291"/>
          <cell r="AH1291"/>
          <cell r="AI1291"/>
          <cell r="AJ1291">
            <v>0.03</v>
          </cell>
          <cell r="AK1291" t="str">
            <v>3P</v>
          </cell>
          <cell r="AL1291">
            <v>226</v>
          </cell>
          <cell r="AM1291">
            <v>234</v>
          </cell>
          <cell r="AN1291" t="str">
            <v>01 Existing Dealer</v>
          </cell>
          <cell r="AO1291" t="str">
            <v>Midwest</v>
          </cell>
          <cell r="AP1291" t="str">
            <v>Central</v>
          </cell>
          <cell r="AQ1291"/>
          <cell r="AR1291">
            <v>53500</v>
          </cell>
          <cell r="AS1291">
            <v>0</v>
          </cell>
        </row>
        <row r="1292">
          <cell r="A1292" t="str">
            <v>12704A</v>
          </cell>
          <cell r="B1292" t="str">
            <v>FRENCHVILLE</v>
          </cell>
          <cell r="C1292" t="str">
            <v>M10197</v>
          </cell>
          <cell r="D1292" t="str">
            <v>NET 5, BT+</v>
          </cell>
          <cell r="E1292" t="str">
            <v>CO</v>
          </cell>
          <cell r="F1292" t="str">
            <v>Yes</v>
          </cell>
          <cell r="G1292" t="str">
            <v>OH</v>
          </cell>
          <cell r="H1292">
            <v>7</v>
          </cell>
          <cell r="I1292">
            <v>0.66500000000000004</v>
          </cell>
          <cell r="J1292" t="str">
            <v>Trent Evans</v>
          </cell>
          <cell r="K1292" t="str">
            <v>TOMAHAWK</v>
          </cell>
          <cell r="L1292" t="str">
            <v>WI</v>
          </cell>
          <cell r="M1292" t="str">
            <v>800-577-8858</v>
          </cell>
          <cell r="N1292"/>
          <cell r="O1292">
            <v>1082</v>
          </cell>
          <cell r="P1292">
            <v>4652.5999999999995</v>
          </cell>
          <cell r="Q1292">
            <v>1187</v>
          </cell>
          <cell r="R1292">
            <v>5104.0999999999995</v>
          </cell>
          <cell r="S1292"/>
          <cell r="T1292">
            <v>0</v>
          </cell>
          <cell r="U1292">
            <v>1121</v>
          </cell>
          <cell r="V1292">
            <v>4820.3</v>
          </cell>
          <cell r="W1292">
            <v>1161</v>
          </cell>
          <cell r="X1292">
            <v>4992.3</v>
          </cell>
          <cell r="Y1292"/>
          <cell r="Z1292">
            <v>0</v>
          </cell>
          <cell r="AA1292">
            <v>644</v>
          </cell>
          <cell r="AB1292">
            <v>2769.2</v>
          </cell>
          <cell r="AC1292">
            <v>658</v>
          </cell>
          <cell r="AD1292">
            <v>2829.4</v>
          </cell>
          <cell r="AE1292"/>
          <cell r="AF1292"/>
          <cell r="AG1292"/>
          <cell r="AH1292"/>
          <cell r="AI1292"/>
          <cell r="AJ1292">
            <v>0.03</v>
          </cell>
          <cell r="AK1292" t="str">
            <v>3P</v>
          </cell>
          <cell r="AL1292">
            <v>226</v>
          </cell>
          <cell r="AM1292">
            <v>234</v>
          </cell>
          <cell r="AN1292" t="str">
            <v>01 Existing Dealer</v>
          </cell>
          <cell r="AO1292" t="str">
            <v>Midwest</v>
          </cell>
          <cell r="AP1292" t="str">
            <v>Central</v>
          </cell>
          <cell r="AQ1292"/>
          <cell r="AR1292">
            <v>0</v>
          </cell>
          <cell r="AS1292">
            <v>0</v>
          </cell>
        </row>
        <row r="1293">
          <cell r="A1293">
            <v>12710</v>
          </cell>
          <cell r="B1293" t="str">
            <v>FRENCHVILLE</v>
          </cell>
          <cell r="C1293" t="str">
            <v>M10197</v>
          </cell>
          <cell r="D1293" t="str">
            <v>NET 5, BT+</v>
          </cell>
          <cell r="E1293" t="str">
            <v>F1 - Wells Fargo</v>
          </cell>
          <cell r="F1293" t="str">
            <v>Yes</v>
          </cell>
          <cell r="G1293" t="str">
            <v>OH</v>
          </cell>
          <cell r="H1293">
            <v>8</v>
          </cell>
          <cell r="I1293">
            <v>0.66500000000000004</v>
          </cell>
          <cell r="J1293" t="str">
            <v>Trent Evans</v>
          </cell>
          <cell r="K1293" t="str">
            <v>ETTRICK</v>
          </cell>
          <cell r="L1293" t="str">
            <v>WI</v>
          </cell>
          <cell r="M1293" t="str">
            <v>800-577-8858</v>
          </cell>
          <cell r="N1293"/>
          <cell r="O1293">
            <v>936</v>
          </cell>
          <cell r="P1293">
            <v>4024.7999999999997</v>
          </cell>
          <cell r="Q1293">
            <v>1170</v>
          </cell>
          <cell r="R1293">
            <v>5031</v>
          </cell>
          <cell r="S1293"/>
          <cell r="T1293">
            <v>0</v>
          </cell>
          <cell r="U1293">
            <v>890</v>
          </cell>
          <cell r="V1293">
            <v>3827</v>
          </cell>
          <cell r="W1293">
            <v>998</v>
          </cell>
          <cell r="X1293">
            <v>4291.3999999999996</v>
          </cell>
          <cell r="Y1293">
            <v>630</v>
          </cell>
          <cell r="Z1293">
            <v>2709</v>
          </cell>
          <cell r="AA1293">
            <v>630</v>
          </cell>
          <cell r="AB1293">
            <v>2709</v>
          </cell>
          <cell r="AC1293">
            <v>630</v>
          </cell>
          <cell r="AD1293">
            <v>2709</v>
          </cell>
          <cell r="AE1293"/>
          <cell r="AF1293"/>
          <cell r="AG1293"/>
          <cell r="AH1293"/>
          <cell r="AI1293"/>
          <cell r="AJ1293">
            <v>0.03</v>
          </cell>
          <cell r="AK1293" t="str">
            <v>3P</v>
          </cell>
          <cell r="AL1293">
            <v>226</v>
          </cell>
          <cell r="AM1293">
            <v>234</v>
          </cell>
          <cell r="AN1293" t="str">
            <v>01 Existing Dealer</v>
          </cell>
          <cell r="AO1293" t="str">
            <v>Midwest</v>
          </cell>
          <cell r="AP1293" t="str">
            <v>Central</v>
          </cell>
          <cell r="AQ1293"/>
          <cell r="AR1293">
            <v>105021</v>
          </cell>
          <cell r="AS1293">
            <v>23811</v>
          </cell>
        </row>
        <row r="1294">
          <cell r="A1294" t="str">
            <v>12710A</v>
          </cell>
          <cell r="B1294" t="str">
            <v>FRENCHVILLE</v>
          </cell>
          <cell r="C1294" t="str">
            <v>M10197</v>
          </cell>
          <cell r="D1294" t="str">
            <v>NET 5, BT+</v>
          </cell>
          <cell r="E1294" t="str">
            <v>F1 - Wells Fargo</v>
          </cell>
          <cell r="F1294" t="str">
            <v>Yes</v>
          </cell>
          <cell r="G1294" t="str">
            <v>OH</v>
          </cell>
          <cell r="H1294">
            <v>8</v>
          </cell>
          <cell r="I1294">
            <v>0.66500000000000004</v>
          </cell>
          <cell r="J1294" t="str">
            <v>Trent Evans</v>
          </cell>
          <cell r="K1294" t="str">
            <v>IRMA</v>
          </cell>
          <cell r="L1294" t="str">
            <v>WI</v>
          </cell>
          <cell r="M1294" t="str">
            <v>800-577-8858</v>
          </cell>
          <cell r="N1294"/>
          <cell r="O1294">
            <v>1071</v>
          </cell>
          <cell r="P1294">
            <v>4605.3</v>
          </cell>
          <cell r="Q1294">
            <v>1176</v>
          </cell>
          <cell r="R1294">
            <v>5056.8</v>
          </cell>
          <cell r="S1294"/>
          <cell r="T1294">
            <v>0</v>
          </cell>
          <cell r="U1294">
            <v>1110</v>
          </cell>
          <cell r="V1294">
            <v>4773</v>
          </cell>
          <cell r="W1294">
            <v>1149</v>
          </cell>
          <cell r="X1294">
            <v>4940.7</v>
          </cell>
          <cell r="Y1294">
            <v>630</v>
          </cell>
          <cell r="Z1294">
            <v>2709</v>
          </cell>
          <cell r="AA1294">
            <v>630</v>
          </cell>
          <cell r="AB1294">
            <v>2709</v>
          </cell>
          <cell r="AC1294">
            <v>630</v>
          </cell>
          <cell r="AD1294">
            <v>2709</v>
          </cell>
          <cell r="AE1294"/>
          <cell r="AF1294"/>
          <cell r="AG1294"/>
          <cell r="AH1294"/>
          <cell r="AI1294"/>
          <cell r="AJ1294">
            <v>0.03</v>
          </cell>
          <cell r="AK1294" t="str">
            <v>3P</v>
          </cell>
          <cell r="AL1294">
            <v>226</v>
          </cell>
          <cell r="AM1294">
            <v>234</v>
          </cell>
          <cell r="AN1294" t="str">
            <v>01 Existing Dealer</v>
          </cell>
          <cell r="AO1294" t="str">
            <v>Midwest</v>
          </cell>
          <cell r="AP1294" t="str">
            <v>Central</v>
          </cell>
          <cell r="AQ1294"/>
          <cell r="AR1294">
            <v>0</v>
          </cell>
          <cell r="AS1294">
            <v>0</v>
          </cell>
        </row>
        <row r="1295">
          <cell r="A1295" t="str">
            <v>12710B</v>
          </cell>
          <cell r="B1295" t="str">
            <v>FRENCHVILLE</v>
          </cell>
          <cell r="C1295" t="str">
            <v>M10197</v>
          </cell>
          <cell r="D1295" t="str">
            <v>NET 5, BT+</v>
          </cell>
          <cell r="E1295" t="str">
            <v>F1 - Wells Fargo</v>
          </cell>
          <cell r="F1295" t="str">
            <v>Yes</v>
          </cell>
          <cell r="G1295" t="str">
            <v>OH</v>
          </cell>
          <cell r="H1295">
            <v>8</v>
          </cell>
          <cell r="I1295">
            <v>0.66500000000000004</v>
          </cell>
          <cell r="J1295" t="str">
            <v>Trent Evans</v>
          </cell>
          <cell r="K1295" t="str">
            <v>TOMAHAWK</v>
          </cell>
          <cell r="L1295" t="str">
            <v>WI</v>
          </cell>
          <cell r="M1295" t="str">
            <v>800-577-8858</v>
          </cell>
          <cell r="N1295"/>
          <cell r="O1295">
            <v>1082</v>
          </cell>
          <cell r="P1295">
            <v>4652.5999999999995</v>
          </cell>
          <cell r="Q1295">
            <v>1187</v>
          </cell>
          <cell r="R1295">
            <v>5104.0999999999995</v>
          </cell>
          <cell r="S1295"/>
          <cell r="T1295">
            <v>0</v>
          </cell>
          <cell r="U1295">
            <v>1121</v>
          </cell>
          <cell r="V1295">
            <v>4820.3</v>
          </cell>
          <cell r="W1295">
            <v>1161</v>
          </cell>
          <cell r="X1295">
            <v>4992.3</v>
          </cell>
          <cell r="Y1295"/>
          <cell r="Z1295">
            <v>0</v>
          </cell>
          <cell r="AA1295">
            <v>644</v>
          </cell>
          <cell r="AB1295">
            <v>2769.2</v>
          </cell>
          <cell r="AC1295">
            <v>658</v>
          </cell>
          <cell r="AD1295">
            <v>2829.4</v>
          </cell>
          <cell r="AE1295"/>
          <cell r="AF1295"/>
          <cell r="AG1295"/>
          <cell r="AH1295"/>
          <cell r="AI1295"/>
          <cell r="AJ1295">
            <v>0.03</v>
          </cell>
          <cell r="AK1295" t="str">
            <v>3P</v>
          </cell>
          <cell r="AL1295">
            <v>226</v>
          </cell>
          <cell r="AM1295">
            <v>234</v>
          </cell>
          <cell r="AN1295" t="str">
            <v>01 Existing Dealer</v>
          </cell>
          <cell r="AO1295" t="str">
            <v>Midwest</v>
          </cell>
          <cell r="AP1295" t="str">
            <v>Central</v>
          </cell>
          <cell r="AQ1295"/>
          <cell r="AR1295">
            <v>0</v>
          </cell>
          <cell r="AS1295">
            <v>0</v>
          </cell>
        </row>
        <row r="1296">
          <cell r="A1296">
            <v>12702</v>
          </cell>
          <cell r="B1296" t="str">
            <v>FRITZ TRANSPORT, LLC.</v>
          </cell>
          <cell r="C1296" t="str">
            <v>M10805</v>
          </cell>
          <cell r="D1296" t="str">
            <v>NET 5, BT+</v>
          </cell>
          <cell r="E1296" t="str">
            <v>CF</v>
          </cell>
          <cell r="F1296" t="str">
            <v>Yes</v>
          </cell>
          <cell r="G1296" t="str">
            <v>OH</v>
          </cell>
          <cell r="H1296">
            <v>7</v>
          </cell>
          <cell r="I1296">
            <v>0.66500000000000004</v>
          </cell>
          <cell r="J1296" t="str">
            <v>Orphaned Acct</v>
          </cell>
          <cell r="K1296" t="str">
            <v>ELEVA</v>
          </cell>
          <cell r="L1296" t="str">
            <v>WI</v>
          </cell>
          <cell r="M1296" t="str">
            <v>800-577-8858</v>
          </cell>
          <cell r="N1296"/>
          <cell r="O1296">
            <v>991</v>
          </cell>
          <cell r="P1296">
            <v>4261.3</v>
          </cell>
          <cell r="Q1296">
            <v>1185</v>
          </cell>
          <cell r="R1296">
            <v>5095.5</v>
          </cell>
          <cell r="S1296"/>
          <cell r="T1296">
            <v>0</v>
          </cell>
          <cell r="U1296">
            <v>945</v>
          </cell>
          <cell r="V1296">
            <v>4063.5</v>
          </cell>
          <cell r="W1296">
            <v>1053</v>
          </cell>
          <cell r="X1296">
            <v>4527.8999999999996</v>
          </cell>
          <cell r="Y1296">
            <v>649</v>
          </cell>
          <cell r="Z1296">
            <v>2790.7</v>
          </cell>
          <cell r="AA1296">
            <v>649</v>
          </cell>
          <cell r="AB1296">
            <v>2790.7</v>
          </cell>
          <cell r="AC1296">
            <v>649</v>
          </cell>
          <cell r="AD1296">
            <v>2790.7</v>
          </cell>
          <cell r="AE1296"/>
          <cell r="AF1296"/>
          <cell r="AG1296"/>
          <cell r="AH1296"/>
          <cell r="AI1296"/>
          <cell r="AJ1296">
            <v>0</v>
          </cell>
          <cell r="AK1296" t="str">
            <v>3P</v>
          </cell>
          <cell r="AL1296">
            <v>213</v>
          </cell>
          <cell r="AM1296">
            <v>234</v>
          </cell>
          <cell r="AN1296" t="str">
            <v>08 Inactive Dealer</v>
          </cell>
          <cell r="AO1296" t="str">
            <v>Midwest</v>
          </cell>
          <cell r="AP1296" t="str">
            <v>Central</v>
          </cell>
          <cell r="AQ1296"/>
          <cell r="AR1296">
            <v>0</v>
          </cell>
          <cell r="AS1296">
            <v>0</v>
          </cell>
        </row>
        <row r="1297">
          <cell r="A1297">
            <v>10777</v>
          </cell>
          <cell r="B1297" t="str">
            <v>GOODRICH'S TRAILERS</v>
          </cell>
          <cell r="C1297" t="str">
            <v>M10204</v>
          </cell>
          <cell r="D1297" t="str">
            <v>NET 5, BT+</v>
          </cell>
          <cell r="E1297" t="str">
            <v>FP - Wells Fargo</v>
          </cell>
          <cell r="F1297" t="str">
            <v>Yes</v>
          </cell>
          <cell r="G1297" t="str">
            <v>OH</v>
          </cell>
          <cell r="H1297">
            <v>8</v>
          </cell>
          <cell r="I1297">
            <v>0.66500000000000004</v>
          </cell>
          <cell r="J1297" t="str">
            <v>Orphaned Acct</v>
          </cell>
          <cell r="K1297" t="str">
            <v>ELK MOUND</v>
          </cell>
          <cell r="L1297" t="str">
            <v>WI</v>
          </cell>
          <cell r="M1297" t="str">
            <v>800-577-8858</v>
          </cell>
          <cell r="N1297"/>
          <cell r="O1297">
            <v>975</v>
          </cell>
          <cell r="P1297">
            <v>4192.5</v>
          </cell>
          <cell r="Q1297">
            <v>1197</v>
          </cell>
          <cell r="R1297">
            <v>5147.0999999999995</v>
          </cell>
          <cell r="S1297"/>
          <cell r="T1297">
            <v>0</v>
          </cell>
          <cell r="U1297">
            <v>929</v>
          </cell>
          <cell r="V1297">
            <v>3994.7</v>
          </cell>
          <cell r="W1297">
            <v>1036</v>
          </cell>
          <cell r="X1297">
            <v>4454.8</v>
          </cell>
          <cell r="Y1297">
            <v>670</v>
          </cell>
          <cell r="Z1297">
            <v>2881</v>
          </cell>
          <cell r="AA1297">
            <v>670</v>
          </cell>
          <cell r="AB1297">
            <v>2881</v>
          </cell>
          <cell r="AC1297">
            <v>670</v>
          </cell>
          <cell r="AD1297">
            <v>2881</v>
          </cell>
          <cell r="AE1297"/>
          <cell r="AF1297"/>
          <cell r="AG1297"/>
          <cell r="AH1297"/>
          <cell r="AI1297"/>
          <cell r="AJ1297">
            <v>0</v>
          </cell>
          <cell r="AK1297" t="str">
            <v>3P</v>
          </cell>
          <cell r="AL1297">
            <v>213</v>
          </cell>
          <cell r="AM1297">
            <v>123</v>
          </cell>
          <cell r="AN1297" t="str">
            <v>08 Inactive Dealer</v>
          </cell>
          <cell r="AO1297" t="str">
            <v>Midwest</v>
          </cell>
          <cell r="AP1297" t="str">
            <v>Central</v>
          </cell>
          <cell r="AQ1297"/>
          <cell r="AR1297">
            <v>0</v>
          </cell>
          <cell r="AS1297">
            <v>0</v>
          </cell>
        </row>
        <row r="1298">
          <cell r="A1298">
            <v>12831</v>
          </cell>
          <cell r="B1298" t="str">
            <v>I90 ENTERPRISES</v>
          </cell>
          <cell r="C1298" t="str">
            <v>M10226</v>
          </cell>
          <cell r="D1298" t="str">
            <v>NET 5, BT+</v>
          </cell>
          <cell r="E1298" t="str">
            <v>RM</v>
          </cell>
          <cell r="F1298" t="str">
            <v>Yes</v>
          </cell>
          <cell r="G1298" t="str">
            <v>OH</v>
          </cell>
          <cell r="H1298">
            <v>7</v>
          </cell>
          <cell r="I1298">
            <v>0.66500000000000004</v>
          </cell>
          <cell r="J1298" t="str">
            <v>Orphaned Acct</v>
          </cell>
          <cell r="K1298" t="str">
            <v>EDGERTON</v>
          </cell>
          <cell r="L1298" t="str">
            <v>WI</v>
          </cell>
          <cell r="M1298" t="str">
            <v>800-577-8858</v>
          </cell>
          <cell r="N1298"/>
          <cell r="O1298">
            <v>883</v>
          </cell>
          <cell r="P1298">
            <v>3796.8999999999996</v>
          </cell>
          <cell r="Q1298"/>
          <cell r="R1298">
            <v>0</v>
          </cell>
          <cell r="S1298"/>
          <cell r="T1298">
            <v>0</v>
          </cell>
          <cell r="U1298">
            <v>899</v>
          </cell>
          <cell r="V1298">
            <v>3865.7</v>
          </cell>
          <cell r="W1298">
            <v>963</v>
          </cell>
          <cell r="X1298">
            <v>4140.8999999999996</v>
          </cell>
          <cell r="Y1298">
            <v>461</v>
          </cell>
          <cell r="Z1298">
            <v>1982.3</v>
          </cell>
          <cell r="AA1298">
            <v>461</v>
          </cell>
          <cell r="AB1298">
            <v>1982.3</v>
          </cell>
          <cell r="AC1298">
            <v>461</v>
          </cell>
          <cell r="AD1298">
            <v>1982.3</v>
          </cell>
          <cell r="AE1298"/>
          <cell r="AF1298"/>
          <cell r="AG1298"/>
          <cell r="AH1298"/>
          <cell r="AI1298"/>
          <cell r="AJ1298">
            <v>0</v>
          </cell>
          <cell r="AK1298" t="str">
            <v>3P</v>
          </cell>
          <cell r="AL1298">
            <v>213</v>
          </cell>
          <cell r="AM1298">
            <v>216</v>
          </cell>
          <cell r="AN1298" t="str">
            <v>01 Existing Dealer</v>
          </cell>
          <cell r="AO1298" t="str">
            <v>Midwest</v>
          </cell>
          <cell r="AP1298" t="str">
            <v>Central</v>
          </cell>
          <cell r="AQ1298"/>
          <cell r="AR1298">
            <v>0</v>
          </cell>
          <cell r="AS1298">
            <v>0</v>
          </cell>
        </row>
        <row r="1299">
          <cell r="A1299">
            <v>11284</v>
          </cell>
          <cell r="B1299" t="str">
            <v xml:space="preserve">MIDSTATES TRAILER </v>
          </cell>
          <cell r="C1299" t="str">
            <v>M10285</v>
          </cell>
          <cell r="D1299" t="str">
            <v>NET 5, BT+</v>
          </cell>
          <cell r="E1299" t="str">
            <v>CF</v>
          </cell>
          <cell r="F1299" t="str">
            <v>Yes</v>
          </cell>
          <cell r="G1299" t="str">
            <v>OH</v>
          </cell>
          <cell r="H1299">
            <v>7</v>
          </cell>
          <cell r="I1299">
            <v>0.66500000000000004</v>
          </cell>
          <cell r="J1299" t="str">
            <v>Orphaned Acct</v>
          </cell>
          <cell r="K1299" t="str">
            <v>SULLIVAN</v>
          </cell>
          <cell r="L1299" t="str">
            <v>WI</v>
          </cell>
          <cell r="M1299" t="str">
            <v>800-577-8858</v>
          </cell>
          <cell r="N1299"/>
          <cell r="O1299">
            <v>910</v>
          </cell>
          <cell r="P1299">
            <v>3913</v>
          </cell>
          <cell r="Q1299">
            <v>985</v>
          </cell>
          <cell r="R1299">
            <v>4235.5</v>
          </cell>
          <cell r="S1299"/>
          <cell r="T1299">
            <v>0</v>
          </cell>
          <cell r="U1299">
            <v>926</v>
          </cell>
          <cell r="V1299">
            <v>3981.7999999999997</v>
          </cell>
          <cell r="W1299">
            <v>990</v>
          </cell>
          <cell r="X1299">
            <v>4257</v>
          </cell>
          <cell r="Y1299">
            <v>470</v>
          </cell>
          <cell r="Z1299">
            <v>2021</v>
          </cell>
          <cell r="AA1299">
            <v>470</v>
          </cell>
          <cell r="AB1299">
            <v>2021</v>
          </cell>
          <cell r="AC1299">
            <v>470</v>
          </cell>
          <cell r="AD1299">
            <v>2021</v>
          </cell>
          <cell r="AE1299"/>
          <cell r="AF1299"/>
          <cell r="AG1299"/>
          <cell r="AH1299"/>
          <cell r="AI1299"/>
          <cell r="AJ1299">
            <v>0</v>
          </cell>
          <cell r="AK1299" t="str">
            <v>3P</v>
          </cell>
          <cell r="AL1299">
            <v>213</v>
          </cell>
          <cell r="AM1299">
            <v>297</v>
          </cell>
          <cell r="AN1299" t="str">
            <v>08 Inactive Dealer</v>
          </cell>
          <cell r="AO1299" t="str">
            <v>Midwest</v>
          </cell>
          <cell r="AP1299" t="str">
            <v>Central</v>
          </cell>
          <cell r="AQ1299"/>
          <cell r="AR1299">
            <v>0</v>
          </cell>
          <cell r="AS1299">
            <v>0</v>
          </cell>
        </row>
        <row r="1300">
          <cell r="A1300">
            <v>11829</v>
          </cell>
          <cell r="B1300" t="str">
            <v xml:space="preserve">MIDSTATES TRAILER </v>
          </cell>
          <cell r="C1300" t="str">
            <v>M10285</v>
          </cell>
          <cell r="D1300" t="str">
            <v>NET 5, BT+</v>
          </cell>
          <cell r="E1300" t="str">
            <v>FP - Wells Fargo</v>
          </cell>
          <cell r="F1300" t="str">
            <v>Yes</v>
          </cell>
          <cell r="G1300" t="str">
            <v>OH</v>
          </cell>
          <cell r="H1300">
            <v>8</v>
          </cell>
          <cell r="I1300">
            <v>0.66500000000000004</v>
          </cell>
          <cell r="J1300" t="str">
            <v>House</v>
          </cell>
          <cell r="K1300" t="str">
            <v>SULLIVAN</v>
          </cell>
          <cell r="L1300" t="str">
            <v>WI</v>
          </cell>
          <cell r="M1300" t="str">
            <v>800-577-8858</v>
          </cell>
          <cell r="N1300"/>
          <cell r="O1300">
            <v>910</v>
          </cell>
          <cell r="P1300">
            <v>3913</v>
          </cell>
          <cell r="Q1300">
            <v>985</v>
          </cell>
          <cell r="R1300">
            <v>4235.5</v>
          </cell>
          <cell r="S1300"/>
          <cell r="T1300">
            <v>0</v>
          </cell>
          <cell r="U1300">
            <v>926</v>
          </cell>
          <cell r="V1300">
            <v>3981.7999999999997</v>
          </cell>
          <cell r="W1300">
            <v>990</v>
          </cell>
          <cell r="X1300">
            <v>4257</v>
          </cell>
          <cell r="Y1300">
            <v>470</v>
          </cell>
          <cell r="Z1300">
            <v>2021</v>
          </cell>
          <cell r="AA1300">
            <v>470</v>
          </cell>
          <cell r="AB1300">
            <v>2021</v>
          </cell>
          <cell r="AC1300">
            <v>470</v>
          </cell>
          <cell r="AD1300">
            <v>2021</v>
          </cell>
          <cell r="AE1300"/>
          <cell r="AF1300"/>
          <cell r="AG1300"/>
          <cell r="AH1300"/>
          <cell r="AI1300"/>
          <cell r="AJ1300">
            <v>0</v>
          </cell>
          <cell r="AK1300" t="str">
            <v>3P</v>
          </cell>
          <cell r="AL1300">
            <v>400</v>
          </cell>
          <cell r="AM1300">
            <v>297</v>
          </cell>
          <cell r="AN1300" t="str">
            <v>08 Inactive Dealer</v>
          </cell>
          <cell r="AO1300" t="str">
            <v>Midwest</v>
          </cell>
          <cell r="AP1300" t="str">
            <v>Central</v>
          </cell>
          <cell r="AQ1300"/>
          <cell r="AR1300">
            <v>0</v>
          </cell>
          <cell r="AS1300">
            <v>0</v>
          </cell>
        </row>
        <row r="1301">
          <cell r="A1301">
            <v>13558</v>
          </cell>
          <cell r="B1301" t="str">
            <v>MIRSBERGER SALES</v>
          </cell>
          <cell r="C1301" t="str">
            <v>M11535</v>
          </cell>
          <cell r="D1301" t="str">
            <v>NET 5, BT+</v>
          </cell>
          <cell r="E1301" t="str">
            <v>F3 - Northpoint</v>
          </cell>
          <cell r="F1301" t="str">
            <v>Yes</v>
          </cell>
          <cell r="G1301" t="str">
            <v>OH</v>
          </cell>
          <cell r="H1301">
            <v>8</v>
          </cell>
          <cell r="I1301">
            <v>0.66500000000000004</v>
          </cell>
          <cell r="J1301" t="str">
            <v>JL Smith</v>
          </cell>
          <cell r="K1301" t="str">
            <v>HILBERT</v>
          </cell>
          <cell r="L1301" t="str">
            <v>WI</v>
          </cell>
          <cell r="M1301" t="str">
            <v>800-577-8858</v>
          </cell>
          <cell r="N1301"/>
          <cell r="O1301">
            <v>1007</v>
          </cell>
          <cell r="P1301">
            <v>4330.0999999999995</v>
          </cell>
          <cell r="Q1301">
            <v>1040</v>
          </cell>
          <cell r="R1301">
            <v>4472</v>
          </cell>
          <cell r="S1301" t="str"/>
          <cell r="T1301" t="str"/>
          <cell r="U1301">
            <v>1024</v>
          </cell>
          <cell r="V1301">
            <v>4403.2</v>
          </cell>
          <cell r="W1301">
            <v>1086</v>
          </cell>
          <cell r="X1301">
            <v>4669.8</v>
          </cell>
          <cell r="Y1301">
            <v>498</v>
          </cell>
          <cell r="Z1301">
            <v>2141.4</v>
          </cell>
          <cell r="AA1301">
            <v>498</v>
          </cell>
          <cell r="AB1301">
            <v>2141.4</v>
          </cell>
          <cell r="AC1301">
            <v>498</v>
          </cell>
          <cell r="AD1301">
            <v>2141.4</v>
          </cell>
          <cell r="AE1301" t="str"/>
          <cell r="AF1301"/>
          <cell r="AG1301" t="str"/>
          <cell r="AH1301" t="str"/>
          <cell r="AI1301" t="str"/>
          <cell r="AJ1301">
            <v>0.02</v>
          </cell>
          <cell r="AK1301" t="str">
            <v>3P</v>
          </cell>
          <cell r="AL1301">
            <v>151</v>
          </cell>
          <cell r="AM1301">
            <v>18</v>
          </cell>
          <cell r="AN1301" t="str">
            <v>03 New Dealer</v>
          </cell>
          <cell r="AO1301" t="str">
            <v>Midwest</v>
          </cell>
          <cell r="AP1301" t="str">
            <v>Central</v>
          </cell>
          <cell r="AQ1301"/>
          <cell r="AR1301">
            <v>0</v>
          </cell>
          <cell r="AS1301">
            <v>0</v>
          </cell>
        </row>
        <row r="1302">
          <cell r="A1302">
            <v>12707</v>
          </cell>
          <cell r="B1302" t="str">
            <v>MUELLERS</v>
          </cell>
          <cell r="C1302" t="str">
            <v>M10293</v>
          </cell>
          <cell r="D1302" t="str">
            <v>NET 5, BT+</v>
          </cell>
          <cell r="E1302" t="str">
            <v>FP - Wells Fargo</v>
          </cell>
          <cell r="F1302" t="str">
            <v>Yes</v>
          </cell>
          <cell r="G1302" t="str">
            <v>OH</v>
          </cell>
          <cell r="H1302">
            <v>7</v>
          </cell>
          <cell r="I1302">
            <v>0.66500000000000004</v>
          </cell>
          <cell r="J1302" t="str">
            <v>Orphaned Acct</v>
          </cell>
          <cell r="K1302" t="str">
            <v>RANDOM LAKE</v>
          </cell>
          <cell r="L1302" t="str">
            <v>WI</v>
          </cell>
          <cell r="M1302" t="str">
            <v>800-577-8858</v>
          </cell>
          <cell r="N1302"/>
          <cell r="O1302">
            <v>980</v>
          </cell>
          <cell r="P1302">
            <v>4214</v>
          </cell>
          <cell r="Q1302">
            <v>1001</v>
          </cell>
          <cell r="R1302">
            <v>4304.3</v>
          </cell>
          <cell r="S1302"/>
          <cell r="T1302">
            <v>0</v>
          </cell>
          <cell r="U1302">
            <v>976</v>
          </cell>
          <cell r="V1302">
            <v>4196.8</v>
          </cell>
          <cell r="W1302">
            <v>1061</v>
          </cell>
          <cell r="X1302">
            <v>4562.3</v>
          </cell>
          <cell r="Y1302">
            <v>469</v>
          </cell>
          <cell r="Z1302">
            <v>2016.6999999999998</v>
          </cell>
          <cell r="AA1302">
            <v>469</v>
          </cell>
          <cell r="AB1302">
            <v>2016.6999999999998</v>
          </cell>
          <cell r="AC1302">
            <v>469</v>
          </cell>
          <cell r="AD1302">
            <v>2016.6999999999998</v>
          </cell>
          <cell r="AE1302"/>
          <cell r="AF1302"/>
          <cell r="AG1302"/>
          <cell r="AH1302"/>
          <cell r="AI1302"/>
          <cell r="AJ1302">
            <v>0</v>
          </cell>
          <cell r="AK1302" t="str">
            <v>3P</v>
          </cell>
          <cell r="AL1302">
            <v>213</v>
          </cell>
          <cell r="AM1302">
            <v>417</v>
          </cell>
          <cell r="AN1302" t="str">
            <v>01 Existing Dealer</v>
          </cell>
          <cell r="AO1302" t="str">
            <v>Midwest</v>
          </cell>
          <cell r="AP1302" t="str">
            <v>Central</v>
          </cell>
          <cell r="AQ1302"/>
          <cell r="AR1302">
            <v>0</v>
          </cell>
          <cell r="AS1302">
            <v>0</v>
          </cell>
        </row>
        <row r="1303">
          <cell r="A1303">
            <v>12294</v>
          </cell>
          <cell r="B1303" t="str">
            <v>ROLLIN-ON TRAILERS</v>
          </cell>
          <cell r="C1303" t="str">
            <v>M10356</v>
          </cell>
          <cell r="D1303" t="str">
            <v>NET 5, BT+</v>
          </cell>
          <cell r="E1303" t="str">
            <v>CO</v>
          </cell>
          <cell r="F1303" t="str">
            <v>Yes</v>
          </cell>
          <cell r="G1303" t="str">
            <v>OH</v>
          </cell>
          <cell r="H1303">
            <v>7</v>
          </cell>
          <cell r="I1303">
            <v>0.66500000000000004</v>
          </cell>
          <cell r="J1303" t="str">
            <v>Orphaned Acct</v>
          </cell>
          <cell r="K1303" t="str">
            <v>GREEN BAY</v>
          </cell>
          <cell r="L1303" t="str">
            <v>WI</v>
          </cell>
          <cell r="M1303" t="str">
            <v>800-577-8858</v>
          </cell>
          <cell r="N1303"/>
          <cell r="O1303">
            <v>1058</v>
          </cell>
          <cell r="P1303">
            <v>4549.3999999999996</v>
          </cell>
          <cell r="Q1303">
            <v>1078</v>
          </cell>
          <cell r="R1303">
            <v>4635.3999999999996</v>
          </cell>
          <cell r="S1303">
            <v>1758</v>
          </cell>
          <cell r="T1303">
            <v>7559.4</v>
          </cell>
          <cell r="U1303">
            <v>1053</v>
          </cell>
          <cell r="V1303">
            <v>4527.8999999999996</v>
          </cell>
          <cell r="W1303">
            <v>1138</v>
          </cell>
          <cell r="X1303">
            <v>4893.3999999999996</v>
          </cell>
          <cell r="Y1303">
            <v>548</v>
          </cell>
          <cell r="Z1303">
            <v>2356.4</v>
          </cell>
          <cell r="AA1303">
            <v>548</v>
          </cell>
          <cell r="AB1303">
            <v>2356.4</v>
          </cell>
          <cell r="AC1303">
            <v>548</v>
          </cell>
          <cell r="AD1303">
            <v>2356.4</v>
          </cell>
          <cell r="AE1303"/>
          <cell r="AF1303"/>
          <cell r="AG1303"/>
          <cell r="AH1303"/>
          <cell r="AI1303"/>
          <cell r="AJ1303">
            <v>0</v>
          </cell>
          <cell r="AK1303" t="str">
            <v>3P</v>
          </cell>
          <cell r="AL1303">
            <v>213</v>
          </cell>
          <cell r="AM1303">
            <v>173</v>
          </cell>
          <cell r="AN1303" t="str">
            <v>01 Existing Dealer</v>
          </cell>
          <cell r="AO1303" t="str">
            <v>Midwest</v>
          </cell>
          <cell r="AP1303" t="str">
            <v>Central</v>
          </cell>
          <cell r="AQ1303"/>
          <cell r="AR1303">
            <v>0</v>
          </cell>
          <cell r="AS1303">
            <v>0</v>
          </cell>
        </row>
        <row r="1304">
          <cell r="A1304">
            <v>12357</v>
          </cell>
          <cell r="B1304" t="str">
            <v>ROLLIN-ON TRAILERS</v>
          </cell>
          <cell r="C1304" t="str">
            <v>M10356</v>
          </cell>
          <cell r="D1304" t="str">
            <v>NET 5, BT+</v>
          </cell>
          <cell r="E1304" t="str">
            <v>FP</v>
          </cell>
          <cell r="F1304" t="str">
            <v>Yes</v>
          </cell>
          <cell r="G1304" t="str">
            <v>OH</v>
          </cell>
          <cell r="H1304">
            <v>8</v>
          </cell>
          <cell r="I1304">
            <v>0.66500000000000004</v>
          </cell>
          <cell r="J1304" t="str">
            <v>Orphaned Acct</v>
          </cell>
          <cell r="K1304" t="str">
            <v>GREEN BAY</v>
          </cell>
          <cell r="L1304" t="str">
            <v>WI</v>
          </cell>
          <cell r="M1304" t="str">
            <v>800-577-8858</v>
          </cell>
          <cell r="N1304"/>
          <cell r="O1304">
            <v>1060</v>
          </cell>
          <cell r="P1304">
            <v>4558</v>
          </cell>
          <cell r="Q1304">
            <v>1080</v>
          </cell>
          <cell r="R1304">
            <v>4644</v>
          </cell>
          <cell r="S1304"/>
          <cell r="T1304">
            <v>0</v>
          </cell>
          <cell r="U1304">
            <v>1055</v>
          </cell>
          <cell r="V1304">
            <v>4536.5</v>
          </cell>
          <cell r="W1304">
            <v>1140</v>
          </cell>
          <cell r="X1304">
            <v>4902</v>
          </cell>
          <cell r="Y1304">
            <v>548</v>
          </cell>
          <cell r="Z1304">
            <v>2356.4</v>
          </cell>
          <cell r="AA1304">
            <v>548</v>
          </cell>
          <cell r="AB1304">
            <v>2356.4</v>
          </cell>
          <cell r="AC1304">
            <v>548</v>
          </cell>
          <cell r="AD1304">
            <v>2356.4</v>
          </cell>
          <cell r="AE1304"/>
          <cell r="AF1304"/>
          <cell r="AG1304"/>
          <cell r="AH1304"/>
          <cell r="AI1304"/>
          <cell r="AJ1304">
            <v>0</v>
          </cell>
          <cell r="AK1304" t="str">
            <v>3P</v>
          </cell>
          <cell r="AL1304">
            <v>213</v>
          </cell>
          <cell r="AM1304">
            <v>173</v>
          </cell>
          <cell r="AN1304" t="str">
            <v>01 Existing Dealer</v>
          </cell>
          <cell r="AO1304" t="str">
            <v>Midwest</v>
          </cell>
          <cell r="AP1304" t="str">
            <v>Central</v>
          </cell>
          <cell r="AQ1304"/>
          <cell r="AR1304">
            <v>0</v>
          </cell>
          <cell r="AS1304">
            <v>0</v>
          </cell>
        </row>
        <row r="1305">
          <cell r="A1305">
            <v>12740</v>
          </cell>
          <cell r="B1305" t="str">
            <v>ROLLIN-ON TRAILERS</v>
          </cell>
          <cell r="C1305" t="str">
            <v>M10356</v>
          </cell>
          <cell r="D1305" t="str">
            <v>NET 5, BT+</v>
          </cell>
          <cell r="E1305" t="str">
            <v>C6</v>
          </cell>
          <cell r="F1305" t="str">
            <v>No</v>
          </cell>
          <cell r="G1305" t="str">
            <v>OH</v>
          </cell>
          <cell r="H1305">
            <v>6</v>
          </cell>
          <cell r="I1305">
            <v>0.66500000000000004</v>
          </cell>
          <cell r="J1305" t="str">
            <v>House</v>
          </cell>
          <cell r="K1305" t="str">
            <v>NEW FRANKLIN</v>
          </cell>
          <cell r="L1305" t="str">
            <v>WI</v>
          </cell>
          <cell r="M1305" t="str">
            <v>800-577-8858</v>
          </cell>
          <cell r="N1305"/>
          <cell r="O1305">
            <v>1060</v>
          </cell>
          <cell r="P1305">
            <v>4558</v>
          </cell>
          <cell r="Q1305">
            <v>1080</v>
          </cell>
          <cell r="R1305">
            <v>4644</v>
          </cell>
          <cell r="S1305"/>
          <cell r="T1305">
            <v>0</v>
          </cell>
          <cell r="U1305">
            <v>1055</v>
          </cell>
          <cell r="V1305">
            <v>4536.5</v>
          </cell>
          <cell r="W1305">
            <v>1140</v>
          </cell>
          <cell r="X1305">
            <v>4902</v>
          </cell>
          <cell r="Y1305">
            <v>545</v>
          </cell>
          <cell r="Z1305">
            <v>2343.5</v>
          </cell>
          <cell r="AA1305">
            <v>545</v>
          </cell>
          <cell r="AB1305">
            <v>2343.5</v>
          </cell>
          <cell r="AC1305">
            <v>545</v>
          </cell>
          <cell r="AD1305">
            <v>2343.5</v>
          </cell>
          <cell r="AE1305"/>
          <cell r="AF1305"/>
          <cell r="AG1305"/>
          <cell r="AH1305"/>
          <cell r="AI1305"/>
          <cell r="AJ1305">
            <v>0</v>
          </cell>
          <cell r="AK1305" t="str">
            <v>3P</v>
          </cell>
          <cell r="AL1305">
            <v>400</v>
          </cell>
          <cell r="AM1305">
            <v>173</v>
          </cell>
          <cell r="AN1305" t="str">
            <v>01 Existing Dealer</v>
          </cell>
          <cell r="AO1305" t="str">
            <v>Midwest</v>
          </cell>
          <cell r="AP1305" t="str">
            <v>Central</v>
          </cell>
          <cell r="AQ1305"/>
          <cell r="AR1305">
            <v>0</v>
          </cell>
          <cell r="AS1305">
            <v>0</v>
          </cell>
        </row>
        <row r="1306">
          <cell r="A1306">
            <v>12949</v>
          </cell>
          <cell r="B1306" t="str">
            <v>T TOY TRAILERS DBA UNION TRAILER SALES</v>
          </cell>
          <cell r="C1306" t="str">
            <v>M10394</v>
          </cell>
          <cell r="D1306" t="str">
            <v>NET 5, BT+</v>
          </cell>
          <cell r="E1306" t="str">
            <v>F6 - Wells Fargo</v>
          </cell>
          <cell r="F1306" t="str">
            <v>Yes</v>
          </cell>
          <cell r="G1306" t="str">
            <v>OH</v>
          </cell>
          <cell r="H1306">
            <v>8</v>
          </cell>
          <cell r="I1306">
            <v>0.66500000000000004</v>
          </cell>
          <cell r="J1306" t="str">
            <v>Trent Evans</v>
          </cell>
          <cell r="K1306" t="str">
            <v>CHIPPEWA FALLS</v>
          </cell>
          <cell r="L1306" t="str">
            <v>WI</v>
          </cell>
          <cell r="M1306" t="str">
            <v>800-577-8858</v>
          </cell>
          <cell r="N1306"/>
          <cell r="O1306">
            <v>993</v>
          </cell>
          <cell r="P1306">
            <v>4269.8999999999996</v>
          </cell>
          <cell r="Q1306"/>
          <cell r="R1306">
            <v>0</v>
          </cell>
          <cell r="S1306"/>
          <cell r="T1306">
            <v>0</v>
          </cell>
          <cell r="U1306">
            <v>947</v>
          </cell>
          <cell r="V1306">
            <v>4072.1</v>
          </cell>
          <cell r="W1306">
            <v>1055</v>
          </cell>
          <cell r="X1306">
            <v>4536.5</v>
          </cell>
          <cell r="Y1306">
            <v>667</v>
          </cell>
          <cell r="Z1306">
            <v>2868.1</v>
          </cell>
          <cell r="AA1306">
            <v>667</v>
          </cell>
          <cell r="AB1306">
            <v>2868.1</v>
          </cell>
          <cell r="AC1306">
            <v>667</v>
          </cell>
          <cell r="AD1306">
            <v>2868.1</v>
          </cell>
          <cell r="AE1306"/>
          <cell r="AF1306"/>
          <cell r="AG1306"/>
          <cell r="AH1306"/>
          <cell r="AI1306"/>
          <cell r="AJ1306">
            <v>1.4999999999999999E-2</v>
          </cell>
          <cell r="AK1306" t="str">
            <v>3P</v>
          </cell>
          <cell r="AL1306">
            <v>226</v>
          </cell>
          <cell r="AM1306">
            <v>123</v>
          </cell>
          <cell r="AN1306" t="str">
            <v>01 Existing Dealer</v>
          </cell>
          <cell r="AO1306" t="str">
            <v>Midwest</v>
          </cell>
          <cell r="AP1306" t="str">
            <v>Central</v>
          </cell>
          <cell r="AQ1306"/>
          <cell r="AR1306">
            <v>83407</v>
          </cell>
          <cell r="AS1306">
            <v>44637</v>
          </cell>
        </row>
        <row r="1307">
          <cell r="A1307">
            <v>12917</v>
          </cell>
          <cell r="B1307" t="str">
            <v>T TOY TRAILERS DBA UNION TRAILER SALES</v>
          </cell>
          <cell r="C1307" t="str">
            <v>M10394</v>
          </cell>
          <cell r="D1307" t="str">
            <v>NET 5, BT+</v>
          </cell>
          <cell r="E1307" t="str">
            <v>CO</v>
          </cell>
          <cell r="F1307" t="str">
            <v>Yes</v>
          </cell>
          <cell r="G1307" t="str">
            <v>OH</v>
          </cell>
          <cell r="H1307">
            <v>7</v>
          </cell>
          <cell r="I1307">
            <v>0.66500000000000004</v>
          </cell>
          <cell r="J1307" t="str">
            <v>Trent Evans</v>
          </cell>
          <cell r="K1307" t="str">
            <v>CHIPPEWA FALLS</v>
          </cell>
          <cell r="L1307" t="str">
            <v>WI</v>
          </cell>
          <cell r="M1307" t="str">
            <v>800-577-8858</v>
          </cell>
          <cell r="N1307"/>
          <cell r="O1307">
            <v>993</v>
          </cell>
          <cell r="P1307">
            <v>4269.8999999999996</v>
          </cell>
          <cell r="Q1307"/>
          <cell r="R1307">
            <v>0</v>
          </cell>
          <cell r="S1307"/>
          <cell r="T1307">
            <v>0</v>
          </cell>
          <cell r="U1307">
            <v>947</v>
          </cell>
          <cell r="V1307">
            <v>4072.1</v>
          </cell>
          <cell r="W1307">
            <v>1055</v>
          </cell>
          <cell r="X1307">
            <v>4536.5</v>
          </cell>
          <cell r="Y1307">
            <v>667</v>
          </cell>
          <cell r="Z1307">
            <v>2868.1</v>
          </cell>
          <cell r="AA1307">
            <v>667</v>
          </cell>
          <cell r="AB1307">
            <v>2868.1</v>
          </cell>
          <cell r="AC1307">
            <v>667</v>
          </cell>
          <cell r="AD1307">
            <v>2868.1</v>
          </cell>
          <cell r="AE1307"/>
          <cell r="AF1307"/>
          <cell r="AG1307"/>
          <cell r="AH1307"/>
          <cell r="AI1307"/>
          <cell r="AJ1307">
            <v>1.4999999999999999E-2</v>
          </cell>
          <cell r="AK1307" t="str">
            <v>3P</v>
          </cell>
          <cell r="AL1307">
            <v>226</v>
          </cell>
          <cell r="AM1307">
            <v>123</v>
          </cell>
          <cell r="AN1307" t="str">
            <v>01 Existing Dealer</v>
          </cell>
          <cell r="AO1307" t="str">
            <v>Midwest</v>
          </cell>
          <cell r="AP1307" t="str">
            <v>Central</v>
          </cell>
          <cell r="AQ1307"/>
          <cell r="AR1307">
            <v>0</v>
          </cell>
          <cell r="AS1307">
            <v>0</v>
          </cell>
        </row>
        <row r="1308">
          <cell r="A1308">
            <v>13141</v>
          </cell>
          <cell r="B1308" t="str">
            <v>T&amp;T TRAILER</v>
          </cell>
          <cell r="C1308" t="str">
            <v>M11069</v>
          </cell>
          <cell r="D1308" t="str">
            <v>Return Mail, no pink card</v>
          </cell>
          <cell r="E1308" t="str">
            <v>F1 - Northpoint</v>
          </cell>
          <cell r="F1308" t="str">
            <v>Yes</v>
          </cell>
          <cell r="G1308" t="str">
            <v>OH</v>
          </cell>
          <cell r="H1308">
            <v>8</v>
          </cell>
          <cell r="I1308">
            <v>0.66500000000000004</v>
          </cell>
          <cell r="J1308" t="str">
            <v>Lane Davis</v>
          </cell>
          <cell r="K1308" t="str">
            <v>SOMERSET</v>
          </cell>
          <cell r="L1308" t="str">
            <v>WI</v>
          </cell>
          <cell r="M1308" t="str">
            <v>800-577-8858</v>
          </cell>
          <cell r="N1308"/>
          <cell r="O1308">
            <v>939</v>
          </cell>
          <cell r="P1308">
            <v>4037.7</v>
          </cell>
          <cell r="Q1308">
            <v>1260</v>
          </cell>
          <cell r="R1308">
            <v>5418</v>
          </cell>
          <cell r="S1308"/>
          <cell r="T1308">
            <v>0</v>
          </cell>
          <cell r="U1308">
            <v>893</v>
          </cell>
          <cell r="V1308">
            <v>3839.8999999999996</v>
          </cell>
          <cell r="W1308">
            <v>1000</v>
          </cell>
          <cell r="X1308">
            <v>4300</v>
          </cell>
          <cell r="Y1308">
            <v>730</v>
          </cell>
          <cell r="Z1308">
            <v>3139</v>
          </cell>
          <cell r="AA1308">
            <v>730</v>
          </cell>
          <cell r="AB1308">
            <v>3139</v>
          </cell>
          <cell r="AC1308">
            <v>730</v>
          </cell>
          <cell r="AD1308">
            <v>3139</v>
          </cell>
          <cell r="AE1308"/>
          <cell r="AF1308"/>
          <cell r="AG1308"/>
          <cell r="AH1308"/>
          <cell r="AI1308"/>
          <cell r="AJ1308">
            <v>0.04</v>
          </cell>
          <cell r="AK1308" t="str">
            <v>3P</v>
          </cell>
          <cell r="AL1308">
            <v>275</v>
          </cell>
          <cell r="AM1308">
            <v>298</v>
          </cell>
          <cell r="AN1308" t="str">
            <v>01 Existing Dealer</v>
          </cell>
          <cell r="AO1308" t="str">
            <v>Midwest</v>
          </cell>
          <cell r="AP1308" t="str">
            <v>Central</v>
          </cell>
          <cell r="AQ1308"/>
          <cell r="AR1308">
            <v>0</v>
          </cell>
          <cell r="AS1308">
            <v>50036</v>
          </cell>
        </row>
        <row r="1309">
          <cell r="A1309">
            <v>12869</v>
          </cell>
          <cell r="B1309" t="str">
            <v>VANDERGEEST GOLD MEDAL CATTLE CORP dba GOLD METAL TRAILERS</v>
          </cell>
          <cell r="C1309" t="str">
            <v>M10439</v>
          </cell>
          <cell r="D1309" t="str">
            <v>NET 5, BT+</v>
          </cell>
          <cell r="E1309" t="str">
            <v>FP</v>
          </cell>
          <cell r="F1309" t="str">
            <v>Yes</v>
          </cell>
          <cell r="G1309" t="str">
            <v>OH</v>
          </cell>
          <cell r="H1309">
            <v>8</v>
          </cell>
          <cell r="I1309">
            <v>0.66500000000000004</v>
          </cell>
          <cell r="J1309" t="str">
            <v>Orphaned Acct</v>
          </cell>
          <cell r="K1309" t="str">
            <v>MERRILL</v>
          </cell>
          <cell r="L1309" t="str">
            <v>WI</v>
          </cell>
          <cell r="M1309" t="str">
            <v>800-577-8858</v>
          </cell>
          <cell r="N1309"/>
          <cell r="O1309">
            <v>1115</v>
          </cell>
          <cell r="P1309">
            <v>4794.5</v>
          </cell>
          <cell r="Q1309"/>
          <cell r="R1309">
            <v>0</v>
          </cell>
          <cell r="S1309"/>
          <cell r="T1309">
            <v>0</v>
          </cell>
          <cell r="U1309">
            <v>1079</v>
          </cell>
          <cell r="V1309">
            <v>4639.7</v>
          </cell>
          <cell r="W1309">
            <v>1196</v>
          </cell>
          <cell r="X1309">
            <v>5142.8</v>
          </cell>
          <cell r="Y1309">
            <v>637</v>
          </cell>
          <cell r="Z1309">
            <v>2739.1</v>
          </cell>
          <cell r="AA1309">
            <v>637</v>
          </cell>
          <cell r="AB1309">
            <v>2739.1</v>
          </cell>
          <cell r="AC1309">
            <v>637</v>
          </cell>
          <cell r="AD1309">
            <v>2739.1</v>
          </cell>
          <cell r="AE1309"/>
          <cell r="AF1309"/>
          <cell r="AG1309"/>
          <cell r="AH1309"/>
          <cell r="AI1309"/>
          <cell r="AJ1309">
            <v>0</v>
          </cell>
          <cell r="AK1309" t="str">
            <v>3P</v>
          </cell>
          <cell r="AL1309">
            <v>213</v>
          </cell>
          <cell r="AM1309">
            <v>466</v>
          </cell>
          <cell r="AN1309" t="str">
            <v>08 Inactive Dealer</v>
          </cell>
          <cell r="AO1309" t="str">
            <v>Midwest</v>
          </cell>
          <cell r="AP1309" t="str">
            <v>Central</v>
          </cell>
          <cell r="AQ1309"/>
          <cell r="AR1309">
            <v>0</v>
          </cell>
          <cell r="AS1309">
            <v>0</v>
          </cell>
        </row>
        <row r="1310">
          <cell r="A1310">
            <v>13500</v>
          </cell>
          <cell r="B1310" t="str">
            <v>I39 SUPPLY</v>
          </cell>
          <cell r="C1310" t="str">
            <v>M11469</v>
          </cell>
          <cell r="D1310" t="str">
            <v>NET 5, BT+</v>
          </cell>
          <cell r="E1310" t="str">
            <v>FP - Northpoint</v>
          </cell>
          <cell r="F1310" t="str">
            <v>Yes</v>
          </cell>
          <cell r="G1310" t="str">
            <v>OH</v>
          </cell>
          <cell r="H1310">
            <v>8</v>
          </cell>
          <cell r="I1310">
            <v>0.66500000000000004</v>
          </cell>
          <cell r="J1310" t="str">
            <v>House</v>
          </cell>
          <cell r="K1310" t="str">
            <v>PORTAGE</v>
          </cell>
          <cell r="L1310" t="str">
            <v>WI</v>
          </cell>
          <cell r="M1310" t="str">
            <v>800-577-8858</v>
          </cell>
          <cell r="N1310"/>
          <cell r="O1310">
            <v>932</v>
          </cell>
          <cell r="P1310">
            <v>4007.6</v>
          </cell>
          <cell r="Q1310">
            <v>1037</v>
          </cell>
          <cell r="R1310">
            <v>4459.0999999999995</v>
          </cell>
          <cell r="S1310"/>
          <cell r="T1310">
            <v>0</v>
          </cell>
          <cell r="U1310">
            <v>942</v>
          </cell>
          <cell r="V1310">
            <v>4050.6</v>
          </cell>
          <cell r="W1310">
            <v>1014</v>
          </cell>
          <cell r="X1310">
            <v>4360.2</v>
          </cell>
          <cell r="Y1310">
            <v>516</v>
          </cell>
          <cell r="Z1310">
            <v>2218.7999999999997</v>
          </cell>
          <cell r="AA1310">
            <v>516</v>
          </cell>
          <cell r="AB1310">
            <v>2218.7999999999997</v>
          </cell>
          <cell r="AC1310">
            <v>516</v>
          </cell>
          <cell r="AD1310">
            <v>2218.7999999999997</v>
          </cell>
          <cell r="AE1310"/>
          <cell r="AF1310"/>
          <cell r="AG1310"/>
          <cell r="AH1310"/>
          <cell r="AI1310"/>
          <cell r="AJ1310">
            <v>0</v>
          </cell>
          <cell r="AK1310" t="str">
            <v>3P</v>
          </cell>
          <cell r="AL1310">
            <v>400</v>
          </cell>
          <cell r="AM1310">
            <v>272</v>
          </cell>
          <cell r="AN1310" t="str">
            <v>08 Inactive Dealer</v>
          </cell>
          <cell r="AO1310" t="str">
            <v>Midwest</v>
          </cell>
          <cell r="AP1310" t="str">
            <v>Central</v>
          </cell>
          <cell r="AQ1310"/>
          <cell r="AR1310">
            <v>0</v>
          </cell>
          <cell r="AS1310">
            <v>0</v>
          </cell>
        </row>
        <row r="1311">
          <cell r="A1311" t="str">
            <v>13093C</v>
          </cell>
          <cell r="B1311" t="str">
            <v>IRON MOUNTAIN</v>
          </cell>
          <cell r="C1311" t="str">
            <v>M10982</v>
          </cell>
          <cell r="D1311" t="str">
            <v>NET 5, BT+</v>
          </cell>
          <cell r="E1311" t="str">
            <v>F3 - Northpoint</v>
          </cell>
          <cell r="F1311" t="str">
            <v>Yes</v>
          </cell>
          <cell r="G1311" t="str">
            <v>OH</v>
          </cell>
          <cell r="H1311">
            <v>8</v>
          </cell>
          <cell r="I1311">
            <v>0.66500000000000004</v>
          </cell>
          <cell r="J1311" t="str">
            <v>Lane Davis</v>
          </cell>
          <cell r="K1311" t="str">
            <v>SHEBOYGAN</v>
          </cell>
          <cell r="L1311" t="str">
            <v>WI</v>
          </cell>
          <cell r="M1311" t="str">
            <v>800-577-8858</v>
          </cell>
          <cell r="N1311"/>
          <cell r="O1311">
            <v>992</v>
          </cell>
          <cell r="P1311">
            <v>4265.5999999999995</v>
          </cell>
          <cell r="Q1311">
            <v>1009</v>
          </cell>
          <cell r="R1311">
            <v>4338.7</v>
          </cell>
          <cell r="S1311"/>
          <cell r="T1311">
            <v>0</v>
          </cell>
          <cell r="U1311">
            <v>987</v>
          </cell>
          <cell r="V1311">
            <v>4244.0999999999995</v>
          </cell>
          <cell r="W1311">
            <v>1049</v>
          </cell>
          <cell r="X1311">
            <v>4510.7</v>
          </cell>
          <cell r="Y1311">
            <v>465</v>
          </cell>
          <cell r="Z1311">
            <v>1999.5</v>
          </cell>
          <cell r="AA1311">
            <v>465</v>
          </cell>
          <cell r="AB1311">
            <v>1999.5</v>
          </cell>
          <cell r="AC1311">
            <v>465</v>
          </cell>
          <cell r="AD1311">
            <v>1999.5</v>
          </cell>
          <cell r="AE1311"/>
          <cell r="AF1311"/>
          <cell r="AG1311"/>
          <cell r="AH1311"/>
          <cell r="AI1311"/>
          <cell r="AJ1311">
            <v>0</v>
          </cell>
          <cell r="AK1311" t="str">
            <v>3P</v>
          </cell>
          <cell r="AL1311">
            <v>275</v>
          </cell>
          <cell r="AM1311">
            <v>417</v>
          </cell>
          <cell r="AN1311" t="str">
            <v>01 Existing Dealer</v>
          </cell>
          <cell r="AO1311" t="str">
            <v>Midwest</v>
          </cell>
          <cell r="AP1311" t="str">
            <v>Central</v>
          </cell>
          <cell r="AQ1311"/>
          <cell r="AR1311">
            <v>0</v>
          </cell>
          <cell r="AS1311">
            <v>0</v>
          </cell>
        </row>
        <row r="1312">
          <cell r="A1312">
            <v>12818</v>
          </cell>
          <cell r="B1312" t="str">
            <v>BROWNSTONE ENTERPRISE DBA MOUNTAINEER TRAILER SALES</v>
          </cell>
          <cell r="C1312" t="str">
            <v>M10117</v>
          </cell>
          <cell r="D1312" t="str">
            <v>NET 5, BT+</v>
          </cell>
          <cell r="E1312" t="str">
            <v>CO</v>
          </cell>
          <cell r="F1312" t="str">
            <v>Yes</v>
          </cell>
          <cell r="G1312" t="str">
            <v>OH</v>
          </cell>
          <cell r="H1312">
            <v>7</v>
          </cell>
          <cell r="I1312">
            <v>0.66500000000000004</v>
          </cell>
          <cell r="J1312" t="str">
            <v>Orphaned Acct</v>
          </cell>
          <cell r="K1312" t="str">
            <v>VIENNA</v>
          </cell>
          <cell r="L1312" t="str">
            <v>WV</v>
          </cell>
          <cell r="M1312" t="str">
            <v>800-577-8858</v>
          </cell>
          <cell r="N1312"/>
          <cell r="O1312">
            <v>1013</v>
          </cell>
          <cell r="P1312">
            <v>4355.8999999999996</v>
          </cell>
          <cell r="Q1312">
            <v>697</v>
          </cell>
          <cell r="R1312">
            <v>2997.1</v>
          </cell>
          <cell r="S1312"/>
          <cell r="T1312">
            <v>0</v>
          </cell>
          <cell r="U1312">
            <v>1099</v>
          </cell>
          <cell r="V1312">
            <v>4725.7</v>
          </cell>
          <cell r="W1312">
            <v>1094</v>
          </cell>
          <cell r="X1312">
            <v>4704.2</v>
          </cell>
          <cell r="Y1312">
            <v>158</v>
          </cell>
          <cell r="Z1312">
            <v>679.4</v>
          </cell>
          <cell r="AA1312">
            <v>158</v>
          </cell>
          <cell r="AB1312">
            <v>679.4</v>
          </cell>
          <cell r="AC1312">
            <v>158</v>
          </cell>
          <cell r="AD1312">
            <v>679.4</v>
          </cell>
          <cell r="AE1312"/>
          <cell r="AF1312"/>
          <cell r="AG1312"/>
          <cell r="AH1312"/>
          <cell r="AI1312"/>
          <cell r="AJ1312">
            <v>0</v>
          </cell>
          <cell r="AK1312" t="str">
            <v>3P</v>
          </cell>
          <cell r="AL1312">
            <v>213</v>
          </cell>
          <cell r="AM1312">
            <v>342</v>
          </cell>
          <cell r="AN1312" t="str">
            <v>08 Inactive Dealer</v>
          </cell>
          <cell r="AO1312" t="str">
            <v>Southeast</v>
          </cell>
          <cell r="AP1312" t="str">
            <v>North</v>
          </cell>
          <cell r="AQ1312"/>
          <cell r="AR1312">
            <v>0</v>
          </cell>
          <cell r="AS1312">
            <v>0</v>
          </cell>
        </row>
        <row r="1313">
          <cell r="A1313">
            <v>12334</v>
          </cell>
          <cell r="B1313" t="str">
            <v>JARCO</v>
          </cell>
          <cell r="C1313" t="str">
            <v>M10236</v>
          </cell>
          <cell r="D1313" t="str">
            <v>Return Mail, no pink card</v>
          </cell>
          <cell r="E1313" t="str">
            <v>F2 - Wells Fargo</v>
          </cell>
          <cell r="F1313" t="str">
            <v>Yes</v>
          </cell>
          <cell r="G1313" t="str">
            <v>OH</v>
          </cell>
          <cell r="H1313">
            <v>8</v>
          </cell>
          <cell r="I1313">
            <v>0.66500000000000004</v>
          </cell>
          <cell r="J1313" t="str">
            <v>Trent Evans</v>
          </cell>
          <cell r="K1313" t="str">
            <v>FAIRMONT</v>
          </cell>
          <cell r="L1313" t="str">
            <v>WV</v>
          </cell>
          <cell r="M1313" t="str">
            <v>800-577-8858</v>
          </cell>
          <cell r="N1313"/>
          <cell r="O1313">
            <v>1075</v>
          </cell>
          <cell r="P1313">
            <v>4622.5</v>
          </cell>
          <cell r="Q1313">
            <v>715</v>
          </cell>
          <cell r="R1313">
            <v>3074.5</v>
          </cell>
          <cell r="S1313"/>
          <cell r="T1313">
            <v>0</v>
          </cell>
          <cell r="U1313">
            <v>1171</v>
          </cell>
          <cell r="V1313">
            <v>5035.3</v>
          </cell>
          <cell r="W1313">
            <v>1155</v>
          </cell>
          <cell r="X1313">
            <v>4966.5</v>
          </cell>
          <cell r="Y1313">
            <v>250</v>
          </cell>
          <cell r="Z1313">
            <v>1075</v>
          </cell>
          <cell r="AA1313">
            <v>250</v>
          </cell>
          <cell r="AB1313">
            <v>1075</v>
          </cell>
          <cell r="AC1313">
            <v>250</v>
          </cell>
          <cell r="AD1313">
            <v>1075</v>
          </cell>
          <cell r="AE1313"/>
          <cell r="AF1313"/>
          <cell r="AG1313"/>
          <cell r="AH1313"/>
          <cell r="AI1313"/>
          <cell r="AJ1313">
            <v>0.05</v>
          </cell>
          <cell r="AK1313" t="str">
            <v>3P</v>
          </cell>
          <cell r="AL1313">
            <v>226</v>
          </cell>
          <cell r="AM1313">
            <v>137</v>
          </cell>
          <cell r="AN1313" t="str">
            <v>01 Existing Dealer</v>
          </cell>
          <cell r="AO1313" t="str">
            <v>Southeast</v>
          </cell>
          <cell r="AP1313" t="str">
            <v>North</v>
          </cell>
          <cell r="AQ1313"/>
          <cell r="AR1313">
            <v>89357</v>
          </cell>
          <cell r="AS1313">
            <v>151347</v>
          </cell>
        </row>
        <row r="1314">
          <cell r="A1314">
            <v>12776</v>
          </cell>
          <cell r="B1314" t="str">
            <v>TRI COUNTY</v>
          </cell>
          <cell r="C1314" t="str">
            <v>M10342</v>
          </cell>
          <cell r="D1314" t="str">
            <v>NET 5, BT+</v>
          </cell>
          <cell r="E1314" t="str">
            <v>FP - Northpoint</v>
          </cell>
          <cell r="F1314" t="str">
            <v>Yes</v>
          </cell>
          <cell r="G1314" t="str">
            <v>OH</v>
          </cell>
          <cell r="H1314">
            <v>8</v>
          </cell>
          <cell r="I1314">
            <v>0.66500000000000004</v>
          </cell>
          <cell r="J1314" t="str">
            <v>Dakota Nation</v>
          </cell>
          <cell r="K1314" t="str">
            <v>BEAVER</v>
          </cell>
          <cell r="L1314" t="str">
            <v>WV</v>
          </cell>
          <cell r="M1314" t="str">
            <v>800-577-8858</v>
          </cell>
          <cell r="N1314"/>
          <cell r="O1314">
            <v>976</v>
          </cell>
          <cell r="P1314">
            <v>4196.8</v>
          </cell>
          <cell r="Q1314">
            <v>557</v>
          </cell>
          <cell r="R1314">
            <v>2395.1</v>
          </cell>
          <cell r="S1314"/>
          <cell r="T1314">
            <v>0</v>
          </cell>
          <cell r="U1314">
            <v>1073</v>
          </cell>
          <cell r="V1314">
            <v>4613.8999999999996</v>
          </cell>
          <cell r="W1314">
            <v>1055</v>
          </cell>
          <cell r="X1314">
            <v>4536.5</v>
          </cell>
          <cell r="Y1314">
            <v>232</v>
          </cell>
          <cell r="Z1314">
            <v>997.59999999999991</v>
          </cell>
          <cell r="AA1314">
            <v>232</v>
          </cell>
          <cell r="AB1314">
            <v>997.59999999999991</v>
          </cell>
          <cell r="AC1314">
            <v>232</v>
          </cell>
          <cell r="AD1314">
            <v>997.59999999999991</v>
          </cell>
          <cell r="AE1314"/>
          <cell r="AF1314"/>
          <cell r="AG1314"/>
          <cell r="AH1314"/>
          <cell r="AI1314"/>
          <cell r="AJ1314">
            <v>0.05</v>
          </cell>
          <cell r="AK1314" t="str">
            <v>3P</v>
          </cell>
          <cell r="AL1314">
            <v>223</v>
          </cell>
          <cell r="AM1314">
            <v>35</v>
          </cell>
          <cell r="AN1314" t="str">
            <v>01 Existing Dealer</v>
          </cell>
          <cell r="AO1314" t="str">
            <v>Southeast</v>
          </cell>
          <cell r="AP1314" t="str">
            <v>North</v>
          </cell>
          <cell r="AQ1314"/>
          <cell r="AR1314">
            <v>43255</v>
          </cell>
          <cell r="AS1314">
            <v>76488</v>
          </cell>
        </row>
        <row r="1315">
          <cell r="A1315" t="str">
            <v>12727B</v>
          </cell>
          <cell r="B1315" t="str">
            <v>TRI COUNTY</v>
          </cell>
          <cell r="C1315" t="str">
            <v>M10342</v>
          </cell>
          <cell r="D1315" t="str">
            <v>NET 5, BT+</v>
          </cell>
          <cell r="E1315" t="str">
            <v>CO</v>
          </cell>
          <cell r="F1315" t="str">
            <v>Yes</v>
          </cell>
          <cell r="G1315" t="str">
            <v>OH</v>
          </cell>
          <cell r="H1315">
            <v>7</v>
          </cell>
          <cell r="I1315">
            <v>0.66500000000000004</v>
          </cell>
          <cell r="J1315" t="str">
            <v>Dakota Nation</v>
          </cell>
          <cell r="K1315" t="str">
            <v>CHARLESTON</v>
          </cell>
          <cell r="L1315" t="str">
            <v>WV</v>
          </cell>
          <cell r="M1315" t="str">
            <v>800-577-8858</v>
          </cell>
          <cell r="N1315"/>
          <cell r="O1315">
            <v>935</v>
          </cell>
          <cell r="P1315">
            <v>4020.5</v>
          </cell>
          <cell r="Q1315">
            <v>618</v>
          </cell>
          <cell r="R1315">
            <v>2657.4</v>
          </cell>
          <cell r="S1315"/>
          <cell r="T1315">
            <v>0</v>
          </cell>
          <cell r="U1315">
            <v>1031</v>
          </cell>
          <cell r="V1315">
            <v>4433.3</v>
          </cell>
          <cell r="W1315">
            <v>1031</v>
          </cell>
          <cell r="X1315">
            <v>4433.3</v>
          </cell>
          <cell r="Y1315">
            <v>169</v>
          </cell>
          <cell r="Z1315">
            <v>726.69999999999993</v>
          </cell>
          <cell r="AA1315">
            <v>169</v>
          </cell>
          <cell r="AB1315">
            <v>726.69999999999993</v>
          </cell>
          <cell r="AC1315">
            <v>169</v>
          </cell>
          <cell r="AD1315">
            <v>726.69999999999993</v>
          </cell>
          <cell r="AE1315"/>
          <cell r="AF1315"/>
          <cell r="AG1315"/>
          <cell r="AH1315"/>
          <cell r="AI1315"/>
          <cell r="AJ1315">
            <v>0.05</v>
          </cell>
          <cell r="AK1315" t="str">
            <v>3P</v>
          </cell>
          <cell r="AL1315">
            <v>223</v>
          </cell>
          <cell r="AM1315">
            <v>73</v>
          </cell>
          <cell r="AN1315" t="str">
            <v>01 Existing Dealer</v>
          </cell>
          <cell r="AO1315" t="str">
            <v>Southeast</v>
          </cell>
          <cell r="AP1315" t="str">
            <v>North</v>
          </cell>
          <cell r="AQ1315"/>
          <cell r="AR1315">
            <v>0</v>
          </cell>
          <cell r="AS1315">
            <v>0</v>
          </cell>
        </row>
        <row r="1316">
          <cell r="A1316" t="str">
            <v>12776B</v>
          </cell>
          <cell r="B1316" t="str">
            <v>TRI COUNTY</v>
          </cell>
          <cell r="C1316" t="str">
            <v>M10342</v>
          </cell>
          <cell r="D1316" t="str">
            <v>NET 5, BT+</v>
          </cell>
          <cell r="E1316" t="str">
            <v>FP - Northpoint</v>
          </cell>
          <cell r="F1316" t="str">
            <v>Yes</v>
          </cell>
          <cell r="G1316" t="str">
            <v>OH</v>
          </cell>
          <cell r="H1316">
            <v>8</v>
          </cell>
          <cell r="I1316">
            <v>0.66500000000000004</v>
          </cell>
          <cell r="J1316" t="str">
            <v>Dakota Nation</v>
          </cell>
          <cell r="K1316" t="str">
            <v>CHARLESTON</v>
          </cell>
          <cell r="L1316" t="str">
            <v>WV</v>
          </cell>
          <cell r="M1316" t="str">
            <v>800-577-8858</v>
          </cell>
          <cell r="N1316"/>
          <cell r="O1316">
            <v>935</v>
          </cell>
          <cell r="P1316">
            <v>4020.5</v>
          </cell>
          <cell r="Q1316">
            <v>618</v>
          </cell>
          <cell r="R1316">
            <v>2657.4</v>
          </cell>
          <cell r="S1316"/>
          <cell r="T1316">
            <v>0</v>
          </cell>
          <cell r="U1316">
            <v>1031</v>
          </cell>
          <cell r="V1316">
            <v>4433.3</v>
          </cell>
          <cell r="W1316">
            <v>1031</v>
          </cell>
          <cell r="X1316">
            <v>4433.3</v>
          </cell>
          <cell r="Y1316">
            <v>169</v>
          </cell>
          <cell r="Z1316">
            <v>726.69999999999993</v>
          </cell>
          <cell r="AA1316">
            <v>169</v>
          </cell>
          <cell r="AB1316">
            <v>726.69999999999993</v>
          </cell>
          <cell r="AC1316">
            <v>169</v>
          </cell>
          <cell r="AD1316">
            <v>726.69999999999993</v>
          </cell>
          <cell r="AE1316"/>
          <cell r="AF1316"/>
          <cell r="AG1316"/>
          <cell r="AH1316"/>
          <cell r="AI1316"/>
          <cell r="AJ1316">
            <v>0.05</v>
          </cell>
          <cell r="AK1316" t="str">
            <v>3P</v>
          </cell>
          <cell r="AL1316">
            <v>223</v>
          </cell>
          <cell r="AM1316">
            <v>73</v>
          </cell>
          <cell r="AN1316" t="str">
            <v>01 Existing Dealer</v>
          </cell>
          <cell r="AO1316" t="str">
            <v>Southeast</v>
          </cell>
          <cell r="AP1316" t="str">
            <v>North</v>
          </cell>
          <cell r="AQ1316"/>
          <cell r="AR1316">
            <v>0</v>
          </cell>
          <cell r="AS1316">
            <v>0</v>
          </cell>
        </row>
        <row r="1317">
          <cell r="A1317" t="str">
            <v>12727A</v>
          </cell>
          <cell r="B1317" t="str">
            <v>TRI COUNTY</v>
          </cell>
          <cell r="C1317" t="str">
            <v>M10342</v>
          </cell>
          <cell r="D1317" t="str">
            <v>NET 5, BT+</v>
          </cell>
          <cell r="E1317" t="str">
            <v>CO</v>
          </cell>
          <cell r="F1317" t="str">
            <v>Yes</v>
          </cell>
          <cell r="G1317" t="str">
            <v>OH</v>
          </cell>
          <cell r="H1317">
            <v>7</v>
          </cell>
          <cell r="I1317">
            <v>0.66500000000000004</v>
          </cell>
          <cell r="J1317" t="str">
            <v>Dakota Nation</v>
          </cell>
          <cell r="K1317" t="str">
            <v>BEAVER</v>
          </cell>
          <cell r="L1317" t="str">
            <v>WV</v>
          </cell>
          <cell r="M1317" t="str">
            <v>800-577-8858</v>
          </cell>
          <cell r="N1317"/>
          <cell r="O1317">
            <v>976</v>
          </cell>
          <cell r="P1317">
            <v>4196.8</v>
          </cell>
          <cell r="Q1317">
            <v>557</v>
          </cell>
          <cell r="R1317">
            <v>2395.1</v>
          </cell>
          <cell r="S1317"/>
          <cell r="T1317">
            <v>0</v>
          </cell>
          <cell r="U1317">
            <v>1073</v>
          </cell>
          <cell r="V1317">
            <v>4613.8999999999996</v>
          </cell>
          <cell r="W1317">
            <v>1056</v>
          </cell>
          <cell r="X1317">
            <v>4540.8</v>
          </cell>
          <cell r="Y1317">
            <v>232</v>
          </cell>
          <cell r="Z1317">
            <v>997.59999999999991</v>
          </cell>
          <cell r="AA1317">
            <v>232</v>
          </cell>
          <cell r="AB1317">
            <v>997.59999999999991</v>
          </cell>
          <cell r="AC1317">
            <v>232</v>
          </cell>
          <cell r="AD1317">
            <v>997.59999999999991</v>
          </cell>
          <cell r="AE1317"/>
          <cell r="AF1317"/>
          <cell r="AG1317"/>
          <cell r="AH1317"/>
          <cell r="AI1317"/>
          <cell r="AJ1317">
            <v>0.05</v>
          </cell>
          <cell r="AK1317" t="str">
            <v>3P</v>
          </cell>
          <cell r="AL1317">
            <v>223</v>
          </cell>
          <cell r="AM1317">
            <v>35</v>
          </cell>
          <cell r="AN1317" t="str">
            <v>01 Existing Dealer</v>
          </cell>
          <cell r="AO1317" t="str">
            <v>Southeast</v>
          </cell>
          <cell r="AP1317" t="str">
            <v>North</v>
          </cell>
          <cell r="AQ1317"/>
          <cell r="AR1317">
            <v>0</v>
          </cell>
          <cell r="AS1317">
            <v>0</v>
          </cell>
        </row>
        <row r="1318">
          <cell r="A1318" t="str">
            <v>12776A</v>
          </cell>
          <cell r="B1318" t="str">
            <v>TRI COUNTY</v>
          </cell>
          <cell r="C1318" t="str">
            <v>M10342</v>
          </cell>
          <cell r="D1318" t="str">
            <v>NET 5, BT+</v>
          </cell>
          <cell r="E1318" t="str">
            <v>FP - Northpoint</v>
          </cell>
          <cell r="F1318" t="str">
            <v>Yes</v>
          </cell>
          <cell r="G1318" t="str">
            <v>OH</v>
          </cell>
          <cell r="H1318">
            <v>8</v>
          </cell>
          <cell r="I1318">
            <v>0.66500000000000004</v>
          </cell>
          <cell r="J1318" t="str">
            <v>Dakota Nation</v>
          </cell>
          <cell r="K1318" t="str">
            <v>BEAVER</v>
          </cell>
          <cell r="L1318" t="str">
            <v>WV</v>
          </cell>
          <cell r="M1318" t="str">
            <v>800-577-8858</v>
          </cell>
          <cell r="N1318"/>
          <cell r="O1318">
            <v>976</v>
          </cell>
          <cell r="P1318">
            <v>4196.8</v>
          </cell>
          <cell r="Q1318">
            <v>557</v>
          </cell>
          <cell r="R1318">
            <v>2395.1</v>
          </cell>
          <cell r="S1318"/>
          <cell r="T1318">
            <v>0</v>
          </cell>
          <cell r="U1318">
            <v>1073</v>
          </cell>
          <cell r="V1318">
            <v>4613.8999999999996</v>
          </cell>
          <cell r="W1318">
            <v>1056</v>
          </cell>
          <cell r="X1318">
            <v>4540.8</v>
          </cell>
          <cell r="Y1318">
            <v>232</v>
          </cell>
          <cell r="Z1318">
            <v>997.59999999999991</v>
          </cell>
          <cell r="AA1318">
            <v>232</v>
          </cell>
          <cell r="AB1318">
            <v>997.59999999999991</v>
          </cell>
          <cell r="AC1318">
            <v>232</v>
          </cell>
          <cell r="AD1318">
            <v>997.59999999999991</v>
          </cell>
          <cell r="AE1318"/>
          <cell r="AF1318"/>
          <cell r="AG1318"/>
          <cell r="AH1318"/>
          <cell r="AI1318"/>
          <cell r="AJ1318">
            <v>0.05</v>
          </cell>
          <cell r="AK1318" t="str">
            <v>3P</v>
          </cell>
          <cell r="AL1318">
            <v>223</v>
          </cell>
          <cell r="AM1318">
            <v>35</v>
          </cell>
          <cell r="AN1318" t="str">
            <v>01 Existing Dealer</v>
          </cell>
          <cell r="AO1318" t="str">
            <v>Southeast</v>
          </cell>
          <cell r="AP1318" t="str">
            <v>North</v>
          </cell>
          <cell r="AQ1318"/>
          <cell r="AR1318">
            <v>0</v>
          </cell>
          <cell r="AS1318">
            <v>0</v>
          </cell>
        </row>
        <row r="1319">
          <cell r="A1319">
            <v>12727</v>
          </cell>
          <cell r="B1319" t="str">
            <v>TRI COUNTY</v>
          </cell>
          <cell r="C1319" t="str">
            <v>M10342</v>
          </cell>
          <cell r="D1319" t="str">
            <v>NET 5, BT+</v>
          </cell>
          <cell r="E1319" t="str">
            <v>CO</v>
          </cell>
          <cell r="F1319" t="str">
            <v>Yes</v>
          </cell>
          <cell r="G1319" t="str">
            <v>OH</v>
          </cell>
          <cell r="H1319">
            <v>7</v>
          </cell>
          <cell r="I1319">
            <v>0.66500000000000004</v>
          </cell>
          <cell r="J1319" t="str">
            <v>Dakota Nation</v>
          </cell>
          <cell r="K1319" t="str">
            <v>RAINELLE</v>
          </cell>
          <cell r="L1319" t="str">
            <v>WV</v>
          </cell>
          <cell r="M1319" t="str">
            <v>800-577-8858</v>
          </cell>
          <cell r="N1319"/>
          <cell r="O1319">
            <v>975</v>
          </cell>
          <cell r="P1319">
            <v>4192.5</v>
          </cell>
          <cell r="Q1319">
            <v>556</v>
          </cell>
          <cell r="R1319">
            <v>2390.7999999999997</v>
          </cell>
          <cell r="S1319"/>
          <cell r="T1319">
            <v>0</v>
          </cell>
          <cell r="U1319">
            <v>1071</v>
          </cell>
          <cell r="V1319">
            <v>4605.3</v>
          </cell>
          <cell r="W1319">
            <v>1055</v>
          </cell>
          <cell r="X1319">
            <v>4536.5</v>
          </cell>
          <cell r="Y1319">
            <v>244</v>
          </cell>
          <cell r="Z1319">
            <v>1049.2</v>
          </cell>
          <cell r="AA1319">
            <v>244</v>
          </cell>
          <cell r="AB1319">
            <v>1049.2</v>
          </cell>
          <cell r="AC1319">
            <v>244</v>
          </cell>
          <cell r="AD1319">
            <v>1049.2</v>
          </cell>
          <cell r="AE1319"/>
          <cell r="AF1319"/>
          <cell r="AG1319"/>
          <cell r="AH1319"/>
          <cell r="AI1319"/>
          <cell r="AJ1319">
            <v>0.05</v>
          </cell>
          <cell r="AK1319" t="str">
            <v>3P</v>
          </cell>
          <cell r="AL1319">
            <v>223</v>
          </cell>
          <cell r="AM1319">
            <v>35</v>
          </cell>
          <cell r="AN1319" t="str">
            <v>01 Existing Dealer</v>
          </cell>
          <cell r="AO1319" t="str">
            <v>Southeast</v>
          </cell>
          <cell r="AP1319" t="str">
            <v>North</v>
          </cell>
          <cell r="AQ1319"/>
          <cell r="AR1319">
            <v>0</v>
          </cell>
          <cell r="AS1319">
            <v>0</v>
          </cell>
        </row>
        <row r="1320">
          <cell r="A1320">
            <v>12464</v>
          </cell>
          <cell r="B1320" t="str">
            <v>BUCKY'S OUTDOORS</v>
          </cell>
          <cell r="C1320" t="str">
            <v>M10120</v>
          </cell>
          <cell r="D1320" t="str">
            <v>NET 5, BT+</v>
          </cell>
          <cell r="E1320" t="str">
            <v>CO</v>
          </cell>
          <cell r="F1320" t="str">
            <v>Yes</v>
          </cell>
          <cell r="G1320" t="str">
            <v>ID</v>
          </cell>
          <cell r="H1320">
            <v>7</v>
          </cell>
          <cell r="I1320">
            <v>0.7</v>
          </cell>
          <cell r="J1320" t="str">
            <v>Nate Erickson</v>
          </cell>
          <cell r="K1320" t="str">
            <v>PINEDALE</v>
          </cell>
          <cell r="L1320" t="str">
            <v>WY</v>
          </cell>
          <cell r="M1320" t="str">
            <v>800-577-8858</v>
          </cell>
          <cell r="N1320"/>
          <cell r="O1320">
            <v>1320</v>
          </cell>
          <cell r="P1320">
            <v>5676</v>
          </cell>
          <cell r="Q1320"/>
          <cell r="R1320">
            <v>0</v>
          </cell>
          <cell r="S1320">
            <v>462</v>
          </cell>
          <cell r="T1320">
            <v>1986.6</v>
          </cell>
          <cell r="U1320">
            <v>1236</v>
          </cell>
          <cell r="V1320">
            <v>5314.8</v>
          </cell>
          <cell r="W1320">
            <v>1271</v>
          </cell>
          <cell r="X1320">
            <v>5465.3</v>
          </cell>
          <cell r="Y1320"/>
          <cell r="Z1320">
            <v>0</v>
          </cell>
          <cell r="AA1320"/>
          <cell r="AB1320">
            <v>0</v>
          </cell>
          <cell r="AC1320"/>
          <cell r="AD1320">
            <v>0</v>
          </cell>
          <cell r="AE1320"/>
          <cell r="AF1320"/>
          <cell r="AG1320"/>
          <cell r="AH1320"/>
          <cell r="AI1320"/>
          <cell r="AJ1320">
            <v>0</v>
          </cell>
          <cell r="AK1320" t="str">
            <v>3P</v>
          </cell>
          <cell r="AL1320">
            <v>187</v>
          </cell>
          <cell r="AM1320">
            <v>381</v>
          </cell>
          <cell r="AN1320" t="str">
            <v>08 Inactive Dealer</v>
          </cell>
          <cell r="AO1320" t="str">
            <v>Northwest</v>
          </cell>
          <cell r="AP1320" t="str">
            <v>West</v>
          </cell>
          <cell r="AQ1320"/>
          <cell r="AR1320">
            <v>0</v>
          </cell>
          <cell r="AS1320">
            <v>0</v>
          </cell>
        </row>
        <row r="1321">
          <cell r="A1321">
            <v>13229</v>
          </cell>
          <cell r="B1321" t="str">
            <v>CHEYENNE KUBOTA</v>
          </cell>
          <cell r="C1321" t="str">
            <v>M11106</v>
          </cell>
          <cell r="D1321" t="str">
            <v>Net 30, no pink card</v>
          </cell>
          <cell r="E1321">
            <v>30</v>
          </cell>
          <cell r="F1321" t="str">
            <v>Yes</v>
          </cell>
          <cell r="G1321" t="str">
            <v>TX</v>
          </cell>
          <cell r="H1321">
            <v>7</v>
          </cell>
          <cell r="I1321">
            <v>0.7</v>
          </cell>
          <cell r="J1321" t="str">
            <v>Lane Davis</v>
          </cell>
          <cell r="K1321" t="str">
            <v>CHEYENNE</v>
          </cell>
          <cell r="L1321" t="str">
            <v>WY</v>
          </cell>
          <cell r="M1321" t="str">
            <v>800-577-8858</v>
          </cell>
          <cell r="N1321"/>
          <cell r="O1321">
            <v>976</v>
          </cell>
          <cell r="P1321">
            <v>4196.8</v>
          </cell>
          <cell r="Q1321"/>
          <cell r="R1321">
            <v>0</v>
          </cell>
          <cell r="S1321">
            <v>763</v>
          </cell>
          <cell r="T1321">
            <v>3280.9</v>
          </cell>
          <cell r="U1321">
            <v>891</v>
          </cell>
          <cell r="V1321">
            <v>3831.2999999999997</v>
          </cell>
          <cell r="W1321">
            <v>928</v>
          </cell>
          <cell r="X1321">
            <v>3990.3999999999996</v>
          </cell>
          <cell r="Y1321"/>
          <cell r="Z1321">
            <v>0</v>
          </cell>
          <cell r="AA1321"/>
          <cell r="AB1321">
            <v>0</v>
          </cell>
          <cell r="AC1321"/>
          <cell r="AD1321">
            <v>0</v>
          </cell>
          <cell r="AE1321"/>
          <cell r="AF1321"/>
          <cell r="AG1321"/>
          <cell r="AH1321"/>
          <cell r="AI1321"/>
          <cell r="AJ1321">
            <v>0</v>
          </cell>
          <cell r="AK1321" t="str">
            <v>3P</v>
          </cell>
          <cell r="AL1321">
            <v>275</v>
          </cell>
          <cell r="AM1321">
            <v>381</v>
          </cell>
          <cell r="AN1321" t="str">
            <v>02 Ramping</v>
          </cell>
          <cell r="AO1321" t="str">
            <v>Northwest</v>
          </cell>
          <cell r="AP1321" t="str">
            <v>West</v>
          </cell>
          <cell r="AQ1321"/>
          <cell r="AR1321">
            <v>0</v>
          </cell>
          <cell r="AS1321">
            <v>0</v>
          </cell>
        </row>
        <row r="1322">
          <cell r="A1322">
            <v>13506</v>
          </cell>
          <cell r="B1322" t="str">
            <v>CHEYENNE KUBOTA</v>
          </cell>
          <cell r="C1322" t="str">
            <v>M11106</v>
          </cell>
          <cell r="D1322" t="str">
            <v>Return Mail, no pink card</v>
          </cell>
          <cell r="E1322" t="str">
            <v>CO</v>
          </cell>
          <cell r="F1322" t="str">
            <v>Yes</v>
          </cell>
          <cell r="G1322" t="str">
            <v>ID</v>
          </cell>
          <cell r="H1322">
            <v>8</v>
          </cell>
          <cell r="I1322">
            <v>0.7</v>
          </cell>
          <cell r="J1322" t="str">
            <v>Lane Davis</v>
          </cell>
          <cell r="K1322" t="str">
            <v>CHEYENNE</v>
          </cell>
          <cell r="L1322" t="str">
            <v>WY</v>
          </cell>
          <cell r="M1322" t="str">
            <v>800-577-8858</v>
          </cell>
          <cell r="N1322"/>
          <cell r="O1322">
            <v>967</v>
          </cell>
          <cell r="P1322">
            <v>4158.0999999999995</v>
          </cell>
          <cell r="Q1322"/>
          <cell r="R1322">
            <v>0</v>
          </cell>
          <cell r="S1322">
            <v>759</v>
          </cell>
          <cell r="T1322">
            <v>3263.7</v>
          </cell>
          <cell r="U1322">
            <v>887</v>
          </cell>
          <cell r="V1322">
            <v>3814.1</v>
          </cell>
          <cell r="W1322">
            <v>924</v>
          </cell>
          <cell r="X1322">
            <v>3973.2</v>
          </cell>
          <cell r="Y1322"/>
          <cell r="Z1322">
            <v>0</v>
          </cell>
          <cell r="AA1322"/>
          <cell r="AB1322">
            <v>0</v>
          </cell>
          <cell r="AC1322"/>
          <cell r="AD1322">
            <v>0</v>
          </cell>
          <cell r="AE1322"/>
          <cell r="AF1322"/>
          <cell r="AG1322"/>
          <cell r="AH1322"/>
          <cell r="AI1322"/>
          <cell r="AJ1322">
            <v>0</v>
          </cell>
          <cell r="AK1322" t="str">
            <v>3P</v>
          </cell>
          <cell r="AL1322">
            <v>275</v>
          </cell>
          <cell r="AM1322">
            <v>77</v>
          </cell>
          <cell r="AN1322" t="str">
            <v>02 Ramping</v>
          </cell>
          <cell r="AO1322" t="str">
            <v>Northwest</v>
          </cell>
          <cell r="AP1322" t="str">
            <v>West</v>
          </cell>
          <cell r="AQ1322"/>
          <cell r="AR1322">
            <v>0</v>
          </cell>
          <cell r="AS1322">
            <v>0</v>
          </cell>
        </row>
        <row r="1323">
          <cell r="A1323">
            <v>12890</v>
          </cell>
          <cell r="B1323" t="str">
            <v>CHOPPING MOTORS LEASE, INC.</v>
          </cell>
          <cell r="C1323" t="str">
            <v>M10144</v>
          </cell>
          <cell r="D1323" t="str">
            <v>NET 5, BT+</v>
          </cell>
          <cell r="E1323" t="str">
            <v>CO</v>
          </cell>
          <cell r="F1323" t="str">
            <v>Yes</v>
          </cell>
          <cell r="G1323" t="str">
            <v>ID</v>
          </cell>
          <cell r="H1323">
            <v>7</v>
          </cell>
          <cell r="I1323">
            <v>0.7</v>
          </cell>
          <cell r="J1323" t="str">
            <v>Orphaned Acct</v>
          </cell>
          <cell r="K1323" t="str">
            <v>RIVERTON</v>
          </cell>
          <cell r="L1323" t="str">
            <v>WY</v>
          </cell>
          <cell r="M1323" t="str">
            <v>208-459-0106</v>
          </cell>
          <cell r="N1323"/>
          <cell r="O1323">
            <v>1235</v>
          </cell>
          <cell r="P1323">
            <v>5310.5</v>
          </cell>
          <cell r="Q1323"/>
          <cell r="R1323">
            <v>0</v>
          </cell>
          <cell r="S1323">
            <v>574</v>
          </cell>
          <cell r="T1323">
            <v>2468.1999999999998</v>
          </cell>
          <cell r="U1323">
            <v>1151</v>
          </cell>
          <cell r="V1323">
            <v>4949.3</v>
          </cell>
          <cell r="W1323">
            <v>1186</v>
          </cell>
          <cell r="X1323">
            <v>5099.8</v>
          </cell>
          <cell r="Y1323"/>
          <cell r="Z1323">
            <v>0</v>
          </cell>
          <cell r="AA1323"/>
          <cell r="AB1323">
            <v>0</v>
          </cell>
          <cell r="AC1323"/>
          <cell r="AD1323">
            <v>0</v>
          </cell>
          <cell r="AE1323"/>
          <cell r="AF1323"/>
          <cell r="AG1323"/>
          <cell r="AH1323"/>
          <cell r="AI1323"/>
          <cell r="AJ1323">
            <v>0</v>
          </cell>
          <cell r="AK1323" t="str">
            <v>3P</v>
          </cell>
          <cell r="AL1323">
            <v>213</v>
          </cell>
          <cell r="AM1323">
            <v>375</v>
          </cell>
          <cell r="AN1323" t="str">
            <v>08 Inactive Dealer</v>
          </cell>
          <cell r="AO1323" t="str">
            <v>Northwest</v>
          </cell>
          <cell r="AP1323" t="str">
            <v>West</v>
          </cell>
          <cell r="AQ1323"/>
          <cell r="AR1323">
            <v>0</v>
          </cell>
          <cell r="AS1323">
            <v>0</v>
          </cell>
        </row>
        <row r="1324">
          <cell r="A1324">
            <v>13548</v>
          </cell>
          <cell r="B1324" t="str">
            <v>HENDERSON SALES</v>
          </cell>
          <cell r="C1324" t="str">
            <v>M11523</v>
          </cell>
          <cell r="D1324" t="str">
            <v>NET 5, BT+</v>
          </cell>
          <cell r="E1324" t="str">
            <v>CO</v>
          </cell>
          <cell r="F1324" t="str">
            <v>Yes</v>
          </cell>
          <cell r="G1324" t="str">
            <v>ID</v>
          </cell>
          <cell r="H1324">
            <v>7</v>
          </cell>
          <cell r="I1324">
            <v>0.7</v>
          </cell>
          <cell r="J1324" t="str">
            <v>Dakota Nation</v>
          </cell>
          <cell r="K1324" t="str">
            <v>RIVERTON</v>
          </cell>
          <cell r="L1324" t="str">
            <v>WY</v>
          </cell>
          <cell r="M1324" t="str">
            <v>208-459-0106</v>
          </cell>
          <cell r="N1324"/>
          <cell r="O1324">
            <v>1229</v>
          </cell>
          <cell r="P1324">
            <v>5284.7</v>
          </cell>
          <cell r="Q1324"/>
          <cell r="R1324">
            <v>0</v>
          </cell>
          <cell r="S1324">
            <v>556</v>
          </cell>
          <cell r="T1324">
            <v>2390.7999999999997</v>
          </cell>
          <cell r="U1324">
            <v>1150</v>
          </cell>
          <cell r="V1324">
            <v>4945</v>
          </cell>
          <cell r="W1324">
            <v>1201</v>
          </cell>
          <cell r="X1324">
            <v>5164.3</v>
          </cell>
          <cell r="Y1324"/>
          <cell r="Z1324">
            <v>0</v>
          </cell>
          <cell r="AA1324"/>
          <cell r="AB1324">
            <v>0</v>
          </cell>
          <cell r="AC1324"/>
          <cell r="AD1324">
            <v>0</v>
          </cell>
          <cell r="AE1324"/>
          <cell r="AF1324"/>
          <cell r="AG1324"/>
          <cell r="AH1324"/>
          <cell r="AI1324"/>
          <cell r="AJ1324">
            <v>0</v>
          </cell>
          <cell r="AK1324" t="str">
            <v>3P</v>
          </cell>
          <cell r="AL1324">
            <v>223</v>
          </cell>
          <cell r="AM1324">
            <v>375</v>
          </cell>
          <cell r="AN1324" t="str">
            <v>03 New Dealer</v>
          </cell>
          <cell r="AO1324" t="str">
            <v>Northwest</v>
          </cell>
          <cell r="AP1324" t="str">
            <v>West</v>
          </cell>
          <cell r="AQ1324"/>
          <cell r="AR1324">
            <v>0</v>
          </cell>
          <cell r="AS1324">
            <v>0</v>
          </cell>
        </row>
        <row r="1325">
          <cell r="A1325">
            <v>12177</v>
          </cell>
          <cell r="B1325" t="str">
            <v>COLT BRUEGMAN TRAILER SALES</v>
          </cell>
          <cell r="C1325" t="str">
            <v>M10154</v>
          </cell>
          <cell r="D1325" t="str">
            <v>NET 5, BT+</v>
          </cell>
          <cell r="E1325" t="str">
            <v>CO</v>
          </cell>
          <cell r="F1325" t="str">
            <v>Yes</v>
          </cell>
          <cell r="G1325" t="str">
            <v>TX</v>
          </cell>
          <cell r="H1325">
            <v>7</v>
          </cell>
          <cell r="I1325">
            <v>0.7</v>
          </cell>
          <cell r="J1325" t="str">
            <v>Orphaned Acct</v>
          </cell>
          <cell r="K1325" t="str">
            <v>CHEYENNE</v>
          </cell>
          <cell r="L1325" t="str">
            <v>WY</v>
          </cell>
          <cell r="M1325" t="str">
            <v>800-577-8858</v>
          </cell>
          <cell r="N1325"/>
          <cell r="O1325">
            <v>976</v>
          </cell>
          <cell r="P1325">
            <v>4196.8</v>
          </cell>
          <cell r="Q1325"/>
          <cell r="R1325">
            <v>0</v>
          </cell>
          <cell r="S1325">
            <v>764</v>
          </cell>
          <cell r="T1325">
            <v>3285.2</v>
          </cell>
          <cell r="U1325">
            <v>892</v>
          </cell>
          <cell r="V1325">
            <v>3835.6</v>
          </cell>
          <cell r="W1325">
            <v>927</v>
          </cell>
          <cell r="X1325">
            <v>3986.1</v>
          </cell>
          <cell r="Y1325"/>
          <cell r="Z1325">
            <v>0</v>
          </cell>
          <cell r="AA1325"/>
          <cell r="AB1325">
            <v>0</v>
          </cell>
          <cell r="AC1325"/>
          <cell r="AD1325">
            <v>0</v>
          </cell>
          <cell r="AE1325"/>
          <cell r="AF1325"/>
          <cell r="AG1325"/>
          <cell r="AH1325"/>
          <cell r="AI1325"/>
          <cell r="AJ1325">
            <v>0</v>
          </cell>
          <cell r="AK1325" t="str">
            <v>3P</v>
          </cell>
          <cell r="AL1325">
            <v>213</v>
          </cell>
          <cell r="AM1325">
            <v>77</v>
          </cell>
          <cell r="AN1325" t="str">
            <v>08 Inactive Dealer</v>
          </cell>
          <cell r="AO1325" t="str">
            <v>Northwest</v>
          </cell>
          <cell r="AP1325" t="str">
            <v>West</v>
          </cell>
          <cell r="AQ1325"/>
          <cell r="AR1325">
            <v>0</v>
          </cell>
          <cell r="AS1325">
            <v>0</v>
          </cell>
        </row>
        <row r="1326">
          <cell r="A1326">
            <v>13256</v>
          </cell>
          <cell r="B1326" t="str">
            <v>EXTREME TRUCK</v>
          </cell>
          <cell r="C1326" t="str">
            <v>M11197</v>
          </cell>
          <cell r="D1326" t="str">
            <v>NET 5, BT+</v>
          </cell>
          <cell r="E1326" t="str">
            <v>CO</v>
          </cell>
          <cell r="F1326" t="str">
            <v>Yes</v>
          </cell>
          <cell r="G1326" t="str">
            <v>ID</v>
          </cell>
          <cell r="H1326">
            <v>7</v>
          </cell>
          <cell r="I1326">
            <v>0.66500000000000004</v>
          </cell>
          <cell r="J1326" t="str">
            <v>Orphaned Acct</v>
          </cell>
          <cell r="K1326" t="str">
            <v>CASPER</v>
          </cell>
          <cell r="L1326" t="str">
            <v>WY</v>
          </cell>
          <cell r="M1326" t="str">
            <v>208-459-0106</v>
          </cell>
          <cell r="N1326"/>
          <cell r="O1326">
            <v>1152</v>
          </cell>
          <cell r="P1326">
            <v>4953.5999999999995</v>
          </cell>
          <cell r="Q1326"/>
          <cell r="R1326">
            <v>0</v>
          </cell>
          <cell r="S1326">
            <v>728</v>
          </cell>
          <cell r="T1326">
            <v>3130.4</v>
          </cell>
          <cell r="U1326">
            <v>1067</v>
          </cell>
          <cell r="V1326">
            <v>4588.0999999999995</v>
          </cell>
          <cell r="W1326">
            <v>1104</v>
          </cell>
          <cell r="X1326">
            <v>4747.2</v>
          </cell>
          <cell r="Y1326"/>
          <cell r="Z1326">
            <v>0</v>
          </cell>
          <cell r="AA1326"/>
          <cell r="AB1326">
            <v>0</v>
          </cell>
          <cell r="AC1326"/>
          <cell r="AD1326">
            <v>0</v>
          </cell>
          <cell r="AE1326"/>
          <cell r="AF1326"/>
          <cell r="AG1326"/>
          <cell r="AH1326"/>
          <cell r="AI1326"/>
          <cell r="AJ1326">
            <v>0</v>
          </cell>
          <cell r="AK1326" t="str">
            <v>3P</v>
          </cell>
          <cell r="AL1326">
            <v>213</v>
          </cell>
          <cell r="AM1326">
            <v>69</v>
          </cell>
          <cell r="AN1326" t="str">
            <v>02 Ramping</v>
          </cell>
          <cell r="AO1326" t="str">
            <v>Northwest</v>
          </cell>
          <cell r="AP1326" t="str">
            <v>West</v>
          </cell>
          <cell r="AQ1326"/>
          <cell r="AR1326">
            <v>0</v>
          </cell>
          <cell r="AS1326">
            <v>0</v>
          </cell>
        </row>
        <row r="1327">
          <cell r="A1327">
            <v>10294</v>
          </cell>
          <cell r="B1327" t="str">
            <v>K-MOTIVE</v>
          </cell>
          <cell r="C1327" t="str">
            <v>M10256</v>
          </cell>
          <cell r="D1327" t="str">
            <v>NET 5, BT+</v>
          </cell>
          <cell r="E1327" t="str">
            <v>CO</v>
          </cell>
          <cell r="F1327" t="str">
            <v>Yes</v>
          </cell>
          <cell r="G1327" t="str">
            <v>ID</v>
          </cell>
          <cell r="H1327">
            <v>7</v>
          </cell>
          <cell r="I1327">
            <v>0.7</v>
          </cell>
          <cell r="J1327" t="str">
            <v>Orphaned Acct</v>
          </cell>
          <cell r="K1327" t="str">
            <v>GREEN RIVER</v>
          </cell>
          <cell r="L1327" t="str">
            <v>WY</v>
          </cell>
          <cell r="M1327" t="str">
            <v>208-459-0106</v>
          </cell>
          <cell r="N1327"/>
          <cell r="O1327">
            <v>1236</v>
          </cell>
          <cell r="P1327">
            <v>5314.8</v>
          </cell>
          <cell r="Q1327"/>
          <cell r="R1327">
            <v>0</v>
          </cell>
          <cell r="S1327">
            <v>488</v>
          </cell>
          <cell r="T1327">
            <v>2098.4</v>
          </cell>
          <cell r="U1327">
            <v>1153</v>
          </cell>
          <cell r="V1327">
            <v>4957.8999999999996</v>
          </cell>
          <cell r="W1327">
            <v>1188</v>
          </cell>
          <cell r="X1327">
            <v>5108.3999999999996</v>
          </cell>
          <cell r="Y1327"/>
          <cell r="Z1327">
            <v>0</v>
          </cell>
          <cell r="AA1327"/>
          <cell r="AB1327">
            <v>0</v>
          </cell>
          <cell r="AC1327"/>
          <cell r="AD1327">
            <v>0</v>
          </cell>
          <cell r="AE1327"/>
          <cell r="AF1327"/>
          <cell r="AG1327"/>
          <cell r="AH1327"/>
          <cell r="AI1327"/>
          <cell r="AJ1327">
            <v>0</v>
          </cell>
          <cell r="AK1327" t="str">
            <v>3P</v>
          </cell>
          <cell r="AL1327">
            <v>213</v>
          </cell>
          <cell r="AM1327">
            <v>381</v>
          </cell>
          <cell r="AN1327" t="str">
            <v>08 Inactive Dealer</v>
          </cell>
          <cell r="AO1327" t="str">
            <v>Northwest</v>
          </cell>
          <cell r="AP1327" t="str">
            <v>West</v>
          </cell>
          <cell r="AQ1327"/>
          <cell r="AR1327">
            <v>0</v>
          </cell>
          <cell r="AS1327">
            <v>0</v>
          </cell>
        </row>
        <row r="1328">
          <cell r="A1328">
            <v>12829</v>
          </cell>
          <cell r="B1328" t="str">
            <v>LEROUX, INC / BOONE'S MACHINE &amp; RENTALS</v>
          </cell>
          <cell r="C1328" t="str">
            <v>M10262</v>
          </cell>
          <cell r="D1328" t="str">
            <v>NET 5, BT+</v>
          </cell>
          <cell r="E1328" t="str">
            <v>COD</v>
          </cell>
          <cell r="F1328" t="str">
            <v>Yes</v>
          </cell>
          <cell r="G1328" t="str">
            <v>ID</v>
          </cell>
          <cell r="H1328">
            <v>7</v>
          </cell>
          <cell r="I1328">
            <v>0.7</v>
          </cell>
          <cell r="J1328" t="str">
            <v>Orphaned Acct</v>
          </cell>
          <cell r="K1328" t="str">
            <v>CODY</v>
          </cell>
          <cell r="L1328" t="str">
            <v>WY</v>
          </cell>
          <cell r="M1328" t="str">
            <v>208-459-0106</v>
          </cell>
          <cell r="N1328"/>
          <cell r="O1328">
            <v>1360</v>
          </cell>
          <cell r="P1328">
            <v>5848</v>
          </cell>
          <cell r="Q1328"/>
          <cell r="R1328">
            <v>0</v>
          </cell>
          <cell r="S1328">
            <v>714</v>
          </cell>
          <cell r="T1328">
            <v>3070.2</v>
          </cell>
          <cell r="U1328">
            <v>1277</v>
          </cell>
          <cell r="V1328">
            <v>5491.0999999999995</v>
          </cell>
          <cell r="W1328">
            <v>1312</v>
          </cell>
          <cell r="X1328">
            <v>5641.5999999999995</v>
          </cell>
          <cell r="Y1328"/>
          <cell r="Z1328">
            <v>0</v>
          </cell>
          <cell r="AA1328"/>
          <cell r="AB1328">
            <v>0</v>
          </cell>
          <cell r="AC1328"/>
          <cell r="AD1328">
            <v>0</v>
          </cell>
          <cell r="AE1328"/>
          <cell r="AF1328"/>
          <cell r="AG1328"/>
          <cell r="AH1328"/>
          <cell r="AI1328"/>
          <cell r="AJ1328">
            <v>0</v>
          </cell>
          <cell r="AK1328" t="str">
            <v>3P</v>
          </cell>
          <cell r="AL1328">
            <v>213</v>
          </cell>
          <cell r="AM1328">
            <v>41</v>
          </cell>
          <cell r="AN1328" t="str">
            <v>08 Inactive Dealer</v>
          </cell>
          <cell r="AO1328" t="str">
            <v>Northwest</v>
          </cell>
          <cell r="AP1328" t="str">
            <v>West</v>
          </cell>
          <cell r="AQ1328"/>
          <cell r="AR1328">
            <v>0</v>
          </cell>
          <cell r="AS1328">
            <v>0</v>
          </cell>
        </row>
        <row r="1329">
          <cell r="A1329">
            <v>13650</v>
          </cell>
          <cell r="B1329" t="str">
            <v>MOUNTAIN VALLEY MOTORSPORTS</v>
          </cell>
          <cell r="C1329" t="str">
            <v>M11634</v>
          </cell>
          <cell r="D1329" t="str">
            <v>Net 30, no pink card</v>
          </cell>
          <cell r="E1329" t="str">
            <v>FP - Wells Fargo</v>
          </cell>
          <cell r="F1329" t="str">
            <v>Yes</v>
          </cell>
          <cell r="G1329" t="str">
            <v>TX</v>
          </cell>
          <cell r="H1329">
            <v>8</v>
          </cell>
          <cell r="I1329">
            <v>0.66500000000000004</v>
          </cell>
          <cell r="J1329" t="str">
            <v>Nate Erickson</v>
          </cell>
          <cell r="K1329" t="str">
            <v>CODY</v>
          </cell>
          <cell r="L1329" t="str">
            <v>WY</v>
          </cell>
          <cell r="M1329" t="str">
            <v>208-459-0106</v>
          </cell>
          <cell r="N1329"/>
          <cell r="O1329">
            <v>1412</v>
          </cell>
          <cell r="P1329">
            <v>6071.5999999999995</v>
          </cell>
          <cell r="Q1329">
            <v>1962</v>
          </cell>
          <cell r="R1329">
            <v>8436.6</v>
          </cell>
          <cell r="S1329">
            <v>714</v>
          </cell>
          <cell r="T1329">
            <v>3070.2</v>
          </cell>
          <cell r="U1329">
            <v>1281</v>
          </cell>
          <cell r="V1329">
            <v>5508.3</v>
          </cell>
          <cell r="W1329">
            <v>1325</v>
          </cell>
          <cell r="X1329">
            <v>5697.5</v>
          </cell>
          <cell r="Y1329"/>
          <cell r="Z1329">
            <v>0</v>
          </cell>
          <cell r="AA1329">
            <v>1606</v>
          </cell>
          <cell r="AB1329">
            <v>6905.7999999999993</v>
          </cell>
          <cell r="AC1329">
            <v>1606</v>
          </cell>
          <cell r="AD1329">
            <v>6905.7999999999993</v>
          </cell>
          <cell r="AE1329"/>
          <cell r="AF1329"/>
          <cell r="AG1329"/>
          <cell r="AH1329"/>
          <cell r="AI1329"/>
          <cell r="AJ1329">
            <v>0</v>
          </cell>
          <cell r="AK1329" t="str">
            <v>3P</v>
          </cell>
          <cell r="AL1329">
            <v>187</v>
          </cell>
          <cell r="AM1329">
            <v>41</v>
          </cell>
          <cell r="AN1329" t="str">
            <v>03 New Dealer</v>
          </cell>
          <cell r="AO1329" t="str">
            <v>Northwest</v>
          </cell>
          <cell r="AP1329" t="str">
            <v>West</v>
          </cell>
          <cell r="AQ1329"/>
          <cell r="AR1329">
            <v>0</v>
          </cell>
          <cell r="AS1329">
            <v>0</v>
          </cell>
        </row>
        <row r="1330">
          <cell r="A1330">
            <v>11388</v>
          </cell>
          <cell r="B1330" t="str">
            <v>MOSER ENGINE, INC.</v>
          </cell>
          <cell r="C1330" t="str">
            <v>M10290</v>
          </cell>
          <cell r="D1330" t="str">
            <v>Net 30, no pink card</v>
          </cell>
          <cell r="E1330">
            <v>30</v>
          </cell>
          <cell r="F1330" t="str">
            <v>Yes</v>
          </cell>
          <cell r="G1330" t="str">
            <v>TX</v>
          </cell>
          <cell r="H1330">
            <v>5</v>
          </cell>
          <cell r="I1330">
            <v>0.7</v>
          </cell>
          <cell r="J1330" t="str">
            <v>Orphaned Acct</v>
          </cell>
          <cell r="K1330" t="str">
            <v>CASPER</v>
          </cell>
          <cell r="L1330" t="str">
            <v>WY</v>
          </cell>
          <cell r="M1330" t="str">
            <v>208-459-0106</v>
          </cell>
          <cell r="N1330"/>
          <cell r="O1330">
            <v>1149</v>
          </cell>
          <cell r="P1330">
            <v>4940.7</v>
          </cell>
          <cell r="Q1330"/>
          <cell r="R1330">
            <v>0</v>
          </cell>
          <cell r="S1330">
            <v>728</v>
          </cell>
          <cell r="T1330">
            <v>3130.4</v>
          </cell>
          <cell r="U1330">
            <v>1066</v>
          </cell>
          <cell r="V1330">
            <v>4583.8</v>
          </cell>
          <cell r="W1330">
            <v>1101</v>
          </cell>
          <cell r="X1330">
            <v>4734.3</v>
          </cell>
          <cell r="Y1330"/>
          <cell r="Z1330">
            <v>0</v>
          </cell>
          <cell r="AA1330"/>
          <cell r="AB1330">
            <v>0</v>
          </cell>
          <cell r="AC1330"/>
          <cell r="AD1330">
            <v>0</v>
          </cell>
          <cell r="AE1330"/>
          <cell r="AF1330"/>
          <cell r="AG1330"/>
          <cell r="AH1330"/>
          <cell r="AI1330"/>
          <cell r="AJ1330">
            <v>0</v>
          </cell>
          <cell r="AK1330" t="str">
            <v>3P</v>
          </cell>
          <cell r="AL1330">
            <v>213</v>
          </cell>
          <cell r="AM1330">
            <v>69</v>
          </cell>
          <cell r="AN1330" t="str">
            <v>08 Inactive Dealer</v>
          </cell>
          <cell r="AO1330" t="str">
            <v>Northwest</v>
          </cell>
          <cell r="AP1330" t="str">
            <v>West</v>
          </cell>
          <cell r="AQ1330"/>
          <cell r="AR1330">
            <v>0</v>
          </cell>
          <cell r="AS1330">
            <v>0</v>
          </cell>
        </row>
        <row r="1331">
          <cell r="A1331" t="str">
            <v>11388A</v>
          </cell>
          <cell r="B1331" t="str">
            <v>MOSER ENGINE, INC.</v>
          </cell>
          <cell r="C1331" t="str">
            <v>M10290</v>
          </cell>
          <cell r="D1331" t="str">
            <v>Net 30, no pink card</v>
          </cell>
          <cell r="E1331">
            <v>30</v>
          </cell>
          <cell r="F1331" t="str">
            <v>Yes</v>
          </cell>
          <cell r="G1331" t="str">
            <v>TX</v>
          </cell>
          <cell r="H1331">
            <v>5</v>
          </cell>
          <cell r="I1331">
            <v>0.7</v>
          </cell>
          <cell r="J1331" t="str">
            <v>Orphaned Acct</v>
          </cell>
          <cell r="K1331" t="str">
            <v>CASPER</v>
          </cell>
          <cell r="L1331" t="str">
            <v>WY</v>
          </cell>
          <cell r="M1331" t="str">
            <v>208-459-0106</v>
          </cell>
          <cell r="N1331"/>
          <cell r="O1331">
            <v>1144</v>
          </cell>
          <cell r="P1331">
            <v>4919.2</v>
          </cell>
          <cell r="Q1331"/>
          <cell r="R1331">
            <v>0</v>
          </cell>
          <cell r="S1331">
            <v>731</v>
          </cell>
          <cell r="T1331">
            <v>3143.2999999999997</v>
          </cell>
          <cell r="U1331">
            <v>1061</v>
          </cell>
          <cell r="V1331">
            <v>4562.3</v>
          </cell>
          <cell r="W1331">
            <v>1096</v>
          </cell>
          <cell r="X1331">
            <v>4712.8</v>
          </cell>
          <cell r="Y1331"/>
          <cell r="Z1331">
            <v>0</v>
          </cell>
          <cell r="AA1331"/>
          <cell r="AB1331">
            <v>0</v>
          </cell>
          <cell r="AC1331"/>
          <cell r="AD1331">
            <v>0</v>
          </cell>
          <cell r="AE1331"/>
          <cell r="AF1331"/>
          <cell r="AG1331"/>
          <cell r="AH1331"/>
          <cell r="AI1331"/>
          <cell r="AJ1331">
            <v>0</v>
          </cell>
          <cell r="AK1331" t="str">
            <v>3P</v>
          </cell>
          <cell r="AL1331">
            <v>213</v>
          </cell>
          <cell r="AM1331">
            <v>69</v>
          </cell>
          <cell r="AN1331" t="str">
            <v>08 Inactive Dealer</v>
          </cell>
          <cell r="AO1331" t="str">
            <v>Northwest</v>
          </cell>
          <cell r="AP1331" t="str">
            <v>West</v>
          </cell>
          <cell r="AQ1331"/>
          <cell r="AR1331">
            <v>0</v>
          </cell>
          <cell r="AS1331">
            <v>0</v>
          </cell>
        </row>
        <row r="1332">
          <cell r="A1332">
            <v>12684</v>
          </cell>
          <cell r="B1332" t="str">
            <v>OSAR AUTO SALES, INC.</v>
          </cell>
          <cell r="C1332" t="str">
            <v>M10311</v>
          </cell>
          <cell r="D1332" t="str">
            <v>NET 5, BT+</v>
          </cell>
          <cell r="E1332" t="str">
            <v>CF</v>
          </cell>
          <cell r="F1332" t="str">
            <v>Yes</v>
          </cell>
          <cell r="G1332" t="str">
            <v>ID</v>
          </cell>
          <cell r="H1332">
            <v>7</v>
          </cell>
          <cell r="I1332">
            <v>0.66500000000000004</v>
          </cell>
          <cell r="J1332" t="str">
            <v>Orphaned Acct</v>
          </cell>
          <cell r="K1332" t="str">
            <v>CHEYENNE</v>
          </cell>
          <cell r="L1332" t="str">
            <v>WY</v>
          </cell>
          <cell r="M1332" t="str">
            <v>208-459-0106</v>
          </cell>
          <cell r="N1332"/>
          <cell r="O1332">
            <v>974</v>
          </cell>
          <cell r="P1332">
            <v>4188.2</v>
          </cell>
          <cell r="Q1332"/>
          <cell r="R1332">
            <v>0</v>
          </cell>
          <cell r="S1332">
            <v>763</v>
          </cell>
          <cell r="T1332">
            <v>3280.9</v>
          </cell>
          <cell r="U1332">
            <v>891</v>
          </cell>
          <cell r="V1332">
            <v>3831.2999999999997</v>
          </cell>
          <cell r="W1332">
            <v>926</v>
          </cell>
          <cell r="X1332">
            <v>3981.7999999999997</v>
          </cell>
          <cell r="Y1332"/>
          <cell r="Z1332">
            <v>0</v>
          </cell>
          <cell r="AA1332"/>
          <cell r="AB1332">
            <v>0</v>
          </cell>
          <cell r="AC1332"/>
          <cell r="AD1332">
            <v>0</v>
          </cell>
          <cell r="AE1332"/>
          <cell r="AF1332"/>
          <cell r="AG1332"/>
          <cell r="AH1332"/>
          <cell r="AI1332"/>
          <cell r="AJ1332">
            <v>0</v>
          </cell>
          <cell r="AK1332" t="str">
            <v>3P</v>
          </cell>
          <cell r="AL1332">
            <v>213</v>
          </cell>
          <cell r="AM1332">
            <v>77</v>
          </cell>
          <cell r="AN1332" t="str">
            <v>08 Inactive Dealer</v>
          </cell>
          <cell r="AO1332" t="str">
            <v>Northwest</v>
          </cell>
          <cell r="AP1332" t="str">
            <v>West</v>
          </cell>
          <cell r="AQ1332"/>
          <cell r="AR1332">
            <v>0</v>
          </cell>
          <cell r="AS1332">
            <v>0</v>
          </cell>
        </row>
        <row r="1333">
          <cell r="A1333">
            <v>13081</v>
          </cell>
          <cell r="B1333" t="str">
            <v>PETE'S AUTO dba ROCKY MOUNTAIN MOTORSPORTS</v>
          </cell>
          <cell r="C1333" t="str">
            <v>M10971</v>
          </cell>
          <cell r="D1333" t="str">
            <v>NET 5, BT+</v>
          </cell>
          <cell r="E1333" t="str">
            <v>FP</v>
          </cell>
          <cell r="F1333" t="str">
            <v>Yes</v>
          </cell>
          <cell r="G1333" t="str">
            <v>ID</v>
          </cell>
          <cell r="H1333">
            <v>8</v>
          </cell>
          <cell r="I1333">
            <v>0.66500000000000004</v>
          </cell>
          <cell r="J1333" t="str">
            <v>Orphaned Acct</v>
          </cell>
          <cell r="K1333" t="str">
            <v>ROCK SPRINGS</v>
          </cell>
          <cell r="L1333" t="str">
            <v>WY</v>
          </cell>
          <cell r="M1333" t="str">
            <v>800-577-8858</v>
          </cell>
          <cell r="N1333"/>
          <cell r="O1333">
            <v>1217</v>
          </cell>
          <cell r="P1333">
            <v>5233.0999999999995</v>
          </cell>
          <cell r="Q1333"/>
          <cell r="R1333">
            <v>0</v>
          </cell>
          <cell r="S1333">
            <v>505</v>
          </cell>
          <cell r="T1333">
            <v>2171.5</v>
          </cell>
          <cell r="U1333">
            <v>1121</v>
          </cell>
          <cell r="V1333">
            <v>4820.3</v>
          </cell>
          <cell r="W1333">
            <v>1173</v>
          </cell>
          <cell r="X1333">
            <v>5043.8999999999996</v>
          </cell>
          <cell r="Y1333"/>
          <cell r="Z1333">
            <v>0</v>
          </cell>
          <cell r="AA1333"/>
          <cell r="AB1333">
            <v>0</v>
          </cell>
          <cell r="AC1333"/>
          <cell r="AD1333">
            <v>0</v>
          </cell>
          <cell r="AE1333"/>
          <cell r="AF1333"/>
          <cell r="AG1333"/>
          <cell r="AH1333"/>
          <cell r="AI1333"/>
          <cell r="AJ1333">
            <v>0</v>
          </cell>
          <cell r="AK1333" t="str">
            <v>3P</v>
          </cell>
          <cell r="AL1333">
            <v>213</v>
          </cell>
          <cell r="AM1333">
            <v>381</v>
          </cell>
          <cell r="AN1333" t="str">
            <v>08 Inactive Dealer</v>
          </cell>
          <cell r="AO1333" t="str">
            <v>Northwest</v>
          </cell>
          <cell r="AP1333" t="str">
            <v>West</v>
          </cell>
          <cell r="AQ1333"/>
          <cell r="AR1333">
            <v>0</v>
          </cell>
          <cell r="AS1333">
            <v>0</v>
          </cell>
        </row>
        <row r="1334">
          <cell r="A1334">
            <v>13557</v>
          </cell>
          <cell r="B1334" t="str">
            <v>ROCKIN ROLLIN RENTALS</v>
          </cell>
          <cell r="C1334" t="str">
            <v>M11519</v>
          </cell>
          <cell r="D1334" t="str">
            <v>NET 5, BT+</v>
          </cell>
          <cell r="E1334" t="str">
            <v>CO</v>
          </cell>
          <cell r="F1334" t="str">
            <v>Yes</v>
          </cell>
          <cell r="G1334" t="str">
            <v>ID</v>
          </cell>
          <cell r="H1334">
            <v>7</v>
          </cell>
          <cell r="I1334">
            <v>0.7</v>
          </cell>
          <cell r="J1334" t="str">
            <v>Nate Erickson</v>
          </cell>
          <cell r="K1334" t="str">
            <v>ROCK SPRINGS</v>
          </cell>
          <cell r="L1334" t="str">
            <v>WY</v>
          </cell>
          <cell r="M1334" t="str">
            <v>800-577-8858</v>
          </cell>
          <cell r="N1334"/>
          <cell r="O1334">
            <v>1217</v>
          </cell>
          <cell r="P1334">
            <v>5233.0999999999995</v>
          </cell>
          <cell r="Q1334"/>
          <cell r="R1334">
            <v>0</v>
          </cell>
          <cell r="S1334">
            <v>505</v>
          </cell>
          <cell r="T1334">
            <v>2171.5</v>
          </cell>
          <cell r="U1334">
            <v>1121</v>
          </cell>
          <cell r="V1334">
            <v>4820.3</v>
          </cell>
          <cell r="W1334">
            <v>1173</v>
          </cell>
          <cell r="X1334">
            <v>5043.8999999999996</v>
          </cell>
          <cell r="Y1334"/>
          <cell r="Z1334">
            <v>0</v>
          </cell>
          <cell r="AA1334"/>
          <cell r="AB1334">
            <v>0</v>
          </cell>
          <cell r="AC1334"/>
          <cell r="AD1334">
            <v>0</v>
          </cell>
          <cell r="AE1334"/>
          <cell r="AF1334"/>
          <cell r="AG1334"/>
          <cell r="AH1334"/>
          <cell r="AI1334"/>
          <cell r="AJ1334">
            <v>0</v>
          </cell>
          <cell r="AK1334" t="str">
            <v>3P</v>
          </cell>
          <cell r="AL1334">
            <v>187</v>
          </cell>
          <cell r="AM1334">
            <v>381</v>
          </cell>
          <cell r="AN1334" t="str">
            <v>03 New Dealer</v>
          </cell>
          <cell r="AO1334" t="str">
            <v>Northwest</v>
          </cell>
          <cell r="AP1334" t="str">
            <v>West</v>
          </cell>
          <cell r="AQ1334"/>
          <cell r="AR1334">
            <v>0</v>
          </cell>
          <cell r="AS1334">
            <v>0</v>
          </cell>
        </row>
        <row r="1335">
          <cell r="A1335">
            <v>12963</v>
          </cell>
          <cell r="B1335" t="str">
            <v>TW GILLETTE</v>
          </cell>
          <cell r="C1335" t="str">
            <v>M10499</v>
          </cell>
          <cell r="D1335" t="str">
            <v>Net 30, no pink card</v>
          </cell>
          <cell r="E1335">
            <v>30</v>
          </cell>
          <cell r="F1335" t="str">
            <v>Yes</v>
          </cell>
          <cell r="G1335" t="str">
            <v>ID</v>
          </cell>
          <cell r="H1335">
            <v>10</v>
          </cell>
          <cell r="I1335">
            <v>0.66500000000000004</v>
          </cell>
          <cell r="J1335" t="str">
            <v>Orphaned Acct</v>
          </cell>
          <cell r="K1335" t="str">
            <v>GILLETTE</v>
          </cell>
          <cell r="L1335" t="str">
            <v>WY</v>
          </cell>
          <cell r="M1335" t="str">
            <v>800-577-8858</v>
          </cell>
          <cell r="N1335"/>
          <cell r="O1335">
            <v>1213</v>
          </cell>
          <cell r="P1335">
            <v>5215.8999999999996</v>
          </cell>
          <cell r="Q1335"/>
          <cell r="R1335">
            <v>0</v>
          </cell>
          <cell r="S1335">
            <v>873</v>
          </cell>
          <cell r="T1335">
            <v>3753.8999999999996</v>
          </cell>
          <cell r="U1335">
            <v>1130</v>
          </cell>
          <cell r="V1335">
            <v>4859</v>
          </cell>
          <cell r="W1335">
            <v>1165</v>
          </cell>
          <cell r="X1335">
            <v>5009.5</v>
          </cell>
          <cell r="Y1335"/>
          <cell r="Z1335">
            <v>0</v>
          </cell>
          <cell r="AA1335"/>
          <cell r="AB1335">
            <v>0</v>
          </cell>
          <cell r="AC1335"/>
          <cell r="AD1335">
            <v>0</v>
          </cell>
          <cell r="AE1335">
            <v>8.8499999999999995E-2</v>
          </cell>
          <cell r="AF1335"/>
          <cell r="AG1335">
            <v>8.8499999999999995E-2</v>
          </cell>
          <cell r="AH1335">
            <v>9.2999999999999999E-2</v>
          </cell>
          <cell r="AI1335">
            <v>0.1056</v>
          </cell>
          <cell r="AJ1335">
            <v>0.04</v>
          </cell>
          <cell r="AK1335" t="str">
            <v>TW</v>
          </cell>
          <cell r="AL1335">
            <v>213</v>
          </cell>
          <cell r="AM1335">
            <v>69</v>
          </cell>
          <cell r="AN1335" t="str">
            <v>09 Inactive Co Store</v>
          </cell>
          <cell r="AO1335" t="str">
            <v>Northwest</v>
          </cell>
          <cell r="AP1335" t="str">
            <v>West</v>
          </cell>
          <cell r="AQ1335"/>
          <cell r="AR1335">
            <v>0</v>
          </cell>
          <cell r="AS1335">
            <v>0</v>
          </cell>
        </row>
        <row r="1336">
          <cell r="A1336">
            <v>13038</v>
          </cell>
          <cell r="B1336" t="str">
            <v>WHITLOCK MOTORS, LLC</v>
          </cell>
          <cell r="C1336" t="str">
            <v>M10825</v>
          </cell>
          <cell r="D1336" t="str">
            <v>NET 5, BT+</v>
          </cell>
          <cell r="E1336" t="str">
            <v>F3 - Wells Fargo</v>
          </cell>
          <cell r="F1336" t="str">
            <v>Yes</v>
          </cell>
          <cell r="G1336" t="str">
            <v>ID</v>
          </cell>
          <cell r="H1336">
            <v>8</v>
          </cell>
          <cell r="I1336">
            <v>0.7</v>
          </cell>
          <cell r="J1336" t="str">
            <v>JL Smith</v>
          </cell>
          <cell r="K1336" t="str">
            <v>CODY</v>
          </cell>
          <cell r="L1336" t="str">
            <v>WY</v>
          </cell>
          <cell r="M1336" t="str">
            <v>800-577-8858</v>
          </cell>
          <cell r="N1336"/>
          <cell r="O1336">
            <v>1362</v>
          </cell>
          <cell r="P1336">
            <v>5856.5999999999995</v>
          </cell>
          <cell r="Q1336"/>
          <cell r="R1336">
            <v>0</v>
          </cell>
          <cell r="S1336">
            <v>714</v>
          </cell>
          <cell r="T1336">
            <v>3070.2</v>
          </cell>
          <cell r="U1336">
            <v>1277</v>
          </cell>
          <cell r="V1336">
            <v>5491.0999999999995</v>
          </cell>
          <cell r="W1336">
            <v>1314</v>
          </cell>
          <cell r="X1336">
            <v>5650.2</v>
          </cell>
          <cell r="Y1336"/>
          <cell r="Z1336">
            <v>0</v>
          </cell>
          <cell r="AA1336"/>
          <cell r="AB1336">
            <v>0</v>
          </cell>
          <cell r="AC1336"/>
          <cell r="AD1336">
            <v>0</v>
          </cell>
          <cell r="AE1336"/>
          <cell r="AF1336"/>
          <cell r="AG1336"/>
          <cell r="AH1336"/>
          <cell r="AI1336"/>
          <cell r="AJ1336">
            <v>0</v>
          </cell>
          <cell r="AK1336" t="str">
            <v>3P</v>
          </cell>
          <cell r="AL1336">
            <v>151</v>
          </cell>
          <cell r="AM1336">
            <v>41</v>
          </cell>
          <cell r="AN1336" t="str">
            <v>01 Existing Dealer</v>
          </cell>
          <cell r="AO1336" t="str">
            <v>Northwest</v>
          </cell>
          <cell r="AP1336" t="str">
            <v>West</v>
          </cell>
          <cell r="AQ1336"/>
          <cell r="AR1336">
            <v>0</v>
          </cell>
          <cell r="AS1336">
            <v>0</v>
          </cell>
        </row>
        <row r="1337">
          <cell r="A1337">
            <v>12990</v>
          </cell>
          <cell r="B1337" t="str">
            <v>WHITLOCK MOTORS, LLC</v>
          </cell>
          <cell r="C1337" t="str">
            <v>M10825</v>
          </cell>
          <cell r="D1337" t="str">
            <v>NET 5, BT+</v>
          </cell>
          <cell r="E1337" t="str">
            <v>CO</v>
          </cell>
          <cell r="F1337" t="str">
            <v>Yes</v>
          </cell>
          <cell r="G1337" t="str">
            <v>ID</v>
          </cell>
          <cell r="H1337">
            <v>7</v>
          </cell>
          <cell r="I1337">
            <v>0.7</v>
          </cell>
          <cell r="J1337" t="str">
            <v>House</v>
          </cell>
          <cell r="K1337" t="str">
            <v>CODY</v>
          </cell>
          <cell r="L1337" t="str">
            <v>WY</v>
          </cell>
          <cell r="M1337" t="str">
            <v>800-577-8858</v>
          </cell>
          <cell r="N1337"/>
          <cell r="O1337">
            <v>1362</v>
          </cell>
          <cell r="P1337">
            <v>5856.5999999999995</v>
          </cell>
          <cell r="Q1337"/>
          <cell r="R1337">
            <v>0</v>
          </cell>
          <cell r="S1337">
            <v>714</v>
          </cell>
          <cell r="T1337">
            <v>3070.2</v>
          </cell>
          <cell r="U1337">
            <v>1277</v>
          </cell>
          <cell r="V1337">
            <v>5491.0999999999995</v>
          </cell>
          <cell r="W1337">
            <v>1314</v>
          </cell>
          <cell r="X1337">
            <v>5650.2</v>
          </cell>
          <cell r="Y1337"/>
          <cell r="Z1337">
            <v>0</v>
          </cell>
          <cell r="AA1337"/>
          <cell r="AB1337">
            <v>0</v>
          </cell>
          <cell r="AC1337"/>
          <cell r="AD1337">
            <v>0</v>
          </cell>
          <cell r="AE1337"/>
          <cell r="AF1337"/>
          <cell r="AG1337"/>
          <cell r="AH1337"/>
          <cell r="AI1337"/>
          <cell r="AJ1337">
            <v>0</v>
          </cell>
          <cell r="AK1337" t="str">
            <v>3P</v>
          </cell>
          <cell r="AL1337">
            <v>400</v>
          </cell>
          <cell r="AM1337">
            <v>41</v>
          </cell>
          <cell r="AN1337" t="str">
            <v>01 Existing Dealer</v>
          </cell>
          <cell r="AO1337" t="str">
            <v>Northwest</v>
          </cell>
          <cell r="AP1337" t="str">
            <v>West</v>
          </cell>
          <cell r="AQ1337"/>
          <cell r="AR1337">
            <v>0</v>
          </cell>
          <cell r="AS1337">
            <v>0</v>
          </cell>
        </row>
        <row r="1338">
          <cell r="A1338">
            <v>12674</v>
          </cell>
          <cell r="B1338" t="str">
            <v>NATIONAL TRAILER GROUP</v>
          </cell>
          <cell r="C1338" t="str">
            <v>M10475</v>
          </cell>
          <cell r="D1338" t="str">
            <v>NET 5, BT+</v>
          </cell>
          <cell r="E1338" t="str">
            <v>CF</v>
          </cell>
          <cell r="F1338" t="str">
            <v>Yes</v>
          </cell>
          <cell r="G1338" t="str">
            <v>TX</v>
          </cell>
          <cell r="H1338">
            <v>7</v>
          </cell>
          <cell r="I1338">
            <v>0.66500000000000004</v>
          </cell>
          <cell r="J1338" t="str">
            <v>Orphaned Acct</v>
          </cell>
          <cell r="K1338" t="str">
            <v>AUSTRAILA</v>
          </cell>
          <cell r="L1338"/>
          <cell r="M1338" t="str">
            <v>800-577-8858</v>
          </cell>
          <cell r="N1338"/>
          <cell r="O1338" t="str">
            <v>N/A</v>
          </cell>
          <cell r="P1338" t="str"/>
          <cell r="Q1338" t="str">
            <v>N/A</v>
          </cell>
          <cell r="R1338" t="str"/>
          <cell r="S1338"/>
          <cell r="T1338">
            <v>0</v>
          </cell>
          <cell r="U1338" t="str">
            <v>N/A</v>
          </cell>
          <cell r="V1338" t="str"/>
          <cell r="W1338" t="str">
            <v>N/A</v>
          </cell>
          <cell r="X1338" t="str"/>
          <cell r="Y1338" t="str">
            <v>N/A</v>
          </cell>
          <cell r="Z1338" t="str"/>
          <cell r="AA1338" t="str">
            <v>N/A</v>
          </cell>
          <cell r="AB1338" t="str"/>
          <cell r="AC1338" t="str">
            <v>N/A</v>
          </cell>
          <cell r="AD1338" t="str"/>
          <cell r="AE1338"/>
          <cell r="AF1338"/>
          <cell r="AG1338"/>
          <cell r="AH1338"/>
          <cell r="AI1338"/>
          <cell r="AJ1338">
            <v>0</v>
          </cell>
          <cell r="AK1338" t="str">
            <v>3P</v>
          </cell>
          <cell r="AL1338">
            <v>213</v>
          </cell>
          <cell r="AM1338"/>
          <cell r="AN1338" t="str">
            <v>08 Inactive Dealer</v>
          </cell>
          <cell r="AO1338"/>
          <cell r="AQ1338"/>
          <cell r="AR1338">
            <v>0</v>
          </cell>
          <cell r="AS1338">
            <v>0</v>
          </cell>
        </row>
        <row r="1339">
          <cell r="A1339">
            <v>13554</v>
          </cell>
          <cell r="B1339" t="str">
            <v>CABRERA GRUPO AUTOMOTRIZ</v>
          </cell>
          <cell r="C1339" t="str">
            <v>M11194</v>
          </cell>
          <cell r="D1339" t="str">
            <v>CF</v>
          </cell>
          <cell r="E1339" t="str">
            <v>CF</v>
          </cell>
          <cell r="F1339" t="str">
            <v>Yes</v>
          </cell>
          <cell r="G1339" t="str">
            <v>GA</v>
          </cell>
          <cell r="H1339">
            <v>7</v>
          </cell>
          <cell r="I1339">
            <v>0.66500000000000004</v>
          </cell>
          <cell r="J1339" t="str">
            <v>Orphaned Acct</v>
          </cell>
          <cell r="K1339" t="str">
            <v>ARECIBO</v>
          </cell>
          <cell r="L1339" t="str">
            <v>PR</v>
          </cell>
          <cell r="M1339" t="str">
            <v>800-577-8858</v>
          </cell>
          <cell r="N1339"/>
          <cell r="O1339">
            <v>915</v>
          </cell>
          <cell r="P1339">
            <v>3934.5</v>
          </cell>
          <cell r="Q1339">
            <v>208</v>
          </cell>
          <cell r="R1339">
            <v>894.4</v>
          </cell>
          <cell r="S1339" t="str"/>
          <cell r="T1339" t="str"/>
          <cell r="U1339">
            <v>1164</v>
          </cell>
          <cell r="V1339">
            <v>5005.2</v>
          </cell>
          <cell r="W1339">
            <v>952</v>
          </cell>
          <cell r="X1339">
            <v>4093.6</v>
          </cell>
          <cell r="Y1339">
            <v>820</v>
          </cell>
          <cell r="Z1339">
            <v>3526</v>
          </cell>
          <cell r="AA1339">
            <v>820</v>
          </cell>
          <cell r="AB1339">
            <v>3526</v>
          </cell>
          <cell r="AC1339">
            <v>820</v>
          </cell>
          <cell r="AD1339">
            <v>3526</v>
          </cell>
          <cell r="AE1339"/>
          <cell r="AF1339"/>
          <cell r="AG1339"/>
          <cell r="AH1339"/>
          <cell r="AI1339"/>
          <cell r="AJ1339">
            <v>0</v>
          </cell>
          <cell r="AK1339" t="str">
            <v>3P</v>
          </cell>
          <cell r="AL1339">
            <v>213</v>
          </cell>
          <cell r="AM1339">
            <v>488</v>
          </cell>
          <cell r="AN1339" t="str">
            <v>03 New Dealer</v>
          </cell>
          <cell r="AO1339" t="str">
            <v>Southeast</v>
          </cell>
          <cell r="AP1339" t="str">
            <v>South</v>
          </cell>
          <cell r="AQ1339"/>
          <cell r="AR1339">
            <v>0</v>
          </cell>
          <cell r="AS1339">
            <v>0</v>
          </cell>
        </row>
        <row r="1340">
          <cell r="A1340" t="str">
            <v>13554A</v>
          </cell>
          <cell r="B1340" t="str">
            <v>CABRERA GRUPO AUTOMOTRIZ</v>
          </cell>
          <cell r="C1340" t="str">
            <v>M11194</v>
          </cell>
          <cell r="D1340" t="str">
            <v>CF</v>
          </cell>
          <cell r="E1340" t="str">
            <v>CF</v>
          </cell>
          <cell r="F1340" t="str">
            <v>Yes</v>
          </cell>
          <cell r="G1340" t="str">
            <v>GA</v>
          </cell>
          <cell r="H1340">
            <v>7</v>
          </cell>
          <cell r="I1340">
            <v>0.66500000000000004</v>
          </cell>
          <cell r="J1340" t="str">
            <v>Orphaned Acct</v>
          </cell>
          <cell r="K1340" t="str">
            <v>JACKSONVILLE</v>
          </cell>
          <cell r="L1340" t="str">
            <v>FL</v>
          </cell>
          <cell r="M1340"/>
          <cell r="N1340"/>
          <cell r="O1340" t="str"/>
          <cell r="P1340" t="str"/>
          <cell r="Q1340" t="str"/>
          <cell r="R1340" t="str"/>
          <cell r="S1340" t="str"/>
          <cell r="T1340" t="str"/>
          <cell r="U1340" t="str"/>
          <cell r="V1340" t="str"/>
          <cell r="W1340" t="str"/>
          <cell r="X1340" t="str"/>
          <cell r="Y1340" t="str"/>
          <cell r="Z1340" t="str"/>
          <cell r="AA1340" t="str"/>
          <cell r="AB1340" t="str"/>
          <cell r="AC1340" t="str"/>
          <cell r="AD1340" t="str"/>
          <cell r="AE1340"/>
          <cell r="AF1340"/>
          <cell r="AG1340"/>
          <cell r="AH1340"/>
          <cell r="AI1340"/>
          <cell r="AJ1340">
            <v>0</v>
          </cell>
          <cell r="AK1340" t="str">
            <v>3P</v>
          </cell>
          <cell r="AL1340">
            <v>213</v>
          </cell>
          <cell r="AM1340"/>
          <cell r="AN1340" t="str">
            <v>03 New Dealer</v>
          </cell>
          <cell r="AO1340" t="str">
            <v>Southeast</v>
          </cell>
          <cell r="AP1340" t="str">
            <v>South</v>
          </cell>
          <cell r="AQ1340"/>
          <cell r="AR1340">
            <v>0</v>
          </cell>
          <cell r="AS1340">
            <v>0</v>
          </cell>
        </row>
        <row r="1341">
          <cell r="A1341"/>
          <cell r="B1341"/>
          <cell r="C1341"/>
          <cell r="D1341"/>
          <cell r="E1341"/>
          <cell r="F1341"/>
          <cell r="G1341"/>
          <cell r="H1341"/>
          <cell r="I1341"/>
          <cell r="J1341"/>
          <cell r="K1341"/>
          <cell r="L1341"/>
          <cell r="M1341"/>
          <cell r="N1341"/>
          <cell r="O1341" t="str"/>
          <cell r="P1341" t="str"/>
          <cell r="Q1341" t="str"/>
          <cell r="R1341" t="str"/>
          <cell r="S1341" t="str"/>
          <cell r="T1341" t="str"/>
          <cell r="U1341" t="str"/>
          <cell r="V1341" t="str"/>
          <cell r="W1341" t="str"/>
          <cell r="X1341" t="str"/>
          <cell r="Y1341" t="str"/>
          <cell r="Z1341" t="str"/>
          <cell r="AA1341" t="str"/>
          <cell r="AB1341" t="str"/>
          <cell r="AC1341" t="str"/>
          <cell r="AD1341" t="str"/>
          <cell r="AE1341"/>
          <cell r="AF1341"/>
          <cell r="AG1341"/>
          <cell r="AH1341"/>
          <cell r="AI1341"/>
          <cell r="AJ1341">
            <v>0</v>
          </cell>
          <cell r="AK1341" t="str"/>
          <cell r="AL1341"/>
          <cell r="AM1341"/>
          <cell r="AN1341" t="str"/>
          <cell r="AO1341"/>
          <cell r="AQ1341"/>
          <cell r="AR1341">
            <v>0</v>
          </cell>
          <cell r="AS1341">
            <v>0</v>
          </cell>
        </row>
        <row r="1342">
          <cell r="AK1342" t="str"/>
          <cell r="AN1342" t="str"/>
          <cell r="AO1342"/>
          <cell r="AQ1342"/>
          <cell r="AR1342">
            <v>0</v>
          </cell>
          <cell r="AS1342">
            <v>0</v>
          </cell>
        </row>
        <row r="1343">
          <cell r="AO1343"/>
          <cell r="AQ1343"/>
          <cell r="AR1343">
            <v>0</v>
          </cell>
          <cell r="AS1343">
            <v>0</v>
          </cell>
        </row>
        <row r="1344">
          <cell r="O1344">
            <v>4.3</v>
          </cell>
          <cell r="P1344">
            <v>4.3</v>
          </cell>
          <cell r="Q1344"/>
          <cell r="R1344">
            <v>4.3</v>
          </cell>
          <cell r="S1344"/>
          <cell r="T1344">
            <v>4.3</v>
          </cell>
          <cell r="V1344">
            <v>4.3</v>
          </cell>
          <cell r="X1344">
            <v>4.3</v>
          </cell>
          <cell r="Z1344">
            <v>4.3</v>
          </cell>
          <cell r="AB1344">
            <v>4.3</v>
          </cell>
          <cell r="AD1344">
            <v>4.3</v>
          </cell>
          <cell r="AE1344" t="str">
            <v>Desired Freight % per Plant</v>
          </cell>
          <cell r="AF1344"/>
          <cell r="AG1344"/>
          <cell r="AH1344"/>
          <cell r="AI1344"/>
          <cell r="AJ1344" t="str">
            <v>Disc %</v>
          </cell>
          <cell r="AK1344" t="str">
            <v>Dlr Tier</v>
          </cell>
          <cell r="AO1344"/>
          <cell r="AQ1344"/>
          <cell r="AR1344">
            <v>0</v>
          </cell>
          <cell r="AS1344">
            <v>0</v>
          </cell>
        </row>
        <row r="1345">
          <cell r="A1345"/>
          <cell r="B1345" t="str">
            <v>CANADA DEALERS (QC, ON)</v>
          </cell>
          <cell r="C1345"/>
          <cell r="D1345">
            <v>0.45</v>
          </cell>
          <cell r="E1345" t="str">
            <v>semi frght</v>
          </cell>
          <cell r="F1345"/>
          <cell r="G1345"/>
          <cell r="H1345"/>
          <cell r="I1345"/>
          <cell r="J1345"/>
          <cell r="K1345" t="str">
            <v>CITY</v>
          </cell>
          <cell r="L1345" t="str">
            <v>ST</v>
          </cell>
          <cell r="M1345" t="str">
            <v>Fax</v>
          </cell>
          <cell r="N1345"/>
          <cell r="O1345" t="str">
            <v>MP</v>
          </cell>
          <cell r="P1345" t="str">
            <v>MP $</v>
          </cell>
          <cell r="Q1345" t="str">
            <v>GA</v>
          </cell>
          <cell r="R1345" t="str">
            <v>GA $</v>
          </cell>
          <cell r="S1345" t="str">
            <v>ID</v>
          </cell>
          <cell r="T1345" t="str">
            <v>ID $</v>
          </cell>
          <cell r="U1345" t="str">
            <v>OK</v>
          </cell>
          <cell r="V1345" t="str">
            <v>OK $</v>
          </cell>
          <cell r="W1345" t="str">
            <v>WP</v>
          </cell>
          <cell r="X1345" t="str">
            <v>WP $</v>
          </cell>
          <cell r="Y1345" t="str">
            <v>NE</v>
          </cell>
          <cell r="Z1345" t="str">
            <v>NE $</v>
          </cell>
          <cell r="AA1345" t="str">
            <v>OH</v>
          </cell>
          <cell r="AB1345" t="str">
            <v>NE $</v>
          </cell>
          <cell r="AC1345" t="str">
            <v>OH</v>
          </cell>
          <cell r="AD1345" t="str">
            <v>NE $</v>
          </cell>
          <cell r="AE1345" t="str">
            <v>MP</v>
          </cell>
          <cell r="AF1345" t="str">
            <v>GA</v>
          </cell>
          <cell r="AG1345" t="str">
            <v>ID</v>
          </cell>
          <cell r="AH1345" t="str">
            <v>OK</v>
          </cell>
          <cell r="AI1345" t="str">
            <v>Wills Point</v>
          </cell>
          <cell r="AJ1345"/>
          <cell r="AK1345"/>
          <cell r="AL1345" t="str">
            <v>DSR #</v>
          </cell>
          <cell r="AM1345" t="str">
            <v>BTA</v>
          </cell>
          <cell r="AO1345"/>
          <cell r="AQ1345"/>
          <cell r="AR1345">
            <v>0</v>
          </cell>
          <cell r="AS1345">
            <v>0</v>
          </cell>
        </row>
        <row r="1346">
          <cell r="A1346">
            <v>12786</v>
          </cell>
          <cell r="B1346" t="str">
            <v>CMSR ENTERPRISES INC, DBA PRIMO TRAILER SALES</v>
          </cell>
          <cell r="C1346" t="str">
            <v>M10149</v>
          </cell>
          <cell r="D1346" t="str">
            <v>NET 5, BT+</v>
          </cell>
          <cell r="E1346" t="str">
            <v>FP - Wells Fargo</v>
          </cell>
          <cell r="F1346" t="str">
            <v>Yes</v>
          </cell>
          <cell r="G1346" t="str">
            <v>GA</v>
          </cell>
          <cell r="H1346">
            <v>8</v>
          </cell>
          <cell r="I1346">
            <v>0.66500000000000004</v>
          </cell>
          <cell r="J1346" t="str">
            <v>Orphaned Acct</v>
          </cell>
          <cell r="K1346" t="str">
            <v>NEPEAN</v>
          </cell>
          <cell r="L1346" t="str">
            <v>ON</v>
          </cell>
          <cell r="M1346" t="str">
            <v>800-577-8858</v>
          </cell>
          <cell r="N1346"/>
          <cell r="O1346">
            <v>1567</v>
          </cell>
          <cell r="P1346">
            <v>6738.0999999999995</v>
          </cell>
          <cell r="Q1346">
            <v>1267</v>
          </cell>
          <cell r="R1346">
            <v>5448.0999999999995</v>
          </cell>
          <cell r="S1346"/>
          <cell r="T1346">
            <v>0</v>
          </cell>
          <cell r="U1346">
            <v>1591</v>
          </cell>
          <cell r="V1346">
            <v>6841.2999999999993</v>
          </cell>
          <cell r="W1346">
            <v>1647</v>
          </cell>
          <cell r="X1346">
            <v>7082.0999999999995</v>
          </cell>
          <cell r="Y1346"/>
          <cell r="Z1346">
            <v>0</v>
          </cell>
          <cell r="AA1346"/>
          <cell r="AB1346" t="str">
            <v>n/a</v>
          </cell>
          <cell r="AC1346"/>
          <cell r="AD1346" t="str">
            <v>n/a</v>
          </cell>
          <cell r="AE1346"/>
          <cell r="AF1346"/>
          <cell r="AG1346"/>
          <cell r="AH1346"/>
          <cell r="AI1346"/>
          <cell r="AJ1346">
            <v>0</v>
          </cell>
          <cell r="AK1346" t="str">
            <v>3P</v>
          </cell>
          <cell r="AL1346">
            <v>213</v>
          </cell>
          <cell r="AM1346"/>
          <cell r="AN1346" t="str">
            <v>08 Inactive Dealer</v>
          </cell>
          <cell r="AO1346" t="str">
            <v>E.Canada</v>
          </cell>
          <cell r="AP1346" t="str">
            <v>North</v>
          </cell>
          <cell r="AQ1346"/>
          <cell r="AR1346">
            <v>0</v>
          </cell>
          <cell r="AS1346">
            <v>0</v>
          </cell>
        </row>
        <row r="1347">
          <cell r="A1347">
            <v>11457</v>
          </cell>
          <cell r="B1347" t="str">
            <v>ONTARIO TRAILERS 2326084 LTD</v>
          </cell>
          <cell r="C1347" t="str">
            <v>M10309</v>
          </cell>
          <cell r="D1347" t="str">
            <v>NET 5, BT+</v>
          </cell>
          <cell r="E1347" t="str">
            <v>WT</v>
          </cell>
          <cell r="F1347" t="str">
            <v>Yes</v>
          </cell>
          <cell r="G1347" t="str">
            <v>GA</v>
          </cell>
          <cell r="H1347">
            <v>7</v>
          </cell>
          <cell r="I1347">
            <v>0.66500000000000004</v>
          </cell>
          <cell r="J1347" t="str">
            <v>Orphaned Acct</v>
          </cell>
          <cell r="K1347" t="str">
            <v>DURHAM</v>
          </cell>
          <cell r="L1347" t="str">
            <v>ON</v>
          </cell>
          <cell r="M1347" t="str">
            <v>903-575-5204</v>
          </cell>
          <cell r="N1347"/>
          <cell r="O1347">
            <v>1303</v>
          </cell>
          <cell r="P1347">
            <v>5602.9</v>
          </cell>
          <cell r="Q1347">
            <v>1077</v>
          </cell>
          <cell r="R1347">
            <v>4631.0999999999995</v>
          </cell>
          <cell r="S1347"/>
          <cell r="T1347">
            <v>0</v>
          </cell>
          <cell r="U1347">
            <v>1319</v>
          </cell>
          <cell r="V1347">
            <v>5671.7</v>
          </cell>
          <cell r="W1347">
            <v>1383</v>
          </cell>
          <cell r="X1347">
            <v>5946.9</v>
          </cell>
          <cell r="Y1347"/>
          <cell r="Z1347">
            <v>0</v>
          </cell>
          <cell r="AA1347"/>
          <cell r="AB1347" t="str">
            <v>n/a</v>
          </cell>
          <cell r="AC1347"/>
          <cell r="AD1347" t="str">
            <v>n/a</v>
          </cell>
          <cell r="AE1347"/>
          <cell r="AF1347"/>
          <cell r="AG1347"/>
          <cell r="AH1347"/>
          <cell r="AI1347"/>
          <cell r="AJ1347">
            <v>0</v>
          </cell>
          <cell r="AK1347" t="str">
            <v>3P</v>
          </cell>
          <cell r="AL1347">
            <v>213</v>
          </cell>
          <cell r="AM1347"/>
          <cell r="AN1347" t="str">
            <v>08 Inactive Dealer</v>
          </cell>
          <cell r="AO1347" t="str">
            <v>E.Canada</v>
          </cell>
          <cell r="AP1347" t="str">
            <v>North</v>
          </cell>
          <cell r="AQ1347"/>
          <cell r="AR1347">
            <v>0</v>
          </cell>
          <cell r="AS1347">
            <v>0</v>
          </cell>
        </row>
        <row r="1348">
          <cell r="A1348">
            <v>12427</v>
          </cell>
          <cell r="B1348" t="str">
            <v>OTTAWA VALLEY TRAILER SALES</v>
          </cell>
          <cell r="C1348" t="str">
            <v>M10312</v>
          </cell>
          <cell r="D1348" t="str">
            <v>NET 5, BT+</v>
          </cell>
          <cell r="E1348" t="str">
            <v>CF</v>
          </cell>
          <cell r="F1348" t="str">
            <v>Yes</v>
          </cell>
          <cell r="G1348" t="str">
            <v>GA</v>
          </cell>
          <cell r="H1348">
            <v>7</v>
          </cell>
          <cell r="I1348">
            <v>0.66500000000000004</v>
          </cell>
          <cell r="J1348" t="str">
            <v>Orphaned Acct</v>
          </cell>
          <cell r="K1348" t="str">
            <v>ARNPRIOR</v>
          </cell>
          <cell r="L1348" t="str">
            <v>ON</v>
          </cell>
          <cell r="M1348" t="str">
            <v>903-575-5204</v>
          </cell>
          <cell r="N1348"/>
          <cell r="O1348">
            <v>1548</v>
          </cell>
          <cell r="P1348">
            <v>6656.4</v>
          </cell>
          <cell r="Q1348">
            <v>1296</v>
          </cell>
          <cell r="R1348">
            <v>5572.8</v>
          </cell>
          <cell r="S1348"/>
          <cell r="T1348">
            <v>0</v>
          </cell>
          <cell r="U1348">
            <v>1572</v>
          </cell>
          <cell r="V1348">
            <v>6759.5999999999995</v>
          </cell>
          <cell r="W1348">
            <v>1628</v>
          </cell>
          <cell r="X1348">
            <v>7000.4</v>
          </cell>
          <cell r="Y1348"/>
          <cell r="Z1348">
            <v>0</v>
          </cell>
          <cell r="AA1348"/>
          <cell r="AB1348" t="str">
            <v>n/a</v>
          </cell>
          <cell r="AC1348"/>
          <cell r="AD1348" t="str">
            <v>n/a</v>
          </cell>
          <cell r="AE1348"/>
          <cell r="AF1348"/>
          <cell r="AG1348"/>
          <cell r="AH1348"/>
          <cell r="AI1348"/>
          <cell r="AJ1348">
            <v>0</v>
          </cell>
          <cell r="AK1348" t="str">
            <v>3P</v>
          </cell>
          <cell r="AL1348">
            <v>213</v>
          </cell>
          <cell r="AM1348"/>
          <cell r="AN1348" t="str">
            <v>08 Inactive Dealer</v>
          </cell>
          <cell r="AO1348" t="str">
            <v>E.Canada</v>
          </cell>
          <cell r="AP1348" t="str">
            <v>North</v>
          </cell>
          <cell r="AQ1348"/>
          <cell r="AR1348">
            <v>0</v>
          </cell>
          <cell r="AS1348">
            <v>0</v>
          </cell>
        </row>
        <row r="1349">
          <cell r="A1349">
            <v>12693</v>
          </cell>
          <cell r="B1349" t="str">
            <v>OTTAWA VALLEY TRAILER SALES</v>
          </cell>
          <cell r="C1349" t="str">
            <v>M10312</v>
          </cell>
          <cell r="D1349" t="str">
            <v>NET 5, BT+</v>
          </cell>
          <cell r="E1349" t="str">
            <v>FP - Wells Fargo</v>
          </cell>
          <cell r="F1349" t="str">
            <v>Yes</v>
          </cell>
          <cell r="G1349" t="str">
            <v>GA</v>
          </cell>
          <cell r="H1349">
            <v>8</v>
          </cell>
          <cell r="I1349">
            <v>0.66500000000000004</v>
          </cell>
          <cell r="J1349" t="str">
            <v>Orphaned Acct</v>
          </cell>
          <cell r="K1349" t="str">
            <v>ARNPRIOR</v>
          </cell>
          <cell r="L1349" t="str">
            <v>ON</v>
          </cell>
          <cell r="M1349" t="str">
            <v>903-575-5204</v>
          </cell>
          <cell r="N1349"/>
          <cell r="O1349">
            <v>1548</v>
          </cell>
          <cell r="P1349">
            <v>6656.4</v>
          </cell>
          <cell r="Q1349">
            <v>1296</v>
          </cell>
          <cell r="R1349">
            <v>5572.8</v>
          </cell>
          <cell r="S1349"/>
          <cell r="T1349">
            <v>0</v>
          </cell>
          <cell r="U1349">
            <v>1572</v>
          </cell>
          <cell r="V1349">
            <v>6759.5999999999995</v>
          </cell>
          <cell r="W1349">
            <v>1628</v>
          </cell>
          <cell r="X1349">
            <v>7000.4</v>
          </cell>
          <cell r="Y1349"/>
          <cell r="Z1349">
            <v>0</v>
          </cell>
          <cell r="AA1349"/>
          <cell r="AB1349" t="str">
            <v>n/a</v>
          </cell>
          <cell r="AC1349"/>
          <cell r="AD1349" t="str">
            <v>n/a</v>
          </cell>
          <cell r="AE1349"/>
          <cell r="AF1349"/>
          <cell r="AG1349"/>
          <cell r="AH1349"/>
          <cell r="AI1349"/>
          <cell r="AJ1349">
            <v>0</v>
          </cell>
          <cell r="AK1349" t="str">
            <v>3P</v>
          </cell>
          <cell r="AL1349">
            <v>213</v>
          </cell>
          <cell r="AM1349"/>
          <cell r="AN1349" t="str">
            <v>08 Inactive Dealer</v>
          </cell>
          <cell r="AO1349" t="str">
            <v>E.Canada</v>
          </cell>
          <cell r="AP1349" t="str">
            <v>North</v>
          </cell>
          <cell r="AQ1349"/>
          <cell r="AR1349">
            <v>0</v>
          </cell>
          <cell r="AS1349">
            <v>0</v>
          </cell>
        </row>
        <row r="1350">
          <cell r="A1350">
            <v>12223</v>
          </cell>
          <cell r="B1350" t="str">
            <v>9202-9289 QUEBEC INC/ REMORQUE DE L'ISLE</v>
          </cell>
          <cell r="C1350" t="str">
            <v>M10004</v>
          </cell>
          <cell r="D1350" t="str">
            <v>NET 5, BT+</v>
          </cell>
          <cell r="E1350" t="str">
            <v>CF</v>
          </cell>
          <cell r="F1350" t="str">
            <v>Yes</v>
          </cell>
          <cell r="G1350" t="str">
            <v>GA</v>
          </cell>
          <cell r="H1350">
            <v>7</v>
          </cell>
          <cell r="I1350">
            <v>0.66500000000000004</v>
          </cell>
          <cell r="J1350" t="str">
            <v>Orphaned Acct</v>
          </cell>
          <cell r="K1350" t="str">
            <v>L'ISLE-VERTE</v>
          </cell>
          <cell r="L1350" t="str">
            <v>QC</v>
          </cell>
          <cell r="M1350" t="str">
            <v>800-577-8858</v>
          </cell>
          <cell r="N1350"/>
          <cell r="O1350">
            <v>1913</v>
          </cell>
          <cell r="P1350">
            <v>8225.9</v>
          </cell>
          <cell r="Q1350">
            <v>1613</v>
          </cell>
          <cell r="R1350">
            <v>6935.9</v>
          </cell>
          <cell r="S1350"/>
          <cell r="T1350">
            <v>0</v>
          </cell>
          <cell r="U1350">
            <v>1938</v>
          </cell>
          <cell r="V1350">
            <v>8333.4</v>
          </cell>
          <cell r="W1350">
            <v>1994</v>
          </cell>
          <cell r="X1350">
            <v>8574.1999999999989</v>
          </cell>
          <cell r="Y1350"/>
          <cell r="Z1350">
            <v>0</v>
          </cell>
          <cell r="AA1350"/>
          <cell r="AB1350" t="str">
            <v>n/a</v>
          </cell>
          <cell r="AC1350"/>
          <cell r="AD1350" t="str">
            <v>n/a</v>
          </cell>
          <cell r="AE1350"/>
          <cell r="AF1350"/>
          <cell r="AG1350"/>
          <cell r="AH1350"/>
          <cell r="AI1350"/>
          <cell r="AJ1350">
            <v>0</v>
          </cell>
          <cell r="AK1350" t="str">
            <v>3P</v>
          </cell>
          <cell r="AL1350">
            <v>213</v>
          </cell>
          <cell r="AM1350"/>
          <cell r="AN1350" t="str">
            <v>08 Inactive Dealer</v>
          </cell>
          <cell r="AO1350" t="str">
            <v>E.Canada</v>
          </cell>
          <cell r="AP1350" t="str">
            <v>North</v>
          </cell>
          <cell r="AQ1350"/>
          <cell r="AR1350">
            <v>0</v>
          </cell>
          <cell r="AS1350">
            <v>0</v>
          </cell>
        </row>
        <row r="1351">
          <cell r="A1351">
            <v>10043</v>
          </cell>
          <cell r="B1351" t="str">
            <v>ATTACHES CHATEAUGUAY, INC</v>
          </cell>
          <cell r="C1351" t="str">
            <v>M10033</v>
          </cell>
          <cell r="D1351" t="str">
            <v>NET 5, BT+</v>
          </cell>
          <cell r="E1351" t="str">
            <v>FP - Northpoint</v>
          </cell>
          <cell r="F1351" t="str">
            <v>Yes</v>
          </cell>
          <cell r="G1351" t="str">
            <v>GA</v>
          </cell>
          <cell r="H1351">
            <v>8</v>
          </cell>
          <cell r="I1351">
            <v>0.66500000000000004</v>
          </cell>
          <cell r="J1351" t="str">
            <v>Orphaned Acct</v>
          </cell>
          <cell r="K1351" t="str">
            <v>STE CATHERINE</v>
          </cell>
          <cell r="L1351" t="str">
            <v>QC</v>
          </cell>
          <cell r="M1351" t="str">
            <v>800-577-8858</v>
          </cell>
          <cell r="N1351"/>
          <cell r="O1351">
            <v>1629</v>
          </cell>
          <cell r="P1351">
            <v>7004.7</v>
          </cell>
          <cell r="Q1351">
            <v>1329</v>
          </cell>
          <cell r="R1351">
            <v>5714.7</v>
          </cell>
          <cell r="S1351"/>
          <cell r="T1351">
            <v>0</v>
          </cell>
          <cell r="U1351">
            <v>1653</v>
          </cell>
          <cell r="V1351">
            <v>7107.9</v>
          </cell>
          <cell r="W1351">
            <v>1709</v>
          </cell>
          <cell r="X1351">
            <v>7348.7</v>
          </cell>
          <cell r="Y1351"/>
          <cell r="Z1351">
            <v>0</v>
          </cell>
          <cell r="AA1351"/>
          <cell r="AB1351" t="str">
            <v>n/a</v>
          </cell>
          <cell r="AC1351"/>
          <cell r="AD1351" t="str">
            <v>n/a</v>
          </cell>
          <cell r="AE1351"/>
          <cell r="AF1351"/>
          <cell r="AG1351"/>
          <cell r="AH1351"/>
          <cell r="AI1351"/>
          <cell r="AJ1351">
            <v>0</v>
          </cell>
          <cell r="AK1351" t="str">
            <v>3P</v>
          </cell>
          <cell r="AL1351">
            <v>213</v>
          </cell>
          <cell r="AM1351"/>
          <cell r="AN1351" t="str">
            <v>01 Existing Dealer</v>
          </cell>
          <cell r="AO1351" t="str">
            <v>E.Canada</v>
          </cell>
          <cell r="AP1351" t="str">
            <v>North</v>
          </cell>
          <cell r="AQ1351"/>
          <cell r="AR1351">
            <v>0</v>
          </cell>
          <cell r="AS1351">
            <v>0</v>
          </cell>
        </row>
        <row r="1352">
          <cell r="A1352">
            <v>12426</v>
          </cell>
          <cell r="B1352" t="str">
            <v>LE MAGASIN DU FERMIER dba FARMER'S COUNTRY STORE</v>
          </cell>
          <cell r="C1352" t="str">
            <v>M10500</v>
          </cell>
          <cell r="D1352" t="str">
            <v>NET 5, BT+</v>
          </cell>
          <cell r="E1352" t="str">
            <v>CF</v>
          </cell>
          <cell r="F1352" t="str">
            <v>Yes</v>
          </cell>
          <cell r="G1352" t="str">
            <v>GA</v>
          </cell>
          <cell r="H1352">
            <v>7</v>
          </cell>
          <cell r="I1352">
            <v>0.68200000000000005</v>
          </cell>
          <cell r="J1352" t="str">
            <v>Orphaned Acct</v>
          </cell>
          <cell r="K1352" t="str">
            <v>LUSKVILLE</v>
          </cell>
          <cell r="L1352" t="str">
            <v>QC</v>
          </cell>
          <cell r="M1352" t="str">
            <v>800-577-8858</v>
          </cell>
          <cell r="N1352"/>
          <cell r="O1352">
            <v>1591</v>
          </cell>
          <cell r="P1352">
            <v>6841.2999999999993</v>
          </cell>
          <cell r="Q1352">
            <v>1291</v>
          </cell>
          <cell r="R1352">
            <v>5551.3</v>
          </cell>
          <cell r="S1352"/>
          <cell r="T1352">
            <v>0</v>
          </cell>
          <cell r="U1352">
            <v>1616</v>
          </cell>
          <cell r="V1352">
            <v>6948.7999999999993</v>
          </cell>
          <cell r="W1352">
            <v>1672</v>
          </cell>
          <cell r="X1352">
            <v>7189.5999999999995</v>
          </cell>
          <cell r="Y1352"/>
          <cell r="Z1352">
            <v>0</v>
          </cell>
          <cell r="AA1352"/>
          <cell r="AB1352" t="str">
            <v>n/a</v>
          </cell>
          <cell r="AC1352"/>
          <cell r="AD1352" t="str">
            <v>n/a</v>
          </cell>
          <cell r="AE1352"/>
          <cell r="AF1352"/>
          <cell r="AG1352"/>
          <cell r="AH1352"/>
          <cell r="AI1352"/>
          <cell r="AJ1352">
            <v>0</v>
          </cell>
          <cell r="AK1352" t="str">
            <v>3P</v>
          </cell>
          <cell r="AL1352">
            <v>213</v>
          </cell>
          <cell r="AM1352"/>
          <cell r="AN1352" t="str">
            <v>08 Inactive Dealer</v>
          </cell>
          <cell r="AO1352" t="str">
            <v>E.Canada</v>
          </cell>
          <cell r="AP1352" t="str">
            <v>North</v>
          </cell>
          <cell r="AQ1352"/>
          <cell r="AR1352">
            <v>0</v>
          </cell>
          <cell r="AS1352">
            <v>0</v>
          </cell>
        </row>
        <row r="1353">
          <cell r="A1353">
            <v>11978</v>
          </cell>
          <cell r="B1353" t="str">
            <v>OLYMPIQUE MOBILE INC.</v>
          </cell>
          <cell r="C1353"/>
          <cell r="D1353" t="str">
            <v>NET 5, BT+</v>
          </cell>
          <cell r="E1353" t="str">
            <v>FP - Wells Fargo</v>
          </cell>
          <cell r="F1353" t="str">
            <v>Yes</v>
          </cell>
          <cell r="G1353" t="str">
            <v>GA</v>
          </cell>
          <cell r="H1353">
            <v>8</v>
          </cell>
          <cell r="I1353">
            <v>0.66500000000000004</v>
          </cell>
          <cell r="J1353" t="str">
            <v>House</v>
          </cell>
          <cell r="K1353" t="str">
            <v>MIRABEL</v>
          </cell>
          <cell r="L1353" t="str">
            <v>QC</v>
          </cell>
          <cell r="M1353" t="str">
            <v>800-577-8858</v>
          </cell>
          <cell r="N1353"/>
          <cell r="O1353">
            <v>1670</v>
          </cell>
          <cell r="P1353">
            <v>7181</v>
          </cell>
          <cell r="Q1353">
            <v>1350</v>
          </cell>
          <cell r="R1353">
            <v>5805</v>
          </cell>
          <cell r="S1353"/>
          <cell r="T1353">
            <v>0</v>
          </cell>
          <cell r="U1353">
            <v>1690</v>
          </cell>
          <cell r="V1353">
            <v>7267</v>
          </cell>
          <cell r="W1353">
            <v>1730</v>
          </cell>
          <cell r="X1353">
            <v>7439</v>
          </cell>
          <cell r="Y1353"/>
          <cell r="Z1353">
            <v>0</v>
          </cell>
          <cell r="AA1353"/>
          <cell r="AB1353" t="str">
            <v>n/a</v>
          </cell>
          <cell r="AC1353"/>
          <cell r="AD1353" t="str">
            <v>n/a</v>
          </cell>
          <cell r="AE1353"/>
          <cell r="AF1353"/>
          <cell r="AG1353"/>
          <cell r="AH1353"/>
          <cell r="AI1353"/>
          <cell r="AJ1353">
            <v>0</v>
          </cell>
          <cell r="AK1353" t="str">
            <v>3P</v>
          </cell>
          <cell r="AL1353">
            <v>400</v>
          </cell>
          <cell r="AM1353"/>
          <cell r="AN1353" t="str">
            <v>08 Inactive Dealer</v>
          </cell>
          <cell r="AO1353" t="str">
            <v>E.Canada</v>
          </cell>
          <cell r="AP1353" t="str">
            <v>North</v>
          </cell>
          <cell r="AQ1353"/>
          <cell r="AR1353">
            <v>0</v>
          </cell>
          <cell r="AS1353">
            <v>0</v>
          </cell>
        </row>
        <row r="1354">
          <cell r="AO1354"/>
          <cell r="AQ1354"/>
          <cell r="AR1354">
            <v>0</v>
          </cell>
          <cell r="AS1354">
            <v>0</v>
          </cell>
        </row>
        <row r="1355">
          <cell r="AO1355"/>
          <cell r="AQ1355"/>
          <cell r="AR1355">
            <v>0</v>
          </cell>
          <cell r="AS1355">
            <v>0</v>
          </cell>
        </row>
        <row r="1356">
          <cell r="O1356">
            <v>4.3</v>
          </cell>
          <cell r="P1356">
            <v>4.3</v>
          </cell>
          <cell r="Q1356"/>
          <cell r="R1356">
            <v>4.3</v>
          </cell>
          <cell r="S1356"/>
          <cell r="T1356">
            <v>4.3</v>
          </cell>
          <cell r="V1356">
            <v>4.3</v>
          </cell>
          <cell r="X1356">
            <v>4.3</v>
          </cell>
          <cell r="Z1356">
            <v>4.3</v>
          </cell>
          <cell r="AB1356">
            <v>4.3</v>
          </cell>
          <cell r="AD1356">
            <v>4.3</v>
          </cell>
          <cell r="AE1356" t="str">
            <v>Desired Freight % per Plant</v>
          </cell>
          <cell r="AF1356"/>
          <cell r="AG1356"/>
          <cell r="AH1356"/>
          <cell r="AI1356"/>
          <cell r="AJ1356" t="str">
            <v>Disc %</v>
          </cell>
          <cell r="AK1356" t="str">
            <v>Dlr Tier</v>
          </cell>
          <cell r="AO1356"/>
          <cell r="AQ1356"/>
          <cell r="AR1356">
            <v>0</v>
          </cell>
          <cell r="AS1356">
            <v>0</v>
          </cell>
        </row>
        <row r="1357">
          <cell r="A1357"/>
          <cell r="B1357" t="str">
            <v>CANADA DEALERS - ALL OTHERS</v>
          </cell>
          <cell r="C1357"/>
          <cell r="D1357">
            <v>0.65</v>
          </cell>
          <cell r="E1357" t="str">
            <v>semi frght</v>
          </cell>
          <cell r="F1357">
            <v>3.1999999999999997</v>
          </cell>
          <cell r="G1357">
            <v>3.1999999999999997</v>
          </cell>
          <cell r="H1357"/>
          <cell r="I1357">
            <v>3.1999999999999997</v>
          </cell>
          <cell r="J1357">
            <v>3.1999999999999997</v>
          </cell>
          <cell r="K1357" t="str">
            <v>CITY</v>
          </cell>
          <cell r="L1357" t="str">
            <v>ST</v>
          </cell>
          <cell r="M1357" t="str">
            <v>Fax</v>
          </cell>
          <cell r="N1357"/>
          <cell r="O1357" t="str">
            <v>MP</v>
          </cell>
          <cell r="P1357" t="str">
            <v>MP $</v>
          </cell>
          <cell r="Q1357" t="str">
            <v>GA</v>
          </cell>
          <cell r="R1357" t="str">
            <v>GA $</v>
          </cell>
          <cell r="S1357" t="str">
            <v>ID</v>
          </cell>
          <cell r="T1357" t="str">
            <v>ID $</v>
          </cell>
          <cell r="U1357" t="str">
            <v>OK</v>
          </cell>
          <cell r="V1357" t="str">
            <v>OK $</v>
          </cell>
          <cell r="W1357" t="str">
            <v>WP</v>
          </cell>
          <cell r="X1357" t="str">
            <v>WP $</v>
          </cell>
          <cell r="Y1357" t="str">
            <v>NE</v>
          </cell>
          <cell r="Z1357" t="str">
            <v>NE $</v>
          </cell>
          <cell r="AA1357" t="str">
            <v>OH</v>
          </cell>
          <cell r="AB1357" t="str">
            <v>NE $</v>
          </cell>
          <cell r="AC1357" t="str">
            <v>OH</v>
          </cell>
          <cell r="AD1357" t="str">
            <v>NE $</v>
          </cell>
          <cell r="AE1357" t="str">
            <v>MP</v>
          </cell>
          <cell r="AF1357" t="str">
            <v>GA</v>
          </cell>
          <cell r="AG1357" t="str">
            <v>ID</v>
          </cell>
          <cell r="AH1357" t="str">
            <v>OK</v>
          </cell>
          <cell r="AI1357" t="str">
            <v>Wills Point</v>
          </cell>
          <cell r="AJ1357"/>
          <cell r="AK1357"/>
          <cell r="AL1357" t="str">
            <v>DSR #</v>
          </cell>
          <cell r="AM1357" t="str">
            <v>BTA</v>
          </cell>
          <cell r="AN1357"/>
          <cell r="AO1357"/>
          <cell r="AP1357"/>
          <cell r="AQ1357"/>
          <cell r="AR1357">
            <v>0</v>
          </cell>
          <cell r="AS1357">
            <v>0</v>
          </cell>
        </row>
        <row r="1358">
          <cell r="A1358">
            <v>12863</v>
          </cell>
          <cell r="B1358" t="str">
            <v>918105 AB LTD dba RIVERSIDE TRAILER SALES</v>
          </cell>
          <cell r="C1358" t="str">
            <v>M10003</v>
          </cell>
          <cell r="D1358" t="str">
            <v>NET 5, BT+</v>
          </cell>
          <cell r="E1358" t="str">
            <v>CF</v>
          </cell>
          <cell r="F1358" t="str">
            <v>Yes</v>
          </cell>
          <cell r="G1358" t="str">
            <v>ID</v>
          </cell>
          <cell r="H1358">
            <v>7</v>
          </cell>
          <cell r="I1358">
            <v>0.7</v>
          </cell>
          <cell r="J1358" t="str">
            <v>Orphaned Acct</v>
          </cell>
          <cell r="K1358" t="str">
            <v>LA CRETE</v>
          </cell>
          <cell r="L1358" t="str">
            <v>AB</v>
          </cell>
          <cell r="M1358" t="str">
            <v>208-459-0106</v>
          </cell>
          <cell r="N1358"/>
          <cell r="O1358"/>
          <cell r="P1358">
            <v>0</v>
          </cell>
          <cell r="Q1358"/>
          <cell r="R1358">
            <v>0</v>
          </cell>
          <cell r="S1358"/>
          <cell r="T1358">
            <v>0</v>
          </cell>
          <cell r="U1358"/>
          <cell r="V1358">
            <v>0</v>
          </cell>
          <cell r="W1358"/>
          <cell r="X1358">
            <v>0</v>
          </cell>
          <cell r="Y1358"/>
          <cell r="Z1358">
            <v>0</v>
          </cell>
          <cell r="AA1358"/>
          <cell r="AB1358" t="str">
            <v>n/a</v>
          </cell>
          <cell r="AC1358"/>
          <cell r="AD1358" t="str">
            <v>n/a</v>
          </cell>
          <cell r="AE1358"/>
          <cell r="AF1358"/>
          <cell r="AG1358"/>
          <cell r="AH1358"/>
          <cell r="AI1358"/>
          <cell r="AJ1358">
            <v>0</v>
          </cell>
          <cell r="AK1358" t="str">
            <v>3P</v>
          </cell>
          <cell r="AL1358">
            <v>213</v>
          </cell>
          <cell r="AM1358"/>
          <cell r="AN1358" t="str">
            <v>08 Inactive Dealer</v>
          </cell>
          <cell r="AO1358" t="str">
            <v>W.Canada</v>
          </cell>
          <cell r="AP1358" t="str">
            <v>West</v>
          </cell>
          <cell r="AQ1358"/>
          <cell r="AR1358">
            <v>0</v>
          </cell>
          <cell r="AS1358">
            <v>0</v>
          </cell>
        </row>
        <row r="1359">
          <cell r="A1359">
            <v>10661</v>
          </cell>
          <cell r="B1359" t="str">
            <v>ALLAN DALE INDUSTRIES, LTD.</v>
          </cell>
          <cell r="C1359" t="str">
            <v>M10023</v>
          </cell>
          <cell r="D1359" t="str">
            <v>NET 5, BT+</v>
          </cell>
          <cell r="E1359" t="str">
            <v>CF</v>
          </cell>
          <cell r="F1359" t="str">
            <v>Yes</v>
          </cell>
          <cell r="G1359" t="str">
            <v>ID</v>
          </cell>
          <cell r="H1359">
            <v>7</v>
          </cell>
          <cell r="I1359">
            <v>0.7</v>
          </cell>
          <cell r="J1359" t="str">
            <v>Nate Erickson</v>
          </cell>
          <cell r="K1359" t="str">
            <v>RED DEER</v>
          </cell>
          <cell r="L1359" t="str">
            <v>AB</v>
          </cell>
          <cell r="M1359" t="str">
            <v>208-459-0106</v>
          </cell>
          <cell r="N1359"/>
          <cell r="O1359">
            <v>2095</v>
          </cell>
          <cell r="P1359">
            <v>9008.5</v>
          </cell>
          <cell r="Q1359">
            <v>2651</v>
          </cell>
          <cell r="R1359">
            <v>11399.3</v>
          </cell>
          <cell r="S1359">
            <v>910</v>
          </cell>
          <cell r="T1359">
            <v>3913</v>
          </cell>
          <cell r="U1359">
            <v>1965</v>
          </cell>
          <cell r="V1359">
            <v>8449.5</v>
          </cell>
          <cell r="W1359">
            <v>2095</v>
          </cell>
          <cell r="X1359">
            <v>9008.5</v>
          </cell>
          <cell r="Y1359"/>
          <cell r="Z1359">
            <v>0</v>
          </cell>
          <cell r="AA1359"/>
          <cell r="AB1359" t="str">
            <v>n/a</v>
          </cell>
          <cell r="AC1359"/>
          <cell r="AD1359" t="str">
            <v>n/a</v>
          </cell>
          <cell r="AE1359"/>
          <cell r="AF1359"/>
          <cell r="AG1359"/>
          <cell r="AH1359"/>
          <cell r="AI1359"/>
          <cell r="AJ1359">
            <v>0</v>
          </cell>
          <cell r="AK1359" t="str">
            <v>3P</v>
          </cell>
          <cell r="AL1359">
            <v>187</v>
          </cell>
          <cell r="AM1359"/>
          <cell r="AN1359" t="str">
            <v>01 Existing Dealer</v>
          </cell>
          <cell r="AO1359" t="str">
            <v>W.Canada</v>
          </cell>
          <cell r="AP1359" t="str">
            <v>West</v>
          </cell>
          <cell r="AQ1359"/>
          <cell r="AR1359">
            <v>0</v>
          </cell>
          <cell r="AS1359">
            <v>0</v>
          </cell>
        </row>
        <row r="1360">
          <cell r="A1360">
            <v>13107</v>
          </cell>
          <cell r="B1360" t="str">
            <v>ALLAN DALE INDUSTRIES, LTD.</v>
          </cell>
          <cell r="C1360" t="str">
            <v>M10023</v>
          </cell>
          <cell r="D1360" t="str">
            <v>NET 5, BT+</v>
          </cell>
          <cell r="E1360" t="str">
            <v>FP - Wells Fargo</v>
          </cell>
          <cell r="F1360" t="str">
            <v>Yes</v>
          </cell>
          <cell r="G1360" t="str">
            <v>ID</v>
          </cell>
          <cell r="H1360">
            <v>8</v>
          </cell>
          <cell r="I1360">
            <v>0.7</v>
          </cell>
          <cell r="J1360" t="str">
            <v>Nate Erickson</v>
          </cell>
          <cell r="K1360" t="str">
            <v>RED DEER</v>
          </cell>
          <cell r="L1360" t="str">
            <v>AB</v>
          </cell>
          <cell r="M1360" t="str">
            <v>208-459-0106</v>
          </cell>
          <cell r="N1360"/>
          <cell r="O1360">
            <v>2095</v>
          </cell>
          <cell r="P1360">
            <v>9008.5</v>
          </cell>
          <cell r="Q1360">
            <v>2651</v>
          </cell>
          <cell r="R1360">
            <v>11399.3</v>
          </cell>
          <cell r="S1360">
            <v>910</v>
          </cell>
          <cell r="T1360">
            <v>3913</v>
          </cell>
          <cell r="U1360">
            <v>1965</v>
          </cell>
          <cell r="V1360">
            <v>8449.5</v>
          </cell>
          <cell r="W1360">
            <v>2095</v>
          </cell>
          <cell r="X1360">
            <v>9008.5</v>
          </cell>
          <cell r="Y1360"/>
          <cell r="Z1360">
            <v>0</v>
          </cell>
          <cell r="AA1360"/>
          <cell r="AB1360" t="str">
            <v>n/a</v>
          </cell>
          <cell r="AC1360"/>
          <cell r="AD1360" t="str">
            <v>n/a</v>
          </cell>
          <cell r="AE1360"/>
          <cell r="AF1360"/>
          <cell r="AG1360"/>
          <cell r="AH1360"/>
          <cell r="AI1360"/>
          <cell r="AJ1360">
            <v>0</v>
          </cell>
          <cell r="AK1360" t="str">
            <v>3P</v>
          </cell>
          <cell r="AL1360">
            <v>187</v>
          </cell>
          <cell r="AM1360"/>
          <cell r="AN1360" t="str">
            <v>01 Existing Dealer</v>
          </cell>
          <cell r="AO1360" t="str">
            <v>W.Canada</v>
          </cell>
          <cell r="AP1360" t="str">
            <v>West</v>
          </cell>
          <cell r="AQ1360"/>
          <cell r="AR1360">
            <v>0</v>
          </cell>
          <cell r="AS1360">
            <v>0</v>
          </cell>
        </row>
        <row r="1361">
          <cell r="A1361">
            <v>11911</v>
          </cell>
          <cell r="B1361" t="str">
            <v>FACTORY OUTLET TRAILERS, INC</v>
          </cell>
          <cell r="C1361" t="str">
            <v>M10192</v>
          </cell>
          <cell r="D1361" t="str">
            <v>NET 5, BT+</v>
          </cell>
          <cell r="E1361" t="str">
            <v>F3 - Northpoint</v>
          </cell>
          <cell r="F1361" t="str">
            <v>Yes</v>
          </cell>
          <cell r="G1361" t="str">
            <v>ID</v>
          </cell>
          <cell r="H1361">
            <v>8</v>
          </cell>
          <cell r="I1361">
            <v>0.7</v>
          </cell>
          <cell r="J1361" t="str">
            <v>Nate Erickson</v>
          </cell>
          <cell r="K1361" t="str">
            <v>HIGH RIVER</v>
          </cell>
          <cell r="L1361" t="str">
            <v>AB</v>
          </cell>
          <cell r="M1361" t="str">
            <v>208-459-0106</v>
          </cell>
          <cell r="N1361"/>
          <cell r="O1361">
            <v>1926</v>
          </cell>
          <cell r="P1361">
            <v>8281.7999999999993</v>
          </cell>
          <cell r="Q1361"/>
          <cell r="R1361">
            <v>0</v>
          </cell>
          <cell r="S1361">
            <v>811</v>
          </cell>
          <cell r="T1361">
            <v>3487.2999999999997</v>
          </cell>
          <cell r="U1361">
            <v>1843</v>
          </cell>
          <cell r="V1361">
            <v>7924.9</v>
          </cell>
          <cell r="W1361">
            <v>1878</v>
          </cell>
          <cell r="X1361">
            <v>8075.4</v>
          </cell>
          <cell r="Y1361"/>
          <cell r="Z1361">
            <v>0</v>
          </cell>
          <cell r="AA1361"/>
          <cell r="AB1361" t="str">
            <v>n/a</v>
          </cell>
          <cell r="AC1361"/>
          <cell r="AD1361" t="str">
            <v>n/a</v>
          </cell>
          <cell r="AE1361"/>
          <cell r="AF1361"/>
          <cell r="AG1361"/>
          <cell r="AH1361"/>
          <cell r="AI1361"/>
          <cell r="AJ1361">
            <v>0</v>
          </cell>
          <cell r="AK1361" t="str">
            <v>3P</v>
          </cell>
          <cell r="AL1361">
            <v>187</v>
          </cell>
          <cell r="AM1361"/>
          <cell r="AN1361" t="str">
            <v>01 Existing Dealer</v>
          </cell>
          <cell r="AO1361" t="str">
            <v>W.Canada</v>
          </cell>
          <cell r="AP1361" t="str">
            <v>West</v>
          </cell>
          <cell r="AQ1361"/>
          <cell r="AR1361">
            <v>0</v>
          </cell>
          <cell r="AS1361">
            <v>0</v>
          </cell>
        </row>
        <row r="1362">
          <cell r="A1362">
            <v>11927</v>
          </cell>
          <cell r="B1362" t="str">
            <v>FACTORY OUTLET TRAILERS, INC</v>
          </cell>
          <cell r="C1362" t="str">
            <v>M10192</v>
          </cell>
          <cell r="D1362" t="str">
            <v>NET 5, BT+</v>
          </cell>
          <cell r="E1362" t="str">
            <v>C6</v>
          </cell>
          <cell r="F1362" t="str">
            <v>Yes</v>
          </cell>
          <cell r="G1362" t="str">
            <v>ID</v>
          </cell>
          <cell r="H1362">
            <v>9</v>
          </cell>
          <cell r="I1362">
            <v>0.7</v>
          </cell>
          <cell r="J1362" t="str">
            <v>Orphaned Acct</v>
          </cell>
          <cell r="K1362" t="str">
            <v>HIGH RIVER</v>
          </cell>
          <cell r="L1362" t="str">
            <v>AB</v>
          </cell>
          <cell r="M1362" t="str">
            <v>208-459-0106</v>
          </cell>
          <cell r="N1362"/>
          <cell r="O1362">
            <v>1926</v>
          </cell>
          <cell r="P1362">
            <v>8281.7999999999993</v>
          </cell>
          <cell r="Q1362"/>
          <cell r="R1362">
            <v>0</v>
          </cell>
          <cell r="S1362">
            <v>811</v>
          </cell>
          <cell r="T1362">
            <v>3487.2999999999997</v>
          </cell>
          <cell r="U1362">
            <v>1843</v>
          </cell>
          <cell r="V1362">
            <v>7924.9</v>
          </cell>
          <cell r="W1362">
            <v>1878</v>
          </cell>
          <cell r="X1362">
            <v>8075.4</v>
          </cell>
          <cell r="Y1362"/>
          <cell r="Z1362">
            <v>0</v>
          </cell>
          <cell r="AA1362"/>
          <cell r="AB1362" t="str">
            <v>n/a</v>
          </cell>
          <cell r="AC1362"/>
          <cell r="AD1362" t="str">
            <v>n/a</v>
          </cell>
          <cell r="AE1362"/>
          <cell r="AF1362"/>
          <cell r="AG1362"/>
          <cell r="AH1362"/>
          <cell r="AI1362"/>
          <cell r="AJ1362">
            <v>0</v>
          </cell>
          <cell r="AK1362" t="str">
            <v>3P</v>
          </cell>
          <cell r="AL1362">
            <v>213</v>
          </cell>
          <cell r="AM1362"/>
          <cell r="AN1362" t="str">
            <v>01 Existing Dealer</v>
          </cell>
          <cell r="AO1362" t="str">
            <v>W.Canada</v>
          </cell>
          <cell r="AP1362" t="str">
            <v>West</v>
          </cell>
          <cell r="AQ1362"/>
          <cell r="AR1362">
            <v>0</v>
          </cell>
          <cell r="AS1362">
            <v>0</v>
          </cell>
        </row>
        <row r="1363">
          <cell r="A1363">
            <v>12926</v>
          </cell>
          <cell r="B1363" t="str">
            <v>QUAPP EQUIPMENT LTD</v>
          </cell>
          <cell r="C1363" t="str">
            <v>M10338</v>
          </cell>
          <cell r="D1363" t="str">
            <v>NET 5, BT+</v>
          </cell>
          <cell r="E1363" t="str">
            <v>FP - Wells Fargo</v>
          </cell>
          <cell r="F1363" t="str">
            <v>Yes</v>
          </cell>
          <cell r="G1363" t="str">
            <v>ID</v>
          </cell>
          <cell r="H1363">
            <v>8</v>
          </cell>
          <cell r="I1363">
            <v>0.7</v>
          </cell>
          <cell r="J1363" t="str">
            <v>Orphaned Acct</v>
          </cell>
          <cell r="K1363" t="str">
            <v xml:space="preserve">GRANDE PRAIRIE </v>
          </cell>
          <cell r="L1363" t="str">
            <v>AB</v>
          </cell>
          <cell r="M1363" t="str">
            <v>208-459-0106</v>
          </cell>
          <cell r="N1363"/>
          <cell r="O1363">
            <v>2426</v>
          </cell>
          <cell r="P1363">
            <v>10431.799999999999</v>
          </cell>
          <cell r="Q1363"/>
          <cell r="R1363">
            <v>0</v>
          </cell>
          <cell r="S1363">
            <v>1280</v>
          </cell>
          <cell r="T1363">
            <v>5504</v>
          </cell>
          <cell r="U1363">
            <v>2342</v>
          </cell>
          <cell r="V1363">
            <v>10070.6</v>
          </cell>
          <cell r="W1363">
            <v>2378</v>
          </cell>
          <cell r="X1363">
            <v>10225.4</v>
          </cell>
          <cell r="Y1363"/>
          <cell r="Z1363">
            <v>0</v>
          </cell>
          <cell r="AA1363"/>
          <cell r="AB1363" t="str">
            <v>n/a</v>
          </cell>
          <cell r="AC1363"/>
          <cell r="AD1363" t="str">
            <v>n/a</v>
          </cell>
          <cell r="AE1363"/>
          <cell r="AF1363"/>
          <cell r="AG1363"/>
          <cell r="AH1363"/>
          <cell r="AI1363"/>
          <cell r="AJ1363">
            <v>0</v>
          </cell>
          <cell r="AK1363" t="str">
            <v>3P</v>
          </cell>
          <cell r="AL1363">
            <v>213</v>
          </cell>
          <cell r="AM1363"/>
          <cell r="AN1363" t="str">
            <v>08 Inactive Dealer</v>
          </cell>
          <cell r="AO1363" t="str">
            <v>W.Canada</v>
          </cell>
          <cell r="AP1363" t="str">
            <v>West</v>
          </cell>
          <cell r="AQ1363"/>
          <cell r="AR1363">
            <v>0</v>
          </cell>
          <cell r="AS1363">
            <v>0</v>
          </cell>
        </row>
        <row r="1364">
          <cell r="A1364">
            <v>12729</v>
          </cell>
          <cell r="B1364" t="str">
            <v>WHOLESALE TRAILERS OF ALBERTA</v>
          </cell>
          <cell r="C1364" t="str">
            <v>M10454</v>
          </cell>
          <cell r="D1364" t="str">
            <v>NET 5, BT+</v>
          </cell>
          <cell r="E1364" t="str">
            <v>FP - Wells Fargo</v>
          </cell>
          <cell r="F1364" t="str">
            <v>Yes</v>
          </cell>
          <cell r="G1364" t="str">
            <v>ID</v>
          </cell>
          <cell r="H1364">
            <v>8</v>
          </cell>
          <cell r="I1364">
            <v>0.7</v>
          </cell>
          <cell r="J1364" t="str">
            <v>Orphaned Acct</v>
          </cell>
          <cell r="K1364" t="str">
            <v>NISKU</v>
          </cell>
          <cell r="L1364" t="str">
            <v>AB</v>
          </cell>
          <cell r="M1364" t="str">
            <v>208-459-0106</v>
          </cell>
          <cell r="N1364"/>
          <cell r="O1364">
            <v>2130</v>
          </cell>
          <cell r="P1364">
            <v>9159</v>
          </cell>
          <cell r="Q1364"/>
          <cell r="R1364">
            <v>0</v>
          </cell>
          <cell r="S1364">
            <v>991</v>
          </cell>
          <cell r="T1364">
            <v>4261.3</v>
          </cell>
          <cell r="U1364">
            <v>2047</v>
          </cell>
          <cell r="V1364">
            <v>8802.1</v>
          </cell>
          <cell r="W1364">
            <v>2082</v>
          </cell>
          <cell r="X1364">
            <v>8952.6</v>
          </cell>
          <cell r="Y1364"/>
          <cell r="Z1364">
            <v>0</v>
          </cell>
          <cell r="AA1364"/>
          <cell r="AB1364" t="str">
            <v>n/a</v>
          </cell>
          <cell r="AC1364"/>
          <cell r="AD1364" t="str">
            <v>n/a</v>
          </cell>
          <cell r="AE1364"/>
          <cell r="AF1364"/>
          <cell r="AG1364"/>
          <cell r="AH1364"/>
          <cell r="AI1364"/>
          <cell r="AJ1364">
            <v>0</v>
          </cell>
          <cell r="AK1364" t="str">
            <v>3P</v>
          </cell>
          <cell r="AL1364">
            <v>213</v>
          </cell>
          <cell r="AM1364"/>
          <cell r="AN1364" t="str">
            <v>01 Existing Dealer</v>
          </cell>
          <cell r="AO1364" t="str">
            <v>W.Canada</v>
          </cell>
          <cell r="AP1364" t="str">
            <v>West</v>
          </cell>
          <cell r="AQ1364"/>
          <cell r="AR1364">
            <v>0</v>
          </cell>
          <cell r="AS1364">
            <v>0</v>
          </cell>
        </row>
        <row r="1365">
          <cell r="A1365">
            <v>12290</v>
          </cell>
          <cell r="B1365" t="str">
            <v>B.C CARGO TRAILERS</v>
          </cell>
          <cell r="C1365" t="str">
            <v>M10041</v>
          </cell>
          <cell r="D1365" t="str">
            <v>NET 5, BT+</v>
          </cell>
          <cell r="E1365" t="str">
            <v>FP - Wells Fargo</v>
          </cell>
          <cell r="F1365" t="str">
            <v>Yes</v>
          </cell>
          <cell r="G1365" t="str">
            <v>ID</v>
          </cell>
          <cell r="H1365">
            <v>8</v>
          </cell>
          <cell r="I1365">
            <v>0.7</v>
          </cell>
          <cell r="J1365" t="str">
            <v>Nate Erickson</v>
          </cell>
          <cell r="K1365" t="str">
            <v>ARMSTRONG</v>
          </cell>
          <cell r="L1365" t="str">
            <v>BC</v>
          </cell>
          <cell r="M1365" t="str">
            <v>208-459-0106</v>
          </cell>
          <cell r="N1365"/>
          <cell r="O1365">
            <v>2254</v>
          </cell>
          <cell r="P1365">
            <v>9692.1999999999989</v>
          </cell>
          <cell r="Q1365"/>
          <cell r="R1365">
            <v>0</v>
          </cell>
          <cell r="S1365">
            <v>624</v>
          </cell>
          <cell r="T1365">
            <v>2683.2</v>
          </cell>
          <cell r="U1365">
            <v>2170</v>
          </cell>
          <cell r="V1365">
            <v>9331</v>
          </cell>
          <cell r="W1365">
            <v>2206</v>
          </cell>
          <cell r="X1365">
            <v>9485.7999999999993</v>
          </cell>
          <cell r="Y1365"/>
          <cell r="Z1365">
            <v>0</v>
          </cell>
          <cell r="AA1365"/>
          <cell r="AB1365" t="str">
            <v>n/a</v>
          </cell>
          <cell r="AC1365"/>
          <cell r="AD1365" t="str">
            <v>n/a</v>
          </cell>
          <cell r="AE1365"/>
          <cell r="AF1365"/>
          <cell r="AG1365"/>
          <cell r="AH1365"/>
          <cell r="AI1365"/>
          <cell r="AJ1365">
            <v>0</v>
          </cell>
          <cell r="AK1365" t="str">
            <v>3P</v>
          </cell>
          <cell r="AL1365">
            <v>187</v>
          </cell>
          <cell r="AM1365"/>
          <cell r="AN1365" t="str">
            <v>01 Existing Dealer</v>
          </cell>
          <cell r="AO1365" t="str">
            <v>W.Canada</v>
          </cell>
          <cell r="AP1365" t="str">
            <v>West</v>
          </cell>
          <cell r="AQ1365"/>
          <cell r="AR1365">
            <v>0</v>
          </cell>
          <cell r="AS1365">
            <v>0</v>
          </cell>
        </row>
        <row r="1366">
          <cell r="A1366">
            <v>12819</v>
          </cell>
          <cell r="B1366" t="str">
            <v>C &amp; V SALES</v>
          </cell>
          <cell r="C1366" t="str">
            <v>M10125</v>
          </cell>
          <cell r="D1366" t="str">
            <v>NET 5, BT+</v>
          </cell>
          <cell r="E1366" t="str">
            <v>FP - Wells Fargo</v>
          </cell>
          <cell r="F1366" t="str">
            <v>Yes</v>
          </cell>
          <cell r="G1366" t="str">
            <v>ID</v>
          </cell>
          <cell r="H1366">
            <v>8</v>
          </cell>
          <cell r="I1366">
            <v>0.7</v>
          </cell>
          <cell r="J1366" t="str">
            <v>Orphaned Acct</v>
          </cell>
          <cell r="K1366" t="str">
            <v>FORT ST. JOHN</v>
          </cell>
          <cell r="L1366" t="str">
            <v>BC</v>
          </cell>
          <cell r="M1366" t="str">
            <v>208-459-0106</v>
          </cell>
          <cell r="N1366"/>
          <cell r="O1366">
            <v>2570</v>
          </cell>
          <cell r="P1366">
            <v>11051</v>
          </cell>
          <cell r="Q1366"/>
          <cell r="R1366">
            <v>0</v>
          </cell>
          <cell r="S1366">
            <v>1289</v>
          </cell>
          <cell r="T1366">
            <v>5542.7</v>
          </cell>
          <cell r="U1366"/>
          <cell r="V1366">
            <v>0</v>
          </cell>
          <cell r="W1366"/>
          <cell r="X1366">
            <v>0</v>
          </cell>
          <cell r="Y1366"/>
          <cell r="Z1366">
            <v>0</v>
          </cell>
          <cell r="AA1366"/>
          <cell r="AB1366" t="str">
            <v>n/a</v>
          </cell>
          <cell r="AC1366"/>
          <cell r="AD1366" t="str">
            <v>n/a</v>
          </cell>
          <cell r="AE1366"/>
          <cell r="AF1366"/>
          <cell r="AG1366"/>
          <cell r="AH1366"/>
          <cell r="AI1366"/>
          <cell r="AJ1366">
            <v>0</v>
          </cell>
          <cell r="AK1366" t="str">
            <v>3P</v>
          </cell>
          <cell r="AL1366">
            <v>213</v>
          </cell>
          <cell r="AM1366"/>
          <cell r="AN1366" t="str">
            <v>08 Inactive Dealer</v>
          </cell>
          <cell r="AO1366" t="str">
            <v>W.Canada</v>
          </cell>
          <cell r="AP1366" t="str">
            <v>West</v>
          </cell>
          <cell r="AQ1366"/>
          <cell r="AR1366">
            <v>0</v>
          </cell>
          <cell r="AS1366">
            <v>0</v>
          </cell>
        </row>
        <row r="1367">
          <cell r="A1367">
            <v>11569</v>
          </cell>
          <cell r="B1367" t="str">
            <v>CRESTON AUTO &amp; RV</v>
          </cell>
          <cell r="C1367" t="str">
            <v>M10167</v>
          </cell>
          <cell r="D1367" t="str">
            <v>NET 5, BT+</v>
          </cell>
          <cell r="E1367" t="str">
            <v>CO</v>
          </cell>
          <cell r="F1367" t="str">
            <v>Yes</v>
          </cell>
          <cell r="G1367" t="str">
            <v>ID</v>
          </cell>
          <cell r="H1367">
            <v>7</v>
          </cell>
          <cell r="I1367">
            <v>0.7</v>
          </cell>
          <cell r="J1367" t="str">
            <v>Orphaned Acct</v>
          </cell>
          <cell r="K1367" t="str">
            <v>CRESTON</v>
          </cell>
          <cell r="L1367" t="str">
            <v>BC</v>
          </cell>
          <cell r="M1367" t="str">
            <v>208-459-0106</v>
          </cell>
          <cell r="N1367"/>
          <cell r="O1367">
            <v>2044</v>
          </cell>
          <cell r="P1367">
            <v>8789.1999999999989</v>
          </cell>
          <cell r="Q1367"/>
          <cell r="R1367">
            <v>0</v>
          </cell>
          <cell r="S1367">
            <v>544</v>
          </cell>
          <cell r="T1367">
            <v>2339.1999999999998</v>
          </cell>
          <cell r="U1367"/>
          <cell r="V1367">
            <v>0</v>
          </cell>
          <cell r="W1367"/>
          <cell r="X1367">
            <v>0</v>
          </cell>
          <cell r="Y1367"/>
          <cell r="Z1367">
            <v>0</v>
          </cell>
          <cell r="AA1367"/>
          <cell r="AB1367" t="str">
            <v>n/a</v>
          </cell>
          <cell r="AC1367"/>
          <cell r="AD1367" t="str">
            <v>n/a</v>
          </cell>
          <cell r="AE1367"/>
          <cell r="AF1367"/>
          <cell r="AG1367"/>
          <cell r="AH1367"/>
          <cell r="AI1367"/>
          <cell r="AJ1367">
            <v>0</v>
          </cell>
          <cell r="AK1367" t="str">
            <v>3P</v>
          </cell>
          <cell r="AL1367">
            <v>213</v>
          </cell>
          <cell r="AM1367"/>
          <cell r="AN1367" t="str">
            <v>08 Inactive Dealer</v>
          </cell>
          <cell r="AO1367" t="str">
            <v>W.Canada</v>
          </cell>
          <cell r="AP1367" t="str">
            <v>West</v>
          </cell>
          <cell r="AQ1367"/>
          <cell r="AR1367">
            <v>0</v>
          </cell>
          <cell r="AS1367">
            <v>0</v>
          </cell>
        </row>
        <row r="1368">
          <cell r="A1368">
            <v>13082</v>
          </cell>
          <cell r="B1368" t="str">
            <v>DIAMOND WEST TRAILER SALES LTD</v>
          </cell>
          <cell r="C1368" t="str">
            <v>M10969</v>
          </cell>
          <cell r="D1368" t="str">
            <v>NET 5, BT+</v>
          </cell>
          <cell r="E1368" t="str">
            <v>FP - Wells Fargo</v>
          </cell>
          <cell r="F1368" t="str">
            <v>Yes</v>
          </cell>
          <cell r="G1368" t="str">
            <v>ID</v>
          </cell>
          <cell r="H1368">
            <v>8</v>
          </cell>
          <cell r="I1368">
            <v>0.7</v>
          </cell>
          <cell r="J1368" t="str">
            <v>Orphaned Acct</v>
          </cell>
          <cell r="K1368" t="str">
            <v>CRANBROOK</v>
          </cell>
          <cell r="L1368" t="str">
            <v>BC</v>
          </cell>
          <cell r="M1368" t="str">
            <v>800-577-8858</v>
          </cell>
          <cell r="N1368"/>
          <cell r="O1368">
            <v>2024</v>
          </cell>
          <cell r="P1368">
            <v>8703.1999999999989</v>
          </cell>
          <cell r="Q1368"/>
          <cell r="R1368">
            <v>0</v>
          </cell>
          <cell r="S1368">
            <v>586</v>
          </cell>
          <cell r="T1368">
            <v>2519.7999999999997</v>
          </cell>
          <cell r="U1368">
            <v>1939</v>
          </cell>
          <cell r="V1368">
            <v>8337.6999999999989</v>
          </cell>
          <cell r="W1368">
            <v>1976</v>
          </cell>
          <cell r="X1368">
            <v>8496.7999999999993</v>
          </cell>
          <cell r="Y1368"/>
          <cell r="Z1368">
            <v>0</v>
          </cell>
          <cell r="AA1368"/>
          <cell r="AB1368" t="str">
            <v>n/a</v>
          </cell>
          <cell r="AC1368"/>
          <cell r="AD1368" t="str">
            <v>n/a</v>
          </cell>
          <cell r="AE1368"/>
          <cell r="AF1368"/>
          <cell r="AG1368"/>
          <cell r="AH1368"/>
          <cell r="AI1368"/>
          <cell r="AJ1368">
            <v>0</v>
          </cell>
          <cell r="AK1368" t="str">
            <v>3P</v>
          </cell>
          <cell r="AL1368">
            <v>213</v>
          </cell>
          <cell r="AM1368"/>
          <cell r="AN1368" t="str">
            <v>08 Inactive Dealer</v>
          </cell>
          <cell r="AO1368" t="str">
            <v>W.Canada</v>
          </cell>
          <cell r="AP1368" t="str">
            <v>West</v>
          </cell>
          <cell r="AQ1368"/>
          <cell r="AR1368">
            <v>0</v>
          </cell>
          <cell r="AS1368">
            <v>0</v>
          </cell>
        </row>
        <row r="1369">
          <cell r="A1369">
            <v>11967</v>
          </cell>
          <cell r="B1369" t="str">
            <v>KITT EQUIPMENT, LTD.</v>
          </cell>
          <cell r="C1369" t="str">
            <v>M10254</v>
          </cell>
          <cell r="D1369" t="str">
            <v>Return Mail, no pink card</v>
          </cell>
          <cell r="E1369" t="str">
            <v>F3 - Wells Fargo</v>
          </cell>
          <cell r="F1369" t="str">
            <v>Yes</v>
          </cell>
          <cell r="G1369" t="str">
            <v>ID</v>
          </cell>
          <cell r="H1369">
            <v>8</v>
          </cell>
          <cell r="I1369">
            <v>0.7</v>
          </cell>
          <cell r="J1369" t="str">
            <v>Nate Erickson</v>
          </cell>
          <cell r="K1369" t="str">
            <v>CHILLIWACK</v>
          </cell>
          <cell r="L1369" t="str">
            <v>BC</v>
          </cell>
          <cell r="M1369" t="str">
            <v>208-459-0106</v>
          </cell>
          <cell r="N1369"/>
          <cell r="O1369">
            <v>2327</v>
          </cell>
          <cell r="P1369">
            <v>10006.1</v>
          </cell>
          <cell r="Q1369"/>
          <cell r="R1369">
            <v>0</v>
          </cell>
          <cell r="S1369">
            <v>606</v>
          </cell>
          <cell r="T1369">
            <v>2605.7999999999997</v>
          </cell>
          <cell r="U1369">
            <v>2244</v>
          </cell>
          <cell r="V1369">
            <v>9649.1999999999989</v>
          </cell>
          <cell r="W1369">
            <v>2279</v>
          </cell>
          <cell r="X1369">
            <v>9799.6999999999989</v>
          </cell>
          <cell r="Y1369"/>
          <cell r="Z1369">
            <v>0</v>
          </cell>
          <cell r="AA1369"/>
          <cell r="AB1369" t="str">
            <v>n/a</v>
          </cell>
          <cell r="AC1369"/>
          <cell r="AD1369" t="str">
            <v>n/a</v>
          </cell>
          <cell r="AE1369"/>
          <cell r="AF1369"/>
          <cell r="AG1369"/>
          <cell r="AH1369"/>
          <cell r="AI1369"/>
          <cell r="AJ1369">
            <v>1.4999999999999999E-2</v>
          </cell>
          <cell r="AK1369" t="str">
            <v>3P</v>
          </cell>
          <cell r="AL1369">
            <v>187</v>
          </cell>
          <cell r="AM1369"/>
          <cell r="AN1369" t="str">
            <v>01 Existing Dealer</v>
          </cell>
          <cell r="AO1369" t="str">
            <v>W.Canada</v>
          </cell>
          <cell r="AP1369" t="str">
            <v>West</v>
          </cell>
          <cell r="AQ1369"/>
          <cell r="AR1369">
            <v>101874</v>
          </cell>
          <cell r="AS1369">
            <v>86976</v>
          </cell>
        </row>
        <row r="1370">
          <cell r="A1370">
            <v>11300</v>
          </cell>
          <cell r="B1370" t="str">
            <v>MERIDIAN R.V. MFG.LTD</v>
          </cell>
          <cell r="C1370" t="str">
            <v>M10282</v>
          </cell>
          <cell r="D1370" t="str">
            <v>NET 5, BT+</v>
          </cell>
          <cell r="E1370" t="str">
            <v>CF</v>
          </cell>
          <cell r="F1370" t="str">
            <v>Yes</v>
          </cell>
          <cell r="G1370" t="str">
            <v>ID</v>
          </cell>
          <cell r="H1370">
            <v>7</v>
          </cell>
          <cell r="I1370">
            <v>0.7</v>
          </cell>
          <cell r="J1370" t="str">
            <v>Nate Erickson</v>
          </cell>
          <cell r="K1370" t="str">
            <v>PORT COQUITLAM</v>
          </cell>
          <cell r="L1370" t="str">
            <v>BC</v>
          </cell>
          <cell r="M1370" t="str">
            <v>208-459-0106</v>
          </cell>
          <cell r="N1370"/>
          <cell r="O1370">
            <v>2325</v>
          </cell>
          <cell r="P1370">
            <v>9997.5</v>
          </cell>
          <cell r="Q1370"/>
          <cell r="R1370">
            <v>0</v>
          </cell>
          <cell r="S1370">
            <v>603</v>
          </cell>
          <cell r="T1370">
            <v>2592.9</v>
          </cell>
          <cell r="U1370">
            <v>2241</v>
          </cell>
          <cell r="V1370">
            <v>9636.2999999999993</v>
          </cell>
          <cell r="W1370">
            <v>2277</v>
          </cell>
          <cell r="X1370">
            <v>9791.1</v>
          </cell>
          <cell r="Y1370"/>
          <cell r="Z1370">
            <v>0</v>
          </cell>
          <cell r="AA1370"/>
          <cell r="AB1370" t="str">
            <v>n/a</v>
          </cell>
          <cell r="AC1370"/>
          <cell r="AD1370" t="str">
            <v>n/a</v>
          </cell>
          <cell r="AE1370"/>
          <cell r="AF1370"/>
          <cell r="AG1370"/>
          <cell r="AH1370"/>
          <cell r="AI1370"/>
          <cell r="AJ1370">
            <v>0</v>
          </cell>
          <cell r="AK1370" t="str">
            <v>3P</v>
          </cell>
          <cell r="AL1370">
            <v>187</v>
          </cell>
          <cell r="AM1370"/>
          <cell r="AN1370" t="str">
            <v>03 New Dealer</v>
          </cell>
          <cell r="AO1370" t="str">
            <v>W.Canada</v>
          </cell>
          <cell r="AP1370" t="str">
            <v>West</v>
          </cell>
          <cell r="AQ1370"/>
          <cell r="AR1370">
            <v>0</v>
          </cell>
          <cell r="AS1370">
            <v>0</v>
          </cell>
        </row>
        <row r="1371">
          <cell r="A1371" t="str">
            <v>11300A</v>
          </cell>
          <cell r="B1371" t="str">
            <v>MERIDIAN R.V. MFG.LTD</v>
          </cell>
          <cell r="C1371" t="str">
            <v>M10282</v>
          </cell>
          <cell r="D1371" t="str">
            <v>NET 5, BT+</v>
          </cell>
          <cell r="E1371" t="str">
            <v>CF</v>
          </cell>
          <cell r="F1371" t="str">
            <v>Yes</v>
          </cell>
          <cell r="G1371" t="str">
            <v>ID</v>
          </cell>
          <cell r="H1371">
            <v>7</v>
          </cell>
          <cell r="I1371">
            <v>0.7</v>
          </cell>
          <cell r="J1371" t="str">
            <v>Nate Erickson</v>
          </cell>
          <cell r="K1371" t="str">
            <v>ONE HUNDRED MILE HOUSE</v>
          </cell>
          <cell r="L1371" t="str">
            <v>BC</v>
          </cell>
          <cell r="M1371" t="str">
            <v>208-459-0106</v>
          </cell>
          <cell r="N1371"/>
          <cell r="O1371">
            <v>2421</v>
          </cell>
          <cell r="P1371">
            <v>10410.299999999999</v>
          </cell>
          <cell r="Q1371"/>
          <cell r="R1371">
            <v>0</v>
          </cell>
          <cell r="S1371">
            <v>826</v>
          </cell>
          <cell r="T1371">
            <v>3551.7999999999997</v>
          </cell>
          <cell r="U1371">
            <v>2338</v>
          </cell>
          <cell r="V1371">
            <v>10053.4</v>
          </cell>
          <cell r="W1371">
            <v>2373</v>
          </cell>
          <cell r="X1371">
            <v>10203.9</v>
          </cell>
          <cell r="Y1371"/>
          <cell r="Z1371">
            <v>0</v>
          </cell>
          <cell r="AA1371"/>
          <cell r="AB1371" t="str">
            <v>n/a</v>
          </cell>
          <cell r="AC1371"/>
          <cell r="AD1371" t="str">
            <v>n/a</v>
          </cell>
          <cell r="AE1371"/>
          <cell r="AF1371"/>
          <cell r="AG1371"/>
          <cell r="AH1371"/>
          <cell r="AI1371"/>
          <cell r="AJ1371">
            <v>0</v>
          </cell>
          <cell r="AK1371" t="str">
            <v>3P</v>
          </cell>
          <cell r="AL1371">
            <v>187</v>
          </cell>
          <cell r="AM1371"/>
          <cell r="AN1371" t="str">
            <v>03 New Dealer</v>
          </cell>
          <cell r="AO1371" t="str">
            <v>W.Canada</v>
          </cell>
          <cell r="AP1371" t="str">
            <v>West</v>
          </cell>
          <cell r="AQ1371"/>
          <cell r="AR1371">
            <v>0</v>
          </cell>
          <cell r="AS1371">
            <v>0</v>
          </cell>
        </row>
        <row r="1372">
          <cell r="A1372">
            <v>12717</v>
          </cell>
          <cell r="B1372" t="str">
            <v>NORTHERN TRAILER (JACK &amp; JILL)</v>
          </cell>
          <cell r="C1372" t="str">
            <v>M10476</v>
          </cell>
          <cell r="D1372" t="str">
            <v>NET 5, BT+</v>
          </cell>
          <cell r="E1372" t="str">
            <v>FP - Wells Fargo</v>
          </cell>
          <cell r="F1372" t="str">
            <v>Yes</v>
          </cell>
          <cell r="G1372" t="str">
            <v>ID</v>
          </cell>
          <cell r="H1372">
            <v>8</v>
          </cell>
          <cell r="I1372">
            <v>0.7</v>
          </cell>
          <cell r="J1372" t="str">
            <v>Nate Erickson</v>
          </cell>
          <cell r="K1372" t="str">
            <v>PRINC GEORGE</v>
          </cell>
          <cell r="L1372" t="str">
            <v>BC</v>
          </cell>
          <cell r="M1372" t="str">
            <v>208-459-0106</v>
          </cell>
          <cell r="N1372"/>
          <cell r="O1372">
            <v>2627</v>
          </cell>
          <cell r="P1372">
            <v>11296.1</v>
          </cell>
          <cell r="Q1372"/>
          <cell r="R1372">
            <v>0</v>
          </cell>
          <cell r="S1372">
            <v>1031</v>
          </cell>
          <cell r="T1372">
            <v>4433.3</v>
          </cell>
          <cell r="U1372">
            <v>2543</v>
          </cell>
          <cell r="V1372">
            <v>10934.9</v>
          </cell>
          <cell r="W1372">
            <v>2579</v>
          </cell>
          <cell r="X1372">
            <v>11089.699999999999</v>
          </cell>
          <cell r="Y1372"/>
          <cell r="Z1372">
            <v>0</v>
          </cell>
          <cell r="AA1372"/>
          <cell r="AB1372" t="str">
            <v>n/a</v>
          </cell>
          <cell r="AC1372"/>
          <cell r="AD1372" t="str">
            <v>n/a</v>
          </cell>
          <cell r="AE1372"/>
          <cell r="AF1372"/>
          <cell r="AG1372"/>
          <cell r="AH1372"/>
          <cell r="AI1372"/>
          <cell r="AJ1372">
            <v>0</v>
          </cell>
          <cell r="AK1372" t="str">
            <v>3P</v>
          </cell>
          <cell r="AL1372">
            <v>187</v>
          </cell>
          <cell r="AM1372"/>
          <cell r="AN1372" t="str">
            <v>01 Existing Dealer</v>
          </cell>
          <cell r="AO1372" t="str">
            <v>W.Canada</v>
          </cell>
          <cell r="AP1372" t="str">
            <v>West</v>
          </cell>
          <cell r="AQ1372"/>
          <cell r="AR1372">
            <v>0</v>
          </cell>
          <cell r="AS1372">
            <v>0</v>
          </cell>
        </row>
        <row r="1373">
          <cell r="A1373">
            <v>13074</v>
          </cell>
          <cell r="B1373" t="str">
            <v>PREVOST RV &amp; MARINE LTD</v>
          </cell>
          <cell r="C1373" t="str">
            <v>M10947</v>
          </cell>
          <cell r="D1373" t="str">
            <v>NET 5, BT+</v>
          </cell>
          <cell r="E1373" t="str">
            <v>FP - Wells Fargo</v>
          </cell>
          <cell r="F1373" t="str">
            <v>Yes</v>
          </cell>
          <cell r="G1373" t="str">
            <v>ID</v>
          </cell>
          <cell r="H1373">
            <v>8</v>
          </cell>
          <cell r="I1373">
            <v>0.7</v>
          </cell>
          <cell r="J1373" t="str">
            <v>Orphaned Acct</v>
          </cell>
          <cell r="K1373" t="str">
            <v>TERRACE</v>
          </cell>
          <cell r="L1373" t="str">
            <v>BC</v>
          </cell>
          <cell r="M1373" t="str">
            <v>208-459-0106</v>
          </cell>
          <cell r="N1373"/>
          <cell r="O1373">
            <v>2981</v>
          </cell>
          <cell r="P1373">
            <v>12818.3</v>
          </cell>
          <cell r="Q1373"/>
          <cell r="R1373">
            <v>0</v>
          </cell>
          <cell r="S1373">
            <v>1385</v>
          </cell>
          <cell r="T1373">
            <v>5955.5</v>
          </cell>
          <cell r="U1373">
            <v>2897</v>
          </cell>
          <cell r="V1373">
            <v>12457.1</v>
          </cell>
          <cell r="W1373">
            <v>2934</v>
          </cell>
          <cell r="X1373">
            <v>12616.199999999999</v>
          </cell>
          <cell r="Y1373"/>
          <cell r="Z1373">
            <v>0</v>
          </cell>
          <cell r="AA1373"/>
          <cell r="AB1373" t="str">
            <v>n/a</v>
          </cell>
          <cell r="AC1373"/>
          <cell r="AD1373" t="str">
            <v>n/a</v>
          </cell>
          <cell r="AE1373"/>
          <cell r="AF1373"/>
          <cell r="AG1373"/>
          <cell r="AH1373"/>
          <cell r="AI1373"/>
          <cell r="AJ1373">
            <v>0</v>
          </cell>
          <cell r="AK1373" t="str">
            <v>3P</v>
          </cell>
          <cell r="AL1373">
            <v>213</v>
          </cell>
          <cell r="AM1373"/>
          <cell r="AN1373" t="str">
            <v>01 Existing Dealer</v>
          </cell>
          <cell r="AO1373" t="str">
            <v>W.Canada</v>
          </cell>
          <cell r="AP1373" t="str">
            <v>West</v>
          </cell>
          <cell r="AQ1373"/>
          <cell r="AR1373">
            <v>0</v>
          </cell>
          <cell r="AS1373">
            <v>0</v>
          </cell>
        </row>
        <row r="1374">
          <cell r="A1374">
            <v>12811</v>
          </cell>
          <cell r="B1374" t="str">
            <v>AUTO QUEST AUTO SALES</v>
          </cell>
          <cell r="C1374" t="str">
            <v>M10034</v>
          </cell>
          <cell r="D1374" t="str">
            <v>NET 5, BT+</v>
          </cell>
          <cell r="E1374" t="str">
            <v>FP - Wells Fargo</v>
          </cell>
          <cell r="F1374" t="str">
            <v>Yes</v>
          </cell>
          <cell r="G1374" t="str">
            <v>TX</v>
          </cell>
          <cell r="H1374">
            <v>8</v>
          </cell>
          <cell r="I1374">
            <v>0.66500000000000004</v>
          </cell>
          <cell r="J1374" t="str">
            <v>Orphaned Acct</v>
          </cell>
          <cell r="K1374" t="str">
            <v>WINNEPEG</v>
          </cell>
          <cell r="L1374" t="str">
            <v>MB</v>
          </cell>
          <cell r="M1374" t="str">
            <v>208-459-0106</v>
          </cell>
          <cell r="N1374"/>
          <cell r="O1374"/>
          <cell r="P1374">
            <v>0</v>
          </cell>
          <cell r="Q1374"/>
          <cell r="R1374">
            <v>0</v>
          </cell>
          <cell r="S1374"/>
          <cell r="T1374">
            <v>0</v>
          </cell>
          <cell r="U1374"/>
          <cell r="V1374">
            <v>0</v>
          </cell>
          <cell r="W1374"/>
          <cell r="X1374">
            <v>0</v>
          </cell>
          <cell r="Y1374"/>
          <cell r="Z1374">
            <v>0</v>
          </cell>
          <cell r="AA1374"/>
          <cell r="AB1374">
            <v>0</v>
          </cell>
          <cell r="AC1374"/>
          <cell r="AD1374" t="str">
            <v>n/a</v>
          </cell>
          <cell r="AE1374"/>
          <cell r="AF1374"/>
          <cell r="AG1374"/>
          <cell r="AH1374"/>
          <cell r="AI1374"/>
          <cell r="AJ1374">
            <v>0</v>
          </cell>
          <cell r="AK1374" t="str">
            <v>3P</v>
          </cell>
          <cell r="AL1374">
            <v>213</v>
          </cell>
          <cell r="AM1374"/>
          <cell r="AN1374" t="str">
            <v>08 Inactive Dealer</v>
          </cell>
          <cell r="AO1374" t="str">
            <v>E.Canada</v>
          </cell>
          <cell r="AP1374" t="str">
            <v>West</v>
          </cell>
          <cell r="AQ1374"/>
          <cell r="AR1374">
            <v>0</v>
          </cell>
          <cell r="AS1374">
            <v>0</v>
          </cell>
        </row>
        <row r="1375">
          <cell r="A1375">
            <v>13630</v>
          </cell>
          <cell r="B1375" t="str">
            <v>DHK dba HOLIDAY RV</v>
          </cell>
          <cell r="C1375" t="str">
            <v>M11607</v>
          </cell>
          <cell r="D1375" t="str">
            <v>NET 5, BT+</v>
          </cell>
          <cell r="E1375" t="str">
            <v>FP - Northpoint</v>
          </cell>
          <cell r="F1375" t="str">
            <v>Yes</v>
          </cell>
          <cell r="G1375" t="str">
            <v>TX</v>
          </cell>
          <cell r="H1375">
            <v>8</v>
          </cell>
          <cell r="I1375">
            <v>0.66500000000000004</v>
          </cell>
          <cell r="J1375" t="str">
            <v>Nate Erickson</v>
          </cell>
          <cell r="K1375" t="str">
            <v>STEINBACH</v>
          </cell>
          <cell r="L1375" t="str">
            <v>MB</v>
          </cell>
          <cell r="M1375" t="str">
            <v>208-459-0106</v>
          </cell>
          <cell r="N1375"/>
          <cell r="O1375">
            <v>1290</v>
          </cell>
          <cell r="P1375">
            <v>5547</v>
          </cell>
          <cell r="Q1375">
            <v>1665</v>
          </cell>
          <cell r="R1375">
            <v>7159.5</v>
          </cell>
          <cell r="S1375"/>
          <cell r="T1375">
            <v>0</v>
          </cell>
          <cell r="U1375">
            <v>1211</v>
          </cell>
          <cell r="V1375">
            <v>5207.3</v>
          </cell>
          <cell r="W1375">
            <v>1316</v>
          </cell>
          <cell r="X1375">
            <v>5658.8</v>
          </cell>
          <cell r="Y1375"/>
          <cell r="Z1375">
            <v>0</v>
          </cell>
          <cell r="AA1375">
            <v>1127</v>
          </cell>
          <cell r="AB1375">
            <v>4846.0999999999995</v>
          </cell>
          <cell r="AC1375">
            <v>1127</v>
          </cell>
          <cell r="AD1375">
            <v>4846.0999999999995</v>
          </cell>
          <cell r="AE1375"/>
          <cell r="AF1375"/>
          <cell r="AG1375"/>
          <cell r="AH1375"/>
          <cell r="AI1375"/>
          <cell r="AJ1375">
            <v>0</v>
          </cell>
          <cell r="AK1375"/>
          <cell r="AL1375">
            <v>187</v>
          </cell>
          <cell r="AM1375"/>
          <cell r="AN1375" t="str">
            <v>03 New Dealer</v>
          </cell>
          <cell r="AO1375" t="str">
            <v>E.Canada</v>
          </cell>
          <cell r="AP1375" t="str">
            <v>West</v>
          </cell>
          <cell r="AQ1375"/>
          <cell r="AR1375">
            <v>0</v>
          </cell>
          <cell r="AS1375">
            <v>0</v>
          </cell>
        </row>
        <row r="1376">
          <cell r="A1376">
            <v>12367</v>
          </cell>
          <cell r="B1376" t="str">
            <v>KALDECK TRAILERS INC</v>
          </cell>
          <cell r="C1376" t="str">
            <v>M10248</v>
          </cell>
          <cell r="D1376" t="str">
            <v>NET 5, BT+</v>
          </cell>
          <cell r="E1376" t="str">
            <v>FP - Northpoint</v>
          </cell>
          <cell r="F1376" t="str">
            <v>Yes</v>
          </cell>
          <cell r="G1376" t="str">
            <v>TX</v>
          </cell>
          <cell r="H1376">
            <v>7</v>
          </cell>
          <cell r="I1376">
            <v>0.66500000000000004</v>
          </cell>
          <cell r="J1376" t="str">
            <v>Orphaned Acct</v>
          </cell>
          <cell r="K1376" t="str">
            <v>MACGREGOR</v>
          </cell>
          <cell r="L1376" t="str">
            <v>MB</v>
          </cell>
          <cell r="M1376" t="str">
            <v>208-459-0106</v>
          </cell>
          <cell r="N1376"/>
          <cell r="O1376">
            <v>1356</v>
          </cell>
          <cell r="P1376">
            <v>5830.8</v>
          </cell>
          <cell r="Q1376"/>
          <cell r="R1376">
            <v>0</v>
          </cell>
          <cell r="S1376">
            <v>1311</v>
          </cell>
          <cell r="T1376">
            <v>5637.3</v>
          </cell>
          <cell r="U1376">
            <v>1287</v>
          </cell>
          <cell r="V1376">
            <v>5534.0999999999995</v>
          </cell>
          <cell r="W1376">
            <v>1417</v>
          </cell>
          <cell r="X1376">
            <v>6093.0999999999995</v>
          </cell>
          <cell r="Y1376"/>
          <cell r="Z1376">
            <v>0</v>
          </cell>
          <cell r="AA1376"/>
          <cell r="AB1376">
            <v>0</v>
          </cell>
          <cell r="AC1376"/>
          <cell r="AD1376">
            <v>0</v>
          </cell>
          <cell r="AE1376"/>
          <cell r="AF1376"/>
          <cell r="AG1376"/>
          <cell r="AH1376"/>
          <cell r="AI1376"/>
          <cell r="AJ1376">
            <v>0</v>
          </cell>
          <cell r="AK1376" t="str">
            <v>3P</v>
          </cell>
          <cell r="AL1376">
            <v>213</v>
          </cell>
          <cell r="AM1376"/>
          <cell r="AN1376" t="str">
            <v>08 Inactive Dealer</v>
          </cell>
          <cell r="AO1376" t="str">
            <v>E.Canada</v>
          </cell>
          <cell r="AP1376" t="str">
            <v>West</v>
          </cell>
          <cell r="AQ1376"/>
          <cell r="AR1376">
            <v>0</v>
          </cell>
          <cell r="AS1376">
            <v>0</v>
          </cell>
        </row>
        <row r="1377">
          <cell r="A1377" t="str">
            <v>12367A</v>
          </cell>
          <cell r="B1377" t="str">
            <v>KALDECK TRAILERS INC</v>
          </cell>
          <cell r="C1377" t="str">
            <v>M10248</v>
          </cell>
          <cell r="D1377" t="str">
            <v>NET 5, BT+</v>
          </cell>
          <cell r="E1377" t="str">
            <v>F1 - Northpoint</v>
          </cell>
          <cell r="F1377" t="str">
            <v>Yes</v>
          </cell>
          <cell r="G1377" t="str">
            <v>TX</v>
          </cell>
          <cell r="H1377">
            <v>7</v>
          </cell>
          <cell r="I1377">
            <v>0.66500000000000004</v>
          </cell>
          <cell r="J1377" t="str">
            <v>Orphaned Acct</v>
          </cell>
          <cell r="K1377" t="str">
            <v>WILKIE</v>
          </cell>
          <cell r="L1377" t="str">
            <v>MB</v>
          </cell>
          <cell r="M1377" t="str">
            <v>208-459-0106</v>
          </cell>
          <cell r="N1377"/>
          <cell r="O1377">
            <v>1945</v>
          </cell>
          <cell r="P1377">
            <v>8363.5</v>
          </cell>
          <cell r="Q1377"/>
          <cell r="R1377">
            <v>0</v>
          </cell>
          <cell r="S1377">
            <v>1103</v>
          </cell>
          <cell r="T1377">
            <v>4742.8999999999996</v>
          </cell>
          <cell r="U1377">
            <v>1759</v>
          </cell>
          <cell r="V1377">
            <v>7563.7</v>
          </cell>
          <cell r="W1377">
            <v>1897</v>
          </cell>
          <cell r="X1377">
            <v>8157.0999999999995</v>
          </cell>
          <cell r="Y1377"/>
          <cell r="Z1377">
            <v>0</v>
          </cell>
          <cell r="AA1377"/>
          <cell r="AB1377">
            <v>0</v>
          </cell>
          <cell r="AC1377"/>
          <cell r="AD1377">
            <v>0</v>
          </cell>
          <cell r="AE1377"/>
          <cell r="AF1377"/>
          <cell r="AG1377"/>
          <cell r="AH1377"/>
          <cell r="AI1377"/>
          <cell r="AJ1377">
            <v>0</v>
          </cell>
          <cell r="AK1377" t="str">
            <v>3P</v>
          </cell>
          <cell r="AL1377">
            <v>213</v>
          </cell>
          <cell r="AM1377"/>
          <cell r="AN1377" t="str">
            <v>08 Inactive Dealer</v>
          </cell>
          <cell r="AO1377" t="str">
            <v>E.Canada</v>
          </cell>
          <cell r="AP1377" t="str">
            <v>West</v>
          </cell>
          <cell r="AQ1377"/>
          <cell r="AR1377">
            <v>0</v>
          </cell>
          <cell r="AS1377">
            <v>0</v>
          </cell>
        </row>
        <row r="1378">
          <cell r="A1378">
            <v>12609</v>
          </cell>
          <cell r="B1378" t="str">
            <v>KALDECK TRAILERS INC</v>
          </cell>
          <cell r="C1378" t="str">
            <v>M10248</v>
          </cell>
          <cell r="D1378" t="str">
            <v>NET 5, BT+</v>
          </cell>
          <cell r="E1378" t="str">
            <v>C6</v>
          </cell>
          <cell r="F1378" t="str">
            <v>No</v>
          </cell>
          <cell r="G1378" t="str">
            <v>TX</v>
          </cell>
          <cell r="H1378">
            <v>9</v>
          </cell>
          <cell r="I1378">
            <v>0.66500000000000004</v>
          </cell>
          <cell r="J1378" t="str">
            <v>Orphaned Acct</v>
          </cell>
          <cell r="K1378" t="str">
            <v>MACGREGOR</v>
          </cell>
          <cell r="L1378" t="str">
            <v>MB</v>
          </cell>
          <cell r="M1378" t="str">
            <v>208-459-0106</v>
          </cell>
          <cell r="N1378"/>
          <cell r="O1378">
            <v>1356</v>
          </cell>
          <cell r="P1378">
            <v>5830.8</v>
          </cell>
          <cell r="Q1378"/>
          <cell r="R1378">
            <v>0</v>
          </cell>
          <cell r="S1378">
            <v>1311</v>
          </cell>
          <cell r="T1378">
            <v>5637.3</v>
          </cell>
          <cell r="U1378">
            <v>1287</v>
          </cell>
          <cell r="V1378">
            <v>5534.0999999999995</v>
          </cell>
          <cell r="W1378">
            <v>1417</v>
          </cell>
          <cell r="X1378">
            <v>6093.0999999999995</v>
          </cell>
          <cell r="Y1378"/>
          <cell r="Z1378">
            <v>0</v>
          </cell>
          <cell r="AA1378"/>
          <cell r="AB1378">
            <v>0</v>
          </cell>
          <cell r="AC1378"/>
          <cell r="AD1378">
            <v>0</v>
          </cell>
          <cell r="AE1378"/>
          <cell r="AF1378"/>
          <cell r="AG1378"/>
          <cell r="AH1378"/>
          <cell r="AI1378"/>
          <cell r="AJ1378">
            <v>0</v>
          </cell>
          <cell r="AK1378" t="str">
            <v>3P</v>
          </cell>
          <cell r="AL1378">
            <v>213</v>
          </cell>
          <cell r="AM1378"/>
          <cell r="AN1378" t="str">
            <v>08 Inactive Dealer</v>
          </cell>
          <cell r="AO1378" t="str">
            <v>E.Canada</v>
          </cell>
          <cell r="AP1378" t="str">
            <v>West</v>
          </cell>
          <cell r="AQ1378"/>
          <cell r="AR1378">
            <v>0</v>
          </cell>
          <cell r="AS1378">
            <v>0</v>
          </cell>
        </row>
        <row r="1379">
          <cell r="A1379">
            <v>13124</v>
          </cell>
          <cell r="B1379" t="str">
            <v>LACEY HOLDINGS / ADVANTAGE AUTO</v>
          </cell>
          <cell r="C1379" t="str">
            <v>M11049</v>
          </cell>
          <cell r="D1379" t="str">
            <v>NET 5, BT+</v>
          </cell>
          <cell r="E1379" t="str">
            <v>CF</v>
          </cell>
          <cell r="F1379" t="str">
            <v>Yes</v>
          </cell>
          <cell r="G1379" t="str">
            <v>TX</v>
          </cell>
          <cell r="H1379">
            <v>7</v>
          </cell>
          <cell r="I1379">
            <v>0.66500000000000004</v>
          </cell>
          <cell r="J1379" t="str">
            <v>Nate Erickson</v>
          </cell>
          <cell r="K1379" t="str">
            <v>BRANDON</v>
          </cell>
          <cell r="L1379" t="str">
            <v>MB</v>
          </cell>
          <cell r="M1379" t="str">
            <v>204-729-8989</v>
          </cell>
          <cell r="N1379"/>
          <cell r="O1379">
            <v>1363</v>
          </cell>
          <cell r="P1379">
            <v>5860.9</v>
          </cell>
          <cell r="Q1379" t="str"/>
          <cell r="R1379" t="str"/>
          <cell r="S1379" t="str"/>
          <cell r="T1379" t="str"/>
          <cell r="U1379">
            <v>1225</v>
          </cell>
          <cell r="V1379">
            <v>5267.5</v>
          </cell>
          <cell r="W1379">
            <v>1356</v>
          </cell>
          <cell r="X1379">
            <v>5830.8</v>
          </cell>
          <cell r="Y1379"/>
          <cell r="Z1379">
            <v>0</v>
          </cell>
          <cell r="AA1379"/>
          <cell r="AB1379">
            <v>0</v>
          </cell>
          <cell r="AC1379"/>
          <cell r="AD1379">
            <v>0</v>
          </cell>
          <cell r="AE1379"/>
          <cell r="AF1379"/>
          <cell r="AG1379"/>
          <cell r="AH1379"/>
          <cell r="AI1379"/>
          <cell r="AJ1379">
            <v>0</v>
          </cell>
          <cell r="AK1379" t="str">
            <v>3P</v>
          </cell>
          <cell r="AL1379">
            <v>187</v>
          </cell>
          <cell r="AM1379"/>
          <cell r="AN1379" t="str">
            <v>01 Existing Dealer</v>
          </cell>
          <cell r="AO1379" t="str">
            <v>E.Canada</v>
          </cell>
          <cell r="AP1379" t="str">
            <v>West</v>
          </cell>
          <cell r="AQ1379"/>
          <cell r="AR1379">
            <v>96620</v>
          </cell>
          <cell r="AS1379">
            <v>0</v>
          </cell>
        </row>
        <row r="1380">
          <cell r="A1380">
            <v>12935</v>
          </cell>
          <cell r="B1380" t="str">
            <v>PENNER TRAILERS (2005) INC.</v>
          </cell>
          <cell r="C1380" t="str">
            <v>M10322</v>
          </cell>
          <cell r="D1380" t="str">
            <v>NET 5, BT+</v>
          </cell>
          <cell r="E1380" t="str">
            <v>CF</v>
          </cell>
          <cell r="F1380" t="str">
            <v>YES</v>
          </cell>
          <cell r="G1380" t="str">
            <v>TX</v>
          </cell>
          <cell r="H1380">
            <v>5</v>
          </cell>
          <cell r="I1380">
            <v>0.66500000000000004</v>
          </cell>
          <cell r="J1380" t="str">
            <v>Orphaned Acct</v>
          </cell>
          <cell r="K1380" t="str">
            <v>STEINBACH</v>
          </cell>
          <cell r="L1380" t="str">
            <v>MB</v>
          </cell>
          <cell r="M1380" t="str">
            <v>903-575-5204</v>
          </cell>
          <cell r="N1380"/>
          <cell r="O1380">
            <v>1283</v>
          </cell>
          <cell r="P1380">
            <v>5516.9</v>
          </cell>
          <cell r="Q1380"/>
          <cell r="R1380">
            <v>0</v>
          </cell>
          <cell r="S1380">
            <v>1465</v>
          </cell>
          <cell r="T1380">
            <v>6299.5</v>
          </cell>
          <cell r="U1380">
            <v>1215</v>
          </cell>
          <cell r="V1380">
            <v>5224.5</v>
          </cell>
          <cell r="W1380">
            <v>1344</v>
          </cell>
          <cell r="X1380">
            <v>5779.2</v>
          </cell>
          <cell r="Y1380"/>
          <cell r="Z1380">
            <v>0</v>
          </cell>
          <cell r="AA1380"/>
          <cell r="AB1380">
            <v>0</v>
          </cell>
          <cell r="AC1380"/>
          <cell r="AD1380">
            <v>0</v>
          </cell>
          <cell r="AE1380"/>
          <cell r="AF1380"/>
          <cell r="AG1380"/>
          <cell r="AH1380"/>
          <cell r="AI1380"/>
          <cell r="AJ1380">
            <v>0</v>
          </cell>
          <cell r="AK1380" t="str">
            <v>3P</v>
          </cell>
          <cell r="AL1380">
            <v>213</v>
          </cell>
          <cell r="AM1380"/>
          <cell r="AN1380" t="str">
            <v>01 Existing Dealer</v>
          </cell>
          <cell r="AO1380" t="str">
            <v>E.Canada</v>
          </cell>
          <cell r="AP1380" t="str">
            <v>West</v>
          </cell>
          <cell r="AQ1380"/>
          <cell r="AR1380">
            <v>0</v>
          </cell>
          <cell r="AS1380">
            <v>0</v>
          </cell>
        </row>
        <row r="1381">
          <cell r="A1381" t="str">
            <v>12935A</v>
          </cell>
          <cell r="B1381" t="str">
            <v>PENNER TRAILERS (2005) INC.</v>
          </cell>
          <cell r="C1381" t="str">
            <v>M10322</v>
          </cell>
          <cell r="D1381" t="str">
            <v>NET 5, BT+</v>
          </cell>
          <cell r="E1381" t="str">
            <v>CF</v>
          </cell>
          <cell r="F1381" t="str">
            <v>YES</v>
          </cell>
          <cell r="G1381" t="str">
            <v>TX</v>
          </cell>
          <cell r="H1381">
            <v>5</v>
          </cell>
          <cell r="I1381">
            <v>0.66500000000000004</v>
          </cell>
          <cell r="J1381" t="str">
            <v>Orphaned Acct</v>
          </cell>
          <cell r="K1381" t="str">
            <v>WINNEPEG</v>
          </cell>
          <cell r="L1381" t="str">
            <v>MB</v>
          </cell>
          <cell r="M1381" t="str">
            <v>903-575-5204</v>
          </cell>
          <cell r="N1381"/>
          <cell r="O1381">
            <v>1280</v>
          </cell>
          <cell r="P1381">
            <v>5504</v>
          </cell>
          <cell r="Q1381"/>
          <cell r="R1381">
            <v>0</v>
          </cell>
          <cell r="S1381">
            <v>1462</v>
          </cell>
          <cell r="T1381">
            <v>6286.5999999999995</v>
          </cell>
          <cell r="U1381">
            <v>1211</v>
          </cell>
          <cell r="V1381">
            <v>5207.3</v>
          </cell>
          <cell r="W1381">
            <v>1341</v>
          </cell>
          <cell r="X1381">
            <v>5766.3</v>
          </cell>
          <cell r="Y1381"/>
          <cell r="Z1381">
            <v>0</v>
          </cell>
          <cell r="AA1381"/>
          <cell r="AB1381">
            <v>0</v>
          </cell>
          <cell r="AC1381"/>
          <cell r="AD1381">
            <v>0</v>
          </cell>
          <cell r="AE1381"/>
          <cell r="AF1381"/>
          <cell r="AG1381"/>
          <cell r="AH1381"/>
          <cell r="AI1381"/>
          <cell r="AJ1381">
            <v>0</v>
          </cell>
          <cell r="AK1381" t="str">
            <v>3P</v>
          </cell>
          <cell r="AL1381">
            <v>213</v>
          </cell>
          <cell r="AM1381"/>
          <cell r="AN1381" t="str">
            <v>01 Existing Dealer</v>
          </cell>
          <cell r="AO1381" t="str">
            <v>E.Canada</v>
          </cell>
          <cell r="AP1381" t="str">
            <v>West</v>
          </cell>
          <cell r="AQ1381"/>
          <cell r="AR1381">
            <v>0</v>
          </cell>
          <cell r="AS1381">
            <v>0</v>
          </cell>
        </row>
        <row r="1382">
          <cell r="A1382">
            <v>12612</v>
          </cell>
          <cell r="B1382" t="str">
            <v>L &amp; M VENTURES</v>
          </cell>
          <cell r="C1382" t="str">
            <v>M10258</v>
          </cell>
          <cell r="D1382" t="str">
            <v>NET 5, BT+</v>
          </cell>
          <cell r="E1382" t="str">
            <v>CF</v>
          </cell>
          <cell r="F1382" t="str">
            <v>Yes</v>
          </cell>
          <cell r="G1382" t="str">
            <v>TX</v>
          </cell>
          <cell r="H1382">
            <v>7</v>
          </cell>
          <cell r="I1382">
            <v>0.66500000000000004</v>
          </cell>
          <cell r="J1382" t="str">
            <v>Orphaned Acct</v>
          </cell>
          <cell r="K1382" t="str">
            <v>WOODSTOCK</v>
          </cell>
          <cell r="L1382" t="str">
            <v>NB</v>
          </cell>
          <cell r="M1382" t="str">
            <v>800-577-8858</v>
          </cell>
          <cell r="N1382"/>
          <cell r="O1382">
            <v>2007</v>
          </cell>
          <cell r="P1382">
            <v>8630.1</v>
          </cell>
          <cell r="Q1382">
            <v>1551</v>
          </cell>
          <cell r="R1382">
            <v>6669.2999999999993</v>
          </cell>
          <cell r="S1382"/>
          <cell r="T1382">
            <v>0</v>
          </cell>
          <cell r="U1382">
            <v>2104</v>
          </cell>
          <cell r="V1382">
            <v>9047.1999999999989</v>
          </cell>
          <cell r="W1382">
            <v>2087</v>
          </cell>
          <cell r="X1382">
            <v>8974.1</v>
          </cell>
          <cell r="Y1382"/>
          <cell r="Z1382">
            <v>0</v>
          </cell>
          <cell r="AA1382"/>
          <cell r="AB1382">
            <v>0</v>
          </cell>
          <cell r="AC1382"/>
          <cell r="AD1382">
            <v>0</v>
          </cell>
          <cell r="AE1382"/>
          <cell r="AF1382"/>
          <cell r="AG1382"/>
          <cell r="AH1382"/>
          <cell r="AI1382"/>
          <cell r="AJ1382">
            <v>0</v>
          </cell>
          <cell r="AK1382" t="str">
            <v>3P</v>
          </cell>
          <cell r="AL1382">
            <v>213</v>
          </cell>
          <cell r="AM1382"/>
          <cell r="AN1382" t="str">
            <v>01 Existing Dealer</v>
          </cell>
          <cell r="AO1382" t="str">
            <v>E.Canada</v>
          </cell>
          <cell r="AP1382" t="str">
            <v>North</v>
          </cell>
          <cell r="AQ1382"/>
          <cell r="AR1382">
            <v>0</v>
          </cell>
          <cell r="AS1382">
            <v>0</v>
          </cell>
        </row>
        <row r="1383">
          <cell r="A1383">
            <v>12817</v>
          </cell>
          <cell r="B1383" t="str">
            <v>L &amp; M VENTURES</v>
          </cell>
          <cell r="C1383" t="str">
            <v>M10258</v>
          </cell>
          <cell r="D1383" t="str">
            <v>NET 5, BT+</v>
          </cell>
          <cell r="E1383" t="str">
            <v>FP - Northpoint</v>
          </cell>
          <cell r="F1383" t="str">
            <v>Yes</v>
          </cell>
          <cell r="G1383" t="str">
            <v>TX</v>
          </cell>
          <cell r="H1383">
            <v>8</v>
          </cell>
          <cell r="I1383">
            <v>0.66500000000000004</v>
          </cell>
          <cell r="J1383" t="str">
            <v>Orphaned Acct</v>
          </cell>
          <cell r="K1383" t="str">
            <v>WOODSTOCK</v>
          </cell>
          <cell r="L1383" t="str">
            <v>NB</v>
          </cell>
          <cell r="M1383" t="str">
            <v>800-577-8858</v>
          </cell>
          <cell r="N1383"/>
          <cell r="O1383">
            <v>2007</v>
          </cell>
          <cell r="P1383">
            <v>8630.1</v>
          </cell>
          <cell r="Q1383">
            <v>1551</v>
          </cell>
          <cell r="R1383">
            <v>6669.2999999999993</v>
          </cell>
          <cell r="S1383"/>
          <cell r="T1383">
            <v>0</v>
          </cell>
          <cell r="U1383">
            <v>2104</v>
          </cell>
          <cell r="V1383">
            <v>9047.1999999999989</v>
          </cell>
          <cell r="W1383">
            <v>2087</v>
          </cell>
          <cell r="X1383">
            <v>8974.1</v>
          </cell>
          <cell r="Y1383"/>
          <cell r="Z1383">
            <v>0</v>
          </cell>
          <cell r="AA1383"/>
          <cell r="AB1383">
            <v>0</v>
          </cell>
          <cell r="AC1383"/>
          <cell r="AD1383">
            <v>0</v>
          </cell>
          <cell r="AE1383"/>
          <cell r="AF1383"/>
          <cell r="AG1383"/>
          <cell r="AH1383"/>
          <cell r="AI1383"/>
          <cell r="AJ1383">
            <v>0</v>
          </cell>
          <cell r="AK1383" t="str">
            <v>3P</v>
          </cell>
          <cell r="AL1383">
            <v>213</v>
          </cell>
          <cell r="AM1383"/>
          <cell r="AN1383" t="str">
            <v>01 Existing Dealer</v>
          </cell>
          <cell r="AO1383" t="str">
            <v>E.Canada</v>
          </cell>
          <cell r="AP1383" t="str">
            <v>North</v>
          </cell>
          <cell r="AQ1383"/>
          <cell r="AR1383">
            <v>0</v>
          </cell>
          <cell r="AS1383">
            <v>0</v>
          </cell>
        </row>
        <row r="1384">
          <cell r="A1384">
            <v>12673</v>
          </cell>
          <cell r="B1384" t="str">
            <v>PHIL'S AUTO &amp; RECREATION</v>
          </cell>
          <cell r="C1384" t="str">
            <v>M10325</v>
          </cell>
          <cell r="D1384" t="str">
            <v>NET 5, BT+</v>
          </cell>
          <cell r="E1384" t="str">
            <v>FP - Wells Fargo</v>
          </cell>
          <cell r="F1384" t="str">
            <v>Yes</v>
          </cell>
          <cell r="G1384" t="str">
            <v>TX</v>
          </cell>
          <cell r="H1384">
            <v>8</v>
          </cell>
          <cell r="I1384">
            <v>0.66500000000000004</v>
          </cell>
          <cell r="J1384" t="str">
            <v>Orphaned Acct</v>
          </cell>
          <cell r="K1384" t="str">
            <v>LINCOLN</v>
          </cell>
          <cell r="L1384" t="str">
            <v>NB</v>
          </cell>
          <cell r="M1384" t="str">
            <v>800-577-8858</v>
          </cell>
          <cell r="N1384"/>
          <cell r="O1384">
            <v>2074</v>
          </cell>
          <cell r="P1384">
            <v>8918.1999999999989</v>
          </cell>
          <cell r="Q1384">
            <v>1618</v>
          </cell>
          <cell r="R1384">
            <v>6957.4</v>
          </cell>
          <cell r="S1384"/>
          <cell r="T1384">
            <v>0</v>
          </cell>
          <cell r="U1384">
            <v>2172</v>
          </cell>
          <cell r="V1384">
            <v>9339.6</v>
          </cell>
          <cell r="W1384">
            <v>2154</v>
          </cell>
          <cell r="X1384">
            <v>9262.1999999999989</v>
          </cell>
          <cell r="Y1384"/>
          <cell r="Z1384">
            <v>0</v>
          </cell>
          <cell r="AA1384"/>
          <cell r="AB1384">
            <v>0</v>
          </cell>
          <cell r="AC1384"/>
          <cell r="AD1384">
            <v>0</v>
          </cell>
          <cell r="AE1384"/>
          <cell r="AF1384"/>
          <cell r="AG1384"/>
          <cell r="AH1384"/>
          <cell r="AI1384"/>
          <cell r="AJ1384">
            <v>0</v>
          </cell>
          <cell r="AK1384" t="str">
            <v>3P</v>
          </cell>
          <cell r="AL1384">
            <v>213</v>
          </cell>
          <cell r="AM1384"/>
          <cell r="AN1384" t="str">
            <v>08 Inactive Dealer</v>
          </cell>
          <cell r="AO1384" t="str">
            <v>E.Canada</v>
          </cell>
          <cell r="AP1384" t="str">
            <v>North</v>
          </cell>
          <cell r="AQ1384"/>
          <cell r="AR1384">
            <v>0</v>
          </cell>
          <cell r="AS1384">
            <v>0</v>
          </cell>
        </row>
        <row r="1385">
          <cell r="A1385">
            <v>12447</v>
          </cell>
          <cell r="B1385" t="str">
            <v>CAMERON'S MOTOR WORLD LIMITED</v>
          </cell>
          <cell r="C1385" t="str">
            <v>M10128</v>
          </cell>
          <cell r="D1385" t="str">
            <v>NET 5, BT+</v>
          </cell>
          <cell r="E1385" t="str">
            <v>CO</v>
          </cell>
          <cell r="F1385" t="str">
            <v>Yes</v>
          </cell>
          <cell r="G1385" t="str">
            <v>TX</v>
          </cell>
          <cell r="H1385">
            <v>7</v>
          </cell>
          <cell r="I1385">
            <v>0.66500000000000004</v>
          </cell>
          <cell r="J1385" t="str">
            <v>Orphaned Acct</v>
          </cell>
          <cell r="K1385" t="str">
            <v>DARTHMOUTH</v>
          </cell>
          <cell r="L1385" t="str">
            <v>NS</v>
          </cell>
          <cell r="M1385" t="str">
            <v>800-577-8858</v>
          </cell>
          <cell r="N1385"/>
          <cell r="O1385">
            <v>2330</v>
          </cell>
          <cell r="P1385">
            <v>10019</v>
          </cell>
          <cell r="Q1385">
            <v>1874</v>
          </cell>
          <cell r="R1385">
            <v>8058.2</v>
          </cell>
          <cell r="S1385"/>
          <cell r="T1385">
            <v>0</v>
          </cell>
          <cell r="U1385">
            <v>2428</v>
          </cell>
          <cell r="V1385">
            <v>10440.4</v>
          </cell>
          <cell r="W1385">
            <v>2410</v>
          </cell>
          <cell r="X1385">
            <v>10363</v>
          </cell>
          <cell r="Y1385"/>
          <cell r="Z1385">
            <v>0</v>
          </cell>
          <cell r="AA1385"/>
          <cell r="AB1385">
            <v>0</v>
          </cell>
          <cell r="AC1385"/>
          <cell r="AD1385">
            <v>0</v>
          </cell>
          <cell r="AE1385"/>
          <cell r="AF1385"/>
          <cell r="AG1385"/>
          <cell r="AH1385"/>
          <cell r="AI1385"/>
          <cell r="AJ1385">
            <v>0</v>
          </cell>
          <cell r="AK1385" t="str">
            <v>3P</v>
          </cell>
          <cell r="AL1385">
            <v>213</v>
          </cell>
          <cell r="AM1385"/>
          <cell r="AN1385" t="str">
            <v>08 Inactive Dealer</v>
          </cell>
          <cell r="AO1385" t="str">
            <v>E.Canada</v>
          </cell>
          <cell r="AP1385" t="str">
            <v>North</v>
          </cell>
          <cell r="AQ1385"/>
          <cell r="AR1385">
            <v>0</v>
          </cell>
          <cell r="AS1385">
            <v>0</v>
          </cell>
        </row>
        <row r="1386">
          <cell r="A1386">
            <v>13135</v>
          </cell>
          <cell r="B1386" t="str">
            <v>FRONTLINE TRAILERS</v>
          </cell>
          <cell r="C1386" t="str">
            <v>M10265</v>
          </cell>
          <cell r="D1386" t="str">
            <v>NET 5, BT+</v>
          </cell>
          <cell r="E1386" t="str">
            <v>CF</v>
          </cell>
          <cell r="F1386" t="str">
            <v>Yes</v>
          </cell>
          <cell r="G1386" t="str">
            <v>TX</v>
          </cell>
          <cell r="H1386">
            <v>7</v>
          </cell>
          <cell r="I1386">
            <v>0.66500000000000004</v>
          </cell>
          <cell r="J1386" t="str">
            <v>Orphaned Acct</v>
          </cell>
          <cell r="K1386" t="str">
            <v>DARTMOUTH</v>
          </cell>
          <cell r="L1386" t="str">
            <v>NS</v>
          </cell>
          <cell r="M1386" t="str">
            <v>903-575-5204</v>
          </cell>
          <cell r="N1386"/>
          <cell r="O1386">
            <v>2330</v>
          </cell>
          <cell r="P1386">
            <v>10019</v>
          </cell>
          <cell r="Q1386">
            <v>1874</v>
          </cell>
          <cell r="R1386">
            <v>8058.2</v>
          </cell>
          <cell r="S1386"/>
          <cell r="T1386">
            <v>0</v>
          </cell>
          <cell r="U1386">
            <v>2428</v>
          </cell>
          <cell r="V1386">
            <v>10440.4</v>
          </cell>
          <cell r="W1386">
            <v>2410</v>
          </cell>
          <cell r="X1386">
            <v>10363</v>
          </cell>
          <cell r="Y1386"/>
          <cell r="Z1386">
            <v>0</v>
          </cell>
          <cell r="AA1386"/>
          <cell r="AB1386">
            <v>0</v>
          </cell>
          <cell r="AC1386"/>
          <cell r="AD1386">
            <v>0</v>
          </cell>
          <cell r="AE1386"/>
          <cell r="AF1386"/>
          <cell r="AG1386"/>
          <cell r="AH1386"/>
          <cell r="AI1386"/>
          <cell r="AJ1386">
            <v>0</v>
          </cell>
          <cell r="AK1386" t="str">
            <v>3P</v>
          </cell>
          <cell r="AL1386">
            <v>213</v>
          </cell>
          <cell r="AM1386"/>
          <cell r="AN1386" t="str">
            <v>08 Inactive Dealer</v>
          </cell>
          <cell r="AO1386" t="str">
            <v>E.Canada</v>
          </cell>
          <cell r="AP1386" t="str">
            <v>North</v>
          </cell>
          <cell r="AQ1386"/>
          <cell r="AR1386">
            <v>0</v>
          </cell>
          <cell r="AS1386">
            <v>0</v>
          </cell>
        </row>
        <row r="1387">
          <cell r="A1387" t="str">
            <v>13135A</v>
          </cell>
          <cell r="B1387" t="str">
            <v>FRONTLINE TRAILERS</v>
          </cell>
          <cell r="C1387" t="str">
            <v>M10265</v>
          </cell>
          <cell r="D1387" t="str">
            <v>NET 5, BT+</v>
          </cell>
          <cell r="E1387" t="str">
            <v>CF</v>
          </cell>
          <cell r="F1387" t="str">
            <v>Yes</v>
          </cell>
          <cell r="G1387" t="str">
            <v>TX</v>
          </cell>
          <cell r="H1387">
            <v>7</v>
          </cell>
          <cell r="I1387">
            <v>0.66500000000000004</v>
          </cell>
          <cell r="J1387" t="str">
            <v>Orphaned Acct</v>
          </cell>
          <cell r="K1387" t="str">
            <v>DARTMOUTH</v>
          </cell>
          <cell r="L1387" t="str">
            <v>NS</v>
          </cell>
          <cell r="M1387" t="str">
            <v>903-575-5204</v>
          </cell>
          <cell r="N1387"/>
          <cell r="O1387">
            <v>2330</v>
          </cell>
          <cell r="P1387">
            <v>10019</v>
          </cell>
          <cell r="Q1387">
            <v>1874</v>
          </cell>
          <cell r="R1387">
            <v>8058.2</v>
          </cell>
          <cell r="S1387"/>
          <cell r="T1387">
            <v>0</v>
          </cell>
          <cell r="U1387">
            <v>2428</v>
          </cell>
          <cell r="V1387">
            <v>10440.4</v>
          </cell>
          <cell r="W1387">
            <v>2410</v>
          </cell>
          <cell r="X1387">
            <v>10363</v>
          </cell>
          <cell r="Y1387"/>
          <cell r="Z1387">
            <v>0</v>
          </cell>
          <cell r="AA1387"/>
          <cell r="AB1387">
            <v>0</v>
          </cell>
          <cell r="AC1387"/>
          <cell r="AD1387">
            <v>0</v>
          </cell>
          <cell r="AE1387"/>
          <cell r="AF1387"/>
          <cell r="AG1387"/>
          <cell r="AH1387"/>
          <cell r="AI1387"/>
          <cell r="AJ1387">
            <v>0</v>
          </cell>
          <cell r="AK1387" t="str">
            <v>3P</v>
          </cell>
          <cell r="AL1387">
            <v>213</v>
          </cell>
          <cell r="AM1387"/>
          <cell r="AN1387" t="str">
            <v>08 Inactive Dealer</v>
          </cell>
          <cell r="AO1387" t="str">
            <v>E.Canada</v>
          </cell>
          <cell r="AP1387" t="str">
            <v>North</v>
          </cell>
          <cell r="AQ1387"/>
          <cell r="AR1387">
            <v>0</v>
          </cell>
          <cell r="AS1387">
            <v>0</v>
          </cell>
        </row>
        <row r="1388">
          <cell r="A1388">
            <v>12948</v>
          </cell>
          <cell r="B1388" t="str">
            <v>LIFESTYLE TRAILER SALES AND SERVICE</v>
          </cell>
          <cell r="C1388" t="str">
            <v>M10265</v>
          </cell>
          <cell r="D1388" t="str">
            <v>NET 5, BT+</v>
          </cell>
          <cell r="E1388" t="str">
            <v>CF</v>
          </cell>
          <cell r="F1388" t="str">
            <v>Yes</v>
          </cell>
          <cell r="G1388" t="str">
            <v>TX</v>
          </cell>
          <cell r="H1388">
            <v>7</v>
          </cell>
          <cell r="I1388">
            <v>0.66500000000000004</v>
          </cell>
          <cell r="J1388" t="str">
            <v>Orphaned Acct</v>
          </cell>
          <cell r="K1388" t="str">
            <v>DARTMOUTH</v>
          </cell>
          <cell r="L1388" t="str">
            <v>NS</v>
          </cell>
          <cell r="M1388" t="str">
            <v>903-575-5204</v>
          </cell>
          <cell r="N1388"/>
          <cell r="O1388">
            <v>2330</v>
          </cell>
          <cell r="P1388">
            <v>10019</v>
          </cell>
          <cell r="Q1388">
            <v>1874</v>
          </cell>
          <cell r="R1388">
            <v>8058.2</v>
          </cell>
          <cell r="S1388"/>
          <cell r="T1388">
            <v>0</v>
          </cell>
          <cell r="U1388">
            <v>2428</v>
          </cell>
          <cell r="V1388">
            <v>10440.4</v>
          </cell>
          <cell r="W1388">
            <v>2410</v>
          </cell>
          <cell r="X1388">
            <v>10363</v>
          </cell>
          <cell r="Y1388"/>
          <cell r="Z1388">
            <v>0</v>
          </cell>
          <cell r="AA1388"/>
          <cell r="AB1388">
            <v>0</v>
          </cell>
          <cell r="AC1388"/>
          <cell r="AD1388">
            <v>0</v>
          </cell>
          <cell r="AE1388"/>
          <cell r="AF1388"/>
          <cell r="AG1388"/>
          <cell r="AH1388"/>
          <cell r="AI1388"/>
          <cell r="AJ1388">
            <v>0</v>
          </cell>
          <cell r="AK1388" t="str">
            <v>3P</v>
          </cell>
          <cell r="AL1388">
            <v>213</v>
          </cell>
          <cell r="AM1388"/>
          <cell r="AN1388" t="str">
            <v>08 Inactive Dealer</v>
          </cell>
          <cell r="AO1388" t="str">
            <v>E.Canada</v>
          </cell>
          <cell r="AP1388" t="str">
            <v>North</v>
          </cell>
          <cell r="AQ1388"/>
          <cell r="AR1388">
            <v>0</v>
          </cell>
          <cell r="AS1388">
            <v>0</v>
          </cell>
        </row>
        <row r="1389">
          <cell r="A1389">
            <v>13619</v>
          </cell>
          <cell r="B1389" t="str">
            <v>FFUN MOTOR SPORTS</v>
          </cell>
          <cell r="C1389" t="str">
            <v>M11598</v>
          </cell>
          <cell r="D1389" t="str">
            <v>NET 5, BT+</v>
          </cell>
          <cell r="E1389" t="str">
            <v>F3 - Northpoint</v>
          </cell>
          <cell r="F1389" t="str">
            <v>Yes</v>
          </cell>
          <cell r="G1389" t="str">
            <v>TX</v>
          </cell>
          <cell r="H1389">
            <v>8</v>
          </cell>
          <cell r="I1389">
            <v>0.66500000000000004</v>
          </cell>
          <cell r="J1389" t="str">
            <v>JL Smith</v>
          </cell>
          <cell r="K1389" t="str">
            <v>SASKATOON</v>
          </cell>
          <cell r="L1389" t="str">
            <v>SK</v>
          </cell>
          <cell r="M1389"/>
          <cell r="N1389"/>
          <cell r="O1389">
            <v>1690</v>
          </cell>
          <cell r="P1389">
            <v>7267</v>
          </cell>
          <cell r="Q1389">
            <v>2160</v>
          </cell>
          <cell r="R1389">
            <v>9288</v>
          </cell>
          <cell r="S1389"/>
          <cell r="T1389">
            <v>0</v>
          </cell>
          <cell r="U1389">
            <v>1559</v>
          </cell>
          <cell r="V1389">
            <v>6703.7</v>
          </cell>
          <cell r="W1389">
            <v>1694</v>
          </cell>
          <cell r="X1389">
            <v>7284.2</v>
          </cell>
          <cell r="Y1389"/>
          <cell r="Z1389">
            <v>0</v>
          </cell>
          <cell r="AA1389">
            <v>1641</v>
          </cell>
          <cell r="AB1389">
            <v>7056.2999999999993</v>
          </cell>
          <cell r="AC1389">
            <v>1641</v>
          </cell>
          <cell r="AD1389">
            <v>7056.2999999999993</v>
          </cell>
          <cell r="AE1389"/>
          <cell r="AF1389"/>
          <cell r="AG1389"/>
          <cell r="AH1389"/>
          <cell r="AI1389"/>
          <cell r="AJ1389">
            <v>0.03</v>
          </cell>
          <cell r="AK1389" t="str">
            <v>3P</v>
          </cell>
          <cell r="AL1389">
            <v>151</v>
          </cell>
          <cell r="AM1389"/>
          <cell r="AN1389" t="str">
            <v>03 New Dealer</v>
          </cell>
          <cell r="AO1389" t="str">
            <v>E.Canada</v>
          </cell>
          <cell r="AP1389" t="str">
            <v>West</v>
          </cell>
          <cell r="AQ1389"/>
          <cell r="AR1389">
            <v>0</v>
          </cell>
          <cell r="AS1389">
            <v>0</v>
          </cell>
        </row>
        <row r="1390">
          <cell r="A1390">
            <v>12782</v>
          </cell>
          <cell r="B1390" t="str">
            <v>JASON'S AGRI-MOTIVE</v>
          </cell>
          <cell r="C1390" t="str">
            <v>M10237</v>
          </cell>
          <cell r="D1390" t="str">
            <v>NET 5, BT+</v>
          </cell>
          <cell r="E1390" t="str">
            <v>FP</v>
          </cell>
          <cell r="F1390" t="str">
            <v>Yes</v>
          </cell>
          <cell r="G1390" t="str">
            <v>TX</v>
          </cell>
          <cell r="H1390">
            <v>8</v>
          </cell>
          <cell r="I1390">
            <v>0.66500000000000004</v>
          </cell>
          <cell r="J1390" t="str">
            <v>Orphaned Acct</v>
          </cell>
          <cell r="K1390" t="str">
            <v>LAFLECHE</v>
          </cell>
          <cell r="L1390" t="str">
            <v>SK</v>
          </cell>
          <cell r="M1390" t="str">
            <v>208-459-0106</v>
          </cell>
          <cell r="N1390"/>
          <cell r="O1390">
            <v>1787</v>
          </cell>
          <cell r="P1390">
            <v>7684.0999999999995</v>
          </cell>
          <cell r="Q1390"/>
          <cell r="R1390">
            <v>0</v>
          </cell>
          <cell r="S1390">
            <v>998</v>
          </cell>
          <cell r="T1390">
            <v>4291.3999999999996</v>
          </cell>
          <cell r="U1390">
            <v>1557</v>
          </cell>
          <cell r="V1390">
            <v>6695.0999999999995</v>
          </cell>
          <cell r="W1390">
            <v>1739</v>
          </cell>
          <cell r="X1390">
            <v>7477.7</v>
          </cell>
          <cell r="Y1390"/>
          <cell r="Z1390">
            <v>0</v>
          </cell>
          <cell r="AA1390"/>
          <cell r="AB1390" t="str">
            <v>n/a</v>
          </cell>
          <cell r="AC1390"/>
          <cell r="AD1390" t="str">
            <v>n/a</v>
          </cell>
          <cell r="AE1390"/>
          <cell r="AF1390"/>
          <cell r="AG1390"/>
          <cell r="AH1390"/>
          <cell r="AI1390"/>
          <cell r="AJ1390">
            <v>0</v>
          </cell>
          <cell r="AK1390" t="str">
            <v>3P</v>
          </cell>
          <cell r="AL1390">
            <v>213</v>
          </cell>
          <cell r="AM1390"/>
          <cell r="AN1390" t="str">
            <v>01 Existing Dealer</v>
          </cell>
          <cell r="AO1390" t="str">
            <v>E.Canada</v>
          </cell>
          <cell r="AP1390" t="str">
            <v>West</v>
          </cell>
          <cell r="AQ1390"/>
          <cell r="AR1390">
            <v>0</v>
          </cell>
          <cell r="AS1390">
            <v>0</v>
          </cell>
        </row>
        <row r="1391">
          <cell r="A1391">
            <v>12737</v>
          </cell>
          <cell r="B1391" t="str">
            <v>JASON'S AGRI-MOTIVE</v>
          </cell>
          <cell r="C1391" t="str">
            <v>M10237</v>
          </cell>
          <cell r="D1391" t="str">
            <v>NET 5, BT+</v>
          </cell>
          <cell r="E1391" t="str">
            <v>CF</v>
          </cell>
          <cell r="F1391" t="str">
            <v>Yes</v>
          </cell>
          <cell r="G1391" t="str">
            <v>TX</v>
          </cell>
          <cell r="H1391">
            <v>7</v>
          </cell>
          <cell r="I1391">
            <v>0.66500000000000004</v>
          </cell>
          <cell r="J1391" t="str">
            <v>Orphaned Acct</v>
          </cell>
          <cell r="K1391" t="str">
            <v>LAFLECHE</v>
          </cell>
          <cell r="L1391" t="str">
            <v>SK</v>
          </cell>
          <cell r="M1391" t="str">
            <v>208-459-0106</v>
          </cell>
          <cell r="N1391"/>
          <cell r="O1391">
            <v>1787</v>
          </cell>
          <cell r="P1391">
            <v>7684.0999999999995</v>
          </cell>
          <cell r="Q1391"/>
          <cell r="R1391">
            <v>0</v>
          </cell>
          <cell r="S1391">
            <v>998</v>
          </cell>
          <cell r="T1391">
            <v>4291.3999999999996</v>
          </cell>
          <cell r="U1391">
            <v>1557</v>
          </cell>
          <cell r="V1391">
            <v>6695.0999999999995</v>
          </cell>
          <cell r="W1391">
            <v>1739</v>
          </cell>
          <cell r="X1391">
            <v>7477.7</v>
          </cell>
          <cell r="Y1391"/>
          <cell r="Z1391">
            <v>0</v>
          </cell>
          <cell r="AA1391"/>
          <cell r="AB1391" t="str">
            <v>n/a</v>
          </cell>
          <cell r="AC1391"/>
          <cell r="AD1391" t="str">
            <v>n/a</v>
          </cell>
          <cell r="AE1391"/>
          <cell r="AF1391"/>
          <cell r="AG1391"/>
          <cell r="AH1391"/>
          <cell r="AI1391"/>
          <cell r="AJ1391">
            <v>0</v>
          </cell>
          <cell r="AK1391" t="str">
            <v>3P</v>
          </cell>
          <cell r="AL1391">
            <v>213</v>
          </cell>
          <cell r="AM1391"/>
          <cell r="AN1391" t="str">
            <v>01 Existing Dealer</v>
          </cell>
          <cell r="AO1391" t="str">
            <v>E.Canada</v>
          </cell>
          <cell r="AP1391" t="str">
            <v>West</v>
          </cell>
          <cell r="AQ1391"/>
          <cell r="AR1391">
            <v>0</v>
          </cell>
          <cell r="AS1391">
            <v>0</v>
          </cell>
        </row>
        <row r="1392">
          <cell r="A1392">
            <v>12080</v>
          </cell>
          <cell r="B1392" t="str">
            <v>MAJESTIK TRAILERS</v>
          </cell>
          <cell r="C1392" t="str">
            <v>M10274</v>
          </cell>
          <cell r="D1392" t="str">
            <v>NET 5, BT+</v>
          </cell>
          <cell r="E1392" t="str">
            <v>CF</v>
          </cell>
          <cell r="F1392" t="str">
            <v>Yes</v>
          </cell>
          <cell r="G1392" t="str">
            <v>TX</v>
          </cell>
          <cell r="H1392">
            <v>7</v>
          </cell>
          <cell r="I1392">
            <v>0.7</v>
          </cell>
          <cell r="J1392" t="str">
            <v>Orphaned Acct</v>
          </cell>
          <cell r="K1392" t="str">
            <v>PILOT BUTTE</v>
          </cell>
          <cell r="L1392" t="str">
            <v>SK</v>
          </cell>
          <cell r="M1392" t="str">
            <v>208-459-0106</v>
          </cell>
          <cell r="N1392"/>
          <cell r="O1392">
            <v>1830</v>
          </cell>
          <cell r="P1392">
            <v>7869</v>
          </cell>
          <cell r="Q1392"/>
          <cell r="R1392">
            <v>0</v>
          </cell>
          <cell r="S1392">
            <v>1134</v>
          </cell>
          <cell r="T1392">
            <v>4876.2</v>
          </cell>
          <cell r="U1392">
            <v>1558</v>
          </cell>
          <cell r="V1392">
            <v>6699.4</v>
          </cell>
          <cell r="W1392">
            <v>1782</v>
          </cell>
          <cell r="X1392">
            <v>7662.5999999999995</v>
          </cell>
          <cell r="Y1392"/>
          <cell r="Z1392">
            <v>0</v>
          </cell>
          <cell r="AA1392"/>
          <cell r="AB1392" t="str">
            <v>n/a</v>
          </cell>
          <cell r="AC1392"/>
          <cell r="AD1392" t="str">
            <v>n/a</v>
          </cell>
          <cell r="AE1392"/>
          <cell r="AF1392"/>
          <cell r="AG1392"/>
          <cell r="AH1392"/>
          <cell r="AI1392"/>
          <cell r="AJ1392">
            <v>0</v>
          </cell>
          <cell r="AK1392" t="str">
            <v>3P</v>
          </cell>
          <cell r="AL1392">
            <v>213</v>
          </cell>
          <cell r="AM1392"/>
          <cell r="AN1392" t="str">
            <v>08 Inactive Dealer</v>
          </cell>
          <cell r="AO1392" t="str">
            <v>E.Canada</v>
          </cell>
          <cell r="AP1392" t="str">
            <v>West</v>
          </cell>
          <cell r="AQ1392"/>
          <cell r="AR1392">
            <v>0</v>
          </cell>
          <cell r="AS1392">
            <v>0</v>
          </cell>
        </row>
        <row r="1393">
          <cell r="AN1393"/>
          <cell r="AO1393"/>
          <cell r="AQ1393"/>
          <cell r="AR1393">
            <v>0</v>
          </cell>
          <cell r="AS1393">
            <v>0</v>
          </cell>
        </row>
        <row r="1394">
          <cell r="AN1394"/>
          <cell r="AO1394"/>
          <cell r="AQ1394"/>
          <cell r="AR1394">
            <v>0</v>
          </cell>
          <cell r="AS1394">
            <v>0</v>
          </cell>
        </row>
        <row r="1395">
          <cell r="AN1395"/>
          <cell r="AO1395"/>
          <cell r="AQ1395"/>
          <cell r="AR1395">
            <v>0</v>
          </cell>
          <cell r="AS1395">
            <v>0</v>
          </cell>
        </row>
        <row r="1396">
          <cell r="AN1396"/>
          <cell r="AO1396"/>
          <cell r="AQ1396"/>
          <cell r="AR1396">
            <v>0</v>
          </cell>
          <cell r="AS1396">
            <v>0</v>
          </cell>
        </row>
        <row r="1397">
          <cell r="AN1397"/>
          <cell r="AO1397"/>
          <cell r="AQ1397"/>
          <cell r="AR1397">
            <v>0</v>
          </cell>
          <cell r="AS1397">
            <v>0</v>
          </cell>
        </row>
        <row r="1398">
          <cell r="B1398" t="str">
            <v>ORANGELINE DEALERS</v>
          </cell>
          <cell r="J1398" t="str">
            <v>Current Surcharge =</v>
          </cell>
          <cell r="K1398">
            <v>0</v>
          </cell>
          <cell r="O1398" t="str">
            <v>MP</v>
          </cell>
          <cell r="P1398" t="str">
            <v>Semi/Cab Over</v>
          </cell>
          <cell r="Q1398" t="str">
            <v>GA</v>
          </cell>
          <cell r="R1398" t="str">
            <v>Semi/Cab Over</v>
          </cell>
          <cell r="S1398" t="str">
            <v>IDAHO</v>
          </cell>
          <cell r="T1398" t="str">
            <v>Semi/Cab Over</v>
          </cell>
          <cell r="U1398" t="str">
            <v>Madill, OK</v>
          </cell>
          <cell r="V1398" t="str">
            <v>Semi/Cab Over</v>
          </cell>
          <cell r="W1398" t="str">
            <v>Wills Point, TX</v>
          </cell>
          <cell r="X1398" t="str">
            <v>Semi/Cab Over</v>
          </cell>
          <cell r="Y1398" t="str">
            <v>Chambersburg, PA</v>
          </cell>
          <cell r="Z1398" t="str">
            <v>Semi/Cab Over</v>
          </cell>
          <cell r="AA1398" t="str">
            <v>Batavia, OH 45103</v>
          </cell>
          <cell r="AB1398" t="str">
            <v>Semi/Cab Over</v>
          </cell>
          <cell r="AC1398" t="str">
            <v>Batavia, OH 45103</v>
          </cell>
          <cell r="AD1398" t="str">
            <v>Semi/Cab Over</v>
          </cell>
          <cell r="AE1398" t="str">
            <v>Desired Freight % per Plant</v>
          </cell>
          <cell r="AF1398"/>
          <cell r="AG1398"/>
          <cell r="AH1398"/>
          <cell r="AI1398"/>
          <cell r="AJ1398" t="str">
            <v>Disc %</v>
          </cell>
          <cell r="AK1398" t="str">
            <v>Dlr Tier</v>
          </cell>
          <cell r="AN1398"/>
          <cell r="AO1398"/>
          <cell r="AQ1398"/>
          <cell r="AR1398">
            <v>0</v>
          </cell>
          <cell r="AS1398">
            <v>0</v>
          </cell>
        </row>
        <row r="1399">
          <cell r="A1399" t="str">
            <v>Customer</v>
          </cell>
          <cell r="B1399" t="str">
            <v>Name</v>
          </cell>
          <cell r="C1399" t="str">
            <v>Master #</v>
          </cell>
          <cell r="D1399" t="str">
            <v>Freight Code</v>
          </cell>
          <cell r="E1399" t="str">
            <v>Terms Code</v>
          </cell>
          <cell r="F1399" t="str">
            <v>MSO</v>
          </cell>
          <cell r="G1399" t="str">
            <v>Br.</v>
          </cell>
          <cell r="H1399" t="str">
            <v>Cat</v>
          </cell>
          <cell r="I1399" t="str">
            <v>Level</v>
          </cell>
          <cell r="J1399" t="str">
            <v>DSR</v>
          </cell>
          <cell r="K1399" t="str">
            <v>CITY</v>
          </cell>
          <cell r="L1399" t="str">
            <v>ST</v>
          </cell>
          <cell r="M1399" t="str">
            <v>Fax</v>
          </cell>
          <cell r="N1399"/>
          <cell r="O1399"/>
          <cell r="P1399">
            <v>4.3</v>
          </cell>
          <cell r="Q1399"/>
          <cell r="R1399">
            <v>4.3</v>
          </cell>
          <cell r="S1399"/>
          <cell r="T1399">
            <v>4.3</v>
          </cell>
          <cell r="U1399"/>
          <cell r="V1399">
            <v>4.3</v>
          </cell>
          <cell r="W1399"/>
          <cell r="X1399">
            <v>4.3</v>
          </cell>
          <cell r="Y1399"/>
          <cell r="Z1399">
            <v>4.3</v>
          </cell>
          <cell r="AA1399"/>
          <cell r="AB1399">
            <v>4.3</v>
          </cell>
          <cell r="AC1399"/>
          <cell r="AD1399">
            <v>4.3</v>
          </cell>
          <cell r="AE1399" t="str">
            <v>MP</v>
          </cell>
          <cell r="AF1399" t="str">
            <v>GA</v>
          </cell>
          <cell r="AG1399" t="str">
            <v>ID</v>
          </cell>
          <cell r="AH1399" t="str">
            <v>OK</v>
          </cell>
          <cell r="AI1399" t="str">
            <v>Wills Point</v>
          </cell>
          <cell r="AJ1399"/>
          <cell r="AK1399"/>
          <cell r="AL1399"/>
          <cell r="AM1399"/>
          <cell r="AN1399"/>
          <cell r="AO1399"/>
          <cell r="AQ1399"/>
          <cell r="AR1399">
            <v>0</v>
          </cell>
          <cell r="AS1399">
            <v>0</v>
          </cell>
        </row>
        <row r="1400">
          <cell r="A1400">
            <v>13638</v>
          </cell>
          <cell r="B1400" t="str">
            <v>EQUIPMENT SOURCE</v>
          </cell>
          <cell r="C1400" t="str">
            <v>M11617</v>
          </cell>
          <cell r="D1400" t="str">
            <v>Net 30, no pink card</v>
          </cell>
          <cell r="E1400" t="str">
            <v>CF</v>
          </cell>
          <cell r="F1400" t="str">
            <v>Yes</v>
          </cell>
          <cell r="G1400" t="str">
            <v>TX</v>
          </cell>
          <cell r="H1400">
            <v>5</v>
          </cell>
          <cell r="I1400">
            <v>0.7</v>
          </cell>
          <cell r="J1400" t="str">
            <v>Jimmy L Smith</v>
          </cell>
          <cell r="K1400" t="str">
            <v>FAIRBANKS</v>
          </cell>
          <cell r="L1400" t="str">
            <v>AK</v>
          </cell>
          <cell r="M1400" t="str">
            <v>800-577-8858</v>
          </cell>
          <cell r="N1400"/>
          <cell r="O1400"/>
          <cell r="P1400">
            <v>0</v>
          </cell>
          <cell r="Q1400"/>
          <cell r="R1400">
            <v>0</v>
          </cell>
          <cell r="S1400"/>
          <cell r="T1400">
            <v>0</v>
          </cell>
          <cell r="U1400" t="str"/>
          <cell r="V1400" t="str"/>
          <cell r="W1400" t="str"/>
          <cell r="X1400"/>
          <cell r="Y1400"/>
          <cell r="Z1400"/>
          <cell r="AA1400"/>
          <cell r="AB1400" t="str">
            <v>n/a</v>
          </cell>
          <cell r="AC1400"/>
          <cell r="AD1400" t="str">
            <v>n/a</v>
          </cell>
          <cell r="AE1400"/>
          <cell r="AF1400"/>
          <cell r="AG1400"/>
          <cell r="AH1400"/>
          <cell r="AI1400"/>
          <cell r="AJ1400"/>
          <cell r="AK1400" t="str">
            <v>OL</v>
          </cell>
          <cell r="AL1400">
            <v>151</v>
          </cell>
          <cell r="AM1400">
            <v>14</v>
          </cell>
          <cell r="AN1400" t="str">
            <v>10 Orangeline</v>
          </cell>
          <cell r="AO1400" t="str">
            <v>Southeast</v>
          </cell>
          <cell r="AP1400" t="str">
            <v>South</v>
          </cell>
          <cell r="AQ1400"/>
          <cell r="AR1400">
            <v>0</v>
          </cell>
          <cell r="AS1400">
            <v>0</v>
          </cell>
        </row>
        <row r="1401">
          <cell r="A1401" t="str">
            <v>13638A</v>
          </cell>
          <cell r="B1401" t="str">
            <v>EQUIPMENT SOURCE</v>
          </cell>
          <cell r="C1401" t="str">
            <v>M11617</v>
          </cell>
          <cell r="D1401" t="str">
            <v>Net 30, no pink card</v>
          </cell>
          <cell r="E1401" t="str">
            <v>CF</v>
          </cell>
          <cell r="F1401" t="str">
            <v>Yes</v>
          </cell>
          <cell r="G1401" t="str">
            <v>TX</v>
          </cell>
          <cell r="H1401">
            <v>5</v>
          </cell>
          <cell r="I1401">
            <v>0.7</v>
          </cell>
          <cell r="J1401" t="str">
            <v>Jimmy L Smith</v>
          </cell>
          <cell r="K1401" t="str">
            <v>ANCHORAGE</v>
          </cell>
          <cell r="L1401" t="str">
            <v>AK</v>
          </cell>
          <cell r="M1401" t="str">
            <v>800-577-8858</v>
          </cell>
          <cell r="N1401"/>
          <cell r="O1401"/>
          <cell r="P1401">
            <v>0</v>
          </cell>
          <cell r="Q1401"/>
          <cell r="R1401">
            <v>0</v>
          </cell>
          <cell r="S1401"/>
          <cell r="T1401">
            <v>0</v>
          </cell>
          <cell r="U1401" t="str"/>
          <cell r="V1401" t="str"/>
          <cell r="W1401" t="str"/>
          <cell r="X1401"/>
          <cell r="Y1401"/>
          <cell r="Z1401"/>
          <cell r="AA1401"/>
          <cell r="AB1401" t="str">
            <v>n/a</v>
          </cell>
          <cell r="AC1401"/>
          <cell r="AD1401" t="str">
            <v>n/a</v>
          </cell>
          <cell r="AE1401"/>
          <cell r="AF1401"/>
          <cell r="AG1401"/>
          <cell r="AH1401"/>
          <cell r="AI1401"/>
          <cell r="AJ1401"/>
          <cell r="AK1401" t="str">
            <v>OL</v>
          </cell>
          <cell r="AL1401">
            <v>151</v>
          </cell>
          <cell r="AM1401">
            <v>136</v>
          </cell>
          <cell r="AN1401" t="str">
            <v>10 Orangeline</v>
          </cell>
          <cell r="AO1401" t="str">
            <v>Southeast</v>
          </cell>
          <cell r="AP1401" t="str">
            <v>South</v>
          </cell>
          <cell r="AQ1401"/>
          <cell r="AR1401">
            <v>0</v>
          </cell>
          <cell r="AS1401">
            <v>0</v>
          </cell>
        </row>
        <row r="1402">
          <cell r="A1402">
            <v>13284</v>
          </cell>
          <cell r="B1402" t="str">
            <v>BONDY'S KUBOTA</v>
          </cell>
          <cell r="C1402" t="str">
            <v>M11243</v>
          </cell>
          <cell r="D1402" t="str">
            <v>Net 30, no pink card</v>
          </cell>
          <cell r="E1402" t="str">
            <v>2%</v>
          </cell>
          <cell r="F1402" t="str">
            <v>Yes</v>
          </cell>
          <cell r="G1402" t="str">
            <v>GA</v>
          </cell>
          <cell r="H1402">
            <v>5</v>
          </cell>
          <cell r="I1402">
            <v>0.7</v>
          </cell>
          <cell r="J1402" t="str">
            <v>Jimmy L Smith</v>
          </cell>
          <cell r="K1402" t="str">
            <v>DOTHAN</v>
          </cell>
          <cell r="L1402" t="str">
            <v>AL</v>
          </cell>
          <cell r="M1402" t="str">
            <v>800-577-8858</v>
          </cell>
          <cell r="N1402"/>
          <cell r="O1402">
            <v>650</v>
          </cell>
          <cell r="P1402">
            <v>2795</v>
          </cell>
          <cell r="Q1402">
            <v>130</v>
          </cell>
          <cell r="R1402">
            <v>559</v>
          </cell>
          <cell r="S1402"/>
          <cell r="T1402">
            <v>0</v>
          </cell>
          <cell r="U1402" t="str"/>
          <cell r="V1402" t="str"/>
          <cell r="W1402" t="str"/>
          <cell r="X1402"/>
          <cell r="Y1402"/>
          <cell r="Z1402"/>
          <cell r="AA1402"/>
          <cell r="AB1402" t="str">
            <v>n/a</v>
          </cell>
          <cell r="AC1402"/>
          <cell r="AD1402" t="str">
            <v>n/a</v>
          </cell>
          <cell r="AE1402"/>
          <cell r="AF1402"/>
          <cell r="AG1402"/>
          <cell r="AH1402"/>
          <cell r="AI1402"/>
          <cell r="AJ1402"/>
          <cell r="AK1402" t="str">
            <v>OL</v>
          </cell>
          <cell r="AL1402">
            <v>151</v>
          </cell>
          <cell r="AM1402">
            <v>115</v>
          </cell>
          <cell r="AN1402" t="str">
            <v>10 Orangeline</v>
          </cell>
          <cell r="AO1402" t="str">
            <v>Southeast</v>
          </cell>
          <cell r="AP1402" t="str">
            <v>South</v>
          </cell>
          <cell r="AQ1402"/>
          <cell r="AR1402">
            <v>0</v>
          </cell>
          <cell r="AS1402">
            <v>0</v>
          </cell>
        </row>
        <row r="1403">
          <cell r="A1403" t="str">
            <v>13284A</v>
          </cell>
          <cell r="B1403" t="str">
            <v>BONDY'S KUBOTA</v>
          </cell>
          <cell r="C1403" t="str">
            <v>M11243</v>
          </cell>
          <cell r="D1403" t="str">
            <v>Net 30, no pink card</v>
          </cell>
          <cell r="E1403" t="str">
            <v>2%</v>
          </cell>
          <cell r="F1403" t="str">
            <v>Yes</v>
          </cell>
          <cell r="G1403" t="str">
            <v>GA</v>
          </cell>
          <cell r="H1403">
            <v>5</v>
          </cell>
          <cell r="I1403">
            <v>0.7</v>
          </cell>
          <cell r="J1403" t="str">
            <v>Jimmy L Smith</v>
          </cell>
          <cell r="K1403" t="str">
            <v>DOTHAN</v>
          </cell>
          <cell r="L1403" t="str">
            <v>AL</v>
          </cell>
          <cell r="M1403" t="str">
            <v>800-577-8858</v>
          </cell>
          <cell r="N1403"/>
          <cell r="O1403">
            <v>650</v>
          </cell>
          <cell r="P1403">
            <v>2795</v>
          </cell>
          <cell r="Q1403">
            <v>130</v>
          </cell>
          <cell r="R1403">
            <v>559</v>
          </cell>
          <cell r="S1403"/>
          <cell r="T1403">
            <v>0</v>
          </cell>
          <cell r="U1403" t="str"/>
          <cell r="V1403" t="str"/>
          <cell r="W1403" t="str"/>
          <cell r="X1403"/>
          <cell r="Y1403"/>
          <cell r="Z1403"/>
          <cell r="AA1403"/>
          <cell r="AB1403" t="str">
            <v>n/a</v>
          </cell>
          <cell r="AC1403"/>
          <cell r="AD1403" t="str">
            <v>n/a</v>
          </cell>
          <cell r="AE1403"/>
          <cell r="AF1403"/>
          <cell r="AG1403"/>
          <cell r="AH1403"/>
          <cell r="AI1403"/>
          <cell r="AJ1403"/>
          <cell r="AK1403" t="str">
            <v>OL</v>
          </cell>
          <cell r="AL1403">
            <v>151</v>
          </cell>
          <cell r="AM1403">
            <v>115</v>
          </cell>
          <cell r="AN1403" t="str">
            <v>10 Orangeline</v>
          </cell>
          <cell r="AO1403" t="str">
            <v>Southeast</v>
          </cell>
          <cell r="AP1403" t="str">
            <v>South</v>
          </cell>
          <cell r="AQ1403"/>
          <cell r="AR1403">
            <v>0</v>
          </cell>
          <cell r="AS1403">
            <v>0</v>
          </cell>
        </row>
        <row r="1404">
          <cell r="A1404">
            <v>13288</v>
          </cell>
          <cell r="B1404" t="str">
            <v>CAHABA TRACTOR</v>
          </cell>
          <cell r="C1404" t="str">
            <v>M11246</v>
          </cell>
          <cell r="D1404" t="str">
            <v>Net 30, no pink card</v>
          </cell>
          <cell r="E1404" t="str">
            <v>2%</v>
          </cell>
          <cell r="F1404" t="str">
            <v>Yes</v>
          </cell>
          <cell r="G1404" t="str">
            <v>GA</v>
          </cell>
          <cell r="H1404">
            <v>5</v>
          </cell>
          <cell r="I1404">
            <v>0.7</v>
          </cell>
          <cell r="J1404" t="str">
            <v>Jimmy L Smith</v>
          </cell>
          <cell r="K1404" t="str">
            <v>PELHAM</v>
          </cell>
          <cell r="L1404" t="str">
            <v>AL</v>
          </cell>
          <cell r="M1404" t="str">
            <v>800-577-8858</v>
          </cell>
          <cell r="N1404"/>
          <cell r="O1404">
            <v>740</v>
          </cell>
          <cell r="P1404">
            <v>3182</v>
          </cell>
          <cell r="Q1404">
            <v>250</v>
          </cell>
          <cell r="R1404">
            <v>1075</v>
          </cell>
          <cell r="S1404"/>
          <cell r="T1404">
            <v>0</v>
          </cell>
          <cell r="U1404" t="str"/>
          <cell r="V1404" t="str"/>
          <cell r="W1404" t="str"/>
          <cell r="X1404"/>
          <cell r="Y1404"/>
          <cell r="Z1404"/>
          <cell r="AA1404"/>
          <cell r="AB1404" t="str">
            <v>n/a</v>
          </cell>
          <cell r="AC1404"/>
          <cell r="AD1404" t="str">
            <v>n/a</v>
          </cell>
          <cell r="AE1404"/>
          <cell r="AF1404"/>
          <cell r="AG1404"/>
          <cell r="AH1404"/>
          <cell r="AI1404"/>
          <cell r="AJ1404"/>
          <cell r="AK1404" t="str">
            <v>OL</v>
          </cell>
          <cell r="AL1404">
            <v>151</v>
          </cell>
          <cell r="AM1404">
            <v>321</v>
          </cell>
          <cell r="AN1404" t="str">
            <v>10 Orangeline</v>
          </cell>
          <cell r="AO1404" t="str">
            <v>Southeast</v>
          </cell>
          <cell r="AP1404" t="str">
            <v>South</v>
          </cell>
          <cell r="AQ1404"/>
          <cell r="AR1404">
            <v>0</v>
          </cell>
          <cell r="AS1404">
            <v>0</v>
          </cell>
        </row>
        <row r="1405">
          <cell r="A1405">
            <v>13291</v>
          </cell>
          <cell r="B1405" t="str">
            <v>CLANTON TRACTOR</v>
          </cell>
          <cell r="C1405" t="str">
            <v>M11249</v>
          </cell>
          <cell r="D1405" t="str">
            <v>Net 30, no pink card</v>
          </cell>
          <cell r="E1405" t="str">
            <v>2%</v>
          </cell>
          <cell r="F1405" t="str">
            <v>Yes</v>
          </cell>
          <cell r="G1405" t="str">
            <v>GA</v>
          </cell>
          <cell r="H1405">
            <v>5</v>
          </cell>
          <cell r="I1405">
            <v>0.7</v>
          </cell>
          <cell r="J1405" t="str">
            <v>Jimmy L Smith</v>
          </cell>
          <cell r="K1405" t="str">
            <v>CLANTON</v>
          </cell>
          <cell r="L1405" t="str">
            <v>AL</v>
          </cell>
          <cell r="M1405" t="str">
            <v>800-577-8858</v>
          </cell>
          <cell r="N1405"/>
          <cell r="O1405">
            <v>550</v>
          </cell>
          <cell r="P1405">
            <v>2365</v>
          </cell>
          <cell r="Q1405">
            <v>212</v>
          </cell>
          <cell r="R1405">
            <v>911.59999999999991</v>
          </cell>
          <cell r="S1405"/>
          <cell r="T1405">
            <v>0</v>
          </cell>
          <cell r="U1405" t="str"/>
          <cell r="V1405" t="str"/>
          <cell r="W1405" t="str"/>
          <cell r="X1405"/>
          <cell r="Y1405"/>
          <cell r="Z1405"/>
          <cell r="AA1405"/>
          <cell r="AB1405" t="str">
            <v>n/a</v>
          </cell>
          <cell r="AC1405"/>
          <cell r="AD1405" t="str">
            <v>n/a</v>
          </cell>
          <cell r="AE1405"/>
          <cell r="AF1405"/>
          <cell r="AG1405"/>
          <cell r="AH1405"/>
          <cell r="AI1405"/>
          <cell r="AJ1405"/>
          <cell r="AK1405" t="str">
            <v>OL</v>
          </cell>
          <cell r="AL1405">
            <v>151</v>
          </cell>
          <cell r="AM1405">
            <v>44</v>
          </cell>
          <cell r="AN1405" t="str">
            <v>10 Orangeline</v>
          </cell>
          <cell r="AO1405" t="str">
            <v>Southeast</v>
          </cell>
          <cell r="AP1405" t="str">
            <v>South</v>
          </cell>
          <cell r="AQ1405"/>
          <cell r="AR1405">
            <v>0</v>
          </cell>
          <cell r="AS1405">
            <v>0</v>
          </cell>
        </row>
        <row r="1406">
          <cell r="A1406" t="str">
            <v>13302D</v>
          </cell>
          <cell r="B1406" t="str">
            <v>H &amp; R AGRI-POWER</v>
          </cell>
          <cell r="C1406" t="str">
            <v>M11258</v>
          </cell>
          <cell r="D1406" t="str">
            <v>Net 30, no pink card</v>
          </cell>
          <cell r="E1406" t="str">
            <v>2%</v>
          </cell>
          <cell r="F1406" t="str">
            <v>Yes</v>
          </cell>
          <cell r="G1406" t="str">
            <v>GA</v>
          </cell>
          <cell r="H1406">
            <v>5</v>
          </cell>
          <cell r="I1406">
            <v>0.7</v>
          </cell>
          <cell r="J1406" t="str">
            <v>Jimmy L Smith</v>
          </cell>
          <cell r="K1406" t="str">
            <v>TANNER</v>
          </cell>
          <cell r="L1406" t="str">
            <v>AL</v>
          </cell>
          <cell r="M1406" t="str">
            <v>800-577-8858</v>
          </cell>
          <cell r="N1406"/>
          <cell r="O1406"/>
          <cell r="P1406">
            <v>0</v>
          </cell>
          <cell r="Q1406">
            <v>351</v>
          </cell>
          <cell r="R1406">
            <v>1509.3</v>
          </cell>
          <cell r="S1406"/>
          <cell r="T1406">
            <v>0</v>
          </cell>
          <cell r="U1406" t="str"/>
          <cell r="V1406" t="str"/>
          <cell r="W1406" t="str"/>
          <cell r="X1406"/>
          <cell r="Y1406"/>
          <cell r="Z1406"/>
          <cell r="AA1406"/>
          <cell r="AB1406" t="str">
            <v>n/a</v>
          </cell>
          <cell r="AC1406"/>
          <cell r="AD1406" t="str">
            <v>n/a</v>
          </cell>
          <cell r="AE1406"/>
          <cell r="AF1406"/>
          <cell r="AG1406"/>
          <cell r="AH1406"/>
          <cell r="AI1406"/>
          <cell r="AJ1406"/>
          <cell r="AK1406" t="str">
            <v>OL</v>
          </cell>
          <cell r="AL1406">
            <v>151</v>
          </cell>
          <cell r="AM1406">
            <v>198</v>
          </cell>
          <cell r="AN1406" t="str">
            <v>10 Orangeline</v>
          </cell>
          <cell r="AO1406" t="str">
            <v>Southeast</v>
          </cell>
          <cell r="AP1406" t="str">
            <v>South</v>
          </cell>
          <cell r="AQ1406"/>
          <cell r="AR1406">
            <v>0</v>
          </cell>
          <cell r="AS1406">
            <v>0</v>
          </cell>
        </row>
        <row r="1407">
          <cell r="A1407">
            <v>13484</v>
          </cell>
          <cell r="B1407" t="str">
            <v>ALABAMA TRACTOR</v>
          </cell>
          <cell r="C1407" t="str">
            <v>M11457</v>
          </cell>
          <cell r="D1407" t="str">
            <v>Net 30, no pink card</v>
          </cell>
          <cell r="E1407" t="str">
            <v>2%</v>
          </cell>
          <cell r="F1407" t="str">
            <v>Yes</v>
          </cell>
          <cell r="G1407" t="str">
            <v>GA</v>
          </cell>
          <cell r="H1407">
            <v>5</v>
          </cell>
          <cell r="I1407">
            <v>0.7</v>
          </cell>
          <cell r="J1407" t="str">
            <v>Jimmy L Smith</v>
          </cell>
          <cell r="K1407" t="str">
            <v>LINCOLN</v>
          </cell>
          <cell r="L1407" t="str">
            <v>AL</v>
          </cell>
          <cell r="M1407" t="str">
            <v>800-577-8858</v>
          </cell>
          <cell r="N1407"/>
          <cell r="O1407"/>
          <cell r="P1407">
            <v>0</v>
          </cell>
          <cell r="Q1407">
            <v>225</v>
          </cell>
          <cell r="R1407">
            <v>967.5</v>
          </cell>
          <cell r="S1407"/>
          <cell r="T1407">
            <v>0</v>
          </cell>
          <cell r="U1407" t="str"/>
          <cell r="V1407" t="str"/>
          <cell r="W1407" t="str"/>
          <cell r="X1407"/>
          <cell r="Y1407"/>
          <cell r="Z1407"/>
          <cell r="AA1407"/>
          <cell r="AB1407" t="str">
            <v>n/a</v>
          </cell>
          <cell r="AC1407"/>
          <cell r="AD1407" t="str">
            <v>n/a</v>
          </cell>
          <cell r="AE1407"/>
          <cell r="AF1407"/>
          <cell r="AG1407"/>
          <cell r="AH1407"/>
          <cell r="AI1407"/>
          <cell r="AJ1407"/>
          <cell r="AK1407" t="str">
            <v>OL</v>
          </cell>
          <cell r="AL1407">
            <v>151</v>
          </cell>
          <cell r="AM1407">
            <v>44</v>
          </cell>
          <cell r="AN1407" t="str">
            <v>10 Orangeline</v>
          </cell>
          <cell r="AO1407" t="str">
            <v>Southeast</v>
          </cell>
          <cell r="AP1407" t="str">
            <v>South</v>
          </cell>
          <cell r="AQ1407"/>
          <cell r="AR1407">
            <v>40860</v>
          </cell>
          <cell r="AS1407">
            <v>0</v>
          </cell>
        </row>
        <row r="1408">
          <cell r="A1408">
            <v>13411</v>
          </cell>
          <cell r="B1408" t="str">
            <v>POWERQUIP</v>
          </cell>
          <cell r="C1408" t="str">
            <v>M11375</v>
          </cell>
          <cell r="D1408" t="str">
            <v>Net 30, no pink card</v>
          </cell>
          <cell r="E1408" t="str">
            <v>2%</v>
          </cell>
          <cell r="F1408" t="str">
            <v>Yes</v>
          </cell>
          <cell r="G1408" t="str">
            <v>GA</v>
          </cell>
          <cell r="H1408">
            <v>5</v>
          </cell>
          <cell r="I1408">
            <v>0.7</v>
          </cell>
          <cell r="J1408" t="str">
            <v>Jimmy L Smith</v>
          </cell>
          <cell r="K1408" t="str">
            <v>ALBERTVILLE</v>
          </cell>
          <cell r="L1408" t="str">
            <v>AL</v>
          </cell>
          <cell r="M1408" t="str">
            <v>800-577-8858</v>
          </cell>
          <cell r="N1408"/>
          <cell r="O1408"/>
          <cell r="P1408">
            <v>0</v>
          </cell>
          <cell r="Q1408">
            <v>290</v>
          </cell>
          <cell r="R1408">
            <v>1247</v>
          </cell>
          <cell r="S1408"/>
          <cell r="T1408">
            <v>0</v>
          </cell>
          <cell r="U1408" t="str"/>
          <cell r="V1408" t="str"/>
          <cell r="W1408" t="str"/>
          <cell r="X1408"/>
          <cell r="Y1408"/>
          <cell r="Z1408"/>
          <cell r="AA1408"/>
          <cell r="AB1408" t="str">
            <v>n/a</v>
          </cell>
          <cell r="AC1408"/>
          <cell r="AD1408" t="str">
            <v>n/a</v>
          </cell>
          <cell r="AE1408"/>
          <cell r="AF1408"/>
          <cell r="AG1408"/>
          <cell r="AH1408"/>
          <cell r="AI1408"/>
          <cell r="AJ1408"/>
          <cell r="AK1408" t="str">
            <v>OL</v>
          </cell>
          <cell r="AL1408">
            <v>151</v>
          </cell>
          <cell r="AM1408">
            <v>198</v>
          </cell>
          <cell r="AN1408" t="str">
            <v>10 Orangeline</v>
          </cell>
          <cell r="AO1408" t="str">
            <v>Southeast</v>
          </cell>
          <cell r="AP1408" t="str">
            <v>South</v>
          </cell>
          <cell r="AQ1408"/>
          <cell r="AR1408">
            <v>0</v>
          </cell>
          <cell r="AS1408">
            <v>0</v>
          </cell>
        </row>
        <row r="1409">
          <cell r="A1409">
            <v>13564</v>
          </cell>
          <cell r="B1409" t="str">
            <v>SCOTT EQUIPMENT</v>
          </cell>
          <cell r="C1409" t="str">
            <v>M11282</v>
          </cell>
          <cell r="D1409" t="str">
            <v>Net 30, no pink card</v>
          </cell>
          <cell r="E1409" t="str">
            <v>2%</v>
          </cell>
          <cell r="F1409" t="str">
            <v>Yes</v>
          </cell>
          <cell r="G1409" t="str">
            <v>GA</v>
          </cell>
          <cell r="H1409">
            <v>5</v>
          </cell>
          <cell r="I1409">
            <v>0.7</v>
          </cell>
          <cell r="J1409" t="str">
            <v>Jimmy L Smith</v>
          </cell>
          <cell r="K1409" t="str">
            <v>RUSSELLVILLE</v>
          </cell>
          <cell r="L1409" t="str">
            <v>AL</v>
          </cell>
          <cell r="M1409" t="str">
            <v>800-577-8858</v>
          </cell>
          <cell r="N1409"/>
          <cell r="O1409"/>
          <cell r="P1409">
            <v>0</v>
          </cell>
          <cell r="Q1409">
            <v>350</v>
          </cell>
          <cell r="R1409">
            <v>1505</v>
          </cell>
          <cell r="S1409"/>
          <cell r="T1409">
            <v>0</v>
          </cell>
          <cell r="U1409" t="str"/>
          <cell r="V1409" t="str"/>
          <cell r="W1409" t="str"/>
          <cell r="X1409"/>
          <cell r="Y1409"/>
          <cell r="Z1409"/>
          <cell r="AA1409"/>
          <cell r="AB1409" t="str">
            <v>n/a</v>
          </cell>
          <cell r="AC1409"/>
          <cell r="AD1409" t="str">
            <v>n/a</v>
          </cell>
          <cell r="AE1409"/>
          <cell r="AF1409"/>
          <cell r="AG1409"/>
          <cell r="AH1409"/>
          <cell r="AI1409"/>
          <cell r="AJ1409"/>
          <cell r="AK1409" t="str">
            <v>OL</v>
          </cell>
          <cell r="AL1409">
            <v>151</v>
          </cell>
          <cell r="AM1409">
            <v>146</v>
          </cell>
          <cell r="AN1409" t="str">
            <v>10 Orangeline</v>
          </cell>
          <cell r="AO1409" t="str">
            <v>Southeast</v>
          </cell>
          <cell r="AP1409" t="str">
            <v>South</v>
          </cell>
          <cell r="AQ1409"/>
          <cell r="AR1409">
            <v>0</v>
          </cell>
          <cell r="AS1409">
            <v>0</v>
          </cell>
        </row>
        <row r="1410">
          <cell r="A1410">
            <v>13330</v>
          </cell>
          <cell r="B1410" t="str">
            <v>SCOTT EQUIPMENT</v>
          </cell>
          <cell r="C1410" t="str">
            <v>M11282</v>
          </cell>
          <cell r="D1410" t="str">
            <v>Net 30, no pink card</v>
          </cell>
          <cell r="E1410" t="str">
            <v>O1-Northpoint</v>
          </cell>
          <cell r="F1410" t="str">
            <v>Yes</v>
          </cell>
          <cell r="G1410" t="str">
            <v>GA</v>
          </cell>
          <cell r="H1410">
            <v>8</v>
          </cell>
          <cell r="I1410">
            <v>0.7</v>
          </cell>
          <cell r="J1410" t="str">
            <v>Jimmy L Smith</v>
          </cell>
          <cell r="K1410" t="str">
            <v>RUSSELLVILLE</v>
          </cell>
          <cell r="L1410" t="str">
            <v>AL</v>
          </cell>
          <cell r="M1410" t="str">
            <v>800-577-8858</v>
          </cell>
          <cell r="N1410"/>
          <cell r="O1410"/>
          <cell r="P1410">
            <v>0</v>
          </cell>
          <cell r="Q1410">
            <v>350</v>
          </cell>
          <cell r="R1410">
            <v>1505</v>
          </cell>
          <cell r="S1410"/>
          <cell r="T1410">
            <v>0</v>
          </cell>
          <cell r="U1410" t="str"/>
          <cell r="V1410" t="str"/>
          <cell r="W1410" t="str"/>
          <cell r="X1410"/>
          <cell r="Y1410"/>
          <cell r="Z1410"/>
          <cell r="AA1410"/>
          <cell r="AB1410" t="str">
            <v>n/a</v>
          </cell>
          <cell r="AC1410"/>
          <cell r="AD1410" t="str">
            <v>n/a</v>
          </cell>
          <cell r="AE1410"/>
          <cell r="AF1410"/>
          <cell r="AG1410"/>
          <cell r="AH1410"/>
          <cell r="AI1410"/>
          <cell r="AJ1410"/>
          <cell r="AK1410" t="str">
            <v>OL</v>
          </cell>
          <cell r="AL1410">
            <v>151</v>
          </cell>
          <cell r="AM1410">
            <v>146</v>
          </cell>
          <cell r="AN1410" t="str">
            <v>10 Orangeline</v>
          </cell>
          <cell r="AO1410" t="str">
            <v>Southeast</v>
          </cell>
          <cell r="AP1410" t="str">
            <v>South</v>
          </cell>
          <cell r="AQ1410"/>
          <cell r="AR1410">
            <v>0</v>
          </cell>
          <cell r="AS1410">
            <v>0</v>
          </cell>
        </row>
        <row r="1411">
          <cell r="A1411">
            <v>13339</v>
          </cell>
          <cell r="B1411" t="str">
            <v>TUSCALOOSA TRACTOR</v>
          </cell>
          <cell r="C1411" t="str">
            <v>M11287</v>
          </cell>
          <cell r="D1411" t="str">
            <v>Net 30, no pink card</v>
          </cell>
          <cell r="E1411" t="str">
            <v>2%</v>
          </cell>
          <cell r="F1411" t="str">
            <v>Yes</v>
          </cell>
          <cell r="G1411" t="str">
            <v>GA</v>
          </cell>
          <cell r="H1411">
            <v>5</v>
          </cell>
          <cell r="I1411">
            <v>0.7</v>
          </cell>
          <cell r="J1411" t="str">
            <v>Jimmy L Smith</v>
          </cell>
          <cell r="K1411" t="str">
            <v>TUSCALOOSA</v>
          </cell>
          <cell r="L1411" t="str">
            <v>AL</v>
          </cell>
          <cell r="M1411" t="str">
            <v>800-577-8858</v>
          </cell>
          <cell r="N1411"/>
          <cell r="O1411"/>
          <cell r="P1411">
            <v>0</v>
          </cell>
          <cell r="Q1411">
            <v>280</v>
          </cell>
          <cell r="R1411">
            <v>1204</v>
          </cell>
          <cell r="S1411"/>
          <cell r="T1411">
            <v>0</v>
          </cell>
          <cell r="U1411" t="str"/>
          <cell r="V1411" t="str"/>
          <cell r="W1411" t="str"/>
          <cell r="X1411"/>
          <cell r="Y1411"/>
          <cell r="Z1411"/>
          <cell r="AA1411"/>
          <cell r="AB1411" t="str">
            <v>n/a</v>
          </cell>
          <cell r="AC1411"/>
          <cell r="AD1411" t="str">
            <v>n/a</v>
          </cell>
          <cell r="AE1411"/>
          <cell r="AF1411"/>
          <cell r="AG1411"/>
          <cell r="AH1411"/>
          <cell r="AI1411"/>
          <cell r="AJ1411"/>
          <cell r="AK1411" t="str">
            <v>OL</v>
          </cell>
          <cell r="AL1411">
            <v>151</v>
          </cell>
          <cell r="AM1411">
            <v>450</v>
          </cell>
          <cell r="AN1411" t="str">
            <v>10 Orangeline</v>
          </cell>
          <cell r="AO1411" t="str">
            <v>Southeast</v>
          </cell>
          <cell r="AP1411" t="str">
            <v>South</v>
          </cell>
          <cell r="AQ1411"/>
          <cell r="AR1411">
            <v>0</v>
          </cell>
          <cell r="AS1411">
            <v>0</v>
          </cell>
        </row>
        <row r="1412">
          <cell r="A1412">
            <v>13281</v>
          </cell>
          <cell r="B1412" t="str">
            <v>BARTON EQUIPMENT</v>
          </cell>
          <cell r="C1412" t="str">
            <v>M11297</v>
          </cell>
          <cell r="D1412" t="str">
            <v>Net 30, no pink card</v>
          </cell>
          <cell r="E1412" t="str">
            <v>O1-Northpoint</v>
          </cell>
          <cell r="F1412" t="str">
            <v>Yes</v>
          </cell>
          <cell r="G1412" t="str">
            <v>TX</v>
          </cell>
          <cell r="H1412">
            <v>8</v>
          </cell>
          <cell r="I1412">
            <v>0.7</v>
          </cell>
          <cell r="J1412" t="str">
            <v>Jimmy L Smith</v>
          </cell>
          <cell r="K1412" t="str">
            <v>MARION</v>
          </cell>
          <cell r="L1412" t="str">
            <v>AR</v>
          </cell>
          <cell r="M1412" t="str">
            <v>800-577-8858</v>
          </cell>
          <cell r="N1412"/>
          <cell r="O1412">
            <v>340</v>
          </cell>
          <cell r="P1412">
            <v>1462</v>
          </cell>
          <cell r="Q1412"/>
          <cell r="R1412">
            <v>0</v>
          </cell>
          <cell r="S1412"/>
          <cell r="T1412">
            <v>0</v>
          </cell>
          <cell r="U1412" t="str"/>
          <cell r="V1412" t="str"/>
          <cell r="W1412" t="str"/>
          <cell r="X1412"/>
          <cell r="Y1412"/>
          <cell r="Z1412"/>
          <cell r="AA1412"/>
          <cell r="AB1412" t="str">
            <v>n/a</v>
          </cell>
          <cell r="AC1412"/>
          <cell r="AD1412" t="str">
            <v>n/a</v>
          </cell>
          <cell r="AE1412"/>
          <cell r="AF1412"/>
          <cell r="AG1412"/>
          <cell r="AH1412"/>
          <cell r="AI1412"/>
          <cell r="AJ1412"/>
          <cell r="AK1412" t="str">
            <v>OL</v>
          </cell>
          <cell r="AL1412">
            <v>151</v>
          </cell>
          <cell r="AM1412">
            <v>290</v>
          </cell>
          <cell r="AN1412" t="str">
            <v>10 Orangeline</v>
          </cell>
          <cell r="AO1412" t="str">
            <v>Southeast</v>
          </cell>
          <cell r="AP1412" t="str">
            <v>South</v>
          </cell>
          <cell r="AQ1412"/>
          <cell r="AR1412">
            <v>0</v>
          </cell>
          <cell r="AS1412">
            <v>0</v>
          </cell>
        </row>
        <row r="1413">
          <cell r="A1413">
            <v>13298</v>
          </cell>
          <cell r="B1413" t="str">
            <v>ESTELLE FARM</v>
          </cell>
          <cell r="C1413" t="str">
            <v>M11302</v>
          </cell>
          <cell r="D1413" t="str">
            <v>Net 30, no pink card</v>
          </cell>
          <cell r="E1413" t="str">
            <v>2%</v>
          </cell>
          <cell r="F1413" t="str">
            <v>Yes</v>
          </cell>
          <cell r="G1413" t="str">
            <v>TX</v>
          </cell>
          <cell r="H1413">
            <v>5</v>
          </cell>
          <cell r="I1413">
            <v>0.7</v>
          </cell>
          <cell r="J1413" t="str">
            <v>Jimmy L Smith</v>
          </cell>
          <cell r="K1413" t="str">
            <v>CROSSETT</v>
          </cell>
          <cell r="L1413" t="str">
            <v>AR</v>
          </cell>
          <cell r="M1413" t="str">
            <v>800-577-8858</v>
          </cell>
          <cell r="N1413"/>
          <cell r="O1413">
            <v>200</v>
          </cell>
          <cell r="P1413">
            <v>860</v>
          </cell>
          <cell r="Q1413"/>
          <cell r="R1413">
            <v>0</v>
          </cell>
          <cell r="S1413"/>
          <cell r="T1413">
            <v>0</v>
          </cell>
          <cell r="U1413" t="str"/>
          <cell r="V1413" t="str"/>
          <cell r="W1413" t="str"/>
          <cell r="X1413"/>
          <cell r="Y1413"/>
          <cell r="Z1413"/>
          <cell r="AA1413"/>
          <cell r="AB1413" t="str">
            <v>n/a</v>
          </cell>
          <cell r="AC1413"/>
          <cell r="AD1413" t="str">
            <v>n/a</v>
          </cell>
          <cell r="AE1413"/>
          <cell r="AF1413"/>
          <cell r="AG1413"/>
          <cell r="AH1413"/>
          <cell r="AI1413"/>
          <cell r="AJ1413"/>
          <cell r="AK1413" t="str">
            <v>OL</v>
          </cell>
          <cell r="AL1413">
            <v>151</v>
          </cell>
          <cell r="AM1413">
            <v>304</v>
          </cell>
          <cell r="AN1413" t="str">
            <v>10 Orangeline</v>
          </cell>
          <cell r="AO1413" t="str">
            <v>Southeast</v>
          </cell>
          <cell r="AP1413" t="str">
            <v>South</v>
          </cell>
          <cell r="AQ1413"/>
          <cell r="AR1413">
            <v>0</v>
          </cell>
          <cell r="AS1413">
            <v>0</v>
          </cell>
        </row>
        <row r="1414">
          <cell r="A1414">
            <v>13299</v>
          </cell>
          <cell r="B1414" t="str">
            <v>FALLIN TRACTOR</v>
          </cell>
          <cell r="C1414" t="str">
            <v>M11298</v>
          </cell>
          <cell r="D1414" t="str">
            <v>Net 30, no pink card</v>
          </cell>
          <cell r="E1414" t="str">
            <v>2%</v>
          </cell>
          <cell r="F1414" t="str">
            <v>Yes</v>
          </cell>
          <cell r="G1414" t="str">
            <v>TX</v>
          </cell>
          <cell r="H1414">
            <v>5</v>
          </cell>
          <cell r="I1414">
            <v>0.7</v>
          </cell>
          <cell r="J1414" t="str">
            <v>Jimmy L Smith</v>
          </cell>
          <cell r="K1414" t="str">
            <v>MAGNOLIA</v>
          </cell>
          <cell r="L1414" t="str">
            <v>AR</v>
          </cell>
          <cell r="M1414" t="str">
            <v>800-577-8858</v>
          </cell>
          <cell r="N1414"/>
          <cell r="O1414">
            <v>120</v>
          </cell>
          <cell r="P1414">
            <v>516</v>
          </cell>
          <cell r="Q1414"/>
          <cell r="R1414">
            <v>0</v>
          </cell>
          <cell r="S1414"/>
          <cell r="T1414">
            <v>0</v>
          </cell>
          <cell r="U1414" t="str"/>
          <cell r="V1414" t="str"/>
          <cell r="W1414" t="str"/>
          <cell r="X1414"/>
          <cell r="Y1414"/>
          <cell r="Z1414"/>
          <cell r="AA1414"/>
          <cell r="AB1414" t="str">
            <v>n/a</v>
          </cell>
          <cell r="AC1414"/>
          <cell r="AD1414" t="str">
            <v>n/a</v>
          </cell>
          <cell r="AE1414"/>
          <cell r="AF1414"/>
          <cell r="AG1414"/>
          <cell r="AH1414"/>
          <cell r="AI1414"/>
          <cell r="AJ1414"/>
          <cell r="AK1414" t="str">
            <v>OL</v>
          </cell>
          <cell r="AL1414">
            <v>151</v>
          </cell>
          <cell r="AM1414">
            <v>125</v>
          </cell>
          <cell r="AN1414" t="str">
            <v>10 Orangeline</v>
          </cell>
          <cell r="AO1414" t="str">
            <v>Southeast</v>
          </cell>
          <cell r="AP1414" t="str">
            <v>South</v>
          </cell>
          <cell r="AQ1414"/>
          <cell r="AR1414">
            <v>0</v>
          </cell>
          <cell r="AS1414">
            <v>0</v>
          </cell>
        </row>
        <row r="1415">
          <cell r="A1415" t="str">
            <v>13251A</v>
          </cell>
          <cell r="B1415" t="str">
            <v>GRAY BROTHERS EQUIPMENT</v>
          </cell>
          <cell r="C1415" t="str">
            <v>M11199</v>
          </cell>
          <cell r="D1415" t="str">
            <v>Net 30, no pink card</v>
          </cell>
          <cell r="E1415" t="str">
            <v>2%</v>
          </cell>
          <cell r="F1415" t="str">
            <v>Yes</v>
          </cell>
          <cell r="G1415" t="str">
            <v>TX</v>
          </cell>
          <cell r="H1415">
            <v>5</v>
          </cell>
          <cell r="I1415">
            <v>0.7</v>
          </cell>
          <cell r="J1415" t="str">
            <v>Jimmy L Smith</v>
          </cell>
          <cell r="K1415" t="str">
            <v>FORT SMITH</v>
          </cell>
          <cell r="L1415" t="str">
            <v>AR</v>
          </cell>
          <cell r="M1415" t="str">
            <v>800-577-8858</v>
          </cell>
          <cell r="N1415"/>
          <cell r="O1415">
            <v>210</v>
          </cell>
          <cell r="P1415">
            <v>903</v>
          </cell>
          <cell r="Q1415"/>
          <cell r="R1415">
            <v>0</v>
          </cell>
          <cell r="S1415"/>
          <cell r="T1415">
            <v>0</v>
          </cell>
          <cell r="U1415" t="str"/>
          <cell r="V1415" t="str"/>
          <cell r="W1415" t="str"/>
          <cell r="X1415"/>
          <cell r="Y1415"/>
          <cell r="Z1415"/>
          <cell r="AA1415"/>
          <cell r="AB1415" t="str">
            <v>n/a</v>
          </cell>
          <cell r="AC1415"/>
          <cell r="AD1415" t="str">
            <v>n/a</v>
          </cell>
          <cell r="AE1415"/>
          <cell r="AF1415"/>
          <cell r="AG1415"/>
          <cell r="AH1415"/>
          <cell r="AI1415"/>
          <cell r="AJ1415"/>
          <cell r="AK1415" t="str">
            <v>OL</v>
          </cell>
          <cell r="AL1415">
            <v>151</v>
          </cell>
          <cell r="AM1415">
            <v>153</v>
          </cell>
          <cell r="AN1415" t="str">
            <v>10 Orangeline</v>
          </cell>
          <cell r="AO1415" t="str">
            <v>Southeast</v>
          </cell>
          <cell r="AP1415" t="str">
            <v>South</v>
          </cell>
          <cell r="AQ1415"/>
          <cell r="AR1415">
            <v>0</v>
          </cell>
          <cell r="AS1415">
            <v>0</v>
          </cell>
        </row>
        <row r="1416">
          <cell r="A1416">
            <v>13191</v>
          </cell>
          <cell r="B1416" t="str">
            <v xml:space="preserve">HENARD FOOTHILLS EQUIPMENT </v>
          </cell>
          <cell r="C1416" t="str">
            <v>M11130</v>
          </cell>
          <cell r="D1416" t="str">
            <v>Net 30, no pink card</v>
          </cell>
          <cell r="E1416" t="str">
            <v>2%</v>
          </cell>
          <cell r="F1416" t="str">
            <v>Yes</v>
          </cell>
          <cell r="G1416" t="str">
            <v>TX</v>
          </cell>
          <cell r="H1416">
            <v>5</v>
          </cell>
          <cell r="I1416">
            <v>0.7</v>
          </cell>
          <cell r="J1416" t="str">
            <v>Jimmy L Smith</v>
          </cell>
          <cell r="K1416" t="str">
            <v>SEARCY</v>
          </cell>
          <cell r="L1416" t="str">
            <v>AR</v>
          </cell>
          <cell r="M1416" t="str">
            <v>800-577-8858</v>
          </cell>
          <cell r="N1416"/>
          <cell r="O1416">
            <v>275</v>
          </cell>
          <cell r="P1416">
            <v>1182.5</v>
          </cell>
          <cell r="Q1416"/>
          <cell r="R1416">
            <v>0</v>
          </cell>
          <cell r="S1416"/>
          <cell r="T1416">
            <v>0</v>
          </cell>
          <cell r="U1416" t="str"/>
          <cell r="V1416" t="str"/>
          <cell r="W1416" t="str"/>
          <cell r="X1416"/>
          <cell r="Y1416"/>
          <cell r="Z1416"/>
          <cell r="AA1416"/>
          <cell r="AB1416" t="str">
            <v>n/a</v>
          </cell>
          <cell r="AC1416"/>
          <cell r="AD1416" t="str">
            <v>n/a</v>
          </cell>
          <cell r="AE1416"/>
          <cell r="AF1416"/>
          <cell r="AG1416"/>
          <cell r="AH1416"/>
          <cell r="AI1416"/>
          <cell r="AJ1416"/>
          <cell r="AK1416" t="str">
            <v>OL</v>
          </cell>
          <cell r="AL1416">
            <v>151</v>
          </cell>
          <cell r="AM1416">
            <v>257</v>
          </cell>
          <cell r="AN1416" t="str">
            <v>10 Orangeline</v>
          </cell>
          <cell r="AO1416" t="str">
            <v>Southeast</v>
          </cell>
          <cell r="AP1416" t="str">
            <v>South</v>
          </cell>
          <cell r="AQ1416"/>
          <cell r="AR1416">
            <v>0</v>
          </cell>
          <cell r="AS1416">
            <v>0</v>
          </cell>
        </row>
        <row r="1417">
          <cell r="A1417">
            <v>13192</v>
          </cell>
          <cell r="B1417" t="str">
            <v>HERITAGE AGRICULTURE-AR</v>
          </cell>
          <cell r="C1417" t="str">
            <v>M11132</v>
          </cell>
          <cell r="D1417" t="str">
            <v>Net 30, no pink card</v>
          </cell>
          <cell r="E1417" t="str">
            <v>2%</v>
          </cell>
          <cell r="F1417" t="str">
            <v>Yes</v>
          </cell>
          <cell r="G1417" t="str">
            <v>TX</v>
          </cell>
          <cell r="H1417">
            <v>5</v>
          </cell>
          <cell r="I1417">
            <v>0.7</v>
          </cell>
          <cell r="J1417" t="str">
            <v>Jimmy L Smith</v>
          </cell>
          <cell r="K1417" t="str">
            <v>CARLISLE</v>
          </cell>
          <cell r="L1417" t="str">
            <v>AR</v>
          </cell>
          <cell r="M1417" t="str">
            <v>800-577-8858</v>
          </cell>
          <cell r="N1417"/>
          <cell r="O1417">
            <v>250</v>
          </cell>
          <cell r="P1417">
            <v>1075</v>
          </cell>
          <cell r="Q1417"/>
          <cell r="R1417">
            <v>0</v>
          </cell>
          <cell r="S1417"/>
          <cell r="T1417">
            <v>0</v>
          </cell>
          <cell r="U1417" t="str"/>
          <cell r="V1417" t="str"/>
          <cell r="W1417" t="str"/>
          <cell r="X1417"/>
          <cell r="Y1417"/>
          <cell r="Z1417"/>
          <cell r="AA1417"/>
          <cell r="AB1417" t="str">
            <v>n/a</v>
          </cell>
          <cell r="AC1417"/>
          <cell r="AD1417" t="str">
            <v>n/a</v>
          </cell>
          <cell r="AE1417"/>
          <cell r="AF1417"/>
          <cell r="AG1417"/>
          <cell r="AH1417"/>
          <cell r="AI1417"/>
          <cell r="AJ1417"/>
          <cell r="AK1417" t="str">
            <v>OL</v>
          </cell>
          <cell r="AL1417">
            <v>151</v>
          </cell>
          <cell r="AM1417">
            <v>257</v>
          </cell>
          <cell r="AN1417" t="str">
            <v>10 Orangeline</v>
          </cell>
          <cell r="AO1417" t="str">
            <v>Southeast</v>
          </cell>
          <cell r="AP1417" t="str">
            <v>South</v>
          </cell>
          <cell r="AQ1417"/>
          <cell r="AR1417">
            <v>0</v>
          </cell>
          <cell r="AS1417">
            <v>0</v>
          </cell>
        </row>
        <row r="1418">
          <cell r="A1418" t="str">
            <v>13192A</v>
          </cell>
          <cell r="B1418" t="str">
            <v>HERITAGE AGRICULTURE-AR</v>
          </cell>
          <cell r="C1418" t="str">
            <v>M11132</v>
          </cell>
          <cell r="D1418" t="str">
            <v>Net 30, no pink card</v>
          </cell>
          <cell r="E1418" t="str">
            <v>2%</v>
          </cell>
          <cell r="F1418" t="str">
            <v>Yes</v>
          </cell>
          <cell r="G1418" t="str">
            <v>TX</v>
          </cell>
          <cell r="H1418">
            <v>5</v>
          </cell>
          <cell r="I1418">
            <v>0.7</v>
          </cell>
          <cell r="J1418" t="str">
            <v>Jimmy L Smith</v>
          </cell>
          <cell r="K1418" t="str">
            <v>HOXIE</v>
          </cell>
          <cell r="L1418" t="str">
            <v>AR</v>
          </cell>
          <cell r="M1418" t="str">
            <v>800-577-8858</v>
          </cell>
          <cell r="N1418"/>
          <cell r="O1418">
            <v>360</v>
          </cell>
          <cell r="P1418">
            <v>1548</v>
          </cell>
          <cell r="Q1418"/>
          <cell r="R1418">
            <v>0</v>
          </cell>
          <cell r="S1418"/>
          <cell r="T1418">
            <v>0</v>
          </cell>
          <cell r="U1418" t="str"/>
          <cell r="V1418" t="str"/>
          <cell r="W1418" t="str"/>
          <cell r="X1418"/>
          <cell r="Y1418"/>
          <cell r="Z1418"/>
          <cell r="AA1418"/>
          <cell r="AB1418" t="str">
            <v>n/a</v>
          </cell>
          <cell r="AC1418"/>
          <cell r="AD1418" t="str">
            <v>n/a</v>
          </cell>
          <cell r="AE1418"/>
          <cell r="AF1418"/>
          <cell r="AG1418"/>
          <cell r="AH1418"/>
          <cell r="AI1418"/>
          <cell r="AJ1418"/>
          <cell r="AK1418" t="str">
            <v>OL</v>
          </cell>
          <cell r="AL1418">
            <v>151</v>
          </cell>
          <cell r="AM1418">
            <v>219</v>
          </cell>
          <cell r="AN1418" t="str">
            <v>10 Orangeline</v>
          </cell>
          <cell r="AO1418" t="str">
            <v>Southeast</v>
          </cell>
          <cell r="AP1418" t="str">
            <v>South</v>
          </cell>
          <cell r="AQ1418"/>
          <cell r="AR1418">
            <v>0</v>
          </cell>
          <cell r="AS1418">
            <v>0</v>
          </cell>
        </row>
        <row r="1419">
          <cell r="A1419" t="str">
            <v>13192B</v>
          </cell>
          <cell r="B1419" t="str">
            <v>HERITAGE AGRICULTURE-AR</v>
          </cell>
          <cell r="C1419" t="str">
            <v>M11132</v>
          </cell>
          <cell r="D1419" t="str">
            <v>Net 30, no pink card</v>
          </cell>
          <cell r="E1419" t="str">
            <v>2%</v>
          </cell>
          <cell r="F1419" t="str">
            <v>Yes</v>
          </cell>
          <cell r="G1419" t="str">
            <v>TX</v>
          </cell>
          <cell r="H1419">
            <v>5</v>
          </cell>
          <cell r="I1419">
            <v>0.7</v>
          </cell>
          <cell r="J1419" t="str">
            <v>Jimmy L Smith</v>
          </cell>
          <cell r="K1419" t="str">
            <v>STUTTGART</v>
          </cell>
          <cell r="L1419" t="str">
            <v>AR</v>
          </cell>
          <cell r="M1419" t="str">
            <v>800-577-8858</v>
          </cell>
          <cell r="N1419"/>
          <cell r="O1419">
            <v>250</v>
          </cell>
          <cell r="P1419">
            <v>1075</v>
          </cell>
          <cell r="Q1419"/>
          <cell r="R1419">
            <v>0</v>
          </cell>
          <cell r="S1419"/>
          <cell r="T1419">
            <v>0</v>
          </cell>
          <cell r="U1419" t="str"/>
          <cell r="V1419" t="str"/>
          <cell r="W1419" t="str"/>
          <cell r="X1419"/>
          <cell r="Y1419"/>
          <cell r="Z1419"/>
          <cell r="AA1419"/>
          <cell r="AB1419" t="str">
            <v>n/a</v>
          </cell>
          <cell r="AC1419"/>
          <cell r="AD1419" t="str">
            <v>n/a</v>
          </cell>
          <cell r="AE1419"/>
          <cell r="AF1419"/>
          <cell r="AG1419"/>
          <cell r="AH1419"/>
          <cell r="AI1419"/>
          <cell r="AJ1419"/>
          <cell r="AK1419" t="str">
            <v>OL</v>
          </cell>
          <cell r="AL1419">
            <v>151</v>
          </cell>
          <cell r="AM1419">
            <v>257</v>
          </cell>
          <cell r="AN1419" t="str">
            <v>10 Orangeline</v>
          </cell>
          <cell r="AO1419" t="str">
            <v>Southeast</v>
          </cell>
          <cell r="AP1419" t="str">
            <v>South</v>
          </cell>
          <cell r="AQ1419"/>
          <cell r="AR1419">
            <v>0</v>
          </cell>
          <cell r="AS1419">
            <v>0</v>
          </cell>
        </row>
        <row r="1420">
          <cell r="A1420" t="str">
            <v>13192C</v>
          </cell>
          <cell r="B1420" t="str">
            <v>HERITAGE AGRICULTURE-AR</v>
          </cell>
          <cell r="C1420" t="str">
            <v>M11132</v>
          </cell>
          <cell r="D1420" t="str">
            <v>Net 30, no pink card</v>
          </cell>
          <cell r="E1420" t="str">
            <v>2%</v>
          </cell>
          <cell r="F1420" t="str">
            <v>Yes</v>
          </cell>
          <cell r="G1420" t="str">
            <v>TX</v>
          </cell>
          <cell r="H1420">
            <v>5</v>
          </cell>
          <cell r="I1420">
            <v>0.7</v>
          </cell>
          <cell r="J1420" t="str">
            <v>Jimmy L Smith</v>
          </cell>
          <cell r="K1420" t="str">
            <v>ALTHEIMER</v>
          </cell>
          <cell r="L1420" t="str">
            <v>AR</v>
          </cell>
          <cell r="M1420" t="str">
            <v>800-577-8858</v>
          </cell>
          <cell r="N1420"/>
          <cell r="O1420">
            <v>230</v>
          </cell>
          <cell r="P1420">
            <v>989</v>
          </cell>
          <cell r="Q1420"/>
          <cell r="R1420">
            <v>0</v>
          </cell>
          <cell r="S1420"/>
          <cell r="T1420">
            <v>0</v>
          </cell>
          <cell r="U1420" t="str"/>
          <cell r="V1420" t="str"/>
          <cell r="W1420" t="str"/>
          <cell r="X1420"/>
          <cell r="Y1420"/>
          <cell r="Z1420"/>
          <cell r="AA1420"/>
          <cell r="AB1420" t="str">
            <v>n/a</v>
          </cell>
          <cell r="AC1420"/>
          <cell r="AD1420" t="str">
            <v>n/a</v>
          </cell>
          <cell r="AE1420"/>
          <cell r="AF1420"/>
          <cell r="AG1420"/>
          <cell r="AH1420"/>
          <cell r="AI1420"/>
          <cell r="AJ1420"/>
          <cell r="AK1420" t="str">
            <v>OL</v>
          </cell>
          <cell r="AL1420">
            <v>151</v>
          </cell>
          <cell r="AM1420">
            <v>348</v>
          </cell>
          <cell r="AN1420" t="str">
            <v>10 Orangeline</v>
          </cell>
          <cell r="AO1420" t="str">
            <v>Southeast</v>
          </cell>
          <cell r="AP1420" t="str">
            <v>South</v>
          </cell>
          <cell r="AQ1420"/>
          <cell r="AR1420">
            <v>0</v>
          </cell>
          <cell r="AS1420">
            <v>0</v>
          </cell>
        </row>
        <row r="1421">
          <cell r="A1421" t="str">
            <v>13192D</v>
          </cell>
          <cell r="B1421" t="str">
            <v>HERITAGE AGRICULTURE-AR</v>
          </cell>
          <cell r="C1421" t="str">
            <v>M11132</v>
          </cell>
          <cell r="D1421" t="str">
            <v>Net 30, no pink card</v>
          </cell>
          <cell r="E1421" t="str">
            <v>2%</v>
          </cell>
          <cell r="F1421" t="str">
            <v>Yes</v>
          </cell>
          <cell r="G1421" t="str">
            <v>TX</v>
          </cell>
          <cell r="H1421">
            <v>5</v>
          </cell>
          <cell r="I1421">
            <v>0.7</v>
          </cell>
          <cell r="J1421" t="str">
            <v>Jimmy L Smith</v>
          </cell>
          <cell r="K1421" t="str">
            <v>POCAHONTAS</v>
          </cell>
          <cell r="L1421" t="str">
            <v>AR</v>
          </cell>
          <cell r="M1421" t="str">
            <v>800-577-8858</v>
          </cell>
          <cell r="N1421"/>
          <cell r="O1421">
            <v>350</v>
          </cell>
          <cell r="P1421">
            <v>1505</v>
          </cell>
          <cell r="Q1421"/>
          <cell r="R1421">
            <v>0</v>
          </cell>
          <cell r="S1421"/>
          <cell r="T1421">
            <v>0</v>
          </cell>
          <cell r="U1421" t="str"/>
          <cell r="V1421" t="str"/>
          <cell r="W1421" t="str"/>
          <cell r="X1421"/>
          <cell r="Y1421"/>
          <cell r="Z1421"/>
          <cell r="AA1421"/>
          <cell r="AB1421" t="str">
            <v>n/a</v>
          </cell>
          <cell r="AC1421"/>
          <cell r="AD1421" t="str">
            <v>n/a</v>
          </cell>
          <cell r="AE1421"/>
          <cell r="AF1421"/>
          <cell r="AG1421"/>
          <cell r="AH1421"/>
          <cell r="AI1421"/>
          <cell r="AJ1421"/>
          <cell r="AK1421" t="str">
            <v>OL</v>
          </cell>
          <cell r="AL1421">
            <v>151</v>
          </cell>
          <cell r="AM1421">
            <v>219</v>
          </cell>
          <cell r="AN1421" t="str">
            <v>10 Orangeline</v>
          </cell>
          <cell r="AO1421" t="str">
            <v>Southeast</v>
          </cell>
          <cell r="AP1421" t="str">
            <v>South</v>
          </cell>
          <cell r="AQ1421"/>
          <cell r="AR1421">
            <v>0</v>
          </cell>
          <cell r="AS1421">
            <v>0</v>
          </cell>
        </row>
        <row r="1422">
          <cell r="A1422">
            <v>11448</v>
          </cell>
          <cell r="B1422" t="str">
            <v>JIMMY'S CYCLE TRACTOR</v>
          </cell>
          <cell r="C1422" t="str">
            <v>M11182</v>
          </cell>
          <cell r="D1422" t="str">
            <v>Net 30, no pink card</v>
          </cell>
          <cell r="E1422" t="str">
            <v>2%</v>
          </cell>
          <cell r="F1422" t="str">
            <v>Yes</v>
          </cell>
          <cell r="G1422" t="str">
            <v>TX</v>
          </cell>
          <cell r="H1422">
            <v>5</v>
          </cell>
          <cell r="I1422">
            <v>0.7</v>
          </cell>
          <cell r="J1422" t="str">
            <v>Jimmy L Smith</v>
          </cell>
          <cell r="K1422" t="str">
            <v>CAMDEN</v>
          </cell>
          <cell r="L1422" t="str">
            <v>AR</v>
          </cell>
          <cell r="M1422" t="str">
            <v>800-577-8858</v>
          </cell>
          <cell r="N1422"/>
          <cell r="O1422">
            <v>150</v>
          </cell>
          <cell r="P1422">
            <v>645</v>
          </cell>
          <cell r="Q1422"/>
          <cell r="R1422">
            <v>0</v>
          </cell>
          <cell r="S1422"/>
          <cell r="T1422">
            <v>0</v>
          </cell>
          <cell r="U1422" t="str"/>
          <cell r="V1422" t="str"/>
          <cell r="W1422" t="str"/>
          <cell r="X1422"/>
          <cell r="Y1422"/>
          <cell r="Z1422"/>
          <cell r="AA1422"/>
          <cell r="AB1422" t="str">
            <v>n/a</v>
          </cell>
          <cell r="AC1422"/>
          <cell r="AD1422" t="str">
            <v>n/a</v>
          </cell>
          <cell r="AE1422" t="str"/>
          <cell r="AF1422"/>
          <cell r="AG1422" t="str"/>
          <cell r="AH1422" t="str"/>
          <cell r="AI1422" t="str"/>
          <cell r="AJ1422"/>
          <cell r="AK1422" t="str">
            <v>OL</v>
          </cell>
          <cell r="AL1422">
            <v>151</v>
          </cell>
          <cell r="AM1422">
            <v>125</v>
          </cell>
          <cell r="AN1422" t="str">
            <v>10 Orangeline</v>
          </cell>
          <cell r="AO1422" t="str">
            <v>Southeast</v>
          </cell>
          <cell r="AP1422" t="str">
            <v>South</v>
          </cell>
          <cell r="AQ1422"/>
          <cell r="AR1422">
            <v>0</v>
          </cell>
          <cell r="AS1422">
            <v>0</v>
          </cell>
        </row>
        <row r="1423">
          <cell r="A1423">
            <v>13195</v>
          </cell>
          <cell r="B1423" t="str">
            <v>JONESBORO TRACTOR</v>
          </cell>
          <cell r="C1423" t="str">
            <v>M11135</v>
          </cell>
          <cell r="D1423" t="str">
            <v>Net 30, no pink card</v>
          </cell>
          <cell r="E1423" t="str">
            <v>2%</v>
          </cell>
          <cell r="F1423" t="str">
            <v>Yes</v>
          </cell>
          <cell r="G1423" t="str">
            <v>TX</v>
          </cell>
          <cell r="H1423">
            <v>5</v>
          </cell>
          <cell r="I1423">
            <v>0.7</v>
          </cell>
          <cell r="J1423" t="str">
            <v>Jimmy L Smith</v>
          </cell>
          <cell r="K1423" t="str">
            <v>JONESBORO</v>
          </cell>
          <cell r="L1423" t="str">
            <v>AR</v>
          </cell>
          <cell r="M1423" t="str">
            <v>800-577-8858</v>
          </cell>
          <cell r="N1423"/>
          <cell r="O1423">
            <v>350</v>
          </cell>
          <cell r="P1423">
            <v>1505</v>
          </cell>
          <cell r="Q1423"/>
          <cell r="R1423">
            <v>0</v>
          </cell>
          <cell r="S1423"/>
          <cell r="T1423">
            <v>0</v>
          </cell>
          <cell r="U1423" t="str"/>
          <cell r="V1423" t="str"/>
          <cell r="W1423" t="str"/>
          <cell r="X1423"/>
          <cell r="Y1423"/>
          <cell r="Z1423"/>
          <cell r="AA1423"/>
          <cell r="AB1423" t="str">
            <v>n/a</v>
          </cell>
          <cell r="AC1423"/>
          <cell r="AD1423" t="str">
            <v>n/a</v>
          </cell>
          <cell r="AE1423"/>
          <cell r="AF1423"/>
          <cell r="AG1423"/>
          <cell r="AH1423"/>
          <cell r="AI1423"/>
          <cell r="AJ1423"/>
          <cell r="AK1423" t="str">
            <v>OL</v>
          </cell>
          <cell r="AL1423">
            <v>151</v>
          </cell>
          <cell r="AM1423">
            <v>219</v>
          </cell>
          <cell r="AN1423" t="str">
            <v>10 Orangeline</v>
          </cell>
          <cell r="AO1423" t="str">
            <v>Southeast</v>
          </cell>
          <cell r="AP1423" t="str">
            <v>South</v>
          </cell>
          <cell r="AQ1423"/>
          <cell r="AR1423">
            <v>0</v>
          </cell>
          <cell r="AS1423">
            <v>0</v>
          </cell>
        </row>
        <row r="1424">
          <cell r="A1424">
            <v>13203</v>
          </cell>
          <cell r="B1424" t="str">
            <v>MCCLUNG EQUIPMENT</v>
          </cell>
          <cell r="C1424" t="str">
            <v>M11170</v>
          </cell>
          <cell r="D1424" t="str">
            <v>Net 30, no pink card</v>
          </cell>
          <cell r="E1424" t="str">
            <v>2%</v>
          </cell>
          <cell r="F1424" t="str">
            <v>Yes</v>
          </cell>
          <cell r="G1424" t="str">
            <v>TX</v>
          </cell>
          <cell r="H1424">
            <v>5</v>
          </cell>
          <cell r="I1424">
            <v>0.7</v>
          </cell>
          <cell r="J1424" t="str">
            <v>Jimmy L Smith</v>
          </cell>
          <cell r="K1424" t="str">
            <v>MT. VIEW</v>
          </cell>
          <cell r="L1424" t="str">
            <v>AR</v>
          </cell>
          <cell r="M1424" t="str">
            <v>800-577-8858</v>
          </cell>
          <cell r="N1424"/>
          <cell r="O1424">
            <v>300</v>
          </cell>
          <cell r="P1424">
            <v>1290</v>
          </cell>
          <cell r="Q1424"/>
          <cell r="R1424">
            <v>0</v>
          </cell>
          <cell r="S1424"/>
          <cell r="T1424">
            <v>0</v>
          </cell>
          <cell r="U1424" t="str"/>
          <cell r="V1424" t="str"/>
          <cell r="W1424" t="str"/>
          <cell r="X1424"/>
          <cell r="Y1424"/>
          <cell r="Z1424"/>
          <cell r="AA1424"/>
          <cell r="AB1424" t="str">
            <v>n/a</v>
          </cell>
          <cell r="AC1424"/>
          <cell r="AD1424" t="str">
            <v>n/a</v>
          </cell>
          <cell r="AE1424"/>
          <cell r="AF1424"/>
          <cell r="AG1424"/>
          <cell r="AH1424"/>
          <cell r="AI1424"/>
          <cell r="AJ1424"/>
          <cell r="AK1424" t="str">
            <v>OL</v>
          </cell>
          <cell r="AL1424">
            <v>151</v>
          </cell>
          <cell r="AM1424">
            <v>257</v>
          </cell>
          <cell r="AN1424" t="str">
            <v>10 Orangeline</v>
          </cell>
          <cell r="AO1424" t="str">
            <v>Southeast</v>
          </cell>
          <cell r="AP1424" t="str">
            <v>South</v>
          </cell>
          <cell r="AQ1424"/>
          <cell r="AR1424">
            <v>0</v>
          </cell>
          <cell r="AS1424">
            <v>0</v>
          </cell>
        </row>
        <row r="1425">
          <cell r="A1425">
            <v>13207</v>
          </cell>
          <cell r="B1425" t="str">
            <v xml:space="preserve">OZARKS FARM AND LAWN </v>
          </cell>
          <cell r="C1425" t="str">
            <v>M11146</v>
          </cell>
          <cell r="D1425" t="str">
            <v>Net 30, no pink card</v>
          </cell>
          <cell r="E1425" t="str">
            <v>2%</v>
          </cell>
          <cell r="F1425" t="str">
            <v>Yes</v>
          </cell>
          <cell r="G1425" t="str">
            <v>TX</v>
          </cell>
          <cell r="H1425">
            <v>5</v>
          </cell>
          <cell r="I1425">
            <v>0.7</v>
          </cell>
          <cell r="J1425" t="str">
            <v>Jimmy L Smith</v>
          </cell>
          <cell r="K1425" t="str">
            <v>MOUNTAIN HOME</v>
          </cell>
          <cell r="L1425" t="str">
            <v>AR</v>
          </cell>
          <cell r="M1425" t="str">
            <v>800-577-8858</v>
          </cell>
          <cell r="N1425"/>
          <cell r="O1425">
            <v>350</v>
          </cell>
          <cell r="P1425">
            <v>1505</v>
          </cell>
          <cell r="Q1425"/>
          <cell r="R1425">
            <v>0</v>
          </cell>
          <cell r="S1425"/>
          <cell r="T1425">
            <v>0</v>
          </cell>
          <cell r="U1425" t="str"/>
          <cell r="V1425" t="str"/>
          <cell r="W1425" t="str"/>
          <cell r="X1425"/>
          <cell r="Y1425"/>
          <cell r="Z1425"/>
          <cell r="AA1425"/>
          <cell r="AB1425" t="str">
            <v>n/a</v>
          </cell>
          <cell r="AC1425"/>
          <cell r="AD1425" t="str">
            <v>n/a</v>
          </cell>
          <cell r="AE1425"/>
          <cell r="AF1425"/>
          <cell r="AG1425"/>
          <cell r="AH1425"/>
          <cell r="AI1425"/>
          <cell r="AJ1425"/>
          <cell r="AK1425" t="str">
            <v>OL</v>
          </cell>
          <cell r="AL1425">
            <v>151</v>
          </cell>
          <cell r="AM1425">
            <v>257</v>
          </cell>
          <cell r="AN1425" t="str">
            <v>10 Orangeline</v>
          </cell>
          <cell r="AO1425" t="str">
            <v>Southeast</v>
          </cell>
          <cell r="AP1425" t="str">
            <v>South</v>
          </cell>
          <cell r="AQ1425"/>
          <cell r="AR1425">
            <v>0</v>
          </cell>
          <cell r="AS1425">
            <v>0</v>
          </cell>
        </row>
        <row r="1426">
          <cell r="A1426">
            <v>13197</v>
          </cell>
          <cell r="B1426" t="str">
            <v>SPRINGDALE TRACTOR</v>
          </cell>
          <cell r="C1426" t="str">
            <v>M11137</v>
          </cell>
          <cell r="D1426" t="str">
            <v>Net 30, no pink card</v>
          </cell>
          <cell r="E1426" t="str">
            <v>2%</v>
          </cell>
          <cell r="F1426" t="str">
            <v>Yes</v>
          </cell>
          <cell r="G1426" t="str">
            <v>TX</v>
          </cell>
          <cell r="H1426">
            <v>5</v>
          </cell>
          <cell r="I1426">
            <v>0.7</v>
          </cell>
          <cell r="J1426" t="str">
            <v>Jimmy L Smith</v>
          </cell>
          <cell r="K1426" t="str">
            <v>SPRINGDALE</v>
          </cell>
          <cell r="L1426" t="str">
            <v>AR</v>
          </cell>
          <cell r="M1426" t="str">
            <v>800-577-8858</v>
          </cell>
          <cell r="N1426"/>
          <cell r="O1426">
            <v>275</v>
          </cell>
          <cell r="P1426">
            <v>1182.5</v>
          </cell>
          <cell r="Q1426"/>
          <cell r="R1426">
            <v>0</v>
          </cell>
          <cell r="S1426"/>
          <cell r="T1426">
            <v>0</v>
          </cell>
          <cell r="U1426" t="str"/>
          <cell r="V1426" t="str"/>
          <cell r="W1426" t="str"/>
          <cell r="X1426"/>
          <cell r="Y1426"/>
          <cell r="Z1426"/>
          <cell r="AA1426"/>
          <cell r="AB1426" t="str">
            <v>n/a</v>
          </cell>
          <cell r="AC1426"/>
          <cell r="AD1426" t="str">
            <v>n/a</v>
          </cell>
          <cell r="AE1426"/>
          <cell r="AF1426"/>
          <cell r="AG1426"/>
          <cell r="AH1426"/>
          <cell r="AI1426"/>
          <cell r="AJ1426"/>
          <cell r="AK1426" t="str">
            <v>OL</v>
          </cell>
          <cell r="AL1426">
            <v>151</v>
          </cell>
          <cell r="AM1426">
            <v>140</v>
          </cell>
          <cell r="AN1426" t="str">
            <v>10 Orangeline</v>
          </cell>
          <cell r="AO1426" t="str">
            <v>Southeast</v>
          </cell>
          <cell r="AP1426" t="str">
            <v>South</v>
          </cell>
          <cell r="AQ1426"/>
          <cell r="AR1426">
            <v>0</v>
          </cell>
          <cell r="AS1426">
            <v>0</v>
          </cell>
        </row>
        <row r="1427">
          <cell r="A1427" t="str">
            <v>13146A</v>
          </cell>
          <cell r="B1427" t="str">
            <v>TEXARKANA / RIVER VALLEY TRACTOR</v>
          </cell>
          <cell r="C1427" t="str">
            <v>M11079</v>
          </cell>
          <cell r="D1427" t="str">
            <v>Net 30, no pink card</v>
          </cell>
          <cell r="E1427" t="str">
            <v>2%</v>
          </cell>
          <cell r="F1427" t="str">
            <v>Yes</v>
          </cell>
          <cell r="G1427" t="str">
            <v>TX</v>
          </cell>
          <cell r="H1427">
            <v>5</v>
          </cell>
          <cell r="I1427">
            <v>0.7</v>
          </cell>
          <cell r="J1427" t="str">
            <v>Jimmy L Smith</v>
          </cell>
          <cell r="K1427" t="str">
            <v>BRYANT</v>
          </cell>
          <cell r="L1427" t="str">
            <v>AR</v>
          </cell>
          <cell r="M1427" t="str">
            <v>800-577-8858</v>
          </cell>
          <cell r="N1427"/>
          <cell r="O1427">
            <v>190</v>
          </cell>
          <cell r="P1427">
            <v>817</v>
          </cell>
          <cell r="Q1427"/>
          <cell r="R1427">
            <v>0</v>
          </cell>
          <cell r="S1427"/>
          <cell r="T1427">
            <v>0</v>
          </cell>
          <cell r="U1427" t="str"/>
          <cell r="V1427" t="str"/>
          <cell r="W1427" t="str"/>
          <cell r="X1427"/>
          <cell r="Y1427"/>
          <cell r="Z1427"/>
          <cell r="AA1427"/>
          <cell r="AB1427" t="str">
            <v>n/a</v>
          </cell>
          <cell r="AC1427"/>
          <cell r="AD1427" t="str">
            <v>n/a</v>
          </cell>
          <cell r="AE1427"/>
          <cell r="AF1427"/>
          <cell r="AG1427"/>
          <cell r="AH1427"/>
          <cell r="AI1427"/>
          <cell r="AJ1427"/>
          <cell r="AK1427" t="str">
            <v>OL</v>
          </cell>
          <cell r="AL1427">
            <v>151</v>
          </cell>
          <cell r="AM1427">
            <v>443</v>
          </cell>
          <cell r="AN1427" t="str">
            <v>10 Orangeline</v>
          </cell>
          <cell r="AO1427" t="str">
            <v>Southeast</v>
          </cell>
          <cell r="AP1427" t="str">
            <v>South</v>
          </cell>
          <cell r="AQ1427"/>
          <cell r="AR1427">
            <v>0</v>
          </cell>
          <cell r="AS1427">
            <v>0</v>
          </cell>
        </row>
        <row r="1428">
          <cell r="A1428">
            <v>13388</v>
          </cell>
          <cell r="B1428" t="str">
            <v>TIMBERLINE INTERNATIONAL</v>
          </cell>
          <cell r="C1428" t="str">
            <v>M10409</v>
          </cell>
          <cell r="D1428" t="str">
            <v>Net 30, no pink card</v>
          </cell>
          <cell r="E1428" t="str">
            <v>FP-Wells</v>
          </cell>
          <cell r="F1428" t="str">
            <v>Yes</v>
          </cell>
          <cell r="G1428" t="str">
            <v>TX</v>
          </cell>
          <cell r="H1428">
            <v>8</v>
          </cell>
          <cell r="I1428">
            <v>0.7</v>
          </cell>
          <cell r="J1428" t="str">
            <v>Jimmy L Smith</v>
          </cell>
          <cell r="K1428" t="str">
            <v>HOT SPRINGS</v>
          </cell>
          <cell r="L1428" t="str">
            <v>AR</v>
          </cell>
          <cell r="M1428" t="str">
            <v>800-577-8858</v>
          </cell>
          <cell r="N1428"/>
          <cell r="O1428">
            <v>180</v>
          </cell>
          <cell r="P1428">
            <v>774</v>
          </cell>
          <cell r="Q1428"/>
          <cell r="R1428">
            <v>0</v>
          </cell>
          <cell r="S1428"/>
          <cell r="T1428">
            <v>0</v>
          </cell>
          <cell r="U1428" t="str"/>
          <cell r="V1428" t="str"/>
          <cell r="W1428" t="str"/>
          <cell r="X1428"/>
          <cell r="Y1428"/>
          <cell r="Z1428"/>
          <cell r="AA1428"/>
          <cell r="AB1428" t="str">
            <v>n/a</v>
          </cell>
          <cell r="AC1428"/>
          <cell r="AD1428" t="str">
            <v>n/a</v>
          </cell>
          <cell r="AE1428"/>
          <cell r="AF1428"/>
          <cell r="AG1428"/>
          <cell r="AH1428"/>
          <cell r="AI1428"/>
          <cell r="AJ1428"/>
          <cell r="AK1428" t="str">
            <v>OL</v>
          </cell>
          <cell r="AL1428">
            <v>151</v>
          </cell>
          <cell r="AM1428">
            <v>257</v>
          </cell>
          <cell r="AN1428" t="str">
            <v>10 Orangeline</v>
          </cell>
          <cell r="AO1428" t="str">
            <v>Southeast</v>
          </cell>
          <cell r="AP1428" t="str">
            <v>South</v>
          </cell>
          <cell r="AQ1428"/>
          <cell r="AR1428">
            <v>0</v>
          </cell>
          <cell r="AS1428">
            <v>0</v>
          </cell>
        </row>
        <row r="1429">
          <cell r="A1429" t="str">
            <v>13388A</v>
          </cell>
          <cell r="B1429" t="str">
            <v>TIMBERLINE INTERNATIONAL</v>
          </cell>
          <cell r="C1429" t="str">
            <v>M10409</v>
          </cell>
          <cell r="D1429" t="str">
            <v>Net 30, no pink card</v>
          </cell>
          <cell r="E1429" t="str">
            <v>FP-Wells</v>
          </cell>
          <cell r="F1429" t="str">
            <v>Yes</v>
          </cell>
          <cell r="G1429" t="str">
            <v>TX</v>
          </cell>
          <cell r="H1429">
            <v>8</v>
          </cell>
          <cell r="I1429">
            <v>0.7</v>
          </cell>
          <cell r="J1429" t="str">
            <v>Jimmy L Smith</v>
          </cell>
          <cell r="K1429" t="str">
            <v>GLENWOOD</v>
          </cell>
          <cell r="L1429" t="str">
            <v>AR</v>
          </cell>
          <cell r="M1429" t="str">
            <v>800-577-8858</v>
          </cell>
          <cell r="N1429"/>
          <cell r="O1429">
            <v>145</v>
          </cell>
          <cell r="P1429">
            <v>623.5</v>
          </cell>
          <cell r="Q1429"/>
          <cell r="R1429">
            <v>0</v>
          </cell>
          <cell r="S1429"/>
          <cell r="T1429">
            <v>0</v>
          </cell>
          <cell r="U1429" t="str"/>
          <cell r="V1429" t="str"/>
          <cell r="W1429" t="str"/>
          <cell r="X1429"/>
          <cell r="Y1429"/>
          <cell r="Z1429"/>
          <cell r="AA1429"/>
          <cell r="AB1429" t="str">
            <v>n/a</v>
          </cell>
          <cell r="AC1429"/>
          <cell r="AD1429">
            <v>0</v>
          </cell>
          <cell r="AE1429"/>
          <cell r="AF1429"/>
          <cell r="AG1429"/>
          <cell r="AH1429"/>
          <cell r="AI1429"/>
          <cell r="AJ1429"/>
          <cell r="AK1429" t="str">
            <v>OL</v>
          </cell>
          <cell r="AL1429">
            <v>151</v>
          </cell>
          <cell r="AM1429">
            <v>193</v>
          </cell>
          <cell r="AN1429" t="str">
            <v>10 Orangeline</v>
          </cell>
          <cell r="AO1429" t="str">
            <v>Southeast</v>
          </cell>
          <cell r="AP1429" t="str">
            <v>South</v>
          </cell>
          <cell r="AQ1429"/>
          <cell r="AR1429">
            <v>0</v>
          </cell>
          <cell r="AS1429">
            <v>0</v>
          </cell>
        </row>
        <row r="1430">
          <cell r="A1430">
            <v>13372</v>
          </cell>
          <cell r="B1430" t="str">
            <v>BINGHAM EQUIPMENT</v>
          </cell>
          <cell r="C1430" t="str">
            <v>M11338</v>
          </cell>
          <cell r="D1430" t="str">
            <v>Net 30, no pink card</v>
          </cell>
          <cell r="E1430" t="str">
            <v>2%</v>
          </cell>
          <cell r="F1430" t="str">
            <v>Yes</v>
          </cell>
          <cell r="G1430" t="str">
            <v>TX</v>
          </cell>
          <cell r="H1430">
            <v>5</v>
          </cell>
          <cell r="I1430">
            <v>0.7</v>
          </cell>
          <cell r="J1430" t="str">
            <v>Jimmy L Smith</v>
          </cell>
          <cell r="K1430" t="str">
            <v>MESA</v>
          </cell>
          <cell r="L1430" t="str">
            <v>AZ</v>
          </cell>
          <cell r="M1430" t="str">
            <v>800-577-8858</v>
          </cell>
          <cell r="N1430"/>
          <cell r="O1430">
            <v>1150</v>
          </cell>
          <cell r="P1430">
            <v>4945</v>
          </cell>
          <cell r="Q1430"/>
          <cell r="R1430">
            <v>0</v>
          </cell>
          <cell r="S1430"/>
          <cell r="T1430">
            <v>0</v>
          </cell>
          <cell r="U1430" t="str"/>
          <cell r="V1430" t="str"/>
          <cell r="W1430" t="str"/>
          <cell r="X1430"/>
          <cell r="Y1430"/>
          <cell r="Z1430"/>
          <cell r="AA1430">
            <v>1825</v>
          </cell>
          <cell r="AB1430">
            <v>7847.5</v>
          </cell>
          <cell r="AC1430">
            <v>1825</v>
          </cell>
          <cell r="AD1430">
            <v>7847.5</v>
          </cell>
          <cell r="AE1430"/>
          <cell r="AF1430"/>
          <cell r="AG1430"/>
          <cell r="AH1430"/>
          <cell r="AI1430"/>
          <cell r="AJ1430">
            <v>0.04</v>
          </cell>
          <cell r="AK1430" t="str">
            <v>OL</v>
          </cell>
          <cell r="AL1430">
            <v>151</v>
          </cell>
          <cell r="AM1430">
            <v>347</v>
          </cell>
          <cell r="AN1430" t="str">
            <v>10 Orangeline</v>
          </cell>
          <cell r="AO1430" t="str">
            <v>Southwest</v>
          </cell>
          <cell r="AP1430" t="str">
            <v>West</v>
          </cell>
          <cell r="AQ1430"/>
          <cell r="AR1430">
            <v>27386</v>
          </cell>
          <cell r="AS1430">
            <v>0</v>
          </cell>
        </row>
        <row r="1431">
          <cell r="A1431" t="str">
            <v>13372A</v>
          </cell>
          <cell r="B1431" t="str">
            <v>BINGHAM EQUIPMENT</v>
          </cell>
          <cell r="C1431" t="str">
            <v>M11338</v>
          </cell>
          <cell r="D1431" t="str">
            <v>Net 30, no pink card</v>
          </cell>
          <cell r="E1431" t="str">
            <v>2%</v>
          </cell>
          <cell r="F1431" t="str">
            <v>Yes</v>
          </cell>
          <cell r="G1431" t="str">
            <v>TX</v>
          </cell>
          <cell r="H1431">
            <v>5</v>
          </cell>
          <cell r="I1431">
            <v>0.7</v>
          </cell>
          <cell r="J1431" t="str">
            <v>Jimmy L Smith</v>
          </cell>
          <cell r="K1431" t="str">
            <v>CASA GRANDE</v>
          </cell>
          <cell r="L1431" t="str">
            <v>AZ</v>
          </cell>
          <cell r="M1431" t="str">
            <v>800-577-8858</v>
          </cell>
          <cell r="N1431"/>
          <cell r="O1431">
            <v>1150</v>
          </cell>
          <cell r="P1431">
            <v>4945</v>
          </cell>
          <cell r="Q1431">
            <v>1840</v>
          </cell>
          <cell r="R1431">
            <v>7912</v>
          </cell>
          <cell r="S1431"/>
          <cell r="T1431">
            <v>0</v>
          </cell>
          <cell r="U1431" t="str"/>
          <cell r="V1431" t="str"/>
          <cell r="W1431" t="str"/>
          <cell r="X1431"/>
          <cell r="Y1431"/>
          <cell r="Z1431"/>
          <cell r="AA1431"/>
          <cell r="AB1431">
            <v>0</v>
          </cell>
          <cell r="AC1431"/>
          <cell r="AD1431">
            <v>0</v>
          </cell>
          <cell r="AE1431"/>
          <cell r="AF1431"/>
          <cell r="AG1431"/>
          <cell r="AH1431"/>
          <cell r="AI1431"/>
          <cell r="AJ1431">
            <v>0.04</v>
          </cell>
          <cell r="AK1431" t="str">
            <v>OL</v>
          </cell>
          <cell r="AL1431">
            <v>151</v>
          </cell>
          <cell r="AM1431">
            <v>347</v>
          </cell>
          <cell r="AN1431" t="str">
            <v>10 Orangeline</v>
          </cell>
          <cell r="AO1431" t="str">
            <v>Southwest</v>
          </cell>
          <cell r="AP1431" t="str">
            <v>West</v>
          </cell>
          <cell r="AQ1431"/>
          <cell r="AR1431">
            <v>0</v>
          </cell>
          <cell r="AS1431">
            <v>0</v>
          </cell>
        </row>
        <row r="1432">
          <cell r="A1432" t="str">
            <v>13372B</v>
          </cell>
          <cell r="B1432" t="str">
            <v>BINGHAM EQUIPMENT</v>
          </cell>
          <cell r="C1432" t="str">
            <v>M11338</v>
          </cell>
          <cell r="D1432" t="str">
            <v>Net 30, no pink card</v>
          </cell>
          <cell r="E1432" t="str">
            <v>2%</v>
          </cell>
          <cell r="F1432" t="str">
            <v>Yes</v>
          </cell>
          <cell r="G1432" t="str">
            <v>TX</v>
          </cell>
          <cell r="H1432">
            <v>5</v>
          </cell>
          <cell r="I1432">
            <v>0.7</v>
          </cell>
          <cell r="J1432" t="str">
            <v>Jimmy L Smith</v>
          </cell>
          <cell r="K1432" t="str">
            <v>YUMA</v>
          </cell>
          <cell r="L1432" t="str">
            <v>AZ</v>
          </cell>
          <cell r="M1432" t="str">
            <v>800-577-8858</v>
          </cell>
          <cell r="N1432"/>
          <cell r="O1432">
            <v>1320</v>
          </cell>
          <cell r="P1432">
            <v>5676</v>
          </cell>
          <cell r="Q1432"/>
          <cell r="R1432">
            <v>0</v>
          </cell>
          <cell r="S1432"/>
          <cell r="T1432">
            <v>0</v>
          </cell>
          <cell r="U1432" t="str"/>
          <cell r="V1432" t="str"/>
          <cell r="W1432" t="str"/>
          <cell r="X1432"/>
          <cell r="Y1432"/>
          <cell r="Z1432"/>
          <cell r="AA1432"/>
          <cell r="AB1432">
            <v>0</v>
          </cell>
          <cell r="AC1432"/>
          <cell r="AD1432">
            <v>0</v>
          </cell>
          <cell r="AE1432"/>
          <cell r="AF1432"/>
          <cell r="AG1432"/>
          <cell r="AH1432"/>
          <cell r="AI1432"/>
          <cell r="AJ1432">
            <v>0.04</v>
          </cell>
          <cell r="AK1432" t="str">
            <v>OL</v>
          </cell>
          <cell r="AL1432">
            <v>151</v>
          </cell>
          <cell r="AM1432">
            <v>486</v>
          </cell>
          <cell r="AN1432" t="str">
            <v>10 Orangeline</v>
          </cell>
          <cell r="AO1432" t="str">
            <v>Southwest</v>
          </cell>
          <cell r="AP1432" t="str">
            <v>West</v>
          </cell>
          <cell r="AQ1432"/>
          <cell r="AR1432">
            <v>0</v>
          </cell>
          <cell r="AS1432">
            <v>0</v>
          </cell>
        </row>
        <row r="1433">
          <cell r="A1433" t="str">
            <v>13372C</v>
          </cell>
          <cell r="B1433" t="str">
            <v>BINGHAM EQUIPMENT</v>
          </cell>
          <cell r="C1433" t="str">
            <v>M11338</v>
          </cell>
          <cell r="D1433" t="str">
            <v>Net 30, no pink card</v>
          </cell>
          <cell r="E1433" t="str">
            <v>2%</v>
          </cell>
          <cell r="F1433" t="str">
            <v>Yes</v>
          </cell>
          <cell r="G1433" t="str">
            <v>TX</v>
          </cell>
          <cell r="H1433">
            <v>5</v>
          </cell>
          <cell r="I1433">
            <v>0.7</v>
          </cell>
          <cell r="J1433" t="str">
            <v>Jimmy L Smith</v>
          </cell>
          <cell r="K1433" t="str">
            <v>PARKER</v>
          </cell>
          <cell r="L1433" t="str">
            <v>AZ</v>
          </cell>
          <cell r="M1433" t="str">
            <v>800-577-8858</v>
          </cell>
          <cell r="N1433"/>
          <cell r="O1433">
            <v>1340</v>
          </cell>
          <cell r="P1433">
            <v>5762</v>
          </cell>
          <cell r="Q1433"/>
          <cell r="R1433">
            <v>0</v>
          </cell>
          <cell r="S1433"/>
          <cell r="T1433">
            <v>0</v>
          </cell>
          <cell r="U1433" t="str"/>
          <cell r="V1433" t="str"/>
          <cell r="W1433" t="str"/>
          <cell r="X1433"/>
          <cell r="Y1433"/>
          <cell r="Z1433"/>
          <cell r="AA1433"/>
          <cell r="AB1433">
            <v>0</v>
          </cell>
          <cell r="AC1433"/>
          <cell r="AD1433">
            <v>0</v>
          </cell>
          <cell r="AE1433"/>
          <cell r="AF1433"/>
          <cell r="AG1433"/>
          <cell r="AH1433"/>
          <cell r="AI1433"/>
          <cell r="AJ1433">
            <v>0.04</v>
          </cell>
          <cell r="AK1433" t="str">
            <v>OL</v>
          </cell>
          <cell r="AL1433">
            <v>151</v>
          </cell>
          <cell r="AM1433">
            <v>347</v>
          </cell>
          <cell r="AN1433" t="str">
            <v>10 Orangeline</v>
          </cell>
          <cell r="AO1433" t="str">
            <v>Southwest</v>
          </cell>
          <cell r="AP1433" t="str">
            <v>West</v>
          </cell>
          <cell r="AQ1433"/>
          <cell r="AR1433">
            <v>0</v>
          </cell>
          <cell r="AS1433">
            <v>0</v>
          </cell>
        </row>
        <row r="1434">
          <cell r="A1434" t="str">
            <v>13372D</v>
          </cell>
          <cell r="B1434" t="str">
            <v>BINGHAM EQUIPMENT</v>
          </cell>
          <cell r="C1434" t="str">
            <v>M11338</v>
          </cell>
          <cell r="D1434" t="str">
            <v>Net 30, no pink card</v>
          </cell>
          <cell r="E1434" t="str">
            <v>2%</v>
          </cell>
          <cell r="F1434" t="str">
            <v>Yes</v>
          </cell>
          <cell r="G1434" t="str">
            <v>TX</v>
          </cell>
          <cell r="H1434">
            <v>5</v>
          </cell>
          <cell r="I1434">
            <v>0.7</v>
          </cell>
          <cell r="J1434" t="str">
            <v>Jimmy L Smith</v>
          </cell>
          <cell r="K1434" t="str">
            <v>BUCKEYE</v>
          </cell>
          <cell r="L1434" t="str">
            <v>AZ</v>
          </cell>
          <cell r="M1434" t="str">
            <v>800-577-8858</v>
          </cell>
          <cell r="N1434"/>
          <cell r="O1434">
            <v>1320</v>
          </cell>
          <cell r="P1434">
            <v>5676</v>
          </cell>
          <cell r="Q1434"/>
          <cell r="R1434">
            <v>0</v>
          </cell>
          <cell r="S1434">
            <v>932</v>
          </cell>
          <cell r="T1434">
            <v>4007.6</v>
          </cell>
          <cell r="U1434" t="str"/>
          <cell r="V1434" t="str"/>
          <cell r="W1434" t="str"/>
          <cell r="X1434"/>
          <cell r="Y1434"/>
          <cell r="Z1434"/>
          <cell r="AA1434"/>
          <cell r="AB1434">
            <v>0</v>
          </cell>
          <cell r="AC1434"/>
          <cell r="AD1434">
            <v>0</v>
          </cell>
          <cell r="AE1434"/>
          <cell r="AF1434"/>
          <cell r="AG1434"/>
          <cell r="AH1434"/>
          <cell r="AI1434"/>
          <cell r="AJ1434">
            <v>0.04</v>
          </cell>
          <cell r="AK1434" t="str">
            <v>OL</v>
          </cell>
          <cell r="AL1434">
            <v>151</v>
          </cell>
          <cell r="AM1434">
            <v>347</v>
          </cell>
          <cell r="AN1434" t="str">
            <v>10 Orangeline</v>
          </cell>
          <cell r="AO1434" t="str">
            <v>Southwest</v>
          </cell>
          <cell r="AP1434" t="str">
            <v>West</v>
          </cell>
          <cell r="AQ1434"/>
          <cell r="AR1434">
            <v>0</v>
          </cell>
          <cell r="AS1434">
            <v>0</v>
          </cell>
        </row>
        <row r="1435">
          <cell r="A1435" t="str">
            <v>13372E</v>
          </cell>
          <cell r="B1435" t="str">
            <v>BINGHAM EQUIPMENT</v>
          </cell>
          <cell r="C1435" t="str">
            <v>M11338</v>
          </cell>
          <cell r="D1435" t="str">
            <v>Net 30, no pink card</v>
          </cell>
          <cell r="E1435" t="str">
            <v>2%</v>
          </cell>
          <cell r="F1435" t="str">
            <v>Yes</v>
          </cell>
          <cell r="G1435" t="str">
            <v>TX</v>
          </cell>
          <cell r="H1435">
            <v>5</v>
          </cell>
          <cell r="I1435">
            <v>0.7</v>
          </cell>
          <cell r="J1435" t="str">
            <v>Jimmy L Smith</v>
          </cell>
          <cell r="K1435" t="str">
            <v>COTTONWOOD</v>
          </cell>
          <cell r="L1435" t="str">
            <v>AZ</v>
          </cell>
          <cell r="M1435" t="str">
            <v>800-577-8858</v>
          </cell>
          <cell r="N1435"/>
          <cell r="O1435">
            <v>1125</v>
          </cell>
          <cell r="P1435">
            <v>4837.5</v>
          </cell>
          <cell r="Q1435"/>
          <cell r="R1435">
            <v>0</v>
          </cell>
          <cell r="S1435"/>
          <cell r="T1435">
            <v>0</v>
          </cell>
          <cell r="U1435" t="str"/>
          <cell r="V1435" t="str"/>
          <cell r="W1435" t="str"/>
          <cell r="X1435"/>
          <cell r="Y1435"/>
          <cell r="Z1435"/>
          <cell r="AA1435"/>
          <cell r="AB1435">
            <v>0</v>
          </cell>
          <cell r="AC1435"/>
          <cell r="AD1435">
            <v>0</v>
          </cell>
          <cell r="AE1435"/>
          <cell r="AF1435"/>
          <cell r="AG1435"/>
          <cell r="AH1435"/>
          <cell r="AI1435"/>
          <cell r="AJ1435">
            <v>0.04</v>
          </cell>
          <cell r="AK1435" t="str">
            <v>OL</v>
          </cell>
          <cell r="AL1435">
            <v>151</v>
          </cell>
          <cell r="AM1435">
            <v>362</v>
          </cell>
          <cell r="AN1435" t="str">
            <v>10 Orangeline</v>
          </cell>
          <cell r="AO1435" t="str">
            <v>Southwest</v>
          </cell>
          <cell r="AP1435" t="str">
            <v>West</v>
          </cell>
          <cell r="AQ1435"/>
          <cell r="AR1435">
            <v>0</v>
          </cell>
          <cell r="AS1435">
            <v>0</v>
          </cell>
        </row>
        <row r="1436">
          <cell r="A1436" t="str">
            <v>13372F</v>
          </cell>
          <cell r="B1436" t="str">
            <v>BINGHAM EQUIPMENT</v>
          </cell>
          <cell r="C1436" t="str">
            <v>M11338</v>
          </cell>
          <cell r="D1436" t="str">
            <v>Net 30, no pink card</v>
          </cell>
          <cell r="E1436" t="str">
            <v>2%</v>
          </cell>
          <cell r="F1436" t="str">
            <v>Yes</v>
          </cell>
          <cell r="G1436" t="str">
            <v>TX</v>
          </cell>
          <cell r="H1436">
            <v>5</v>
          </cell>
          <cell r="I1436">
            <v>0.7</v>
          </cell>
          <cell r="J1436" t="str">
            <v>Jimmy L Smith</v>
          </cell>
          <cell r="K1436" t="str">
            <v>TUCSON</v>
          </cell>
          <cell r="L1436" t="str">
            <v>AZ</v>
          </cell>
          <cell r="M1436" t="str">
            <v>800-577-8858</v>
          </cell>
          <cell r="N1436"/>
          <cell r="O1436">
            <v>1100</v>
          </cell>
          <cell r="P1436">
            <v>4730</v>
          </cell>
          <cell r="Q1436"/>
          <cell r="R1436">
            <v>0</v>
          </cell>
          <cell r="S1436"/>
          <cell r="T1436">
            <v>0</v>
          </cell>
          <cell r="U1436" t="str"/>
          <cell r="V1436" t="str"/>
          <cell r="W1436" t="str"/>
          <cell r="X1436"/>
          <cell r="Y1436"/>
          <cell r="Z1436"/>
          <cell r="AA1436"/>
          <cell r="AB1436">
            <v>0</v>
          </cell>
          <cell r="AC1436"/>
          <cell r="AD1436">
            <v>0</v>
          </cell>
          <cell r="AE1436"/>
          <cell r="AF1436"/>
          <cell r="AG1436"/>
          <cell r="AH1436"/>
          <cell r="AI1436"/>
          <cell r="AJ1436">
            <v>0.04</v>
          </cell>
          <cell r="AK1436" t="str">
            <v>OL</v>
          </cell>
          <cell r="AL1436">
            <v>151</v>
          </cell>
          <cell r="AM1436">
            <v>447</v>
          </cell>
          <cell r="AN1436" t="str">
            <v>10 Orangeline</v>
          </cell>
          <cell r="AO1436" t="str">
            <v>Southwest</v>
          </cell>
          <cell r="AP1436" t="str">
            <v>West</v>
          </cell>
          <cell r="AQ1436"/>
          <cell r="AR1436">
            <v>0</v>
          </cell>
          <cell r="AS1436">
            <v>0</v>
          </cell>
        </row>
        <row r="1437">
          <cell r="A1437" t="str">
            <v>13372G</v>
          </cell>
          <cell r="B1437" t="str">
            <v>BINGHAM EQUIPMENT</v>
          </cell>
          <cell r="C1437" t="str">
            <v>M11338</v>
          </cell>
          <cell r="D1437" t="str">
            <v>Net 30, no pink card</v>
          </cell>
          <cell r="E1437" t="str">
            <v>2%</v>
          </cell>
          <cell r="F1437" t="str">
            <v>Yes</v>
          </cell>
          <cell r="G1437" t="str">
            <v>TX</v>
          </cell>
          <cell r="H1437">
            <v>5</v>
          </cell>
          <cell r="I1437">
            <v>0.7</v>
          </cell>
          <cell r="J1437" t="str">
            <v>Jimmy L Smith</v>
          </cell>
          <cell r="K1437" t="str">
            <v>PHOENIX</v>
          </cell>
          <cell r="L1437" t="str">
            <v>AZ</v>
          </cell>
          <cell r="M1437" t="str">
            <v>800-577-8858</v>
          </cell>
          <cell r="N1437"/>
          <cell r="O1437">
            <v>1210</v>
          </cell>
          <cell r="P1437">
            <v>5203</v>
          </cell>
          <cell r="Q1437"/>
          <cell r="R1437">
            <v>0</v>
          </cell>
          <cell r="S1437"/>
          <cell r="T1437">
            <v>0</v>
          </cell>
          <cell r="U1437" t="str"/>
          <cell r="V1437" t="str"/>
          <cell r="W1437" t="str"/>
          <cell r="X1437"/>
          <cell r="Y1437"/>
          <cell r="Z1437"/>
          <cell r="AA1437"/>
          <cell r="AB1437">
            <v>0</v>
          </cell>
          <cell r="AC1437"/>
          <cell r="AD1437">
            <v>0</v>
          </cell>
          <cell r="AE1437"/>
          <cell r="AF1437"/>
          <cell r="AG1437"/>
          <cell r="AH1437"/>
          <cell r="AI1437"/>
          <cell r="AJ1437">
            <v>0.04</v>
          </cell>
          <cell r="AK1437" t="str">
            <v>OL</v>
          </cell>
          <cell r="AL1437">
            <v>151</v>
          </cell>
          <cell r="AM1437">
            <v>347</v>
          </cell>
          <cell r="AN1437" t="str">
            <v>10 Orangeline</v>
          </cell>
          <cell r="AO1437" t="str">
            <v>Southwest</v>
          </cell>
          <cell r="AP1437" t="str">
            <v>West</v>
          </cell>
          <cell r="AQ1437"/>
          <cell r="AR1437">
            <v>0</v>
          </cell>
          <cell r="AS1437">
            <v>0</v>
          </cell>
        </row>
        <row r="1438">
          <cell r="A1438" t="str">
            <v>13372H</v>
          </cell>
          <cell r="B1438" t="str">
            <v>BINGHAM EQUIPMENT</v>
          </cell>
          <cell r="C1438" t="str">
            <v>M11338</v>
          </cell>
          <cell r="D1438" t="str">
            <v>Net 30, no pink card</v>
          </cell>
          <cell r="E1438" t="str">
            <v>2%</v>
          </cell>
          <cell r="F1438" t="str">
            <v>Yes</v>
          </cell>
          <cell r="G1438" t="str">
            <v>TX</v>
          </cell>
          <cell r="H1438">
            <v>5</v>
          </cell>
          <cell r="I1438">
            <v>0.7</v>
          </cell>
          <cell r="J1438" t="str">
            <v>Jimmy L Smith</v>
          </cell>
          <cell r="K1438" t="str">
            <v>ROLL</v>
          </cell>
          <cell r="L1438" t="str">
            <v>AZ</v>
          </cell>
          <cell r="M1438" t="str">
            <v>800-577-8858</v>
          </cell>
          <cell r="N1438"/>
          <cell r="O1438">
            <v>1300</v>
          </cell>
          <cell r="P1438">
            <v>5590</v>
          </cell>
          <cell r="Q1438"/>
          <cell r="R1438">
            <v>0</v>
          </cell>
          <cell r="S1438"/>
          <cell r="T1438">
            <v>0</v>
          </cell>
          <cell r="U1438" t="str"/>
          <cell r="V1438" t="str"/>
          <cell r="W1438" t="str"/>
          <cell r="X1438"/>
          <cell r="Y1438"/>
          <cell r="Z1438"/>
          <cell r="AA1438"/>
          <cell r="AB1438">
            <v>0</v>
          </cell>
          <cell r="AC1438"/>
          <cell r="AD1438">
            <v>0</v>
          </cell>
          <cell r="AE1438"/>
          <cell r="AF1438"/>
          <cell r="AG1438"/>
          <cell r="AH1438"/>
          <cell r="AI1438"/>
          <cell r="AJ1438">
            <v>0.04</v>
          </cell>
          <cell r="AK1438" t="str">
            <v>OL</v>
          </cell>
          <cell r="AL1438">
            <v>151</v>
          </cell>
          <cell r="AM1438">
            <v>486</v>
          </cell>
          <cell r="AN1438" t="str">
            <v>10 Orangeline</v>
          </cell>
          <cell r="AO1438" t="str">
            <v>Southwest</v>
          </cell>
          <cell r="AP1438" t="str">
            <v>West</v>
          </cell>
          <cell r="AQ1438"/>
          <cell r="AR1438">
            <v>0</v>
          </cell>
          <cell r="AS1438">
            <v>0</v>
          </cell>
        </row>
        <row r="1439">
          <cell r="A1439" t="str">
            <v>13372I</v>
          </cell>
          <cell r="B1439" t="str">
            <v>BINGHAM EQUIPMENT</v>
          </cell>
          <cell r="C1439" t="str">
            <v>M11338</v>
          </cell>
          <cell r="D1439" t="str">
            <v>Net 30, no pink card</v>
          </cell>
          <cell r="E1439" t="str">
            <v>2%</v>
          </cell>
          <cell r="F1439" t="str">
            <v>Yes</v>
          </cell>
          <cell r="G1439" t="str">
            <v>TX</v>
          </cell>
          <cell r="H1439">
            <v>5</v>
          </cell>
          <cell r="I1439">
            <v>0.7</v>
          </cell>
          <cell r="J1439" t="str">
            <v>Jimmy L Smith</v>
          </cell>
          <cell r="K1439" t="str">
            <v>PRESCOTT VALLEY</v>
          </cell>
          <cell r="L1439" t="str">
            <v>AZ</v>
          </cell>
          <cell r="M1439" t="str">
            <v>800-577-8858</v>
          </cell>
          <cell r="N1439"/>
          <cell r="O1439">
            <v>1150</v>
          </cell>
          <cell r="P1439">
            <v>4945</v>
          </cell>
          <cell r="Q1439"/>
          <cell r="R1439">
            <v>0</v>
          </cell>
          <cell r="S1439"/>
          <cell r="T1439">
            <v>0</v>
          </cell>
          <cell r="U1439" t="str"/>
          <cell r="V1439" t="str"/>
          <cell r="W1439" t="str"/>
          <cell r="X1439"/>
          <cell r="Y1439"/>
          <cell r="Z1439"/>
          <cell r="AA1439"/>
          <cell r="AB1439">
            <v>0</v>
          </cell>
          <cell r="AC1439"/>
          <cell r="AD1439">
            <v>0</v>
          </cell>
          <cell r="AE1439"/>
          <cell r="AF1439"/>
          <cell r="AG1439"/>
          <cell r="AH1439"/>
          <cell r="AI1439"/>
          <cell r="AJ1439">
            <v>0.04</v>
          </cell>
          <cell r="AK1439" t="str">
            <v>OL</v>
          </cell>
          <cell r="AL1439">
            <v>151</v>
          </cell>
          <cell r="AM1439">
            <v>362</v>
          </cell>
          <cell r="AN1439" t="str">
            <v>10 Orangeline</v>
          </cell>
          <cell r="AO1439" t="str">
            <v>Southwest</v>
          </cell>
          <cell r="AP1439" t="str">
            <v>West</v>
          </cell>
          <cell r="AQ1439"/>
          <cell r="AR1439">
            <v>0</v>
          </cell>
          <cell r="AS1439">
            <v>0</v>
          </cell>
        </row>
        <row r="1440">
          <cell r="A1440" t="str">
            <v>13372J</v>
          </cell>
          <cell r="B1440" t="str">
            <v>BINGHAM EQUIPMENT</v>
          </cell>
          <cell r="C1440" t="str">
            <v>M11338</v>
          </cell>
          <cell r="D1440" t="str">
            <v>Net 30, no pink card</v>
          </cell>
          <cell r="E1440" t="str">
            <v>2%</v>
          </cell>
          <cell r="F1440" t="str">
            <v>Yes</v>
          </cell>
          <cell r="G1440" t="str">
            <v>TX</v>
          </cell>
          <cell r="H1440">
            <v>5</v>
          </cell>
          <cell r="I1440">
            <v>0.7</v>
          </cell>
          <cell r="J1440" t="str">
            <v>Jimmy L Smith</v>
          </cell>
          <cell r="K1440" t="str">
            <v>LAKSIDE</v>
          </cell>
          <cell r="L1440" t="str">
            <v>AZ</v>
          </cell>
          <cell r="M1440" t="str">
            <v>800-577-8858</v>
          </cell>
          <cell r="N1440"/>
          <cell r="O1440">
            <v>985</v>
          </cell>
          <cell r="P1440">
            <v>4235.5</v>
          </cell>
          <cell r="Q1440"/>
          <cell r="R1440">
            <v>0</v>
          </cell>
          <cell r="S1440"/>
          <cell r="T1440">
            <v>0</v>
          </cell>
          <cell r="U1440" t="str"/>
          <cell r="V1440" t="str"/>
          <cell r="W1440" t="str"/>
          <cell r="X1440"/>
          <cell r="Y1440"/>
          <cell r="Z1440"/>
          <cell r="AA1440"/>
          <cell r="AB1440">
            <v>0</v>
          </cell>
          <cell r="AC1440"/>
          <cell r="AD1440">
            <v>0</v>
          </cell>
          <cell r="AE1440"/>
          <cell r="AF1440"/>
          <cell r="AG1440"/>
          <cell r="AH1440"/>
          <cell r="AI1440"/>
          <cell r="AJ1440">
            <v>0.04</v>
          </cell>
          <cell r="AK1440" t="str">
            <v>OL</v>
          </cell>
          <cell r="AL1440">
            <v>151</v>
          </cell>
          <cell r="AM1440">
            <v>347</v>
          </cell>
          <cell r="AN1440" t="str">
            <v>10 Orangeline</v>
          </cell>
          <cell r="AO1440" t="str">
            <v>Southwest</v>
          </cell>
          <cell r="AP1440" t="str">
            <v>West</v>
          </cell>
          <cell r="AQ1440"/>
          <cell r="AR1440">
            <v>0</v>
          </cell>
          <cell r="AS1440">
            <v>0</v>
          </cell>
        </row>
        <row r="1441">
          <cell r="A1441" t="str">
            <v>13372K</v>
          </cell>
          <cell r="B1441" t="str">
            <v>BINGHAM EQUIPMENT</v>
          </cell>
          <cell r="C1441" t="str">
            <v>M11338</v>
          </cell>
          <cell r="D1441" t="str">
            <v>Net 30, no pink card</v>
          </cell>
          <cell r="E1441" t="str">
            <v>2%</v>
          </cell>
          <cell r="F1441" t="str">
            <v>Yes</v>
          </cell>
          <cell r="G1441" t="str">
            <v>TX</v>
          </cell>
          <cell r="H1441">
            <v>5</v>
          </cell>
          <cell r="I1441">
            <v>0.7</v>
          </cell>
          <cell r="J1441" t="str">
            <v>Jimmy L Smith</v>
          </cell>
          <cell r="K1441" t="str">
            <v>TUCSON</v>
          </cell>
          <cell r="L1441" t="str">
            <v>AZ</v>
          </cell>
          <cell r="M1441" t="str">
            <v>800-577-8858</v>
          </cell>
          <cell r="N1441"/>
          <cell r="O1441">
            <v>1100</v>
          </cell>
          <cell r="P1441">
            <v>4730</v>
          </cell>
          <cell r="Q1441"/>
          <cell r="R1441">
            <v>0</v>
          </cell>
          <cell r="S1441"/>
          <cell r="T1441">
            <v>0</v>
          </cell>
          <cell r="U1441" t="str"/>
          <cell r="V1441" t="str"/>
          <cell r="W1441" t="str"/>
          <cell r="X1441"/>
          <cell r="Y1441"/>
          <cell r="Z1441"/>
          <cell r="AA1441"/>
          <cell r="AB1441">
            <v>0</v>
          </cell>
          <cell r="AC1441"/>
          <cell r="AD1441">
            <v>0</v>
          </cell>
          <cell r="AE1441"/>
          <cell r="AF1441"/>
          <cell r="AG1441"/>
          <cell r="AH1441"/>
          <cell r="AI1441"/>
          <cell r="AJ1441">
            <v>0.04</v>
          </cell>
          <cell r="AK1441" t="str">
            <v>OL</v>
          </cell>
          <cell r="AL1441">
            <v>151</v>
          </cell>
          <cell r="AM1441">
            <v>447</v>
          </cell>
          <cell r="AN1441" t="str">
            <v>10 Orangeline</v>
          </cell>
          <cell r="AO1441" t="str">
            <v>Southwest</v>
          </cell>
          <cell r="AP1441" t="str">
            <v>West</v>
          </cell>
          <cell r="AQ1441"/>
          <cell r="AR1441">
            <v>0</v>
          </cell>
          <cell r="AS1441">
            <v>0</v>
          </cell>
        </row>
        <row r="1442">
          <cell r="A1442">
            <v>11692</v>
          </cell>
          <cell r="B1442" t="str">
            <v>BINGHAM EQUIPMENT</v>
          </cell>
          <cell r="C1442" t="str">
            <v>M11338</v>
          </cell>
          <cell r="D1442" t="str">
            <v>Net 30, no pink card</v>
          </cell>
          <cell r="E1442" t="str">
            <v>O1-Northpoint</v>
          </cell>
          <cell r="F1442" t="str">
            <v>Yes</v>
          </cell>
          <cell r="G1442" t="str">
            <v>TX</v>
          </cell>
          <cell r="H1442">
            <v>8</v>
          </cell>
          <cell r="I1442">
            <v>0.7</v>
          </cell>
          <cell r="J1442" t="str">
            <v>Jimmy L Smith</v>
          </cell>
          <cell r="K1442" t="str">
            <v>MESA</v>
          </cell>
          <cell r="L1442" t="str">
            <v>AZ</v>
          </cell>
          <cell r="M1442" t="str">
            <v>800-577-8858</v>
          </cell>
          <cell r="N1442"/>
          <cell r="O1442">
            <v>1150</v>
          </cell>
          <cell r="P1442">
            <v>4945</v>
          </cell>
          <cell r="Q1442"/>
          <cell r="R1442">
            <v>0</v>
          </cell>
          <cell r="S1442"/>
          <cell r="T1442">
            <v>0</v>
          </cell>
          <cell r="U1442" t="str"/>
          <cell r="V1442" t="str"/>
          <cell r="W1442" t="str"/>
          <cell r="X1442"/>
          <cell r="Y1442"/>
          <cell r="Z1442"/>
          <cell r="AA1442">
            <v>1825</v>
          </cell>
          <cell r="AB1442">
            <v>7847.5</v>
          </cell>
          <cell r="AC1442">
            <v>1825</v>
          </cell>
          <cell r="AD1442">
            <v>7847.5</v>
          </cell>
          <cell r="AE1442"/>
          <cell r="AF1442"/>
          <cell r="AG1442"/>
          <cell r="AH1442"/>
          <cell r="AI1442"/>
          <cell r="AJ1442">
            <v>0.04</v>
          </cell>
          <cell r="AK1442" t="str">
            <v>OL</v>
          </cell>
          <cell r="AL1442">
            <v>151</v>
          </cell>
          <cell r="AM1442">
            <v>347</v>
          </cell>
          <cell r="AN1442" t="str">
            <v>10 Orangeline</v>
          </cell>
          <cell r="AO1442" t="str">
            <v>Southwest</v>
          </cell>
          <cell r="AP1442" t="str">
            <v>West</v>
          </cell>
          <cell r="AQ1442"/>
          <cell r="AR1442">
            <v>0</v>
          </cell>
          <cell r="AS1442">
            <v>0</v>
          </cell>
        </row>
        <row r="1443">
          <cell r="A1443" t="str">
            <v>11692A</v>
          </cell>
          <cell r="B1443" t="str">
            <v>BINGHAM EQUIPMENT</v>
          </cell>
          <cell r="C1443" t="str">
            <v>M11338</v>
          </cell>
          <cell r="D1443" t="str">
            <v>Net 30, no pink card</v>
          </cell>
          <cell r="E1443" t="str">
            <v>O1-Northpoint</v>
          </cell>
          <cell r="F1443" t="str">
            <v>Yes</v>
          </cell>
          <cell r="G1443" t="str">
            <v>TX</v>
          </cell>
          <cell r="H1443">
            <v>8</v>
          </cell>
          <cell r="I1443">
            <v>0.7</v>
          </cell>
          <cell r="J1443" t="str">
            <v>Jimmy L Smith</v>
          </cell>
          <cell r="K1443" t="str">
            <v>CASA GRANDE</v>
          </cell>
          <cell r="L1443" t="str">
            <v>AZ</v>
          </cell>
          <cell r="M1443" t="str">
            <v>800-577-8858</v>
          </cell>
          <cell r="N1443"/>
          <cell r="O1443">
            <v>1150</v>
          </cell>
          <cell r="P1443">
            <v>4945</v>
          </cell>
          <cell r="Q1443"/>
          <cell r="R1443">
            <v>0</v>
          </cell>
          <cell r="S1443"/>
          <cell r="T1443">
            <v>0</v>
          </cell>
          <cell r="U1443" t="str"/>
          <cell r="V1443" t="str"/>
          <cell r="W1443" t="str"/>
          <cell r="X1443"/>
          <cell r="Y1443"/>
          <cell r="Z1443"/>
          <cell r="AA1443"/>
          <cell r="AB1443">
            <v>0</v>
          </cell>
          <cell r="AC1443"/>
          <cell r="AD1443">
            <v>0</v>
          </cell>
          <cell r="AE1443"/>
          <cell r="AF1443"/>
          <cell r="AG1443"/>
          <cell r="AH1443"/>
          <cell r="AI1443"/>
          <cell r="AJ1443">
            <v>0.04</v>
          </cell>
          <cell r="AK1443" t="str">
            <v>OL</v>
          </cell>
          <cell r="AL1443">
            <v>151</v>
          </cell>
          <cell r="AM1443">
            <v>347</v>
          </cell>
          <cell r="AN1443" t="str">
            <v>10 Orangeline</v>
          </cell>
          <cell r="AO1443" t="str">
            <v>Southwest</v>
          </cell>
          <cell r="AP1443" t="str">
            <v>West</v>
          </cell>
          <cell r="AQ1443"/>
          <cell r="AR1443">
            <v>0</v>
          </cell>
          <cell r="AS1443">
            <v>0</v>
          </cell>
        </row>
        <row r="1444">
          <cell r="A1444" t="str">
            <v>11692B</v>
          </cell>
          <cell r="B1444" t="str">
            <v>BINGHAM EQUIPMENT</v>
          </cell>
          <cell r="C1444" t="str">
            <v>M11338</v>
          </cell>
          <cell r="D1444" t="str">
            <v>Net 30, no pink card</v>
          </cell>
          <cell r="E1444" t="str">
            <v>O1-Northpoint</v>
          </cell>
          <cell r="F1444" t="str">
            <v>Yes</v>
          </cell>
          <cell r="G1444" t="str">
            <v>TX</v>
          </cell>
          <cell r="H1444">
            <v>8</v>
          </cell>
          <cell r="I1444">
            <v>0.7</v>
          </cell>
          <cell r="J1444" t="str">
            <v>Jimmy L Smith</v>
          </cell>
          <cell r="K1444" t="str">
            <v>YUMA</v>
          </cell>
          <cell r="L1444" t="str">
            <v>AZ</v>
          </cell>
          <cell r="M1444" t="str">
            <v>800-577-8858</v>
          </cell>
          <cell r="N1444"/>
          <cell r="O1444">
            <v>1320</v>
          </cell>
          <cell r="P1444">
            <v>5676</v>
          </cell>
          <cell r="Q1444"/>
          <cell r="R1444">
            <v>0</v>
          </cell>
          <cell r="S1444"/>
          <cell r="T1444">
            <v>0</v>
          </cell>
          <cell r="U1444" t="str"/>
          <cell r="V1444" t="str"/>
          <cell r="W1444" t="str"/>
          <cell r="X1444"/>
          <cell r="Y1444"/>
          <cell r="Z1444"/>
          <cell r="AA1444"/>
          <cell r="AB1444">
            <v>0</v>
          </cell>
          <cell r="AC1444"/>
          <cell r="AD1444">
            <v>0</v>
          </cell>
          <cell r="AE1444"/>
          <cell r="AF1444"/>
          <cell r="AG1444"/>
          <cell r="AH1444"/>
          <cell r="AI1444"/>
          <cell r="AJ1444">
            <v>0.04</v>
          </cell>
          <cell r="AK1444" t="str">
            <v>OL</v>
          </cell>
          <cell r="AL1444">
            <v>151</v>
          </cell>
          <cell r="AM1444">
            <v>486</v>
          </cell>
          <cell r="AN1444" t="str">
            <v>10 Orangeline</v>
          </cell>
          <cell r="AO1444" t="str">
            <v>Southwest</v>
          </cell>
          <cell r="AP1444" t="str">
            <v>West</v>
          </cell>
          <cell r="AQ1444"/>
          <cell r="AR1444">
            <v>0</v>
          </cell>
          <cell r="AS1444">
            <v>0</v>
          </cell>
        </row>
        <row r="1445">
          <cell r="A1445" t="str">
            <v>11692C</v>
          </cell>
          <cell r="B1445" t="str">
            <v>BINGHAM EQUIPMENT</v>
          </cell>
          <cell r="C1445" t="str">
            <v>M11338</v>
          </cell>
          <cell r="D1445" t="str">
            <v>Net 30, no pink card</v>
          </cell>
          <cell r="E1445" t="str">
            <v>O1-Northpoint</v>
          </cell>
          <cell r="F1445" t="str">
            <v>Yes</v>
          </cell>
          <cell r="G1445" t="str">
            <v>TX</v>
          </cell>
          <cell r="H1445">
            <v>8</v>
          </cell>
          <cell r="I1445">
            <v>0.7</v>
          </cell>
          <cell r="J1445" t="str">
            <v>Jimmy L Smith</v>
          </cell>
          <cell r="K1445" t="str">
            <v>PARKER</v>
          </cell>
          <cell r="L1445" t="str">
            <v>AZ</v>
          </cell>
          <cell r="M1445" t="str">
            <v>800-577-8858</v>
          </cell>
          <cell r="N1445"/>
          <cell r="O1445">
            <v>1340</v>
          </cell>
          <cell r="P1445">
            <v>5762</v>
          </cell>
          <cell r="Q1445"/>
          <cell r="R1445">
            <v>0</v>
          </cell>
          <cell r="S1445"/>
          <cell r="T1445">
            <v>0</v>
          </cell>
          <cell r="U1445" t="str"/>
          <cell r="V1445" t="str"/>
          <cell r="W1445" t="str"/>
          <cell r="X1445"/>
          <cell r="Y1445"/>
          <cell r="Z1445"/>
          <cell r="AA1445"/>
          <cell r="AB1445">
            <v>0</v>
          </cell>
          <cell r="AC1445"/>
          <cell r="AD1445">
            <v>0</v>
          </cell>
          <cell r="AE1445"/>
          <cell r="AF1445"/>
          <cell r="AG1445"/>
          <cell r="AH1445"/>
          <cell r="AI1445"/>
          <cell r="AJ1445">
            <v>0.04</v>
          </cell>
          <cell r="AK1445" t="str">
            <v>OL</v>
          </cell>
          <cell r="AL1445">
            <v>151</v>
          </cell>
          <cell r="AM1445">
            <v>347</v>
          </cell>
          <cell r="AN1445" t="str">
            <v>10 Orangeline</v>
          </cell>
          <cell r="AO1445" t="str">
            <v>Southwest</v>
          </cell>
          <cell r="AP1445" t="str">
            <v>West</v>
          </cell>
          <cell r="AQ1445"/>
          <cell r="AR1445">
            <v>0</v>
          </cell>
          <cell r="AS1445">
            <v>0</v>
          </cell>
        </row>
        <row r="1446">
          <cell r="A1446" t="str">
            <v>11692D</v>
          </cell>
          <cell r="B1446" t="str">
            <v>BINGHAM EQUIPMENT</v>
          </cell>
          <cell r="C1446" t="str">
            <v>M11338</v>
          </cell>
          <cell r="D1446" t="str">
            <v>Net 30, no pink card</v>
          </cell>
          <cell r="E1446" t="str">
            <v>O1-Northpoint</v>
          </cell>
          <cell r="F1446" t="str">
            <v>Yes</v>
          </cell>
          <cell r="G1446" t="str">
            <v>TX</v>
          </cell>
          <cell r="H1446">
            <v>8</v>
          </cell>
          <cell r="I1446">
            <v>0.7</v>
          </cell>
          <cell r="J1446" t="str">
            <v>Jimmy L Smith</v>
          </cell>
          <cell r="K1446" t="str">
            <v>BUCKEYE</v>
          </cell>
          <cell r="L1446" t="str">
            <v>AZ</v>
          </cell>
          <cell r="M1446" t="str">
            <v>800-577-8858</v>
          </cell>
          <cell r="N1446"/>
          <cell r="O1446">
            <v>1320</v>
          </cell>
          <cell r="P1446">
            <v>5676</v>
          </cell>
          <cell r="Q1446"/>
          <cell r="R1446">
            <v>0</v>
          </cell>
          <cell r="S1446"/>
          <cell r="T1446">
            <v>0</v>
          </cell>
          <cell r="U1446" t="str"/>
          <cell r="V1446" t="str"/>
          <cell r="W1446" t="str"/>
          <cell r="X1446"/>
          <cell r="Y1446"/>
          <cell r="Z1446"/>
          <cell r="AA1446"/>
          <cell r="AB1446">
            <v>0</v>
          </cell>
          <cell r="AC1446"/>
          <cell r="AD1446">
            <v>0</v>
          </cell>
          <cell r="AE1446"/>
          <cell r="AF1446"/>
          <cell r="AG1446"/>
          <cell r="AH1446"/>
          <cell r="AI1446"/>
          <cell r="AJ1446">
            <v>0.04</v>
          </cell>
          <cell r="AK1446" t="str">
            <v>OL</v>
          </cell>
          <cell r="AL1446">
            <v>151</v>
          </cell>
          <cell r="AM1446">
            <v>347</v>
          </cell>
          <cell r="AN1446" t="str">
            <v>10 Orangeline</v>
          </cell>
          <cell r="AO1446" t="str">
            <v>Southwest</v>
          </cell>
          <cell r="AP1446" t="str">
            <v>West</v>
          </cell>
          <cell r="AQ1446"/>
          <cell r="AR1446">
            <v>0</v>
          </cell>
          <cell r="AS1446">
            <v>0</v>
          </cell>
        </row>
        <row r="1447">
          <cell r="A1447" t="str">
            <v>11692E</v>
          </cell>
          <cell r="B1447" t="str">
            <v>BINGHAM EQUIPMENT</v>
          </cell>
          <cell r="C1447" t="str">
            <v>M11338</v>
          </cell>
          <cell r="D1447" t="str">
            <v>Net 30, no pink card</v>
          </cell>
          <cell r="E1447" t="str">
            <v>O1-Northpoint</v>
          </cell>
          <cell r="F1447" t="str">
            <v>Yes</v>
          </cell>
          <cell r="G1447" t="str">
            <v>TX</v>
          </cell>
          <cell r="H1447">
            <v>8</v>
          </cell>
          <cell r="I1447">
            <v>0.7</v>
          </cell>
          <cell r="J1447" t="str">
            <v>Jimmy L Smith</v>
          </cell>
          <cell r="K1447" t="str">
            <v>COTTONWOOD</v>
          </cell>
          <cell r="L1447" t="str">
            <v>AZ</v>
          </cell>
          <cell r="M1447" t="str">
            <v>800-577-8858</v>
          </cell>
          <cell r="N1447"/>
          <cell r="O1447">
            <v>1125</v>
          </cell>
          <cell r="P1447">
            <v>4837.5</v>
          </cell>
          <cell r="Q1447"/>
          <cell r="R1447">
            <v>0</v>
          </cell>
          <cell r="S1447"/>
          <cell r="T1447">
            <v>0</v>
          </cell>
          <cell r="U1447" t="str"/>
          <cell r="V1447" t="str"/>
          <cell r="W1447" t="str"/>
          <cell r="X1447"/>
          <cell r="Y1447"/>
          <cell r="Z1447"/>
          <cell r="AA1447"/>
          <cell r="AB1447">
            <v>0</v>
          </cell>
          <cell r="AC1447"/>
          <cell r="AD1447">
            <v>0</v>
          </cell>
          <cell r="AE1447"/>
          <cell r="AF1447"/>
          <cell r="AG1447"/>
          <cell r="AH1447"/>
          <cell r="AI1447"/>
          <cell r="AJ1447">
            <v>0.04</v>
          </cell>
          <cell r="AK1447" t="str">
            <v>OL</v>
          </cell>
          <cell r="AL1447">
            <v>151</v>
          </cell>
          <cell r="AM1447">
            <v>362</v>
          </cell>
          <cell r="AN1447" t="str">
            <v>10 Orangeline</v>
          </cell>
          <cell r="AO1447" t="str">
            <v>Southwest</v>
          </cell>
          <cell r="AP1447" t="str">
            <v>West</v>
          </cell>
          <cell r="AQ1447"/>
          <cell r="AR1447">
            <v>0</v>
          </cell>
          <cell r="AS1447">
            <v>0</v>
          </cell>
        </row>
        <row r="1448">
          <cell r="A1448" t="str">
            <v>11692F</v>
          </cell>
          <cell r="B1448" t="str">
            <v>BINGHAM EQUIPMENT</v>
          </cell>
          <cell r="C1448" t="str">
            <v>M11338</v>
          </cell>
          <cell r="D1448" t="str">
            <v>Net 30, no pink card</v>
          </cell>
          <cell r="E1448" t="str">
            <v>O1-Northpoint</v>
          </cell>
          <cell r="F1448" t="str">
            <v>Yes</v>
          </cell>
          <cell r="G1448" t="str">
            <v>TX</v>
          </cell>
          <cell r="H1448">
            <v>8</v>
          </cell>
          <cell r="I1448">
            <v>0.7</v>
          </cell>
          <cell r="J1448" t="str">
            <v>Jimmy L Smith</v>
          </cell>
          <cell r="K1448" t="str">
            <v>TUCSON</v>
          </cell>
          <cell r="L1448" t="str">
            <v>AZ</v>
          </cell>
          <cell r="M1448" t="str">
            <v>800-577-8858</v>
          </cell>
          <cell r="N1448"/>
          <cell r="O1448">
            <v>1100</v>
          </cell>
          <cell r="P1448">
            <v>4730</v>
          </cell>
          <cell r="Q1448"/>
          <cell r="R1448">
            <v>0</v>
          </cell>
          <cell r="S1448"/>
          <cell r="T1448">
            <v>0</v>
          </cell>
          <cell r="U1448" t="str"/>
          <cell r="V1448" t="str"/>
          <cell r="W1448" t="str"/>
          <cell r="X1448"/>
          <cell r="Y1448"/>
          <cell r="Z1448"/>
          <cell r="AA1448"/>
          <cell r="AB1448">
            <v>0</v>
          </cell>
          <cell r="AC1448"/>
          <cell r="AD1448">
            <v>0</v>
          </cell>
          <cell r="AE1448"/>
          <cell r="AF1448"/>
          <cell r="AG1448"/>
          <cell r="AH1448"/>
          <cell r="AI1448"/>
          <cell r="AJ1448">
            <v>0.04</v>
          </cell>
          <cell r="AK1448" t="str">
            <v>OL</v>
          </cell>
          <cell r="AL1448">
            <v>151</v>
          </cell>
          <cell r="AM1448">
            <v>447</v>
          </cell>
          <cell r="AN1448" t="str">
            <v>10 Orangeline</v>
          </cell>
          <cell r="AO1448" t="str">
            <v>Southwest</v>
          </cell>
          <cell r="AP1448" t="str">
            <v>West</v>
          </cell>
          <cell r="AQ1448"/>
          <cell r="AR1448">
            <v>0</v>
          </cell>
          <cell r="AS1448">
            <v>0</v>
          </cell>
        </row>
        <row r="1449">
          <cell r="A1449" t="str">
            <v>11692G</v>
          </cell>
          <cell r="B1449" t="str">
            <v>BINGHAM EQUIPMENT</v>
          </cell>
          <cell r="C1449" t="str">
            <v>M11338</v>
          </cell>
          <cell r="D1449" t="str">
            <v>Net 30, no pink card</v>
          </cell>
          <cell r="E1449" t="str">
            <v>O1-Northpoint</v>
          </cell>
          <cell r="F1449" t="str">
            <v>Yes</v>
          </cell>
          <cell r="G1449" t="str">
            <v>TX</v>
          </cell>
          <cell r="H1449">
            <v>8</v>
          </cell>
          <cell r="I1449">
            <v>0.7</v>
          </cell>
          <cell r="J1449" t="str">
            <v>Jimmy L Smith</v>
          </cell>
          <cell r="K1449" t="str">
            <v>PHOENIX</v>
          </cell>
          <cell r="L1449" t="str">
            <v>AZ</v>
          </cell>
          <cell r="M1449" t="str">
            <v>800-577-8858</v>
          </cell>
          <cell r="N1449"/>
          <cell r="O1449">
            <v>1210</v>
          </cell>
          <cell r="P1449">
            <v>5203</v>
          </cell>
          <cell r="Q1449"/>
          <cell r="R1449">
            <v>0</v>
          </cell>
          <cell r="S1449"/>
          <cell r="T1449">
            <v>0</v>
          </cell>
          <cell r="U1449" t="str"/>
          <cell r="V1449" t="str"/>
          <cell r="W1449" t="str"/>
          <cell r="X1449"/>
          <cell r="Y1449"/>
          <cell r="Z1449"/>
          <cell r="AA1449"/>
          <cell r="AB1449">
            <v>0</v>
          </cell>
          <cell r="AC1449"/>
          <cell r="AD1449">
            <v>0</v>
          </cell>
          <cell r="AE1449"/>
          <cell r="AF1449"/>
          <cell r="AG1449"/>
          <cell r="AH1449"/>
          <cell r="AI1449"/>
          <cell r="AJ1449">
            <v>0.04</v>
          </cell>
          <cell r="AK1449" t="str">
            <v>OL</v>
          </cell>
          <cell r="AL1449">
            <v>151</v>
          </cell>
          <cell r="AM1449">
            <v>347</v>
          </cell>
          <cell r="AN1449" t="str">
            <v>10 Orangeline</v>
          </cell>
          <cell r="AO1449" t="str">
            <v>Southwest</v>
          </cell>
          <cell r="AP1449" t="str">
            <v>West</v>
          </cell>
          <cell r="AQ1449"/>
          <cell r="AR1449">
            <v>0</v>
          </cell>
          <cell r="AS1449">
            <v>0</v>
          </cell>
        </row>
        <row r="1450">
          <cell r="A1450" t="str">
            <v>11692H</v>
          </cell>
          <cell r="B1450" t="str">
            <v>BINGHAM EQUIPMENT</v>
          </cell>
          <cell r="C1450" t="str">
            <v>M11338</v>
          </cell>
          <cell r="D1450" t="str">
            <v>Net 30, no pink card</v>
          </cell>
          <cell r="E1450" t="str">
            <v>O1-Northpoint</v>
          </cell>
          <cell r="F1450" t="str">
            <v>Yes</v>
          </cell>
          <cell r="G1450" t="str">
            <v>TX</v>
          </cell>
          <cell r="H1450">
            <v>8</v>
          </cell>
          <cell r="I1450">
            <v>0.7</v>
          </cell>
          <cell r="J1450" t="str">
            <v>Jimmy L Smith</v>
          </cell>
          <cell r="K1450" t="str">
            <v>ROLL</v>
          </cell>
          <cell r="L1450" t="str">
            <v>AZ</v>
          </cell>
          <cell r="M1450" t="str">
            <v>800-577-8858</v>
          </cell>
          <cell r="N1450"/>
          <cell r="O1450">
            <v>1300</v>
          </cell>
          <cell r="P1450">
            <v>5590</v>
          </cell>
          <cell r="Q1450"/>
          <cell r="R1450">
            <v>0</v>
          </cell>
          <cell r="S1450"/>
          <cell r="T1450">
            <v>0</v>
          </cell>
          <cell r="U1450" t="str"/>
          <cell r="V1450" t="str"/>
          <cell r="W1450" t="str"/>
          <cell r="X1450"/>
          <cell r="Y1450"/>
          <cell r="Z1450"/>
          <cell r="AA1450"/>
          <cell r="AB1450">
            <v>0</v>
          </cell>
          <cell r="AC1450"/>
          <cell r="AD1450">
            <v>0</v>
          </cell>
          <cell r="AE1450"/>
          <cell r="AF1450"/>
          <cell r="AG1450"/>
          <cell r="AH1450"/>
          <cell r="AI1450"/>
          <cell r="AJ1450">
            <v>0.04</v>
          </cell>
          <cell r="AK1450" t="str">
            <v>OL</v>
          </cell>
          <cell r="AL1450">
            <v>151</v>
          </cell>
          <cell r="AM1450">
            <v>486</v>
          </cell>
          <cell r="AN1450" t="str">
            <v>10 Orangeline</v>
          </cell>
          <cell r="AO1450" t="str">
            <v>Southwest</v>
          </cell>
          <cell r="AP1450" t="str">
            <v>West</v>
          </cell>
          <cell r="AQ1450"/>
          <cell r="AR1450">
            <v>0</v>
          </cell>
          <cell r="AS1450">
            <v>0</v>
          </cell>
        </row>
        <row r="1451">
          <cell r="A1451" t="str">
            <v>11692I</v>
          </cell>
          <cell r="B1451" t="str">
            <v>BINGHAM EQUIPMENT</v>
          </cell>
          <cell r="C1451" t="str">
            <v>M11338</v>
          </cell>
          <cell r="D1451" t="str">
            <v>Net 30, no pink card</v>
          </cell>
          <cell r="E1451" t="str">
            <v>O1-Northpoint</v>
          </cell>
          <cell r="F1451" t="str">
            <v>Yes</v>
          </cell>
          <cell r="G1451" t="str">
            <v>TX</v>
          </cell>
          <cell r="H1451">
            <v>8</v>
          </cell>
          <cell r="I1451">
            <v>0.7</v>
          </cell>
          <cell r="J1451" t="str">
            <v>Jimmy L Smith</v>
          </cell>
          <cell r="K1451" t="str">
            <v>PRESCOTT VALLEY</v>
          </cell>
          <cell r="L1451" t="str">
            <v>AZ</v>
          </cell>
          <cell r="M1451" t="str">
            <v>800-577-8858</v>
          </cell>
          <cell r="N1451"/>
          <cell r="O1451">
            <v>1150</v>
          </cell>
          <cell r="P1451">
            <v>4945</v>
          </cell>
          <cell r="Q1451"/>
          <cell r="R1451">
            <v>0</v>
          </cell>
          <cell r="S1451"/>
          <cell r="T1451">
            <v>0</v>
          </cell>
          <cell r="U1451" t="str"/>
          <cell r="V1451" t="str"/>
          <cell r="W1451" t="str"/>
          <cell r="X1451"/>
          <cell r="Y1451"/>
          <cell r="Z1451"/>
          <cell r="AA1451"/>
          <cell r="AB1451">
            <v>0</v>
          </cell>
          <cell r="AC1451"/>
          <cell r="AD1451">
            <v>0</v>
          </cell>
          <cell r="AE1451"/>
          <cell r="AF1451"/>
          <cell r="AG1451"/>
          <cell r="AH1451"/>
          <cell r="AI1451"/>
          <cell r="AJ1451">
            <v>0.04</v>
          </cell>
          <cell r="AK1451" t="str">
            <v>OL</v>
          </cell>
          <cell r="AL1451">
            <v>151</v>
          </cell>
          <cell r="AM1451">
            <v>362</v>
          </cell>
          <cell r="AN1451" t="str">
            <v>10 Orangeline</v>
          </cell>
          <cell r="AO1451" t="str">
            <v>Southwest</v>
          </cell>
          <cell r="AP1451" t="str">
            <v>West</v>
          </cell>
          <cell r="AQ1451"/>
          <cell r="AR1451">
            <v>0</v>
          </cell>
          <cell r="AS1451">
            <v>0</v>
          </cell>
        </row>
        <row r="1452">
          <cell r="A1452" t="str">
            <v>11692J</v>
          </cell>
          <cell r="B1452" t="str">
            <v>BINGHAM EQUIPMENT</v>
          </cell>
          <cell r="C1452" t="str">
            <v>M11338</v>
          </cell>
          <cell r="D1452" t="str">
            <v>Net 30, no pink card</v>
          </cell>
          <cell r="E1452" t="str">
            <v>O1-Northpoint</v>
          </cell>
          <cell r="F1452" t="str">
            <v>Yes</v>
          </cell>
          <cell r="G1452" t="str">
            <v>TX</v>
          </cell>
          <cell r="H1452">
            <v>8</v>
          </cell>
          <cell r="I1452">
            <v>0.7</v>
          </cell>
          <cell r="J1452" t="str">
            <v>Jimmy L Smith</v>
          </cell>
          <cell r="K1452" t="str">
            <v>LAKSIDE</v>
          </cell>
          <cell r="L1452" t="str">
            <v>AZ</v>
          </cell>
          <cell r="M1452" t="str">
            <v>800-577-8858</v>
          </cell>
          <cell r="N1452"/>
          <cell r="O1452">
            <v>985</v>
          </cell>
          <cell r="P1452">
            <v>4235.5</v>
          </cell>
          <cell r="Q1452"/>
          <cell r="R1452">
            <v>0</v>
          </cell>
          <cell r="S1452"/>
          <cell r="T1452">
            <v>0</v>
          </cell>
          <cell r="U1452" t="str"/>
          <cell r="V1452" t="str"/>
          <cell r="W1452" t="str"/>
          <cell r="X1452"/>
          <cell r="Y1452"/>
          <cell r="Z1452"/>
          <cell r="AA1452"/>
          <cell r="AB1452">
            <v>0</v>
          </cell>
          <cell r="AC1452"/>
          <cell r="AD1452">
            <v>0</v>
          </cell>
          <cell r="AE1452"/>
          <cell r="AF1452"/>
          <cell r="AG1452"/>
          <cell r="AH1452"/>
          <cell r="AI1452"/>
          <cell r="AJ1452">
            <v>0.04</v>
          </cell>
          <cell r="AK1452" t="str">
            <v>OL</v>
          </cell>
          <cell r="AL1452">
            <v>151</v>
          </cell>
          <cell r="AM1452">
            <v>347</v>
          </cell>
          <cell r="AN1452" t="str">
            <v>10 Orangeline</v>
          </cell>
          <cell r="AO1452" t="str">
            <v>Southwest</v>
          </cell>
          <cell r="AP1452" t="str">
            <v>West</v>
          </cell>
          <cell r="AQ1452"/>
          <cell r="AR1452">
            <v>0</v>
          </cell>
          <cell r="AS1452">
            <v>0</v>
          </cell>
        </row>
        <row r="1453">
          <cell r="A1453" t="str">
            <v>11692K</v>
          </cell>
          <cell r="B1453" t="str">
            <v>BINGHAM EQUIPMENT</v>
          </cell>
          <cell r="C1453" t="str">
            <v>M11338</v>
          </cell>
          <cell r="D1453" t="str">
            <v>Net 30, no pink card</v>
          </cell>
          <cell r="E1453" t="str">
            <v>O1-Northpoint</v>
          </cell>
          <cell r="F1453" t="str">
            <v>Yes</v>
          </cell>
          <cell r="G1453" t="str">
            <v>TX</v>
          </cell>
          <cell r="H1453">
            <v>8</v>
          </cell>
          <cell r="I1453">
            <v>0.7</v>
          </cell>
          <cell r="J1453" t="str">
            <v>Jimmy L Smith</v>
          </cell>
          <cell r="K1453" t="str">
            <v>TUCSON</v>
          </cell>
          <cell r="L1453" t="str">
            <v>AZ</v>
          </cell>
          <cell r="M1453" t="str">
            <v>800-577-8858</v>
          </cell>
          <cell r="N1453"/>
          <cell r="O1453">
            <v>1100</v>
          </cell>
          <cell r="P1453">
            <v>4730</v>
          </cell>
          <cell r="Q1453"/>
          <cell r="R1453">
            <v>0</v>
          </cell>
          <cell r="S1453"/>
          <cell r="T1453">
            <v>0</v>
          </cell>
          <cell r="U1453" t="str"/>
          <cell r="V1453" t="str"/>
          <cell r="W1453" t="str"/>
          <cell r="X1453"/>
          <cell r="Y1453"/>
          <cell r="Z1453"/>
          <cell r="AA1453"/>
          <cell r="AB1453">
            <v>0</v>
          </cell>
          <cell r="AC1453"/>
          <cell r="AD1453">
            <v>0</v>
          </cell>
          <cell r="AE1453"/>
          <cell r="AF1453"/>
          <cell r="AG1453"/>
          <cell r="AH1453"/>
          <cell r="AI1453"/>
          <cell r="AJ1453">
            <v>0.04</v>
          </cell>
          <cell r="AK1453" t="str">
            <v>OL</v>
          </cell>
          <cell r="AL1453">
            <v>151</v>
          </cell>
          <cell r="AM1453">
            <v>447</v>
          </cell>
          <cell r="AN1453" t="str">
            <v>10 Orangeline</v>
          </cell>
          <cell r="AO1453" t="str">
            <v>Southwest</v>
          </cell>
          <cell r="AP1453" t="str">
            <v>West</v>
          </cell>
          <cell r="AQ1453"/>
          <cell r="AR1453">
            <v>0</v>
          </cell>
          <cell r="AS1453">
            <v>0</v>
          </cell>
        </row>
        <row r="1454">
          <cell r="A1454">
            <v>13624</v>
          </cell>
          <cell r="B1454" t="str">
            <v>EBERHARD EQUIPMENT NO.3</v>
          </cell>
          <cell r="C1454" t="str">
            <v>M11601</v>
          </cell>
          <cell r="D1454" t="str">
            <v>Net 30, no pink card</v>
          </cell>
          <cell r="E1454" t="str">
            <v>2%</v>
          </cell>
          <cell r="F1454" t="str">
            <v>Yes</v>
          </cell>
          <cell r="G1454" t="str">
            <v>ID</v>
          </cell>
          <cell r="H1454">
            <v>5</v>
          </cell>
          <cell r="I1454">
            <v>0.7</v>
          </cell>
          <cell r="J1454" t="str">
            <v>Jimmy L Smith</v>
          </cell>
          <cell r="K1454" t="str">
            <v>OXNARD</v>
          </cell>
          <cell r="L1454" t="str">
            <v>CA</v>
          </cell>
          <cell r="M1454" t="str">
            <v>800-577-8858</v>
          </cell>
          <cell r="N1454"/>
          <cell r="O1454">
            <v>1578</v>
          </cell>
          <cell r="P1454">
            <v>6785.4</v>
          </cell>
          <cell r="Q1454">
            <v>2368</v>
          </cell>
          <cell r="R1454">
            <v>10182.4</v>
          </cell>
          <cell r="S1454">
            <v>829</v>
          </cell>
          <cell r="T1454">
            <v>3564.7</v>
          </cell>
          <cell r="U1454" t="str"/>
          <cell r="V1454" t="str"/>
          <cell r="W1454" t="str"/>
          <cell r="X1454"/>
          <cell r="Y1454"/>
          <cell r="Z1454"/>
          <cell r="AA1454">
            <v>2259</v>
          </cell>
          <cell r="AB1454">
            <v>9713.6999999999989</v>
          </cell>
          <cell r="AC1454">
            <v>2259</v>
          </cell>
          <cell r="AD1454">
            <v>9713.6999999999989</v>
          </cell>
          <cell r="AE1454"/>
          <cell r="AF1454"/>
          <cell r="AG1454"/>
          <cell r="AH1454"/>
          <cell r="AI1454"/>
          <cell r="AJ1454"/>
          <cell r="AK1454" t="str">
            <v>OL</v>
          </cell>
          <cell r="AL1454">
            <v>151</v>
          </cell>
          <cell r="AM1454"/>
          <cell r="AN1454" t="str">
            <v>10 Orangeline</v>
          </cell>
          <cell r="AO1454" t="str">
            <v>Southwest</v>
          </cell>
          <cell r="AP1454" t="str">
            <v>West</v>
          </cell>
          <cell r="AQ1454"/>
          <cell r="AR1454">
            <v>0</v>
          </cell>
          <cell r="AS1454">
            <v>0</v>
          </cell>
        </row>
        <row r="1455">
          <cell r="A1455">
            <v>13529</v>
          </cell>
          <cell r="B1455" t="str">
            <v>FORSETH dba NORCAL</v>
          </cell>
          <cell r="C1455" t="str">
            <v>M11497</v>
          </cell>
          <cell r="D1455" t="str">
            <v>Net 30, no pink card</v>
          </cell>
          <cell r="E1455" t="str">
            <v>O1-Northpoint</v>
          </cell>
          <cell r="F1455" t="str">
            <v>Yes</v>
          </cell>
          <cell r="G1455" t="str">
            <v>ID</v>
          </cell>
          <cell r="H1455">
            <v>8</v>
          </cell>
          <cell r="I1455">
            <v>0.7</v>
          </cell>
          <cell r="J1455" t="str">
            <v>Jimmy L Smith</v>
          </cell>
          <cell r="K1455" t="str">
            <v>ANDERSON</v>
          </cell>
          <cell r="L1455" t="str">
            <v>CA</v>
          </cell>
          <cell r="M1455" t="str">
            <v>800-577-8858</v>
          </cell>
          <cell r="N1455"/>
          <cell r="O1455">
            <v>1904</v>
          </cell>
          <cell r="P1455">
            <v>8187.2</v>
          </cell>
          <cell r="Q1455"/>
          <cell r="R1455">
            <v>0</v>
          </cell>
          <cell r="S1455">
            <v>608</v>
          </cell>
          <cell r="T1455">
            <v>3000</v>
          </cell>
          <cell r="U1455">
            <v>1846</v>
          </cell>
          <cell r="V1455">
            <v>7937.7999999999993</v>
          </cell>
          <cell r="W1455" t="str"/>
          <cell r="X1455"/>
          <cell r="Y1455"/>
          <cell r="Z1455"/>
          <cell r="AA1455"/>
          <cell r="AB1455">
            <v>0</v>
          </cell>
          <cell r="AC1455"/>
          <cell r="AD1455">
            <v>0</v>
          </cell>
          <cell r="AE1455"/>
          <cell r="AF1455"/>
          <cell r="AG1455"/>
          <cell r="AH1455"/>
          <cell r="AI1455"/>
          <cell r="AJ1455"/>
          <cell r="AK1455" t="str">
            <v>OL</v>
          </cell>
          <cell r="AL1455">
            <v>151</v>
          </cell>
          <cell r="AM1455">
            <v>371</v>
          </cell>
          <cell r="AN1455" t="str">
            <v>10 Orangeline</v>
          </cell>
          <cell r="AO1455" t="str">
            <v>Southwest</v>
          </cell>
          <cell r="AP1455" t="str">
            <v>West</v>
          </cell>
          <cell r="AQ1455"/>
          <cell r="AR1455">
            <v>0</v>
          </cell>
          <cell r="AS1455">
            <v>0</v>
          </cell>
        </row>
        <row r="1456">
          <cell r="A1456">
            <v>13620</v>
          </cell>
          <cell r="B1456" t="str">
            <v>GREEN VALLEY TRACTOR</v>
          </cell>
          <cell r="C1456" t="str">
            <v>M11578</v>
          </cell>
          <cell r="D1456" t="str">
            <v>Net 30, no pink card</v>
          </cell>
          <cell r="E1456" t="str">
            <v>2%</v>
          </cell>
          <cell r="F1456" t="str">
            <v>Yes</v>
          </cell>
          <cell r="G1456" t="str">
            <v>ID</v>
          </cell>
          <cell r="H1456">
            <v>5</v>
          </cell>
          <cell r="I1456">
            <v>0.7</v>
          </cell>
          <cell r="J1456" t="str">
            <v>Jimmy L Smith</v>
          </cell>
          <cell r="K1456" t="str">
            <v>FAIRFIELD</v>
          </cell>
          <cell r="L1456" t="str">
            <v>CA</v>
          </cell>
          <cell r="M1456" t="str">
            <v>800-577-8858</v>
          </cell>
          <cell r="N1456"/>
          <cell r="O1456">
            <v>1832</v>
          </cell>
          <cell r="P1456">
            <v>7877.5999999999995</v>
          </cell>
          <cell r="Q1456">
            <v>2558</v>
          </cell>
          <cell r="R1456">
            <v>10999.4</v>
          </cell>
          <cell r="S1456">
            <v>574</v>
          </cell>
          <cell r="T1456">
            <v>2468.1999999999998</v>
          </cell>
          <cell r="U1456" t="str"/>
          <cell r="V1456" t="str"/>
          <cell r="W1456" t="str"/>
          <cell r="X1456"/>
          <cell r="Y1456"/>
          <cell r="Z1456"/>
          <cell r="AA1456">
            <v>2367</v>
          </cell>
          <cell r="AB1456">
            <v>10178.1</v>
          </cell>
          <cell r="AC1456">
            <v>2367</v>
          </cell>
          <cell r="AD1456">
            <v>10178.1</v>
          </cell>
          <cell r="AE1456"/>
          <cell r="AF1456"/>
          <cell r="AG1456"/>
          <cell r="AH1456"/>
          <cell r="AI1456"/>
          <cell r="AJ1456"/>
          <cell r="AK1456" t="str">
            <v>OL</v>
          </cell>
          <cell r="AL1456">
            <v>151</v>
          </cell>
          <cell r="AM1456"/>
          <cell r="AN1456" t="str">
            <v>10 Orangeline</v>
          </cell>
          <cell r="AO1456" t="str">
            <v>Southwest</v>
          </cell>
          <cell r="AP1456" t="str">
            <v>West</v>
          </cell>
          <cell r="AQ1456"/>
          <cell r="AR1456">
            <v>0</v>
          </cell>
          <cell r="AS1456">
            <v>0</v>
          </cell>
        </row>
        <row r="1457">
          <cell r="A1457">
            <v>13528</v>
          </cell>
          <cell r="B1457" t="str">
            <v>LEISO dba APEX RENTALS</v>
          </cell>
          <cell r="C1457" t="str">
            <v>M11500</v>
          </cell>
          <cell r="D1457" t="str">
            <v>Net 30, no pink card</v>
          </cell>
          <cell r="E1457" t="str">
            <v>2%</v>
          </cell>
          <cell r="F1457" t="str">
            <v>Yes</v>
          </cell>
          <cell r="G1457" t="str">
            <v>ID</v>
          </cell>
          <cell r="H1457">
            <v>5</v>
          </cell>
          <cell r="I1457">
            <v>0.7</v>
          </cell>
          <cell r="J1457" t="str">
            <v>Jimmy L Smith</v>
          </cell>
          <cell r="K1457" t="str">
            <v>HESPERIA</v>
          </cell>
          <cell r="L1457" t="str">
            <v>CA</v>
          </cell>
          <cell r="M1457" t="str">
            <v>800-577-8858</v>
          </cell>
          <cell r="N1457"/>
          <cell r="O1457"/>
          <cell r="P1457">
            <v>0</v>
          </cell>
          <cell r="Q1457"/>
          <cell r="R1457">
            <v>0</v>
          </cell>
          <cell r="S1457"/>
          <cell r="T1457">
            <v>0</v>
          </cell>
          <cell r="U1457" t="str"/>
          <cell r="V1457" t="str"/>
          <cell r="W1457" t="str"/>
          <cell r="X1457"/>
          <cell r="Y1457"/>
          <cell r="Z1457"/>
          <cell r="AA1457"/>
          <cell r="AB1457">
            <v>0</v>
          </cell>
          <cell r="AC1457"/>
          <cell r="AD1457">
            <v>0</v>
          </cell>
          <cell r="AE1457"/>
          <cell r="AF1457"/>
          <cell r="AG1457"/>
          <cell r="AH1457"/>
          <cell r="AI1457"/>
          <cell r="AJ1457"/>
          <cell r="AK1457" t="str">
            <v>OL</v>
          </cell>
          <cell r="AL1457">
            <v>151</v>
          </cell>
          <cell r="AM1457">
            <v>262</v>
          </cell>
          <cell r="AN1457" t="str">
            <v>10 Orangeline</v>
          </cell>
          <cell r="AO1457" t="str">
            <v>Southwest</v>
          </cell>
          <cell r="AP1457" t="str">
            <v>West</v>
          </cell>
          <cell r="AQ1457"/>
          <cell r="AR1457">
            <v>0</v>
          </cell>
          <cell r="AS1457">
            <v>0</v>
          </cell>
        </row>
        <row r="1458">
          <cell r="A1458">
            <v>13401</v>
          </cell>
          <cell r="B1458" t="str">
            <v>AG EQ / ROCKY MOUNTAIN</v>
          </cell>
          <cell r="C1458" t="str">
            <v>M11352</v>
          </cell>
          <cell r="D1458" t="str">
            <v>Net 30, no pink card</v>
          </cell>
          <cell r="E1458" t="str">
            <v>2%</v>
          </cell>
          <cell r="F1458" t="str">
            <v>Yes</v>
          </cell>
          <cell r="G1458" t="str">
            <v>TX</v>
          </cell>
          <cell r="H1458">
            <v>5</v>
          </cell>
          <cell r="I1458">
            <v>0.7</v>
          </cell>
          <cell r="J1458" t="str">
            <v>Jimmy L Smith</v>
          </cell>
          <cell r="K1458" t="str">
            <v>CRAIG</v>
          </cell>
          <cell r="L1458" t="str">
            <v>CO</v>
          </cell>
          <cell r="M1458" t="str">
            <v>800-577-8858</v>
          </cell>
          <cell r="N1458"/>
          <cell r="O1458">
            <v>1140</v>
          </cell>
          <cell r="P1458">
            <v>4902</v>
          </cell>
          <cell r="Q1458"/>
          <cell r="R1458">
            <v>0</v>
          </cell>
          <cell r="S1458"/>
          <cell r="T1458">
            <v>0</v>
          </cell>
          <cell r="U1458" t="str"/>
          <cell r="V1458" t="str"/>
          <cell r="W1458" t="str"/>
          <cell r="X1458"/>
          <cell r="Y1458"/>
          <cell r="Z1458"/>
          <cell r="AA1458"/>
          <cell r="AB1458">
            <v>0</v>
          </cell>
          <cell r="AC1458"/>
          <cell r="AD1458">
            <v>0</v>
          </cell>
          <cell r="AE1458"/>
          <cell r="AF1458"/>
          <cell r="AG1458"/>
          <cell r="AH1458"/>
          <cell r="AI1458"/>
          <cell r="AJ1458"/>
          <cell r="AK1458" t="str">
            <v>OL</v>
          </cell>
          <cell r="AL1458">
            <v>151</v>
          </cell>
          <cell r="AM1458">
            <v>110</v>
          </cell>
          <cell r="AN1458" t="str">
            <v>10 Orangeline</v>
          </cell>
          <cell r="AO1458" t="str">
            <v>Southwest</v>
          </cell>
          <cell r="AP1458" t="str">
            <v>West</v>
          </cell>
          <cell r="AQ1458"/>
          <cell r="AR1458">
            <v>0</v>
          </cell>
          <cell r="AS1458">
            <v>0</v>
          </cell>
        </row>
        <row r="1459">
          <cell r="A1459">
            <v>13237</v>
          </cell>
          <cell r="B1459" t="str">
            <v>FMH KUBOTA - DENVER</v>
          </cell>
          <cell r="C1459" t="str">
            <v>M11178</v>
          </cell>
          <cell r="D1459" t="str">
            <v>Net 30, no pink card</v>
          </cell>
          <cell r="E1459" t="str">
            <v>2%</v>
          </cell>
          <cell r="F1459" t="str">
            <v>Yes</v>
          </cell>
          <cell r="G1459" t="str">
            <v>TX</v>
          </cell>
          <cell r="H1459">
            <v>5</v>
          </cell>
          <cell r="I1459">
            <v>0.7</v>
          </cell>
          <cell r="J1459" t="str">
            <v>Jimmy L Smith</v>
          </cell>
          <cell r="K1459" t="str">
            <v>DENVER</v>
          </cell>
          <cell r="L1459" t="str">
            <v>CO</v>
          </cell>
          <cell r="M1459" t="str">
            <v>800-577-8858</v>
          </cell>
          <cell r="N1459"/>
          <cell r="O1459">
            <v>940</v>
          </cell>
          <cell r="P1459">
            <v>4042</v>
          </cell>
          <cell r="Q1459"/>
          <cell r="R1459">
            <v>0</v>
          </cell>
          <cell r="S1459"/>
          <cell r="T1459">
            <v>0</v>
          </cell>
          <cell r="U1459" t="str"/>
          <cell r="V1459" t="str"/>
          <cell r="W1459" t="str"/>
          <cell r="X1459"/>
          <cell r="Y1459"/>
          <cell r="Z1459"/>
          <cell r="AA1459"/>
          <cell r="AB1459">
            <v>0</v>
          </cell>
          <cell r="AC1459"/>
          <cell r="AD1459">
            <v>0</v>
          </cell>
          <cell r="AE1459"/>
          <cell r="AF1459"/>
          <cell r="AG1459"/>
          <cell r="AH1459"/>
          <cell r="AI1459"/>
          <cell r="AJ1459"/>
          <cell r="AK1459" t="str">
            <v>OL</v>
          </cell>
          <cell r="AL1459">
            <v>151</v>
          </cell>
          <cell r="AM1459">
            <v>110</v>
          </cell>
          <cell r="AN1459" t="str">
            <v>10 Orangeline</v>
          </cell>
          <cell r="AO1459" t="str">
            <v>Southwest</v>
          </cell>
          <cell r="AP1459" t="str">
            <v>West</v>
          </cell>
          <cell r="AQ1459"/>
          <cell r="AR1459">
            <v>0</v>
          </cell>
          <cell r="AS1459">
            <v>0</v>
          </cell>
        </row>
        <row r="1460">
          <cell r="A1460">
            <v>13221</v>
          </cell>
          <cell r="B1460" t="str">
            <v>Front Range Kubota(Trailers West)</v>
          </cell>
          <cell r="C1460" t="str">
            <v>M11164</v>
          </cell>
          <cell r="D1460" t="str">
            <v>Net 30, no pink card</v>
          </cell>
          <cell r="E1460" t="str">
            <v>2%</v>
          </cell>
          <cell r="F1460" t="str">
            <v>Yes</v>
          </cell>
          <cell r="G1460" t="str">
            <v>TX</v>
          </cell>
          <cell r="H1460">
            <v>5</v>
          </cell>
          <cell r="I1460">
            <v>0.7</v>
          </cell>
          <cell r="J1460" t="str">
            <v>Jimmy L Smith</v>
          </cell>
          <cell r="K1460" t="str">
            <v>KIOWA</v>
          </cell>
          <cell r="L1460" t="str">
            <v>CO</v>
          </cell>
          <cell r="M1460" t="str">
            <v>800-577-8858</v>
          </cell>
          <cell r="N1460"/>
          <cell r="O1460">
            <v>890</v>
          </cell>
          <cell r="P1460">
            <v>3827</v>
          </cell>
          <cell r="Q1460"/>
          <cell r="R1460">
            <v>0</v>
          </cell>
          <cell r="S1460"/>
          <cell r="T1460">
            <v>0</v>
          </cell>
          <cell r="U1460" t="str"/>
          <cell r="V1460" t="str"/>
          <cell r="W1460" t="str"/>
          <cell r="X1460"/>
          <cell r="Y1460"/>
          <cell r="Z1460"/>
          <cell r="AA1460"/>
          <cell r="AB1460">
            <v>0</v>
          </cell>
          <cell r="AC1460"/>
          <cell r="AD1460">
            <v>0</v>
          </cell>
          <cell r="AE1460"/>
          <cell r="AF1460"/>
          <cell r="AG1460"/>
          <cell r="AH1460"/>
          <cell r="AI1460"/>
          <cell r="AJ1460"/>
          <cell r="AK1460" t="str">
            <v>OL</v>
          </cell>
          <cell r="AL1460">
            <v>151</v>
          </cell>
          <cell r="AM1460">
            <v>110</v>
          </cell>
          <cell r="AN1460" t="str">
            <v>10 Orangeline</v>
          </cell>
          <cell r="AO1460" t="str">
            <v>Southwest</v>
          </cell>
          <cell r="AP1460" t="str">
            <v>West</v>
          </cell>
          <cell r="AQ1460"/>
          <cell r="AR1460">
            <v>55908</v>
          </cell>
          <cell r="AS1460">
            <v>0</v>
          </cell>
        </row>
        <row r="1461">
          <cell r="A1461">
            <v>13247</v>
          </cell>
          <cell r="B1461" t="str">
            <v>RUSLER IMPLEMENT CO</v>
          </cell>
          <cell r="C1461" t="str">
            <v>M11190</v>
          </cell>
          <cell r="D1461" t="str">
            <v>Net 30, no pink card</v>
          </cell>
          <cell r="E1461" t="str">
            <v>2%</v>
          </cell>
          <cell r="F1461" t="str">
            <v>Yes</v>
          </cell>
          <cell r="G1461" t="str">
            <v>TX</v>
          </cell>
          <cell r="H1461">
            <v>5</v>
          </cell>
          <cell r="I1461">
            <v>0.7</v>
          </cell>
          <cell r="J1461" t="str">
            <v>Jimmy L Smith</v>
          </cell>
          <cell r="K1461" t="str">
            <v>PUEBLO</v>
          </cell>
          <cell r="L1461" t="str">
            <v>CO</v>
          </cell>
          <cell r="M1461" t="str">
            <v>800-577-8858</v>
          </cell>
          <cell r="N1461"/>
          <cell r="O1461">
            <v>780</v>
          </cell>
          <cell r="P1461">
            <v>3354</v>
          </cell>
          <cell r="Q1461"/>
          <cell r="R1461">
            <v>0</v>
          </cell>
          <cell r="S1461">
            <v>932</v>
          </cell>
          <cell r="T1461">
            <v>4007.6</v>
          </cell>
          <cell r="U1461" t="str"/>
          <cell r="V1461" t="str"/>
          <cell r="W1461" t="str"/>
          <cell r="X1461"/>
          <cell r="Y1461"/>
          <cell r="Z1461"/>
          <cell r="AA1461"/>
          <cell r="AB1461">
            <v>0</v>
          </cell>
          <cell r="AC1461"/>
          <cell r="AD1461">
            <v>0</v>
          </cell>
          <cell r="AE1461"/>
          <cell r="AF1461"/>
          <cell r="AG1461"/>
          <cell r="AH1461"/>
          <cell r="AI1461"/>
          <cell r="AJ1461"/>
          <cell r="AK1461" t="str">
            <v>OL</v>
          </cell>
          <cell r="AL1461">
            <v>151</v>
          </cell>
          <cell r="AM1461">
            <v>366</v>
          </cell>
          <cell r="AN1461" t="str">
            <v>10 Orangeline</v>
          </cell>
          <cell r="AO1461" t="str">
            <v>Southwest</v>
          </cell>
          <cell r="AP1461" t="str">
            <v>West</v>
          </cell>
          <cell r="AQ1461"/>
          <cell r="AR1461">
            <v>0</v>
          </cell>
          <cell r="AS1461">
            <v>0</v>
          </cell>
        </row>
        <row r="1462">
          <cell r="A1462" t="str">
            <v>13247A</v>
          </cell>
          <cell r="B1462" t="str">
            <v>RUSLER IMPLEMENT CO</v>
          </cell>
          <cell r="C1462" t="str">
            <v>M11190</v>
          </cell>
          <cell r="D1462" t="str">
            <v>Net 30, no pink card</v>
          </cell>
          <cell r="E1462" t="str">
            <v>2%</v>
          </cell>
          <cell r="F1462" t="str">
            <v>Yes</v>
          </cell>
          <cell r="G1462" t="str">
            <v>TX</v>
          </cell>
          <cell r="H1462">
            <v>5</v>
          </cell>
          <cell r="I1462">
            <v>0.7</v>
          </cell>
          <cell r="J1462" t="str">
            <v>Jimmy L Smith</v>
          </cell>
          <cell r="K1462" t="str">
            <v>ROCKY FORD</v>
          </cell>
          <cell r="L1462" t="str">
            <v>CO</v>
          </cell>
          <cell r="M1462" t="str">
            <v>800-577-8858</v>
          </cell>
          <cell r="N1462"/>
          <cell r="O1462">
            <v>720</v>
          </cell>
          <cell r="P1462">
            <v>3096</v>
          </cell>
          <cell r="Q1462"/>
          <cell r="R1462">
            <v>0</v>
          </cell>
          <cell r="S1462"/>
          <cell r="T1462">
            <v>0</v>
          </cell>
          <cell r="U1462" t="str"/>
          <cell r="V1462" t="str"/>
          <cell r="W1462" t="str"/>
          <cell r="X1462"/>
          <cell r="Y1462"/>
          <cell r="Z1462"/>
          <cell r="AA1462"/>
          <cell r="AB1462">
            <v>0</v>
          </cell>
          <cell r="AC1462"/>
          <cell r="AD1462">
            <v>0</v>
          </cell>
          <cell r="AE1462"/>
          <cell r="AF1462"/>
          <cell r="AG1462"/>
          <cell r="AH1462"/>
          <cell r="AI1462"/>
          <cell r="AJ1462"/>
          <cell r="AK1462" t="str">
            <v>OL</v>
          </cell>
          <cell r="AL1462">
            <v>151</v>
          </cell>
          <cell r="AM1462">
            <v>366</v>
          </cell>
          <cell r="AN1462" t="str">
            <v>10 Orangeline</v>
          </cell>
          <cell r="AO1462" t="str">
            <v>Southwest</v>
          </cell>
          <cell r="AP1462" t="str">
            <v>West</v>
          </cell>
          <cell r="AQ1462"/>
          <cell r="AR1462">
            <v>0</v>
          </cell>
          <cell r="AS1462">
            <v>0</v>
          </cell>
        </row>
        <row r="1463">
          <cell r="A1463">
            <v>13217</v>
          </cell>
          <cell r="B1463" t="str">
            <v>SOUTHWEST AG INC</v>
          </cell>
          <cell r="C1463" t="str">
            <v>M11157</v>
          </cell>
          <cell r="D1463" t="str">
            <v>Net 30, no pink card</v>
          </cell>
          <cell r="E1463" t="str">
            <v>2%</v>
          </cell>
          <cell r="F1463" t="str">
            <v>Yes</v>
          </cell>
          <cell r="G1463" t="str">
            <v>TX</v>
          </cell>
          <cell r="H1463">
            <v>5</v>
          </cell>
          <cell r="I1463">
            <v>0.7</v>
          </cell>
          <cell r="J1463" t="str">
            <v>Jimmy L Smith</v>
          </cell>
          <cell r="K1463" t="str">
            <v>BAYFIELD</v>
          </cell>
          <cell r="L1463" t="str">
            <v>CO</v>
          </cell>
          <cell r="M1463" t="str">
            <v>800-577-8858</v>
          </cell>
          <cell r="N1463"/>
          <cell r="O1463">
            <v>930</v>
          </cell>
          <cell r="P1463">
            <v>3999</v>
          </cell>
          <cell r="Q1463"/>
          <cell r="R1463">
            <v>0</v>
          </cell>
          <cell r="S1463"/>
          <cell r="T1463">
            <v>0</v>
          </cell>
          <cell r="U1463" t="str"/>
          <cell r="V1463" t="str"/>
          <cell r="W1463" t="str"/>
          <cell r="X1463"/>
          <cell r="Y1463"/>
          <cell r="Z1463"/>
          <cell r="AA1463"/>
          <cell r="AB1463">
            <v>0</v>
          </cell>
          <cell r="AC1463"/>
          <cell r="AD1463">
            <v>0</v>
          </cell>
          <cell r="AE1463"/>
          <cell r="AF1463"/>
          <cell r="AG1463"/>
          <cell r="AH1463"/>
          <cell r="AI1463"/>
          <cell r="AJ1463"/>
          <cell r="AK1463" t="str">
            <v>OL</v>
          </cell>
          <cell r="AL1463">
            <v>151</v>
          </cell>
          <cell r="AM1463">
            <v>139</v>
          </cell>
          <cell r="AN1463" t="str">
            <v>10 Orangeline</v>
          </cell>
          <cell r="AO1463" t="str">
            <v>Southwest</v>
          </cell>
          <cell r="AP1463" t="str">
            <v>West</v>
          </cell>
          <cell r="AQ1463"/>
          <cell r="AR1463">
            <v>0</v>
          </cell>
          <cell r="AS1463">
            <v>0</v>
          </cell>
        </row>
        <row r="1464">
          <cell r="A1464">
            <v>13671</v>
          </cell>
          <cell r="B1464" t="str">
            <v>THE MONTE VISTA CO-OP</v>
          </cell>
          <cell r="C1464" t="str">
            <v>M11234</v>
          </cell>
          <cell r="D1464" t="str">
            <v>Net 30, no pink card</v>
          </cell>
          <cell r="E1464" t="str">
            <v>2%</v>
          </cell>
          <cell r="F1464" t="str">
            <v>Yes</v>
          </cell>
          <cell r="G1464" t="str">
            <v>TX</v>
          </cell>
          <cell r="H1464">
            <v>5</v>
          </cell>
          <cell r="I1464">
            <v>0.7</v>
          </cell>
          <cell r="J1464" t="str">
            <v>Jimmy L Smith</v>
          </cell>
          <cell r="K1464" t="str">
            <v>MONTE VISTA</v>
          </cell>
          <cell r="L1464" t="str">
            <v>CO</v>
          </cell>
          <cell r="M1464" t="str">
            <v>800-577-8858</v>
          </cell>
          <cell r="N1464"/>
          <cell r="O1464">
            <v>850</v>
          </cell>
          <cell r="P1464">
            <v>3655</v>
          </cell>
          <cell r="Q1464"/>
          <cell r="R1464">
            <v>0</v>
          </cell>
          <cell r="S1464"/>
          <cell r="T1464">
            <v>0</v>
          </cell>
          <cell r="U1464" t="str"/>
          <cell r="V1464" t="str"/>
          <cell r="W1464" t="str"/>
          <cell r="X1464"/>
          <cell r="Y1464"/>
          <cell r="Z1464"/>
          <cell r="AA1464"/>
          <cell r="AB1464">
            <v>0</v>
          </cell>
          <cell r="AC1464"/>
          <cell r="AD1464">
            <v>0</v>
          </cell>
          <cell r="AE1464"/>
          <cell r="AF1464"/>
          <cell r="AG1464"/>
          <cell r="AH1464"/>
          <cell r="AI1464"/>
          <cell r="AJ1464"/>
          <cell r="AK1464" t="str">
            <v>OL</v>
          </cell>
          <cell r="AL1464">
            <v>151</v>
          </cell>
          <cell r="AM1464">
            <v>366</v>
          </cell>
          <cell r="AN1464" t="str">
            <v>10 Orangeline</v>
          </cell>
          <cell r="AO1464" t="str">
            <v>Southwest</v>
          </cell>
          <cell r="AP1464" t="str">
            <v>West</v>
          </cell>
          <cell r="AQ1464"/>
          <cell r="AR1464">
            <v>0</v>
          </cell>
          <cell r="AS1464">
            <v>0</v>
          </cell>
        </row>
        <row r="1465">
          <cell r="A1465">
            <v>13245</v>
          </cell>
          <cell r="B1465" t="str">
            <v>UNIVERSAL TRACTOR</v>
          </cell>
          <cell r="C1465" t="str">
            <v>M11184</v>
          </cell>
          <cell r="D1465" t="str">
            <v>Net 30, no pink card</v>
          </cell>
          <cell r="E1465" t="str">
            <v>2%</v>
          </cell>
          <cell r="F1465" t="str">
            <v>Yes</v>
          </cell>
          <cell r="G1465" t="str">
            <v>TX</v>
          </cell>
          <cell r="H1465">
            <v>5</v>
          </cell>
          <cell r="I1465">
            <v>0.7</v>
          </cell>
          <cell r="J1465" t="str">
            <v>Jimmy L Smith</v>
          </cell>
          <cell r="K1465" t="str">
            <v>LAKEWOOD</v>
          </cell>
          <cell r="L1465" t="str">
            <v>CO</v>
          </cell>
          <cell r="M1465" t="str">
            <v>800-577-8858</v>
          </cell>
          <cell r="N1465"/>
          <cell r="O1465">
            <v>930</v>
          </cell>
          <cell r="P1465">
            <v>3999</v>
          </cell>
          <cell r="Q1465"/>
          <cell r="R1465">
            <v>0</v>
          </cell>
          <cell r="S1465"/>
          <cell r="T1465">
            <v>0</v>
          </cell>
          <cell r="U1465" t="str"/>
          <cell r="V1465" t="str"/>
          <cell r="W1465" t="str"/>
          <cell r="X1465"/>
          <cell r="Y1465"/>
          <cell r="Z1465"/>
          <cell r="AA1465"/>
          <cell r="AB1465">
            <v>0</v>
          </cell>
          <cell r="AC1465"/>
          <cell r="AD1465">
            <v>0</v>
          </cell>
          <cell r="AE1465" t="str"/>
          <cell r="AF1465"/>
          <cell r="AG1465" t="str"/>
          <cell r="AH1465" t="str"/>
          <cell r="AI1465" t="str"/>
          <cell r="AJ1465"/>
          <cell r="AK1465" t="str">
            <v>OL</v>
          </cell>
          <cell r="AL1465">
            <v>151</v>
          </cell>
          <cell r="AM1465">
            <v>110</v>
          </cell>
          <cell r="AN1465" t="str">
            <v>10 Orangeline</v>
          </cell>
          <cell r="AO1465" t="str">
            <v>Southwest</v>
          </cell>
          <cell r="AP1465" t="str">
            <v>West</v>
          </cell>
          <cell r="AQ1465"/>
          <cell r="AR1465">
            <v>0</v>
          </cell>
          <cell r="AS1465">
            <v>0</v>
          </cell>
        </row>
        <row r="1466">
          <cell r="A1466">
            <v>13222</v>
          </cell>
          <cell r="B1466" t="str">
            <v>WESTERN IMPLEMENT</v>
          </cell>
          <cell r="C1466" t="str">
            <v>M11165</v>
          </cell>
          <cell r="D1466" t="str">
            <v>Net 30, no pink card</v>
          </cell>
          <cell r="E1466" t="str">
            <v>2%</v>
          </cell>
          <cell r="F1466" t="str">
            <v>Yes</v>
          </cell>
          <cell r="G1466" t="str">
            <v>TX</v>
          </cell>
          <cell r="H1466">
            <v>5</v>
          </cell>
          <cell r="I1466">
            <v>0.7</v>
          </cell>
          <cell r="J1466" t="str">
            <v>Jimmy L Smith</v>
          </cell>
          <cell r="K1466" t="str">
            <v>GRAND JUNCTION</v>
          </cell>
          <cell r="L1466" t="str">
            <v>CO</v>
          </cell>
          <cell r="M1466" t="str">
            <v>800-577-8858</v>
          </cell>
          <cell r="N1466"/>
          <cell r="O1466">
            <v>1020</v>
          </cell>
          <cell r="P1466">
            <v>4386</v>
          </cell>
          <cell r="Q1466"/>
          <cell r="R1466">
            <v>0</v>
          </cell>
          <cell r="S1466"/>
          <cell r="T1466">
            <v>0</v>
          </cell>
          <cell r="U1466" t="str"/>
          <cell r="V1466" t="str"/>
          <cell r="W1466" t="str"/>
          <cell r="X1466"/>
          <cell r="Y1466"/>
          <cell r="Z1466"/>
          <cell r="AA1466"/>
          <cell r="AB1466">
            <v>0</v>
          </cell>
          <cell r="AC1466"/>
          <cell r="AD1466">
            <v>0</v>
          </cell>
          <cell r="AE1466" t="str"/>
          <cell r="AF1466"/>
          <cell r="AG1466" t="str"/>
          <cell r="AH1466" t="str"/>
          <cell r="AI1466" t="str"/>
          <cell r="AJ1466"/>
          <cell r="AK1466" t="str">
            <v>OL</v>
          </cell>
          <cell r="AL1466">
            <v>151</v>
          </cell>
          <cell r="AM1466">
            <v>168</v>
          </cell>
          <cell r="AN1466" t="str">
            <v>10 Orangeline</v>
          </cell>
          <cell r="AO1466" t="str">
            <v>Southwest</v>
          </cell>
          <cell r="AP1466" t="str">
            <v>West</v>
          </cell>
          <cell r="AQ1466"/>
          <cell r="AR1466">
            <v>0</v>
          </cell>
          <cell r="AS1466">
            <v>0</v>
          </cell>
        </row>
        <row r="1467">
          <cell r="A1467" t="str">
            <v>13222A</v>
          </cell>
          <cell r="B1467" t="str">
            <v>WESTERN IMPLEMENT</v>
          </cell>
          <cell r="C1467" t="str">
            <v>M11165</v>
          </cell>
          <cell r="D1467" t="str">
            <v>Net 30, no pink card</v>
          </cell>
          <cell r="E1467" t="str">
            <v>2%</v>
          </cell>
          <cell r="F1467" t="str">
            <v>Yes</v>
          </cell>
          <cell r="G1467" t="str">
            <v>TX</v>
          </cell>
          <cell r="H1467">
            <v>5</v>
          </cell>
          <cell r="I1467">
            <v>0.7</v>
          </cell>
          <cell r="J1467" t="str">
            <v>Jimmy L Smith</v>
          </cell>
          <cell r="K1467" t="str">
            <v>MONTROSE</v>
          </cell>
          <cell r="L1467" t="str">
            <v>CO</v>
          </cell>
          <cell r="M1467" t="str">
            <v>800-577-8858</v>
          </cell>
          <cell r="N1467"/>
          <cell r="O1467">
            <v>960</v>
          </cell>
          <cell r="P1467">
            <v>4128</v>
          </cell>
          <cell r="Q1467"/>
          <cell r="R1467">
            <v>0</v>
          </cell>
          <cell r="S1467"/>
          <cell r="T1467">
            <v>0</v>
          </cell>
          <cell r="U1467" t="str"/>
          <cell r="V1467" t="str"/>
          <cell r="W1467" t="str"/>
          <cell r="X1467"/>
          <cell r="Y1467"/>
          <cell r="Z1467"/>
          <cell r="AA1467"/>
          <cell r="AB1467">
            <v>0</v>
          </cell>
          <cell r="AC1467"/>
          <cell r="AD1467">
            <v>0</v>
          </cell>
          <cell r="AE1467" t="str"/>
          <cell r="AF1467"/>
          <cell r="AG1467" t="str"/>
          <cell r="AH1467" t="str"/>
          <cell r="AI1467" t="str"/>
          <cell r="AJ1467"/>
          <cell r="AK1467" t="str">
            <v>OL</v>
          </cell>
          <cell r="AL1467">
            <v>151</v>
          </cell>
          <cell r="AM1467">
            <v>168</v>
          </cell>
          <cell r="AN1467" t="str">
            <v>10 Orangeline</v>
          </cell>
          <cell r="AO1467" t="str">
            <v>Southwest</v>
          </cell>
          <cell r="AP1467" t="str">
            <v>West</v>
          </cell>
          <cell r="AQ1467"/>
          <cell r="AR1467">
            <v>0</v>
          </cell>
          <cell r="AS1467">
            <v>0</v>
          </cell>
        </row>
        <row r="1468">
          <cell r="A1468">
            <v>13223</v>
          </cell>
          <cell r="B1468" t="str">
            <v>WICKHAM TRACTOR</v>
          </cell>
          <cell r="C1468" t="str">
            <v>M11166</v>
          </cell>
          <cell r="D1468" t="str">
            <v>Net 30, no pink card</v>
          </cell>
          <cell r="E1468" t="str">
            <v>2%</v>
          </cell>
          <cell r="F1468" t="str">
            <v>Yes</v>
          </cell>
          <cell r="G1468" t="str">
            <v>TX</v>
          </cell>
          <cell r="H1468">
            <v>5</v>
          </cell>
          <cell r="I1468">
            <v>0.7</v>
          </cell>
          <cell r="J1468" t="str">
            <v>Jimmy L Smith</v>
          </cell>
          <cell r="K1468" t="str">
            <v>FORT MORGAN</v>
          </cell>
          <cell r="L1468" t="str">
            <v>CO</v>
          </cell>
          <cell r="M1468" t="str">
            <v>800-577-8858</v>
          </cell>
          <cell r="N1468"/>
          <cell r="O1468">
            <v>900</v>
          </cell>
          <cell r="P1468">
            <v>3870</v>
          </cell>
          <cell r="Q1468"/>
          <cell r="R1468">
            <v>0</v>
          </cell>
          <cell r="S1468"/>
          <cell r="T1468">
            <v>0</v>
          </cell>
          <cell r="U1468" t="str"/>
          <cell r="V1468" t="str"/>
          <cell r="W1468" t="str"/>
          <cell r="X1468"/>
          <cell r="Y1468"/>
          <cell r="Z1468"/>
          <cell r="AA1468"/>
          <cell r="AB1468">
            <v>0</v>
          </cell>
          <cell r="AC1468"/>
          <cell r="AD1468">
            <v>0</v>
          </cell>
          <cell r="AE1468"/>
          <cell r="AF1468"/>
          <cell r="AG1468"/>
          <cell r="AH1468"/>
          <cell r="AI1468"/>
          <cell r="AJ1468"/>
          <cell r="AK1468" t="str">
            <v>OL</v>
          </cell>
          <cell r="AL1468">
            <v>151</v>
          </cell>
          <cell r="AM1468">
            <v>110</v>
          </cell>
          <cell r="AN1468" t="str">
            <v>10 Orangeline</v>
          </cell>
          <cell r="AO1468" t="str">
            <v>Southwest</v>
          </cell>
          <cell r="AP1468" t="str">
            <v>West</v>
          </cell>
          <cell r="AQ1468"/>
          <cell r="AR1468">
            <v>0</v>
          </cell>
          <cell r="AS1468">
            <v>0</v>
          </cell>
        </row>
        <row r="1469">
          <cell r="A1469">
            <v>13365</v>
          </cell>
          <cell r="B1469" t="str">
            <v>WICKHAM TRACTOR</v>
          </cell>
          <cell r="C1469" t="str">
            <v>M11166</v>
          </cell>
          <cell r="D1469" t="str">
            <v>Net 30, no pink card</v>
          </cell>
          <cell r="E1469" t="str">
            <v>O1-Northpoint</v>
          </cell>
          <cell r="F1469" t="str">
            <v>Yes</v>
          </cell>
          <cell r="G1469" t="str">
            <v>TX</v>
          </cell>
          <cell r="H1469">
            <v>8</v>
          </cell>
          <cell r="I1469">
            <v>0.7</v>
          </cell>
          <cell r="J1469" t="str">
            <v>Jimmy L Smith</v>
          </cell>
          <cell r="K1469" t="str">
            <v>FORT MORGAN</v>
          </cell>
          <cell r="L1469" t="str">
            <v>CO</v>
          </cell>
          <cell r="M1469" t="str">
            <v>800-577-8858</v>
          </cell>
          <cell r="N1469"/>
          <cell r="O1469">
            <v>900</v>
          </cell>
          <cell r="P1469">
            <v>3870</v>
          </cell>
          <cell r="Q1469"/>
          <cell r="R1469">
            <v>0</v>
          </cell>
          <cell r="S1469"/>
          <cell r="T1469">
            <v>0</v>
          </cell>
          <cell r="U1469" t="str"/>
          <cell r="V1469" t="str"/>
          <cell r="W1469" t="str"/>
          <cell r="X1469"/>
          <cell r="Y1469"/>
          <cell r="Z1469"/>
          <cell r="AA1469"/>
          <cell r="AB1469">
            <v>0</v>
          </cell>
          <cell r="AC1469"/>
          <cell r="AD1469">
            <v>0</v>
          </cell>
          <cell r="AE1469"/>
          <cell r="AF1469"/>
          <cell r="AG1469"/>
          <cell r="AH1469"/>
          <cell r="AI1469"/>
          <cell r="AJ1469"/>
          <cell r="AK1469" t="str">
            <v>OL</v>
          </cell>
          <cell r="AL1469">
            <v>151</v>
          </cell>
          <cell r="AM1469">
            <v>110</v>
          </cell>
          <cell r="AN1469" t="str">
            <v>10 Orangeline</v>
          </cell>
          <cell r="AO1469" t="str">
            <v>Southwest</v>
          </cell>
          <cell r="AP1469" t="str">
            <v>West</v>
          </cell>
          <cell r="AQ1469"/>
          <cell r="AR1469">
            <v>0</v>
          </cell>
          <cell r="AS1469">
            <v>0</v>
          </cell>
        </row>
        <row r="1470">
          <cell r="A1470" t="str">
            <v>13223A</v>
          </cell>
          <cell r="B1470" t="str">
            <v>WICKHAM TRACTOR</v>
          </cell>
          <cell r="C1470" t="str">
            <v>M11166</v>
          </cell>
          <cell r="D1470" t="str">
            <v>Net 30, no pink card</v>
          </cell>
          <cell r="E1470" t="str">
            <v>2%</v>
          </cell>
          <cell r="F1470" t="str">
            <v>Yes</v>
          </cell>
          <cell r="G1470" t="str">
            <v>TX</v>
          </cell>
          <cell r="H1470">
            <v>5</v>
          </cell>
          <cell r="I1470">
            <v>0.7</v>
          </cell>
          <cell r="J1470" t="str">
            <v>Jimmy L Smith</v>
          </cell>
          <cell r="K1470" t="str">
            <v>STERLING</v>
          </cell>
          <cell r="L1470" t="str">
            <v>CO</v>
          </cell>
          <cell r="M1470" t="str">
            <v>800-577-8858</v>
          </cell>
          <cell r="N1470"/>
          <cell r="O1470">
            <v>890</v>
          </cell>
          <cell r="P1470">
            <v>3827</v>
          </cell>
          <cell r="Q1470"/>
          <cell r="R1470">
            <v>0</v>
          </cell>
          <cell r="S1470"/>
          <cell r="T1470">
            <v>0</v>
          </cell>
          <cell r="U1470" t="str"/>
          <cell r="V1470" t="str"/>
          <cell r="W1470" t="str"/>
          <cell r="X1470"/>
          <cell r="Y1470"/>
          <cell r="Z1470"/>
          <cell r="AA1470"/>
          <cell r="AB1470">
            <v>0</v>
          </cell>
          <cell r="AC1470"/>
          <cell r="AD1470">
            <v>0</v>
          </cell>
          <cell r="AE1470"/>
          <cell r="AF1470"/>
          <cell r="AG1470"/>
          <cell r="AH1470"/>
          <cell r="AI1470"/>
          <cell r="AJ1470"/>
          <cell r="AK1470" t="str">
            <v>OL</v>
          </cell>
          <cell r="AL1470">
            <v>151</v>
          </cell>
          <cell r="AM1470">
            <v>110</v>
          </cell>
          <cell r="AN1470" t="str">
            <v>10 Orangeline</v>
          </cell>
          <cell r="AO1470" t="str">
            <v>Southwest</v>
          </cell>
          <cell r="AP1470" t="str">
            <v>West</v>
          </cell>
          <cell r="AQ1470"/>
          <cell r="AR1470">
            <v>0</v>
          </cell>
          <cell r="AS1470">
            <v>0</v>
          </cell>
        </row>
        <row r="1471">
          <cell r="A1471" t="str">
            <v>13223B</v>
          </cell>
          <cell r="B1471" t="str">
            <v>WICKHAM TRACTOR</v>
          </cell>
          <cell r="C1471" t="str">
            <v>M11166</v>
          </cell>
          <cell r="D1471" t="str">
            <v>Net 30, no pink card</v>
          </cell>
          <cell r="E1471" t="str">
            <v>2%</v>
          </cell>
          <cell r="F1471" t="str">
            <v>Yes</v>
          </cell>
          <cell r="G1471" t="str">
            <v>TX</v>
          </cell>
          <cell r="H1471">
            <v>5</v>
          </cell>
          <cell r="I1471">
            <v>0.7</v>
          </cell>
          <cell r="J1471" t="str">
            <v>Jimmy L Smith</v>
          </cell>
          <cell r="K1471" t="str">
            <v>FORT COLLINS</v>
          </cell>
          <cell r="L1471" t="str">
            <v>CO</v>
          </cell>
          <cell r="M1471" t="str">
            <v>800-577-8858</v>
          </cell>
          <cell r="N1471"/>
          <cell r="O1471">
            <v>980</v>
          </cell>
          <cell r="P1471">
            <v>4214</v>
          </cell>
          <cell r="Q1471"/>
          <cell r="R1471">
            <v>0</v>
          </cell>
          <cell r="S1471"/>
          <cell r="T1471">
            <v>0</v>
          </cell>
          <cell r="U1471" t="str"/>
          <cell r="V1471" t="str"/>
          <cell r="W1471" t="str"/>
          <cell r="X1471"/>
          <cell r="Y1471"/>
          <cell r="Z1471"/>
          <cell r="AA1471"/>
          <cell r="AB1471">
            <v>0</v>
          </cell>
          <cell r="AC1471"/>
          <cell r="AD1471">
            <v>0</v>
          </cell>
          <cell r="AE1471"/>
          <cell r="AF1471"/>
          <cell r="AG1471"/>
          <cell r="AH1471"/>
          <cell r="AI1471"/>
          <cell r="AJ1471"/>
          <cell r="AK1471" t="str">
            <v>OL</v>
          </cell>
          <cell r="AL1471">
            <v>151</v>
          </cell>
          <cell r="AM1471">
            <v>149</v>
          </cell>
          <cell r="AN1471" t="str">
            <v>10 Orangeline</v>
          </cell>
          <cell r="AO1471" t="str">
            <v>Southwest</v>
          </cell>
          <cell r="AP1471" t="str">
            <v>West</v>
          </cell>
          <cell r="AQ1471"/>
          <cell r="AR1471">
            <v>0</v>
          </cell>
          <cell r="AS1471">
            <v>0</v>
          </cell>
        </row>
        <row r="1472">
          <cell r="A1472" t="str">
            <v>13223C</v>
          </cell>
          <cell r="B1472" t="str">
            <v>WICKHAM TRACTOR</v>
          </cell>
          <cell r="C1472" t="str">
            <v>M11166</v>
          </cell>
          <cell r="D1472" t="str">
            <v>Net 30, no pink card</v>
          </cell>
          <cell r="E1472" t="str">
            <v>2%</v>
          </cell>
          <cell r="F1472" t="str">
            <v>Yes</v>
          </cell>
          <cell r="G1472" t="str">
            <v>TX</v>
          </cell>
          <cell r="H1472">
            <v>5</v>
          </cell>
          <cell r="I1472">
            <v>0.7</v>
          </cell>
          <cell r="J1472" t="str">
            <v>Jimmy L Smith</v>
          </cell>
          <cell r="K1472" t="str">
            <v>GREENLEY</v>
          </cell>
          <cell r="L1472" t="str">
            <v>CO</v>
          </cell>
          <cell r="M1472" t="str">
            <v>800-577-8858</v>
          </cell>
          <cell r="N1472"/>
          <cell r="O1472">
            <v>960</v>
          </cell>
          <cell r="P1472">
            <v>4128</v>
          </cell>
          <cell r="Q1472"/>
          <cell r="R1472">
            <v>0</v>
          </cell>
          <cell r="S1472"/>
          <cell r="T1472">
            <v>0</v>
          </cell>
          <cell r="U1472" t="str"/>
          <cell r="V1472" t="str"/>
          <cell r="W1472" t="str"/>
          <cell r="X1472"/>
          <cell r="Y1472"/>
          <cell r="Z1472"/>
          <cell r="AA1472"/>
          <cell r="AB1472">
            <v>0</v>
          </cell>
          <cell r="AC1472"/>
          <cell r="AD1472">
            <v>0</v>
          </cell>
          <cell r="AE1472"/>
          <cell r="AF1472"/>
          <cell r="AG1472"/>
          <cell r="AH1472"/>
          <cell r="AI1472"/>
          <cell r="AJ1472"/>
          <cell r="AK1472" t="str">
            <v>OL</v>
          </cell>
          <cell r="AL1472">
            <v>151</v>
          </cell>
          <cell r="AM1472">
            <v>172</v>
          </cell>
          <cell r="AN1472" t="str">
            <v>10 Orangeline</v>
          </cell>
          <cell r="AO1472" t="str">
            <v>Southwest</v>
          </cell>
          <cell r="AP1472" t="str">
            <v>West</v>
          </cell>
          <cell r="AQ1472"/>
          <cell r="AR1472">
            <v>0</v>
          </cell>
          <cell r="AS1472">
            <v>0</v>
          </cell>
        </row>
        <row r="1473">
          <cell r="A1473" t="str">
            <v>13223D</v>
          </cell>
          <cell r="B1473" t="str">
            <v>WICKHAM TRACTOR</v>
          </cell>
          <cell r="C1473" t="str">
            <v>M11166</v>
          </cell>
          <cell r="D1473" t="str">
            <v>Net 30, no pink card</v>
          </cell>
          <cell r="E1473" t="str">
            <v>2%</v>
          </cell>
          <cell r="F1473" t="str">
            <v>Yes</v>
          </cell>
          <cell r="G1473" t="str">
            <v>TX</v>
          </cell>
          <cell r="H1473">
            <v>5</v>
          </cell>
          <cell r="I1473">
            <v>0.7</v>
          </cell>
          <cell r="J1473" t="str">
            <v>Jimmy L Smith</v>
          </cell>
          <cell r="K1473" t="str">
            <v>LONGMONT</v>
          </cell>
          <cell r="L1473" t="str">
            <v>CO</v>
          </cell>
          <cell r="M1473" t="str">
            <v>800-577-8858</v>
          </cell>
          <cell r="N1473"/>
          <cell r="O1473">
            <v>955</v>
          </cell>
          <cell r="P1473">
            <v>4106.5</v>
          </cell>
          <cell r="Q1473"/>
          <cell r="R1473">
            <v>0</v>
          </cell>
          <cell r="S1473"/>
          <cell r="T1473">
            <v>0</v>
          </cell>
          <cell r="U1473" t="str"/>
          <cell r="V1473" t="str"/>
          <cell r="W1473" t="str"/>
          <cell r="X1473"/>
          <cell r="Y1473"/>
          <cell r="Z1473"/>
          <cell r="AA1473"/>
          <cell r="AB1473">
            <v>0</v>
          </cell>
          <cell r="AC1473"/>
          <cell r="AD1473">
            <v>0</v>
          </cell>
          <cell r="AE1473"/>
          <cell r="AF1473"/>
          <cell r="AG1473"/>
          <cell r="AH1473"/>
          <cell r="AI1473"/>
          <cell r="AJ1473"/>
          <cell r="AK1473" t="str">
            <v>OL</v>
          </cell>
          <cell r="AL1473">
            <v>151</v>
          </cell>
          <cell r="AM1473">
            <v>110</v>
          </cell>
          <cell r="AN1473" t="str">
            <v>10 Orangeline</v>
          </cell>
          <cell r="AO1473" t="str">
            <v>Southwest</v>
          </cell>
          <cell r="AP1473" t="str">
            <v>West</v>
          </cell>
          <cell r="AQ1473"/>
          <cell r="AR1473">
            <v>0</v>
          </cell>
          <cell r="AS1473">
            <v>0</v>
          </cell>
        </row>
        <row r="1474">
          <cell r="A1474" t="str">
            <v>13365A</v>
          </cell>
          <cell r="B1474" t="str">
            <v>WICKHAM TRACTOR</v>
          </cell>
          <cell r="C1474" t="str">
            <v>M11166</v>
          </cell>
          <cell r="D1474" t="str">
            <v>Net 30, no pink card</v>
          </cell>
          <cell r="E1474" t="str">
            <v>O1-Northpoint</v>
          </cell>
          <cell r="F1474" t="str">
            <v>Yes</v>
          </cell>
          <cell r="G1474" t="str">
            <v>TX</v>
          </cell>
          <cell r="H1474">
            <v>8</v>
          </cell>
          <cell r="I1474">
            <v>0.7</v>
          </cell>
          <cell r="J1474" t="str">
            <v>Jimmy L Smith</v>
          </cell>
          <cell r="K1474" t="str">
            <v>STERLING</v>
          </cell>
          <cell r="L1474" t="str">
            <v>CO</v>
          </cell>
          <cell r="M1474" t="str">
            <v>800-577-8858</v>
          </cell>
          <cell r="N1474"/>
          <cell r="O1474">
            <v>890</v>
          </cell>
          <cell r="P1474">
            <v>3827</v>
          </cell>
          <cell r="Q1474"/>
          <cell r="R1474">
            <v>0</v>
          </cell>
          <cell r="S1474"/>
          <cell r="T1474">
            <v>0</v>
          </cell>
          <cell r="U1474" t="str"/>
          <cell r="V1474" t="str"/>
          <cell r="W1474" t="str"/>
          <cell r="X1474"/>
          <cell r="Y1474"/>
          <cell r="Z1474"/>
          <cell r="AA1474"/>
          <cell r="AB1474">
            <v>0</v>
          </cell>
          <cell r="AC1474"/>
          <cell r="AD1474">
            <v>0</v>
          </cell>
          <cell r="AE1474"/>
          <cell r="AF1474"/>
          <cell r="AG1474"/>
          <cell r="AH1474"/>
          <cell r="AI1474"/>
          <cell r="AJ1474"/>
          <cell r="AK1474" t="str">
            <v>OL</v>
          </cell>
          <cell r="AL1474">
            <v>151</v>
          </cell>
          <cell r="AM1474">
            <v>110</v>
          </cell>
          <cell r="AN1474" t="str">
            <v>10 Orangeline</v>
          </cell>
          <cell r="AO1474" t="str">
            <v>Southwest</v>
          </cell>
          <cell r="AP1474" t="str">
            <v>West</v>
          </cell>
          <cell r="AQ1474"/>
          <cell r="AR1474">
            <v>0</v>
          </cell>
          <cell r="AS1474">
            <v>0</v>
          </cell>
        </row>
        <row r="1475">
          <cell r="A1475" t="str">
            <v>13365B</v>
          </cell>
          <cell r="B1475" t="str">
            <v>WICKHAM TRACTOR</v>
          </cell>
          <cell r="C1475" t="str">
            <v>M11166</v>
          </cell>
          <cell r="D1475" t="str">
            <v>Net 30, no pink card</v>
          </cell>
          <cell r="E1475" t="str">
            <v>O1-Northpoint</v>
          </cell>
          <cell r="F1475" t="str">
            <v>Yes</v>
          </cell>
          <cell r="G1475" t="str">
            <v>TX</v>
          </cell>
          <cell r="H1475">
            <v>8</v>
          </cell>
          <cell r="I1475">
            <v>0.7</v>
          </cell>
          <cell r="J1475" t="str">
            <v>Jimmy L Smith</v>
          </cell>
          <cell r="K1475" t="str">
            <v>FORT COLLINS</v>
          </cell>
          <cell r="L1475" t="str">
            <v>CO</v>
          </cell>
          <cell r="M1475" t="str">
            <v>800-577-8858</v>
          </cell>
          <cell r="N1475"/>
          <cell r="O1475">
            <v>980</v>
          </cell>
          <cell r="P1475">
            <v>4214</v>
          </cell>
          <cell r="Q1475"/>
          <cell r="R1475">
            <v>0</v>
          </cell>
          <cell r="S1475"/>
          <cell r="T1475">
            <v>0</v>
          </cell>
          <cell r="U1475" t="str"/>
          <cell r="V1475" t="str"/>
          <cell r="W1475" t="str"/>
          <cell r="X1475"/>
          <cell r="Y1475"/>
          <cell r="Z1475"/>
          <cell r="AA1475"/>
          <cell r="AB1475">
            <v>0</v>
          </cell>
          <cell r="AC1475"/>
          <cell r="AD1475">
            <v>0</v>
          </cell>
          <cell r="AE1475"/>
          <cell r="AF1475"/>
          <cell r="AG1475"/>
          <cell r="AH1475"/>
          <cell r="AI1475"/>
          <cell r="AJ1475"/>
          <cell r="AK1475" t="str">
            <v>OL</v>
          </cell>
          <cell r="AL1475">
            <v>151</v>
          </cell>
          <cell r="AM1475">
            <v>149</v>
          </cell>
          <cell r="AN1475" t="str">
            <v>10 Orangeline</v>
          </cell>
          <cell r="AO1475" t="str">
            <v>Southwest</v>
          </cell>
          <cell r="AP1475" t="str">
            <v>West</v>
          </cell>
          <cell r="AQ1475"/>
          <cell r="AR1475">
            <v>0</v>
          </cell>
          <cell r="AS1475">
            <v>0</v>
          </cell>
        </row>
        <row r="1476">
          <cell r="A1476" t="str">
            <v>13365C</v>
          </cell>
          <cell r="B1476" t="str">
            <v>WICKHAM TRACTOR</v>
          </cell>
          <cell r="C1476" t="str">
            <v>M11166</v>
          </cell>
          <cell r="D1476" t="str">
            <v>Net 30, no pink card</v>
          </cell>
          <cell r="E1476" t="str">
            <v>O1-Northpoint</v>
          </cell>
          <cell r="F1476" t="str">
            <v>Yes</v>
          </cell>
          <cell r="G1476" t="str">
            <v>TX</v>
          </cell>
          <cell r="H1476">
            <v>8</v>
          </cell>
          <cell r="I1476">
            <v>0.7</v>
          </cell>
          <cell r="J1476" t="str">
            <v>Jimmy L Smith</v>
          </cell>
          <cell r="K1476" t="str">
            <v>GREENLEY</v>
          </cell>
          <cell r="L1476" t="str">
            <v>CO</v>
          </cell>
          <cell r="M1476" t="str">
            <v>800-577-8858</v>
          </cell>
          <cell r="N1476"/>
          <cell r="O1476">
            <v>960</v>
          </cell>
          <cell r="P1476">
            <v>4128</v>
          </cell>
          <cell r="Q1476"/>
          <cell r="R1476">
            <v>0</v>
          </cell>
          <cell r="S1476">
            <v>807</v>
          </cell>
          <cell r="T1476">
            <v>3470.1</v>
          </cell>
          <cell r="U1476" t="str"/>
          <cell r="V1476" t="str"/>
          <cell r="W1476" t="str"/>
          <cell r="X1476"/>
          <cell r="Y1476"/>
          <cell r="Z1476"/>
          <cell r="AA1476"/>
          <cell r="AB1476">
            <v>0</v>
          </cell>
          <cell r="AC1476"/>
          <cell r="AD1476">
            <v>0</v>
          </cell>
          <cell r="AE1476"/>
          <cell r="AF1476"/>
          <cell r="AG1476"/>
          <cell r="AH1476"/>
          <cell r="AI1476"/>
          <cell r="AJ1476"/>
          <cell r="AK1476" t="str">
            <v>OL</v>
          </cell>
          <cell r="AL1476">
            <v>151</v>
          </cell>
          <cell r="AM1476">
            <v>172</v>
          </cell>
          <cell r="AN1476" t="str">
            <v>10 Orangeline</v>
          </cell>
          <cell r="AO1476" t="str">
            <v>Southwest</v>
          </cell>
          <cell r="AP1476" t="str">
            <v>West</v>
          </cell>
          <cell r="AQ1476"/>
          <cell r="AR1476">
            <v>0</v>
          </cell>
          <cell r="AS1476">
            <v>0</v>
          </cell>
        </row>
        <row r="1477">
          <cell r="A1477" t="str">
            <v>13365D</v>
          </cell>
          <cell r="B1477" t="str">
            <v>WICKHAM TRACTOR</v>
          </cell>
          <cell r="C1477" t="str">
            <v>M11166</v>
          </cell>
          <cell r="D1477" t="str">
            <v>Net 30, no pink card</v>
          </cell>
          <cell r="E1477" t="str">
            <v>O1-Northpoint</v>
          </cell>
          <cell r="F1477" t="str">
            <v>Yes</v>
          </cell>
          <cell r="G1477" t="str">
            <v>TX</v>
          </cell>
          <cell r="H1477">
            <v>8</v>
          </cell>
          <cell r="I1477">
            <v>0.7</v>
          </cell>
          <cell r="J1477" t="str">
            <v>Jimmy L Smith</v>
          </cell>
          <cell r="K1477" t="str">
            <v>LONGMONT</v>
          </cell>
          <cell r="L1477" t="str">
            <v>CO</v>
          </cell>
          <cell r="M1477" t="str">
            <v>800-577-8858</v>
          </cell>
          <cell r="N1477"/>
          <cell r="O1477">
            <v>955</v>
          </cell>
          <cell r="P1477">
            <v>4106.5</v>
          </cell>
          <cell r="Q1477"/>
          <cell r="R1477">
            <v>0</v>
          </cell>
          <cell r="S1477"/>
          <cell r="T1477">
            <v>0</v>
          </cell>
          <cell r="U1477" t="str"/>
          <cell r="V1477" t="str"/>
          <cell r="W1477" t="str"/>
          <cell r="X1477"/>
          <cell r="Y1477"/>
          <cell r="Z1477"/>
          <cell r="AA1477"/>
          <cell r="AB1477">
            <v>0</v>
          </cell>
          <cell r="AC1477"/>
          <cell r="AD1477">
            <v>0</v>
          </cell>
          <cell r="AE1477"/>
          <cell r="AF1477"/>
          <cell r="AG1477"/>
          <cell r="AH1477"/>
          <cell r="AI1477"/>
          <cell r="AJ1477"/>
          <cell r="AK1477" t="str">
            <v>OL</v>
          </cell>
          <cell r="AL1477">
            <v>151</v>
          </cell>
          <cell r="AM1477">
            <v>110</v>
          </cell>
          <cell r="AN1477" t="str">
            <v>10 Orangeline</v>
          </cell>
          <cell r="AO1477" t="str">
            <v>Southwest</v>
          </cell>
          <cell r="AP1477" t="str">
            <v>West</v>
          </cell>
          <cell r="AQ1477"/>
          <cell r="AR1477">
            <v>0</v>
          </cell>
          <cell r="AS1477">
            <v>0</v>
          </cell>
        </row>
        <row r="1478">
          <cell r="A1478">
            <v>13466</v>
          </cell>
          <cell r="B1478" t="str">
            <v>KAHN TRACTOR</v>
          </cell>
          <cell r="C1478" t="str">
            <v>M11440</v>
          </cell>
          <cell r="D1478" t="str">
            <v>Net 30, no pink card</v>
          </cell>
          <cell r="E1478" t="str">
            <v>FP</v>
          </cell>
          <cell r="F1478" t="str">
            <v>Yes</v>
          </cell>
          <cell r="G1478" t="str">
            <v>OH</v>
          </cell>
          <cell r="H1478">
            <v>8</v>
          </cell>
          <cell r="I1478">
            <v>0.7</v>
          </cell>
          <cell r="J1478" t="str">
            <v>Jimmy L Smith</v>
          </cell>
          <cell r="K1478" t="str">
            <v>NORTH FRANKLIN</v>
          </cell>
          <cell r="L1478" t="str">
            <v>CT</v>
          </cell>
          <cell r="M1478" t="str">
            <v>800-577-8895</v>
          </cell>
          <cell r="N1478"/>
          <cell r="O1478">
            <v>1575</v>
          </cell>
          <cell r="P1478">
            <v>6772.5</v>
          </cell>
          <cell r="Q1478">
            <v>1120</v>
          </cell>
          <cell r="R1478">
            <v>4816</v>
          </cell>
          <cell r="S1478"/>
          <cell r="T1478">
            <v>0</v>
          </cell>
          <cell r="U1478" t="str"/>
          <cell r="V1478" t="str"/>
          <cell r="W1478" t="str"/>
          <cell r="X1478"/>
          <cell r="Y1478">
            <v>785</v>
          </cell>
          <cell r="Z1478">
            <v>3375.5</v>
          </cell>
          <cell r="AA1478">
            <v>785</v>
          </cell>
          <cell r="AB1478">
            <v>3375.5</v>
          </cell>
          <cell r="AC1478">
            <v>785</v>
          </cell>
          <cell r="AD1478">
            <v>3375.5</v>
          </cell>
          <cell r="AE1478"/>
          <cell r="AF1478"/>
          <cell r="AG1478"/>
          <cell r="AH1478"/>
          <cell r="AI1478"/>
          <cell r="AJ1478"/>
          <cell r="AK1478" t="str">
            <v>OL</v>
          </cell>
          <cell r="AL1478">
            <v>151</v>
          </cell>
          <cell r="AM1478">
            <v>319</v>
          </cell>
          <cell r="AN1478" t="str">
            <v>10 Orangeline</v>
          </cell>
          <cell r="AO1478" t="str">
            <v>North</v>
          </cell>
          <cell r="AP1478" t="str">
            <v>North</v>
          </cell>
          <cell r="AQ1478"/>
          <cell r="AR1478">
            <v>0</v>
          </cell>
          <cell r="AS1478">
            <v>0</v>
          </cell>
        </row>
        <row r="1479">
          <cell r="A1479">
            <v>13453</v>
          </cell>
          <cell r="B1479" t="str">
            <v>RUWET SIBLEY EQUIP</v>
          </cell>
          <cell r="C1479" t="str">
            <v>M11219</v>
          </cell>
          <cell r="D1479" t="str">
            <v>Net 30, no pink card</v>
          </cell>
          <cell r="E1479">
            <v>0.02</v>
          </cell>
          <cell r="F1479" t="str">
            <v>Yes</v>
          </cell>
          <cell r="G1479" t="str">
            <v>OH</v>
          </cell>
          <cell r="H1479">
            <v>5</v>
          </cell>
          <cell r="I1479">
            <v>0.7</v>
          </cell>
          <cell r="J1479" t="str">
            <v>Jimmy L Smith</v>
          </cell>
          <cell r="K1479" t="str">
            <v xml:space="preserve">TORRINGTON </v>
          </cell>
          <cell r="L1479" t="str">
            <v>CT</v>
          </cell>
          <cell r="M1479" t="str">
            <v>800-577-8895</v>
          </cell>
          <cell r="N1479"/>
          <cell r="O1479">
            <v>1550</v>
          </cell>
          <cell r="P1479">
            <v>6665</v>
          </cell>
          <cell r="Q1479">
            <v>1100</v>
          </cell>
          <cell r="R1479">
            <v>4730</v>
          </cell>
          <cell r="S1479"/>
          <cell r="T1479">
            <v>0</v>
          </cell>
          <cell r="U1479" t="str"/>
          <cell r="V1479" t="str"/>
          <cell r="W1479" t="str"/>
          <cell r="X1479"/>
          <cell r="Y1479">
            <v>765</v>
          </cell>
          <cell r="Z1479">
            <v>3289.5</v>
          </cell>
          <cell r="AA1479">
            <v>765</v>
          </cell>
          <cell r="AB1479">
            <v>3289.5</v>
          </cell>
          <cell r="AC1479">
            <v>765</v>
          </cell>
          <cell r="AD1479">
            <v>3289.5</v>
          </cell>
          <cell r="AE1479"/>
          <cell r="AF1479"/>
          <cell r="AG1479"/>
          <cell r="AH1479"/>
          <cell r="AI1479"/>
          <cell r="AJ1479"/>
          <cell r="AK1479" t="str">
            <v>OL</v>
          </cell>
          <cell r="AL1479">
            <v>151</v>
          </cell>
          <cell r="AM1479">
            <v>318</v>
          </cell>
          <cell r="AN1479" t="str">
            <v>10 Orangeline</v>
          </cell>
          <cell r="AO1479" t="str">
            <v>North</v>
          </cell>
          <cell r="AP1479" t="str">
            <v>North</v>
          </cell>
          <cell r="AQ1479"/>
          <cell r="AR1479">
            <v>0</v>
          </cell>
          <cell r="AS1479">
            <v>0</v>
          </cell>
        </row>
        <row r="1480">
          <cell r="A1480" t="str">
            <v>13453A</v>
          </cell>
          <cell r="B1480" t="str">
            <v>RUWET SIBLEY EQUIP</v>
          </cell>
          <cell r="C1480" t="str">
            <v>M11219</v>
          </cell>
          <cell r="D1480" t="str">
            <v>Net 30, no pink card</v>
          </cell>
          <cell r="E1480">
            <v>0.02</v>
          </cell>
          <cell r="F1480" t="str">
            <v>Yes</v>
          </cell>
          <cell r="G1480" t="str">
            <v>OH</v>
          </cell>
          <cell r="H1480">
            <v>5</v>
          </cell>
          <cell r="I1480">
            <v>0.7</v>
          </cell>
          <cell r="J1480" t="str">
            <v>Jimmy L Smith</v>
          </cell>
          <cell r="K1480" t="str">
            <v>NEW MILFORD</v>
          </cell>
          <cell r="L1480" t="str">
            <v>CT</v>
          </cell>
          <cell r="M1480" t="str">
            <v>800-577-8895</v>
          </cell>
          <cell r="N1480"/>
          <cell r="O1480">
            <v>1506</v>
          </cell>
          <cell r="P1480">
            <v>6475.8</v>
          </cell>
          <cell r="Q1480">
            <v>1012</v>
          </cell>
          <cell r="R1480">
            <v>4351.5999999999995</v>
          </cell>
          <cell r="S1480"/>
          <cell r="T1480">
            <v>0</v>
          </cell>
          <cell r="U1480" t="str"/>
          <cell r="V1480" t="str"/>
          <cell r="W1480" t="str"/>
          <cell r="X1480"/>
          <cell r="Y1480">
            <v>715</v>
          </cell>
          <cell r="Z1480">
            <v>3074.5</v>
          </cell>
          <cell r="AA1480">
            <v>715</v>
          </cell>
          <cell r="AB1480">
            <v>3074.5</v>
          </cell>
          <cell r="AC1480">
            <v>715</v>
          </cell>
          <cell r="AD1480">
            <v>3074.5</v>
          </cell>
          <cell r="AE1480"/>
          <cell r="AF1480"/>
          <cell r="AG1480"/>
          <cell r="AH1480"/>
          <cell r="AI1480"/>
          <cell r="AJ1480"/>
          <cell r="AK1480" t="str">
            <v>OL</v>
          </cell>
          <cell r="AL1480">
            <v>151</v>
          </cell>
          <cell r="AM1480">
            <v>318</v>
          </cell>
          <cell r="AN1480" t="str">
            <v>10 Orangeline</v>
          </cell>
          <cell r="AO1480" t="str">
            <v>North</v>
          </cell>
          <cell r="AP1480" t="str">
            <v>North</v>
          </cell>
          <cell r="AQ1480"/>
          <cell r="AR1480">
            <v>0</v>
          </cell>
          <cell r="AS1480">
            <v>0</v>
          </cell>
        </row>
        <row r="1481">
          <cell r="A1481">
            <v>13287</v>
          </cell>
          <cell r="B1481" t="str">
            <v>BURKE EQUIPMENT</v>
          </cell>
          <cell r="C1481" t="str">
            <v>M11295</v>
          </cell>
          <cell r="D1481" t="str">
            <v>Net 30, no pink card</v>
          </cell>
          <cell r="E1481" t="str">
            <v>O1-Northpoint</v>
          </cell>
          <cell r="F1481" t="str">
            <v>Yes</v>
          </cell>
          <cell r="G1481" t="str">
            <v>GA</v>
          </cell>
          <cell r="H1481">
            <v>8</v>
          </cell>
          <cell r="I1481">
            <v>0.7</v>
          </cell>
          <cell r="J1481" t="str">
            <v>Jimmy L Smith</v>
          </cell>
          <cell r="K1481" t="str">
            <v>FELTON</v>
          </cell>
          <cell r="L1481" t="str">
            <v>DE</v>
          </cell>
          <cell r="M1481" t="str">
            <v>800-577-8858</v>
          </cell>
          <cell r="N1481"/>
          <cell r="O1481">
            <v>1303</v>
          </cell>
          <cell r="P1481">
            <v>5602.9</v>
          </cell>
          <cell r="Q1481">
            <v>845</v>
          </cell>
          <cell r="R1481">
            <v>3633.5</v>
          </cell>
          <cell r="S1481"/>
          <cell r="T1481">
            <v>0</v>
          </cell>
          <cell r="U1481" t="str"/>
          <cell r="V1481" t="str"/>
          <cell r="W1481" t="str"/>
          <cell r="X1481"/>
          <cell r="Y1481">
            <v>565</v>
          </cell>
          <cell r="Z1481">
            <v>2429.5</v>
          </cell>
          <cell r="AA1481">
            <v>565</v>
          </cell>
          <cell r="AB1481">
            <v>2429.5</v>
          </cell>
          <cell r="AC1481">
            <v>565</v>
          </cell>
          <cell r="AD1481">
            <v>2429.5</v>
          </cell>
          <cell r="AE1481"/>
          <cell r="AF1481"/>
          <cell r="AG1481"/>
          <cell r="AH1481"/>
          <cell r="AI1481"/>
          <cell r="AJ1481"/>
          <cell r="AK1481" t="str">
            <v>OL</v>
          </cell>
          <cell r="AL1481">
            <v>151</v>
          </cell>
          <cell r="AM1481">
            <v>116</v>
          </cell>
          <cell r="AN1481" t="str">
            <v>10 Orangeline</v>
          </cell>
          <cell r="AO1481" t="str">
            <v>Southeast</v>
          </cell>
          <cell r="AP1481" t="str">
            <v>North</v>
          </cell>
          <cell r="AQ1481"/>
          <cell r="AR1481">
            <v>0</v>
          </cell>
          <cell r="AS1481">
            <v>0</v>
          </cell>
        </row>
        <row r="1482">
          <cell r="A1482" t="str">
            <v>13287A</v>
          </cell>
          <cell r="B1482" t="str">
            <v>BURKE EQUIPMENT</v>
          </cell>
          <cell r="C1482" t="str">
            <v>M11295</v>
          </cell>
          <cell r="D1482" t="str">
            <v>Net 30, no pink card</v>
          </cell>
          <cell r="E1482" t="str">
            <v>O1-Northpoint</v>
          </cell>
          <cell r="F1482" t="str">
            <v>Yes</v>
          </cell>
          <cell r="G1482" t="str">
            <v>GA</v>
          </cell>
          <cell r="H1482">
            <v>8</v>
          </cell>
          <cell r="I1482">
            <v>0.7</v>
          </cell>
          <cell r="J1482" t="str">
            <v>Jimmy L Smith</v>
          </cell>
          <cell r="K1482" t="str">
            <v>DELMAR</v>
          </cell>
          <cell r="L1482" t="str">
            <v>DE</v>
          </cell>
          <cell r="M1482" t="str">
            <v>800-577-8858</v>
          </cell>
          <cell r="N1482"/>
          <cell r="O1482">
            <v>1330</v>
          </cell>
          <cell r="P1482">
            <v>5719</v>
          </cell>
          <cell r="Q1482">
            <v>800</v>
          </cell>
          <cell r="R1482">
            <v>3440</v>
          </cell>
          <cell r="S1482"/>
          <cell r="T1482">
            <v>0</v>
          </cell>
          <cell r="U1482" t="str"/>
          <cell r="V1482" t="str"/>
          <cell r="W1482" t="str"/>
          <cell r="X1482"/>
          <cell r="Y1482">
            <v>600</v>
          </cell>
          <cell r="Z1482">
            <v>2580</v>
          </cell>
          <cell r="AA1482">
            <v>600</v>
          </cell>
          <cell r="AB1482">
            <v>2580</v>
          </cell>
          <cell r="AC1482">
            <v>600</v>
          </cell>
          <cell r="AD1482">
            <v>2580</v>
          </cell>
          <cell r="AE1482"/>
          <cell r="AF1482"/>
          <cell r="AG1482"/>
          <cell r="AH1482"/>
          <cell r="AI1482"/>
          <cell r="AJ1482"/>
          <cell r="AK1482" t="str">
            <v>OL</v>
          </cell>
          <cell r="AL1482">
            <v>151</v>
          </cell>
          <cell r="AM1482">
            <v>398</v>
          </cell>
          <cell r="AN1482" t="str">
            <v>10 Orangeline</v>
          </cell>
          <cell r="AO1482" t="str">
            <v>Southeast</v>
          </cell>
          <cell r="AP1482" t="str">
            <v>North</v>
          </cell>
          <cell r="AQ1482"/>
          <cell r="AR1482">
            <v>0</v>
          </cell>
          <cell r="AS1482">
            <v>0</v>
          </cell>
        </row>
        <row r="1483">
          <cell r="A1483" t="str">
            <v>13287B</v>
          </cell>
          <cell r="B1483" t="str">
            <v>BURKE EQUIPMENT</v>
          </cell>
          <cell r="C1483" t="str">
            <v>M11295</v>
          </cell>
          <cell r="D1483" t="str">
            <v>Net 30, no pink card</v>
          </cell>
          <cell r="E1483" t="str">
            <v>O1-Northpoint</v>
          </cell>
          <cell r="F1483" t="str">
            <v>Yes</v>
          </cell>
          <cell r="G1483" t="str">
            <v>GA</v>
          </cell>
          <cell r="H1483">
            <v>8</v>
          </cell>
          <cell r="I1483">
            <v>0.7</v>
          </cell>
          <cell r="J1483" t="str">
            <v>Jimmy L Smith</v>
          </cell>
          <cell r="K1483" t="str">
            <v>NEWARK</v>
          </cell>
          <cell r="L1483" t="str">
            <v>DE</v>
          </cell>
          <cell r="M1483" t="str">
            <v>800-577-8858</v>
          </cell>
          <cell r="N1483"/>
          <cell r="O1483"/>
          <cell r="P1483">
            <v>0</v>
          </cell>
          <cell r="Q1483">
            <v>850</v>
          </cell>
          <cell r="R1483">
            <v>3655</v>
          </cell>
          <cell r="S1483"/>
          <cell r="T1483">
            <v>0</v>
          </cell>
          <cell r="U1483" t="str"/>
          <cell r="V1483" t="str"/>
          <cell r="W1483" t="str"/>
          <cell r="X1483"/>
          <cell r="Y1483">
            <v>565</v>
          </cell>
          <cell r="Z1483">
            <v>2429.5</v>
          </cell>
          <cell r="AA1483">
            <v>565</v>
          </cell>
          <cell r="AB1483">
            <v>2429.5</v>
          </cell>
          <cell r="AC1483">
            <v>565</v>
          </cell>
          <cell r="AD1483">
            <v>2429.5</v>
          </cell>
          <cell r="AE1483"/>
          <cell r="AF1483"/>
          <cell r="AG1483"/>
          <cell r="AH1483"/>
          <cell r="AI1483"/>
          <cell r="AJ1483"/>
          <cell r="AK1483" t="str">
            <v>OL</v>
          </cell>
          <cell r="AL1483">
            <v>151</v>
          </cell>
          <cell r="AM1483">
            <v>346</v>
          </cell>
          <cell r="AN1483" t="str">
            <v>10 Orangeline</v>
          </cell>
          <cell r="AO1483" t="str">
            <v>Southeast</v>
          </cell>
          <cell r="AP1483" t="str">
            <v>North</v>
          </cell>
          <cell r="AQ1483"/>
          <cell r="AR1483">
            <v>0</v>
          </cell>
          <cell r="AS1483">
            <v>0</v>
          </cell>
        </row>
        <row r="1484">
          <cell r="A1484">
            <v>13373</v>
          </cell>
          <cell r="B1484" t="str">
            <v>HOOBER INC</v>
          </cell>
          <cell r="C1484" t="str">
            <v>M11340</v>
          </cell>
          <cell r="D1484" t="str">
            <v>Net 30, no pink card</v>
          </cell>
          <cell r="E1484" t="str">
            <v>2%</v>
          </cell>
          <cell r="F1484" t="str">
            <v>Yes</v>
          </cell>
          <cell r="G1484" t="str">
            <v>GA</v>
          </cell>
          <cell r="H1484">
            <v>5</v>
          </cell>
          <cell r="I1484">
            <v>0.7</v>
          </cell>
          <cell r="J1484" t="str">
            <v>Jimmy L Smith</v>
          </cell>
          <cell r="K1484" t="str">
            <v>MIDDLETOWN</v>
          </cell>
          <cell r="L1484" t="str">
            <v>DE</v>
          </cell>
          <cell r="M1484" t="str">
            <v>800-577-8858</v>
          </cell>
          <cell r="N1484"/>
          <cell r="O1484"/>
          <cell r="P1484">
            <v>0</v>
          </cell>
          <cell r="Q1484">
            <v>850</v>
          </cell>
          <cell r="R1484">
            <v>3655</v>
          </cell>
          <cell r="S1484"/>
          <cell r="T1484">
            <v>0</v>
          </cell>
          <cell r="U1484" t="str"/>
          <cell r="V1484" t="str"/>
          <cell r="W1484" t="str"/>
          <cell r="X1484"/>
          <cell r="Y1484">
            <v>565</v>
          </cell>
          <cell r="Z1484">
            <v>2429.5</v>
          </cell>
          <cell r="AA1484">
            <v>565</v>
          </cell>
          <cell r="AB1484">
            <v>2429.5</v>
          </cell>
          <cell r="AC1484">
            <v>565</v>
          </cell>
          <cell r="AD1484">
            <v>2429.5</v>
          </cell>
          <cell r="AE1484"/>
          <cell r="AF1484"/>
          <cell r="AG1484"/>
          <cell r="AH1484"/>
          <cell r="AI1484"/>
          <cell r="AJ1484"/>
          <cell r="AK1484" t="str">
            <v>OL</v>
          </cell>
          <cell r="AL1484">
            <v>151</v>
          </cell>
          <cell r="AM1484">
            <v>321</v>
          </cell>
          <cell r="AN1484" t="str">
            <v>10 Orangeline</v>
          </cell>
          <cell r="AO1484" t="str">
            <v>Southeast</v>
          </cell>
          <cell r="AP1484" t="str">
            <v>North</v>
          </cell>
          <cell r="AQ1484"/>
          <cell r="AR1484">
            <v>0</v>
          </cell>
          <cell r="AS1484">
            <v>0</v>
          </cell>
        </row>
        <row r="1485">
          <cell r="A1485">
            <v>13292</v>
          </cell>
          <cell r="B1485" t="str">
            <v>COASTAL EQUIPMENT - FL</v>
          </cell>
          <cell r="C1485" t="str">
            <v>M11261</v>
          </cell>
          <cell r="D1485" t="str">
            <v>Net 30, no pink card</v>
          </cell>
          <cell r="E1485" t="str">
            <v>2%</v>
          </cell>
          <cell r="F1485" t="str">
            <v>Yes</v>
          </cell>
          <cell r="G1485" t="str">
            <v>GA</v>
          </cell>
          <cell r="H1485">
            <v>5</v>
          </cell>
          <cell r="I1485">
            <v>0.7</v>
          </cell>
          <cell r="J1485" t="str">
            <v>Jimmy L Smith</v>
          </cell>
          <cell r="K1485" t="str">
            <v>JACKSONVILLE</v>
          </cell>
          <cell r="L1485" t="str">
            <v>FL</v>
          </cell>
          <cell r="M1485" t="str">
            <v>800-577-8858</v>
          </cell>
          <cell r="N1485"/>
          <cell r="O1485"/>
          <cell r="P1485">
            <v>0</v>
          </cell>
          <cell r="Q1485">
            <v>210</v>
          </cell>
          <cell r="R1485">
            <v>903</v>
          </cell>
          <cell r="S1485"/>
          <cell r="T1485">
            <v>0</v>
          </cell>
          <cell r="U1485" t="str"/>
          <cell r="V1485" t="str"/>
          <cell r="W1485" t="str"/>
          <cell r="X1485"/>
          <cell r="Y1485"/>
          <cell r="Z1485">
            <v>0</v>
          </cell>
          <cell r="AA1485"/>
          <cell r="AB1485">
            <v>0</v>
          </cell>
          <cell r="AC1485"/>
          <cell r="AD1485">
            <v>0</v>
          </cell>
          <cell r="AE1485"/>
          <cell r="AF1485"/>
          <cell r="AG1485"/>
          <cell r="AH1485"/>
          <cell r="AI1485"/>
          <cell r="AJ1485"/>
          <cell r="AK1485" t="str">
            <v>OL</v>
          </cell>
          <cell r="AL1485">
            <v>151</v>
          </cell>
          <cell r="AM1485">
            <v>212</v>
          </cell>
          <cell r="AN1485" t="str">
            <v>10 Orangeline</v>
          </cell>
          <cell r="AO1485" t="str">
            <v>Southeast</v>
          </cell>
          <cell r="AP1485" t="str">
            <v>South</v>
          </cell>
          <cell r="AQ1485"/>
          <cell r="AR1485">
            <v>0</v>
          </cell>
          <cell r="AS1485">
            <v>0</v>
          </cell>
        </row>
        <row r="1486">
          <cell r="A1486" t="str">
            <v>13292A</v>
          </cell>
          <cell r="B1486" t="str">
            <v>COASTAL EQUIPMENT - FL</v>
          </cell>
          <cell r="C1486" t="str">
            <v>M11261</v>
          </cell>
          <cell r="D1486" t="str">
            <v>Net 30, no pink card</v>
          </cell>
          <cell r="E1486" t="str">
            <v>2%</v>
          </cell>
          <cell r="F1486" t="str">
            <v>Yes</v>
          </cell>
          <cell r="G1486" t="str">
            <v>GA</v>
          </cell>
          <cell r="H1486">
            <v>5</v>
          </cell>
          <cell r="I1486">
            <v>0.7</v>
          </cell>
          <cell r="J1486" t="str">
            <v>Jimmy L Smith</v>
          </cell>
          <cell r="K1486" t="str">
            <v>MACCLENNY</v>
          </cell>
          <cell r="L1486" t="str">
            <v>FL</v>
          </cell>
          <cell r="M1486" t="str">
            <v>800-577-8858</v>
          </cell>
          <cell r="N1486"/>
          <cell r="O1486"/>
          <cell r="P1486">
            <v>0</v>
          </cell>
          <cell r="Q1486">
            <v>185</v>
          </cell>
          <cell r="R1486">
            <v>795.5</v>
          </cell>
          <cell r="S1486"/>
          <cell r="T1486">
            <v>0</v>
          </cell>
          <cell r="U1486" t="str"/>
          <cell r="V1486" t="str"/>
          <cell r="W1486" t="str"/>
          <cell r="X1486"/>
          <cell r="Y1486"/>
          <cell r="Z1486">
            <v>0</v>
          </cell>
          <cell r="AA1486"/>
          <cell r="AB1486">
            <v>0</v>
          </cell>
          <cell r="AC1486"/>
          <cell r="AD1486">
            <v>0</v>
          </cell>
          <cell r="AE1486"/>
          <cell r="AF1486"/>
          <cell r="AG1486"/>
          <cell r="AH1486"/>
          <cell r="AI1486"/>
          <cell r="AJ1486"/>
          <cell r="AK1486" t="str">
            <v>OL</v>
          </cell>
          <cell r="AL1486">
            <v>151</v>
          </cell>
          <cell r="AM1486">
            <v>212</v>
          </cell>
          <cell r="AN1486" t="str">
            <v>10 Orangeline</v>
          </cell>
          <cell r="AO1486" t="str">
            <v>Southeast</v>
          </cell>
          <cell r="AP1486" t="str">
            <v>South</v>
          </cell>
          <cell r="AQ1486"/>
          <cell r="AR1486">
            <v>0</v>
          </cell>
          <cell r="AS1486">
            <v>0</v>
          </cell>
        </row>
        <row r="1487">
          <cell r="A1487">
            <v>13351</v>
          </cell>
          <cell r="B1487" t="str">
            <v>COASTAL MACHINERY</v>
          </cell>
          <cell r="C1487" t="str">
            <v>M11314</v>
          </cell>
          <cell r="D1487" t="str">
            <v>Net 30, no pink card</v>
          </cell>
          <cell r="E1487" t="str">
            <v>FP-Wells</v>
          </cell>
          <cell r="F1487" t="str">
            <v>Yes</v>
          </cell>
          <cell r="G1487" t="str">
            <v>GA</v>
          </cell>
          <cell r="H1487">
            <v>8</v>
          </cell>
          <cell r="I1487">
            <v>0.7</v>
          </cell>
          <cell r="J1487" t="str">
            <v>Jimmy L Smith</v>
          </cell>
          <cell r="K1487" t="str">
            <v>PENSACOLA</v>
          </cell>
          <cell r="L1487" t="str">
            <v>FL</v>
          </cell>
          <cell r="M1487" t="str">
            <v>800-577-8858</v>
          </cell>
          <cell r="N1487"/>
          <cell r="O1487"/>
          <cell r="P1487">
            <v>0</v>
          </cell>
          <cell r="Q1487">
            <v>275</v>
          </cell>
          <cell r="R1487">
            <v>1182.5</v>
          </cell>
          <cell r="S1487"/>
          <cell r="T1487">
            <v>0</v>
          </cell>
          <cell r="U1487" t="str"/>
          <cell r="V1487" t="str"/>
          <cell r="W1487" t="str"/>
          <cell r="X1487"/>
          <cell r="Y1487"/>
          <cell r="Z1487">
            <v>0</v>
          </cell>
          <cell r="AA1487"/>
          <cell r="AB1487">
            <v>0</v>
          </cell>
          <cell r="AC1487"/>
          <cell r="AD1487">
            <v>0</v>
          </cell>
          <cell r="AE1487"/>
          <cell r="AF1487"/>
          <cell r="AG1487"/>
          <cell r="AH1487"/>
          <cell r="AI1487"/>
          <cell r="AJ1487"/>
          <cell r="AK1487" t="str">
            <v>OL</v>
          </cell>
          <cell r="AL1487">
            <v>151</v>
          </cell>
          <cell r="AM1487">
            <v>343</v>
          </cell>
          <cell r="AN1487" t="str">
            <v>10 Orangeline</v>
          </cell>
          <cell r="AO1487" t="str">
            <v>Southeast</v>
          </cell>
          <cell r="AP1487" t="str">
            <v>South</v>
          </cell>
          <cell r="AQ1487"/>
          <cell r="AR1487">
            <v>0</v>
          </cell>
          <cell r="AS1487">
            <v>0</v>
          </cell>
        </row>
        <row r="1488">
          <cell r="A1488">
            <v>13668</v>
          </cell>
          <cell r="B1488" t="str">
            <v>CREEL TRACTOR</v>
          </cell>
          <cell r="C1488" t="str">
            <v>M11333</v>
          </cell>
          <cell r="D1488" t="str">
            <v>Net 30, no pink card</v>
          </cell>
          <cell r="E1488" t="str">
            <v>2%</v>
          </cell>
          <cell r="F1488" t="str">
            <v>Yes</v>
          </cell>
          <cell r="G1488" t="str">
            <v>GA</v>
          </cell>
          <cell r="H1488">
            <v>5</v>
          </cell>
          <cell r="I1488">
            <v>0.7</v>
          </cell>
          <cell r="J1488" t="str">
            <v>Jimmy L Smith</v>
          </cell>
          <cell r="K1488" t="str">
            <v>FORT MYERS</v>
          </cell>
          <cell r="L1488" t="str">
            <v>FL</v>
          </cell>
          <cell r="M1488" t="str">
            <v>800-577-8858</v>
          </cell>
          <cell r="N1488"/>
          <cell r="O1488"/>
          <cell r="P1488">
            <v>0</v>
          </cell>
          <cell r="Q1488">
            <v>440</v>
          </cell>
          <cell r="R1488">
            <v>1892</v>
          </cell>
          <cell r="S1488"/>
          <cell r="T1488">
            <v>0</v>
          </cell>
          <cell r="U1488" t="str"/>
          <cell r="V1488" t="str"/>
          <cell r="W1488" t="str"/>
          <cell r="X1488"/>
          <cell r="Y1488"/>
          <cell r="Z1488">
            <v>0</v>
          </cell>
          <cell r="AA1488"/>
          <cell r="AB1488">
            <v>0</v>
          </cell>
          <cell r="AC1488"/>
          <cell r="AD1488">
            <v>0</v>
          </cell>
          <cell r="AE1488"/>
          <cell r="AF1488"/>
          <cell r="AG1488"/>
          <cell r="AH1488"/>
          <cell r="AI1488"/>
          <cell r="AJ1488"/>
          <cell r="AK1488" t="str">
            <v>OL</v>
          </cell>
          <cell r="AL1488">
            <v>151</v>
          </cell>
          <cell r="AM1488">
            <v>151</v>
          </cell>
          <cell r="AN1488" t="str">
            <v>10 Orangeline</v>
          </cell>
          <cell r="AO1488" t="str">
            <v>Southeast</v>
          </cell>
          <cell r="AP1488" t="str">
            <v>South</v>
          </cell>
          <cell r="AQ1488"/>
          <cell r="AR1488">
            <v>0</v>
          </cell>
          <cell r="AS1488">
            <v>0</v>
          </cell>
        </row>
        <row r="1489">
          <cell r="A1489" t="str">
            <v>13668A</v>
          </cell>
          <cell r="B1489" t="str">
            <v>CREEL TRACTOR</v>
          </cell>
          <cell r="C1489" t="str">
            <v>M11333</v>
          </cell>
          <cell r="D1489" t="str">
            <v>Net 30, no pink card</v>
          </cell>
          <cell r="E1489" t="str">
            <v>2%</v>
          </cell>
          <cell r="F1489" t="str">
            <v>Yes</v>
          </cell>
          <cell r="G1489" t="str">
            <v>GA</v>
          </cell>
          <cell r="H1489">
            <v>5</v>
          </cell>
          <cell r="I1489">
            <v>0.7</v>
          </cell>
          <cell r="J1489" t="str">
            <v>Jimmy L Smith</v>
          </cell>
          <cell r="K1489" t="str">
            <v>FORT MYERS</v>
          </cell>
          <cell r="L1489" t="str">
            <v>FL</v>
          </cell>
          <cell r="M1489" t="str">
            <v>800-577-8858</v>
          </cell>
          <cell r="N1489"/>
          <cell r="O1489"/>
          <cell r="P1489">
            <v>0</v>
          </cell>
          <cell r="Q1489">
            <v>440</v>
          </cell>
          <cell r="R1489">
            <v>1892</v>
          </cell>
          <cell r="S1489"/>
          <cell r="T1489">
            <v>0</v>
          </cell>
          <cell r="U1489" t="str"/>
          <cell r="V1489" t="str"/>
          <cell r="W1489" t="str"/>
          <cell r="X1489"/>
          <cell r="Y1489"/>
          <cell r="Z1489">
            <v>0</v>
          </cell>
          <cell r="AA1489"/>
          <cell r="AB1489">
            <v>0</v>
          </cell>
          <cell r="AC1489"/>
          <cell r="AD1489">
            <v>0</v>
          </cell>
          <cell r="AE1489"/>
          <cell r="AF1489"/>
          <cell r="AG1489"/>
          <cell r="AH1489"/>
          <cell r="AI1489"/>
          <cell r="AJ1489"/>
          <cell r="AK1489" t="str">
            <v>OL</v>
          </cell>
          <cell r="AL1489">
            <v>151</v>
          </cell>
          <cell r="AM1489">
            <v>151</v>
          </cell>
          <cell r="AN1489" t="str">
            <v>10 Orangeline</v>
          </cell>
          <cell r="AO1489" t="str">
            <v>Southeast</v>
          </cell>
          <cell r="AP1489" t="str">
            <v>South</v>
          </cell>
          <cell r="AQ1489"/>
          <cell r="AR1489">
            <v>0</v>
          </cell>
          <cell r="AS1489">
            <v>0</v>
          </cell>
        </row>
        <row r="1490">
          <cell r="A1490">
            <v>13293</v>
          </cell>
          <cell r="B1490" t="str">
            <v>CRYSTAL TRACTOR</v>
          </cell>
          <cell r="C1490" t="str">
            <v>M11308</v>
          </cell>
          <cell r="D1490" t="str">
            <v>Net 30, no pink card</v>
          </cell>
          <cell r="E1490" t="str">
            <v>2%</v>
          </cell>
          <cell r="F1490" t="str">
            <v>Yes</v>
          </cell>
          <cell r="G1490" t="str">
            <v>GA</v>
          </cell>
          <cell r="H1490">
            <v>5</v>
          </cell>
          <cell r="I1490">
            <v>0.7</v>
          </cell>
          <cell r="J1490" t="str">
            <v>Jimmy L Smith</v>
          </cell>
          <cell r="K1490" t="str">
            <v>HOMOSASSA</v>
          </cell>
          <cell r="L1490" t="str">
            <v>FL</v>
          </cell>
          <cell r="M1490" t="str">
            <v>800-577-8858</v>
          </cell>
          <cell r="N1490"/>
          <cell r="O1490"/>
          <cell r="P1490">
            <v>0</v>
          </cell>
          <cell r="Q1490">
            <v>265</v>
          </cell>
          <cell r="R1490">
            <v>1139.5</v>
          </cell>
          <cell r="S1490"/>
          <cell r="T1490">
            <v>0</v>
          </cell>
          <cell r="U1490" t="str"/>
          <cell r="V1490" t="str"/>
          <cell r="W1490" t="str"/>
          <cell r="X1490"/>
          <cell r="Y1490"/>
          <cell r="Z1490">
            <v>0</v>
          </cell>
          <cell r="AA1490"/>
          <cell r="AB1490">
            <v>0</v>
          </cell>
          <cell r="AC1490"/>
          <cell r="AD1490">
            <v>0</v>
          </cell>
          <cell r="AE1490"/>
          <cell r="AF1490"/>
          <cell r="AG1490"/>
          <cell r="AH1490"/>
          <cell r="AI1490"/>
          <cell r="AJ1490"/>
          <cell r="AK1490" t="str">
            <v>OL</v>
          </cell>
          <cell r="AL1490">
            <v>151</v>
          </cell>
          <cell r="AM1490">
            <v>440</v>
          </cell>
          <cell r="AN1490" t="str">
            <v>10 Orangeline</v>
          </cell>
          <cell r="AO1490" t="str">
            <v>Southeast</v>
          </cell>
          <cell r="AP1490" t="str">
            <v>South</v>
          </cell>
          <cell r="AQ1490"/>
          <cell r="AR1490">
            <v>0</v>
          </cell>
          <cell r="AS1490">
            <v>0</v>
          </cell>
        </row>
        <row r="1491">
          <cell r="A1491" t="str">
            <v>13293A</v>
          </cell>
          <cell r="B1491" t="str">
            <v>CRYSTAL TRACTOR</v>
          </cell>
          <cell r="C1491" t="str">
            <v>M11308</v>
          </cell>
          <cell r="D1491" t="str">
            <v>Net 30, no pink card</v>
          </cell>
          <cell r="E1491" t="str">
            <v>2%</v>
          </cell>
          <cell r="F1491" t="str">
            <v>Yes</v>
          </cell>
          <cell r="G1491" t="str">
            <v>GA</v>
          </cell>
          <cell r="H1491">
            <v>5</v>
          </cell>
          <cell r="I1491">
            <v>0.7</v>
          </cell>
          <cell r="J1491" t="str">
            <v>Jimmy L Smith</v>
          </cell>
          <cell r="K1491" t="str">
            <v>DELAND</v>
          </cell>
          <cell r="L1491" t="str">
            <v>FL</v>
          </cell>
          <cell r="M1491" t="str">
            <v>800-577-8858</v>
          </cell>
          <cell r="N1491"/>
          <cell r="O1491"/>
          <cell r="P1491">
            <v>0</v>
          </cell>
          <cell r="Q1491">
            <v>285</v>
          </cell>
          <cell r="R1491">
            <v>1225.5</v>
          </cell>
          <cell r="S1491"/>
          <cell r="T1491">
            <v>0</v>
          </cell>
          <cell r="U1491" t="str"/>
          <cell r="V1491" t="str"/>
          <cell r="W1491" t="str"/>
          <cell r="X1491"/>
          <cell r="Y1491"/>
          <cell r="Z1491">
            <v>0</v>
          </cell>
          <cell r="AA1491"/>
          <cell r="AB1491">
            <v>0</v>
          </cell>
          <cell r="AC1491"/>
          <cell r="AD1491">
            <v>0</v>
          </cell>
          <cell r="AE1491"/>
          <cell r="AF1491"/>
          <cell r="AG1491"/>
          <cell r="AH1491"/>
          <cell r="AI1491"/>
          <cell r="AJ1491"/>
          <cell r="AK1491" t="str">
            <v>OL</v>
          </cell>
          <cell r="AL1491">
            <v>151</v>
          </cell>
          <cell r="AM1491">
            <v>107</v>
          </cell>
          <cell r="AN1491" t="str">
            <v>10 Orangeline</v>
          </cell>
          <cell r="AO1491" t="str">
            <v>Southeast</v>
          </cell>
          <cell r="AP1491" t="str">
            <v>South</v>
          </cell>
          <cell r="AQ1491"/>
          <cell r="AR1491">
            <v>0</v>
          </cell>
          <cell r="AS1491">
            <v>0</v>
          </cell>
        </row>
        <row r="1492">
          <cell r="A1492" t="str">
            <v>13293B</v>
          </cell>
          <cell r="B1492" t="str">
            <v>CRYSTAL TRACTOR</v>
          </cell>
          <cell r="C1492" t="str">
            <v>M11308</v>
          </cell>
          <cell r="D1492" t="str">
            <v>Net 30, no pink card</v>
          </cell>
          <cell r="E1492" t="str">
            <v>2%</v>
          </cell>
          <cell r="F1492" t="str">
            <v>Yes</v>
          </cell>
          <cell r="G1492" t="str">
            <v>GA</v>
          </cell>
          <cell r="H1492">
            <v>5</v>
          </cell>
          <cell r="I1492">
            <v>0.7</v>
          </cell>
          <cell r="J1492" t="str">
            <v>Jimmy L Smith</v>
          </cell>
          <cell r="K1492" t="str">
            <v>KISSIMMEE</v>
          </cell>
          <cell r="L1492" t="str">
            <v>FL</v>
          </cell>
          <cell r="M1492" t="str">
            <v>800-577-8858</v>
          </cell>
          <cell r="N1492"/>
          <cell r="O1492"/>
          <cell r="P1492">
            <v>0</v>
          </cell>
          <cell r="Q1492">
            <v>315</v>
          </cell>
          <cell r="R1492">
            <v>1354.5</v>
          </cell>
          <cell r="S1492"/>
          <cell r="T1492">
            <v>0</v>
          </cell>
          <cell r="U1492" t="str"/>
          <cell r="V1492" t="str"/>
          <cell r="W1492" t="str"/>
          <cell r="X1492"/>
          <cell r="Y1492"/>
          <cell r="Z1492">
            <v>0</v>
          </cell>
          <cell r="AA1492"/>
          <cell r="AB1492">
            <v>0</v>
          </cell>
          <cell r="AC1492"/>
          <cell r="AD1492">
            <v>0</v>
          </cell>
          <cell r="AE1492"/>
          <cell r="AF1492"/>
          <cell r="AG1492"/>
          <cell r="AH1492"/>
          <cell r="AI1492"/>
          <cell r="AJ1492"/>
          <cell r="AK1492" t="str">
            <v>OL</v>
          </cell>
          <cell r="AL1492">
            <v>151</v>
          </cell>
          <cell r="AM1492">
            <v>336</v>
          </cell>
          <cell r="AN1492" t="str">
            <v>10 Orangeline</v>
          </cell>
          <cell r="AO1492" t="str">
            <v>Southeast</v>
          </cell>
          <cell r="AP1492" t="str">
            <v>South</v>
          </cell>
          <cell r="AQ1492"/>
          <cell r="AR1492">
            <v>0</v>
          </cell>
          <cell r="AS1492">
            <v>0</v>
          </cell>
        </row>
        <row r="1493">
          <cell r="A1493" t="str">
            <v>13293C</v>
          </cell>
          <cell r="B1493" t="str">
            <v>CRYSTAL TRACTOR</v>
          </cell>
          <cell r="C1493" t="str">
            <v>M11308</v>
          </cell>
          <cell r="D1493" t="str">
            <v>Net 30, no pink card</v>
          </cell>
          <cell r="E1493" t="str">
            <v>2%</v>
          </cell>
          <cell r="F1493" t="str">
            <v>Yes</v>
          </cell>
          <cell r="G1493" t="str">
            <v>GA</v>
          </cell>
          <cell r="H1493">
            <v>5</v>
          </cell>
          <cell r="I1493">
            <v>0.7</v>
          </cell>
          <cell r="J1493" t="str">
            <v>Jimmy L Smith</v>
          </cell>
          <cell r="K1493" t="str">
            <v>LEESBURG</v>
          </cell>
          <cell r="L1493" t="str">
            <v>FL</v>
          </cell>
          <cell r="M1493" t="str">
            <v>800-577-8858</v>
          </cell>
          <cell r="N1493"/>
          <cell r="O1493"/>
          <cell r="P1493">
            <v>0</v>
          </cell>
          <cell r="Q1493">
            <v>265</v>
          </cell>
          <cell r="R1493">
            <v>1139.5</v>
          </cell>
          <cell r="S1493"/>
          <cell r="T1493">
            <v>0</v>
          </cell>
          <cell r="U1493" t="str"/>
          <cell r="V1493" t="str"/>
          <cell r="W1493" t="str"/>
          <cell r="X1493"/>
          <cell r="Y1493"/>
          <cell r="Z1493">
            <v>0</v>
          </cell>
          <cell r="AA1493"/>
          <cell r="AB1493">
            <v>0</v>
          </cell>
          <cell r="AC1493"/>
          <cell r="AD1493">
            <v>0</v>
          </cell>
          <cell r="AE1493"/>
          <cell r="AF1493"/>
          <cell r="AG1493"/>
          <cell r="AH1493"/>
          <cell r="AI1493"/>
          <cell r="AJ1493"/>
          <cell r="AK1493" t="str">
            <v>OL</v>
          </cell>
          <cell r="AL1493">
            <v>151</v>
          </cell>
          <cell r="AM1493">
            <v>107</v>
          </cell>
          <cell r="AN1493" t="str">
            <v>10 Orangeline</v>
          </cell>
          <cell r="AO1493" t="str">
            <v>Southeast</v>
          </cell>
          <cell r="AP1493" t="str">
            <v>South</v>
          </cell>
          <cell r="AQ1493"/>
          <cell r="AR1493">
            <v>0</v>
          </cell>
          <cell r="AS1493">
            <v>0</v>
          </cell>
        </row>
        <row r="1494">
          <cell r="A1494">
            <v>13669</v>
          </cell>
          <cell r="B1494" t="str">
            <v>FLORIDA COAST</v>
          </cell>
          <cell r="C1494" t="str">
            <v>M11334</v>
          </cell>
          <cell r="D1494" t="str">
            <v>Net 30, no pink card</v>
          </cell>
          <cell r="E1494" t="str">
            <v>FP-Wells</v>
          </cell>
          <cell r="F1494" t="str">
            <v>Yes</v>
          </cell>
          <cell r="G1494" t="str">
            <v>GA</v>
          </cell>
          <cell r="H1494">
            <v>7</v>
          </cell>
          <cell r="I1494">
            <v>0.7</v>
          </cell>
          <cell r="J1494" t="str">
            <v>Jimmy L Smith</v>
          </cell>
          <cell r="K1494" t="str">
            <v>WEST PALM BEACH</v>
          </cell>
          <cell r="L1494" t="str">
            <v>FL</v>
          </cell>
          <cell r="M1494" t="str">
            <v>800-577-8858</v>
          </cell>
          <cell r="N1494"/>
          <cell r="O1494"/>
          <cell r="P1494">
            <v>0</v>
          </cell>
          <cell r="Q1494">
            <v>460</v>
          </cell>
          <cell r="R1494">
            <v>1978</v>
          </cell>
          <cell r="S1494"/>
          <cell r="T1494">
            <v>0</v>
          </cell>
          <cell r="U1494" t="str"/>
          <cell r="V1494" t="str"/>
          <cell r="W1494" t="str"/>
          <cell r="X1494"/>
          <cell r="Y1494"/>
          <cell r="Z1494">
            <v>0</v>
          </cell>
          <cell r="AA1494"/>
          <cell r="AB1494">
            <v>0</v>
          </cell>
          <cell r="AC1494"/>
          <cell r="AD1494">
            <v>0</v>
          </cell>
          <cell r="AE1494"/>
          <cell r="AF1494"/>
          <cell r="AG1494"/>
          <cell r="AH1494"/>
          <cell r="AI1494"/>
          <cell r="AJ1494"/>
          <cell r="AK1494" t="str">
            <v>OL</v>
          </cell>
          <cell r="AL1494">
            <v>151</v>
          </cell>
          <cell r="AM1494">
            <v>469</v>
          </cell>
          <cell r="AN1494" t="str">
            <v>10 Orangeline</v>
          </cell>
          <cell r="AO1494" t="str">
            <v>Southeast</v>
          </cell>
          <cell r="AP1494" t="str">
            <v>South</v>
          </cell>
          <cell r="AQ1494"/>
          <cell r="AR1494">
            <v>0</v>
          </cell>
          <cell r="AS1494">
            <v>0</v>
          </cell>
        </row>
        <row r="1495">
          <cell r="A1495" t="str">
            <v>13669A</v>
          </cell>
          <cell r="B1495" t="str">
            <v>FLORIDA COAST</v>
          </cell>
          <cell r="C1495" t="str">
            <v>M11334</v>
          </cell>
          <cell r="D1495" t="str">
            <v>Net 30, no pink card</v>
          </cell>
          <cell r="E1495" t="str">
            <v>FP-Wells</v>
          </cell>
          <cell r="F1495" t="str">
            <v>Yes</v>
          </cell>
          <cell r="G1495" t="str">
            <v>GA</v>
          </cell>
          <cell r="H1495">
            <v>7</v>
          </cell>
          <cell r="I1495">
            <v>0.7</v>
          </cell>
          <cell r="J1495" t="str">
            <v>Jimmy L Smith</v>
          </cell>
          <cell r="K1495" t="str">
            <v>MIMS</v>
          </cell>
          <cell r="L1495" t="str">
            <v>FL</v>
          </cell>
          <cell r="M1495" t="str">
            <v>800-577-8858</v>
          </cell>
          <cell r="N1495"/>
          <cell r="O1495"/>
          <cell r="P1495">
            <v>0</v>
          </cell>
          <cell r="Q1495">
            <v>340</v>
          </cell>
          <cell r="R1495">
            <v>1462</v>
          </cell>
          <cell r="S1495"/>
          <cell r="T1495">
            <v>0</v>
          </cell>
          <cell r="U1495" t="str"/>
          <cell r="V1495" t="str"/>
          <cell r="W1495" t="str"/>
          <cell r="X1495"/>
          <cell r="Y1495"/>
          <cell r="Z1495">
            <v>0</v>
          </cell>
          <cell r="AA1495"/>
          <cell r="AB1495">
            <v>0</v>
          </cell>
          <cell r="AC1495"/>
          <cell r="AD1495">
            <v>0</v>
          </cell>
          <cell r="AE1495"/>
          <cell r="AF1495"/>
          <cell r="AG1495"/>
          <cell r="AH1495"/>
          <cell r="AI1495"/>
          <cell r="AJ1495"/>
          <cell r="AK1495" t="str">
            <v>OL</v>
          </cell>
          <cell r="AL1495">
            <v>151</v>
          </cell>
          <cell r="AM1495">
            <v>289</v>
          </cell>
          <cell r="AN1495" t="str">
            <v>10 Orangeline</v>
          </cell>
          <cell r="AO1495" t="str">
            <v>Southeast</v>
          </cell>
          <cell r="AP1495" t="str">
            <v>South</v>
          </cell>
          <cell r="AQ1495"/>
          <cell r="AR1495">
            <v>0</v>
          </cell>
          <cell r="AS1495">
            <v>0</v>
          </cell>
        </row>
        <row r="1496">
          <cell r="A1496" t="str">
            <v>13669B</v>
          </cell>
          <cell r="B1496" t="str">
            <v>FLORIDA COAST</v>
          </cell>
          <cell r="C1496" t="str">
            <v>M11334</v>
          </cell>
          <cell r="D1496" t="str">
            <v>Net 30, no pink card</v>
          </cell>
          <cell r="E1496" t="str">
            <v>FP-Wells</v>
          </cell>
          <cell r="F1496" t="str">
            <v>Yes</v>
          </cell>
          <cell r="G1496" t="str">
            <v>GA</v>
          </cell>
          <cell r="H1496">
            <v>7</v>
          </cell>
          <cell r="I1496">
            <v>0.7</v>
          </cell>
          <cell r="J1496" t="str">
            <v>Jimmy L Smith</v>
          </cell>
          <cell r="K1496" t="str">
            <v>NAPLES</v>
          </cell>
          <cell r="L1496" t="str">
            <v>FL</v>
          </cell>
          <cell r="M1496" t="str">
            <v>800-577-8858</v>
          </cell>
          <cell r="N1496"/>
          <cell r="O1496"/>
          <cell r="P1496">
            <v>0</v>
          </cell>
          <cell r="Q1496">
            <v>480</v>
          </cell>
          <cell r="R1496">
            <v>2064</v>
          </cell>
          <cell r="S1496"/>
          <cell r="T1496">
            <v>0</v>
          </cell>
          <cell r="U1496" t="str"/>
          <cell r="V1496" t="str"/>
          <cell r="W1496" t="str"/>
          <cell r="X1496"/>
          <cell r="Y1496"/>
          <cell r="Z1496">
            <v>0</v>
          </cell>
          <cell r="AA1496"/>
          <cell r="AB1496">
            <v>0</v>
          </cell>
          <cell r="AC1496"/>
          <cell r="AD1496">
            <v>0</v>
          </cell>
          <cell r="AE1496"/>
          <cell r="AF1496"/>
          <cell r="AG1496"/>
          <cell r="AH1496"/>
          <cell r="AI1496"/>
          <cell r="AJ1496"/>
          <cell r="AK1496" t="str">
            <v>OL</v>
          </cell>
          <cell r="AL1496">
            <v>151</v>
          </cell>
          <cell r="AM1496">
            <v>313</v>
          </cell>
          <cell r="AN1496" t="str">
            <v>10 Orangeline</v>
          </cell>
          <cell r="AO1496" t="str">
            <v>Southeast</v>
          </cell>
          <cell r="AP1496" t="str">
            <v>South</v>
          </cell>
          <cell r="AQ1496"/>
          <cell r="AR1496">
            <v>0</v>
          </cell>
          <cell r="AS1496">
            <v>0</v>
          </cell>
        </row>
        <row r="1497">
          <cell r="A1497" t="str">
            <v>13669C</v>
          </cell>
          <cell r="B1497" t="str">
            <v>FLORIDA COAST</v>
          </cell>
          <cell r="C1497" t="str">
            <v>M11334</v>
          </cell>
          <cell r="D1497" t="str">
            <v>Net 30, no pink card</v>
          </cell>
          <cell r="E1497" t="str">
            <v>FP-Wells</v>
          </cell>
          <cell r="F1497" t="str">
            <v>Yes</v>
          </cell>
          <cell r="G1497" t="str">
            <v>GA</v>
          </cell>
          <cell r="H1497">
            <v>7</v>
          </cell>
          <cell r="I1497">
            <v>0.7</v>
          </cell>
          <cell r="J1497" t="str">
            <v>Jimmy L Smith</v>
          </cell>
          <cell r="K1497" t="str">
            <v>FORT PIERCE</v>
          </cell>
          <cell r="L1497" t="str">
            <v>FL</v>
          </cell>
          <cell r="M1497" t="str">
            <v>800-577-8858</v>
          </cell>
          <cell r="N1497"/>
          <cell r="O1497"/>
          <cell r="P1497">
            <v>0</v>
          </cell>
          <cell r="Q1497">
            <v>410</v>
          </cell>
          <cell r="R1497">
            <v>1763</v>
          </cell>
          <cell r="S1497"/>
          <cell r="T1497">
            <v>0</v>
          </cell>
          <cell r="U1497" t="str"/>
          <cell r="V1497" t="str"/>
          <cell r="W1497" t="str"/>
          <cell r="X1497"/>
          <cell r="Y1497"/>
          <cell r="Z1497">
            <v>0</v>
          </cell>
          <cell r="AA1497"/>
          <cell r="AB1497">
            <v>0</v>
          </cell>
          <cell r="AC1497"/>
          <cell r="AD1497">
            <v>0</v>
          </cell>
          <cell r="AE1497"/>
          <cell r="AF1497"/>
          <cell r="AG1497"/>
          <cell r="AH1497"/>
          <cell r="AI1497"/>
          <cell r="AJ1497"/>
          <cell r="AK1497" t="str">
            <v>OL</v>
          </cell>
          <cell r="AL1497">
            <v>151</v>
          </cell>
          <cell r="AM1497">
            <v>152</v>
          </cell>
          <cell r="AN1497" t="str">
            <v>10 Orangeline</v>
          </cell>
          <cell r="AO1497" t="str">
            <v>Southeast</v>
          </cell>
          <cell r="AP1497" t="str">
            <v>South</v>
          </cell>
          <cell r="AQ1497"/>
          <cell r="AR1497">
            <v>0</v>
          </cell>
          <cell r="AS1497">
            <v>0</v>
          </cell>
        </row>
        <row r="1498">
          <cell r="A1498" t="str">
            <v>13669D</v>
          </cell>
          <cell r="B1498" t="str">
            <v>FLORIDA COAST</v>
          </cell>
          <cell r="C1498" t="str">
            <v>M11334</v>
          </cell>
          <cell r="D1498" t="str">
            <v>Net 30, no pink card</v>
          </cell>
          <cell r="E1498" t="str">
            <v>FP-Wells</v>
          </cell>
          <cell r="F1498" t="str">
            <v>Yes</v>
          </cell>
          <cell r="G1498" t="str">
            <v>GA</v>
          </cell>
          <cell r="H1498">
            <v>7</v>
          </cell>
          <cell r="I1498">
            <v>0.7</v>
          </cell>
          <cell r="J1498" t="str">
            <v>Jimmy L Smith</v>
          </cell>
          <cell r="K1498" t="str">
            <v>FORT PIERCE</v>
          </cell>
          <cell r="L1498" t="str">
            <v>FL</v>
          </cell>
          <cell r="M1498" t="str">
            <v>800-577-8858</v>
          </cell>
          <cell r="N1498"/>
          <cell r="O1498"/>
          <cell r="P1498">
            <v>0</v>
          </cell>
          <cell r="Q1498">
            <v>410</v>
          </cell>
          <cell r="R1498">
            <v>1763</v>
          </cell>
          <cell r="S1498"/>
          <cell r="T1498">
            <v>0</v>
          </cell>
          <cell r="U1498" t="str"/>
          <cell r="V1498" t="str"/>
          <cell r="W1498" t="str"/>
          <cell r="X1498"/>
          <cell r="Y1498"/>
          <cell r="Z1498">
            <v>0</v>
          </cell>
          <cell r="AA1498"/>
          <cell r="AB1498">
            <v>0</v>
          </cell>
          <cell r="AC1498"/>
          <cell r="AD1498">
            <v>0</v>
          </cell>
          <cell r="AE1498"/>
          <cell r="AF1498"/>
          <cell r="AG1498"/>
          <cell r="AH1498"/>
          <cell r="AI1498"/>
          <cell r="AJ1498"/>
          <cell r="AK1498" t="str">
            <v>OL</v>
          </cell>
          <cell r="AL1498">
            <v>151</v>
          </cell>
          <cell r="AM1498">
            <v>152</v>
          </cell>
          <cell r="AN1498" t="str">
            <v>10 Orangeline</v>
          </cell>
          <cell r="AO1498" t="str">
            <v>Southeast</v>
          </cell>
          <cell r="AP1498" t="str">
            <v>South</v>
          </cell>
          <cell r="AQ1498"/>
          <cell r="AR1498">
            <v>0</v>
          </cell>
          <cell r="AS1498">
            <v>0</v>
          </cell>
        </row>
        <row r="1499">
          <cell r="A1499" t="str">
            <v>13669E</v>
          </cell>
          <cell r="B1499" t="str">
            <v>FLORIDA COAST</v>
          </cell>
          <cell r="C1499" t="str">
            <v>M11334</v>
          </cell>
          <cell r="D1499" t="str">
            <v>Net 30, no pink card</v>
          </cell>
          <cell r="E1499" t="str">
            <v>FP-Wells</v>
          </cell>
          <cell r="F1499" t="str">
            <v>Yes</v>
          </cell>
          <cell r="G1499" t="str">
            <v>GA</v>
          </cell>
          <cell r="H1499">
            <v>7</v>
          </cell>
          <cell r="I1499">
            <v>0.7</v>
          </cell>
          <cell r="J1499" t="str">
            <v>Jimmy L Smith</v>
          </cell>
          <cell r="K1499" t="str">
            <v>PLANT CITY</v>
          </cell>
          <cell r="L1499" t="str">
            <v>FL</v>
          </cell>
          <cell r="M1499" t="str">
            <v>800-577-8858</v>
          </cell>
          <cell r="N1499"/>
          <cell r="O1499"/>
          <cell r="P1499">
            <v>0</v>
          </cell>
          <cell r="Q1499">
            <v>335</v>
          </cell>
          <cell r="R1499">
            <v>1440.5</v>
          </cell>
          <cell r="S1499"/>
          <cell r="T1499">
            <v>0</v>
          </cell>
          <cell r="U1499" t="str"/>
          <cell r="V1499" t="str"/>
          <cell r="W1499" t="str"/>
          <cell r="X1499"/>
          <cell r="Y1499"/>
          <cell r="Z1499">
            <v>0</v>
          </cell>
          <cell r="AA1499"/>
          <cell r="AB1499">
            <v>0</v>
          </cell>
          <cell r="AC1499"/>
          <cell r="AD1499">
            <v>0</v>
          </cell>
          <cell r="AE1499"/>
          <cell r="AF1499"/>
          <cell r="AG1499"/>
          <cell r="AH1499"/>
          <cell r="AI1499"/>
          <cell r="AJ1499"/>
          <cell r="AK1499" t="str">
            <v>OL</v>
          </cell>
          <cell r="AL1499">
            <v>151</v>
          </cell>
          <cell r="AM1499">
            <v>440</v>
          </cell>
          <cell r="AN1499" t="str">
            <v>10 Orangeline</v>
          </cell>
          <cell r="AO1499" t="str">
            <v>Southeast</v>
          </cell>
          <cell r="AP1499" t="str">
            <v>South</v>
          </cell>
          <cell r="AQ1499"/>
          <cell r="AR1499">
            <v>0</v>
          </cell>
          <cell r="AS1499">
            <v>0</v>
          </cell>
        </row>
        <row r="1500">
          <cell r="A1500">
            <v>13355</v>
          </cell>
          <cell r="B1500" t="str">
            <v>FUTCH'S TRACTOR</v>
          </cell>
          <cell r="C1500" t="str">
            <v>M11318</v>
          </cell>
          <cell r="D1500" t="str">
            <v>Net 30, no pink card</v>
          </cell>
          <cell r="E1500" t="str">
            <v>2%</v>
          </cell>
          <cell r="F1500" t="str">
            <v>Yes</v>
          </cell>
          <cell r="G1500" t="str">
            <v>GA</v>
          </cell>
          <cell r="H1500">
            <v>5</v>
          </cell>
          <cell r="I1500">
            <v>0.7</v>
          </cell>
          <cell r="J1500" t="str">
            <v>Jimmy L Smith</v>
          </cell>
          <cell r="K1500" t="str">
            <v>HASTINGS</v>
          </cell>
          <cell r="L1500" t="str">
            <v>FL</v>
          </cell>
          <cell r="M1500" t="str">
            <v>800-577-8858</v>
          </cell>
          <cell r="N1500"/>
          <cell r="O1500"/>
          <cell r="P1500">
            <v>0</v>
          </cell>
          <cell r="Q1500">
            <v>260</v>
          </cell>
          <cell r="R1500">
            <v>1118</v>
          </cell>
          <cell r="S1500"/>
          <cell r="T1500">
            <v>0</v>
          </cell>
          <cell r="U1500" t="str"/>
          <cell r="V1500" t="str"/>
          <cell r="W1500" t="str"/>
          <cell r="X1500"/>
          <cell r="Y1500"/>
          <cell r="Z1500">
            <v>0</v>
          </cell>
          <cell r="AA1500"/>
          <cell r="AB1500">
            <v>0</v>
          </cell>
          <cell r="AC1500"/>
          <cell r="AD1500">
            <v>0</v>
          </cell>
          <cell r="AE1500"/>
          <cell r="AF1500"/>
          <cell r="AG1500"/>
          <cell r="AH1500"/>
          <cell r="AI1500"/>
          <cell r="AJ1500"/>
          <cell r="AK1500" t="str">
            <v>OL</v>
          </cell>
          <cell r="AL1500">
            <v>151</v>
          </cell>
          <cell r="AM1500">
            <v>212</v>
          </cell>
          <cell r="AN1500" t="str">
            <v>10 Orangeline</v>
          </cell>
          <cell r="AO1500" t="str">
            <v>Southeast</v>
          </cell>
          <cell r="AP1500" t="str">
            <v>South</v>
          </cell>
          <cell r="AQ1500"/>
          <cell r="AR1500">
            <v>0</v>
          </cell>
          <cell r="AS1500">
            <v>0</v>
          </cell>
        </row>
        <row r="1501">
          <cell r="A1501" t="str">
            <v>13355A</v>
          </cell>
          <cell r="B1501" t="str">
            <v>FUTCH'S TRACTOR</v>
          </cell>
          <cell r="C1501" t="str">
            <v>M11318</v>
          </cell>
          <cell r="D1501" t="str">
            <v>Net 30, no pink card</v>
          </cell>
          <cell r="E1501" t="str">
            <v>2%</v>
          </cell>
          <cell r="F1501" t="str">
            <v>Yes</v>
          </cell>
          <cell r="G1501" t="str">
            <v>GA</v>
          </cell>
          <cell r="H1501">
            <v>5</v>
          </cell>
          <cell r="I1501">
            <v>0.7</v>
          </cell>
          <cell r="J1501" t="str">
            <v>Jimmy L Smith</v>
          </cell>
          <cell r="K1501" t="str">
            <v>PALATKA</v>
          </cell>
          <cell r="L1501" t="str">
            <v>FL</v>
          </cell>
          <cell r="M1501" t="str">
            <v>800-577-8858</v>
          </cell>
          <cell r="N1501"/>
          <cell r="O1501"/>
          <cell r="P1501">
            <v>0</v>
          </cell>
          <cell r="Q1501">
            <v>230</v>
          </cell>
          <cell r="R1501">
            <v>989</v>
          </cell>
          <cell r="S1501"/>
          <cell r="T1501">
            <v>0</v>
          </cell>
          <cell r="U1501" t="str"/>
          <cell r="V1501" t="str"/>
          <cell r="W1501" t="str"/>
          <cell r="X1501"/>
          <cell r="Y1501"/>
          <cell r="Z1501">
            <v>0</v>
          </cell>
          <cell r="AA1501"/>
          <cell r="AB1501">
            <v>0</v>
          </cell>
          <cell r="AC1501"/>
          <cell r="AD1501">
            <v>0</v>
          </cell>
          <cell r="AE1501"/>
          <cell r="AF1501"/>
          <cell r="AG1501"/>
          <cell r="AH1501"/>
          <cell r="AI1501"/>
          <cell r="AJ1501"/>
          <cell r="AK1501" t="str">
            <v>OL</v>
          </cell>
          <cell r="AL1501">
            <v>151</v>
          </cell>
          <cell r="AM1501">
            <v>212</v>
          </cell>
          <cell r="AN1501" t="str">
            <v>10 Orangeline</v>
          </cell>
          <cell r="AO1501" t="str">
            <v>Southeast</v>
          </cell>
          <cell r="AP1501" t="str">
            <v>South</v>
          </cell>
          <cell r="AQ1501"/>
          <cell r="AR1501">
            <v>0</v>
          </cell>
          <cell r="AS1501">
            <v>0</v>
          </cell>
        </row>
        <row r="1502">
          <cell r="A1502" t="str">
            <v>13355B</v>
          </cell>
          <cell r="B1502" t="str">
            <v>FUTCH'S TRACTOR</v>
          </cell>
          <cell r="C1502" t="str">
            <v>M11318</v>
          </cell>
          <cell r="D1502" t="str">
            <v>Net 30, no pink card</v>
          </cell>
          <cell r="E1502" t="str">
            <v>2%</v>
          </cell>
          <cell r="F1502" t="str">
            <v>Yes</v>
          </cell>
          <cell r="G1502" t="str">
            <v>GA</v>
          </cell>
          <cell r="H1502">
            <v>5</v>
          </cell>
          <cell r="I1502">
            <v>0.7</v>
          </cell>
          <cell r="J1502" t="str">
            <v>Jimmy L Smith</v>
          </cell>
          <cell r="K1502" t="str">
            <v>HASTINGS</v>
          </cell>
          <cell r="L1502" t="str">
            <v>FL</v>
          </cell>
          <cell r="M1502" t="str">
            <v>800-577-8858</v>
          </cell>
          <cell r="N1502"/>
          <cell r="O1502"/>
          <cell r="P1502">
            <v>0</v>
          </cell>
          <cell r="Q1502">
            <v>260</v>
          </cell>
          <cell r="R1502">
            <v>1118</v>
          </cell>
          <cell r="S1502"/>
          <cell r="T1502">
            <v>0</v>
          </cell>
          <cell r="U1502" t="str"/>
          <cell r="V1502" t="str"/>
          <cell r="W1502" t="str"/>
          <cell r="X1502"/>
          <cell r="Y1502"/>
          <cell r="Z1502">
            <v>0</v>
          </cell>
          <cell r="AA1502"/>
          <cell r="AB1502">
            <v>0</v>
          </cell>
          <cell r="AC1502"/>
          <cell r="AD1502">
            <v>0</v>
          </cell>
          <cell r="AE1502"/>
          <cell r="AF1502"/>
          <cell r="AG1502"/>
          <cell r="AH1502"/>
          <cell r="AI1502"/>
          <cell r="AJ1502"/>
          <cell r="AK1502" t="str">
            <v>OL</v>
          </cell>
          <cell r="AL1502">
            <v>151</v>
          </cell>
          <cell r="AM1502">
            <v>212</v>
          </cell>
          <cell r="AN1502" t="str">
            <v>10 Orangeline</v>
          </cell>
          <cell r="AO1502" t="str">
            <v>Southeast</v>
          </cell>
          <cell r="AP1502" t="str">
            <v>South</v>
          </cell>
          <cell r="AQ1502"/>
          <cell r="AR1502">
            <v>0</v>
          </cell>
          <cell r="AS1502">
            <v>0</v>
          </cell>
        </row>
        <row r="1503">
          <cell r="A1503">
            <v>13354</v>
          </cell>
          <cell r="B1503" t="str">
            <v>GORDON TRACTOR</v>
          </cell>
          <cell r="C1503" t="str">
            <v>M11317</v>
          </cell>
          <cell r="D1503" t="str">
            <v>Net 30, no pink card</v>
          </cell>
          <cell r="E1503" t="str">
            <v>2%</v>
          </cell>
          <cell r="F1503" t="str">
            <v>Yes</v>
          </cell>
          <cell r="G1503" t="str">
            <v>GA</v>
          </cell>
          <cell r="H1503">
            <v>5</v>
          </cell>
          <cell r="I1503">
            <v>0.7</v>
          </cell>
          <cell r="J1503" t="str">
            <v>Jimmy L Smith</v>
          </cell>
          <cell r="K1503" t="str">
            <v>MADISON</v>
          </cell>
          <cell r="L1503" t="str">
            <v>FL</v>
          </cell>
          <cell r="M1503" t="str">
            <v>800-577-8858</v>
          </cell>
          <cell r="N1503"/>
          <cell r="O1503"/>
          <cell r="P1503">
            <v>0</v>
          </cell>
          <cell r="Q1503">
            <v>120</v>
          </cell>
          <cell r="R1503">
            <v>516</v>
          </cell>
          <cell r="S1503"/>
          <cell r="T1503">
            <v>0</v>
          </cell>
          <cell r="U1503" t="str"/>
          <cell r="V1503" t="str"/>
          <cell r="W1503" t="str"/>
          <cell r="X1503"/>
          <cell r="Y1503"/>
          <cell r="Z1503">
            <v>0</v>
          </cell>
          <cell r="AA1503"/>
          <cell r="AB1503">
            <v>0</v>
          </cell>
          <cell r="AC1503"/>
          <cell r="AD1503">
            <v>0</v>
          </cell>
          <cell r="AE1503"/>
          <cell r="AF1503"/>
          <cell r="AG1503"/>
          <cell r="AH1503"/>
          <cell r="AI1503"/>
          <cell r="AJ1503"/>
          <cell r="AK1503" t="str">
            <v>OL</v>
          </cell>
          <cell r="AL1503">
            <v>151</v>
          </cell>
          <cell r="AM1503">
            <v>439</v>
          </cell>
          <cell r="AN1503" t="str">
            <v>10 Orangeline</v>
          </cell>
          <cell r="AO1503" t="str">
            <v>Southeast</v>
          </cell>
          <cell r="AP1503" t="str">
            <v>South</v>
          </cell>
          <cell r="AQ1503"/>
          <cell r="AR1503">
            <v>0</v>
          </cell>
          <cell r="AS1503">
            <v>0</v>
          </cell>
        </row>
        <row r="1504">
          <cell r="A1504" t="str">
            <v>13354A</v>
          </cell>
          <cell r="B1504" t="str">
            <v>GORDON TRACTOR</v>
          </cell>
          <cell r="C1504" t="str">
            <v>M11317</v>
          </cell>
          <cell r="D1504" t="str">
            <v>Net 30, no pink card</v>
          </cell>
          <cell r="E1504" t="str">
            <v>2%</v>
          </cell>
          <cell r="F1504" t="str">
            <v>Yes</v>
          </cell>
          <cell r="G1504" t="str">
            <v>GA</v>
          </cell>
          <cell r="H1504">
            <v>5</v>
          </cell>
          <cell r="I1504">
            <v>0.7</v>
          </cell>
          <cell r="J1504" t="str">
            <v>Jimmy L Smith</v>
          </cell>
          <cell r="K1504" t="str">
            <v>LIVE OAK</v>
          </cell>
          <cell r="L1504" t="str">
            <v>FL</v>
          </cell>
          <cell r="M1504" t="str">
            <v>800-577-8858</v>
          </cell>
          <cell r="N1504"/>
          <cell r="O1504"/>
          <cell r="P1504">
            <v>0</v>
          </cell>
          <cell r="Q1504">
            <v>140</v>
          </cell>
          <cell r="R1504">
            <v>602</v>
          </cell>
          <cell r="S1504"/>
          <cell r="T1504">
            <v>0</v>
          </cell>
          <cell r="U1504" t="str"/>
          <cell r="V1504" t="str"/>
          <cell r="W1504" t="str"/>
          <cell r="X1504"/>
          <cell r="Y1504"/>
          <cell r="Z1504">
            <v>0</v>
          </cell>
          <cell r="AA1504"/>
          <cell r="AB1504">
            <v>0</v>
          </cell>
          <cell r="AC1504"/>
          <cell r="AD1504">
            <v>0</v>
          </cell>
          <cell r="AE1504"/>
          <cell r="AF1504"/>
          <cell r="AG1504"/>
          <cell r="AH1504"/>
          <cell r="AI1504"/>
          <cell r="AJ1504"/>
          <cell r="AK1504" t="str">
            <v>OL</v>
          </cell>
          <cell r="AL1504">
            <v>151</v>
          </cell>
          <cell r="AM1504">
            <v>212</v>
          </cell>
          <cell r="AN1504" t="str">
            <v>10 Orangeline</v>
          </cell>
          <cell r="AO1504" t="str">
            <v>Southeast</v>
          </cell>
          <cell r="AP1504" t="str">
            <v>South</v>
          </cell>
          <cell r="AQ1504"/>
          <cell r="AR1504">
            <v>0</v>
          </cell>
          <cell r="AS1504">
            <v>0</v>
          </cell>
        </row>
        <row r="1505">
          <cell r="A1505" t="str">
            <v>13354B</v>
          </cell>
          <cell r="B1505" t="str">
            <v>GORDON TRACTOR</v>
          </cell>
          <cell r="C1505" t="str">
            <v>M11317</v>
          </cell>
          <cell r="D1505" t="str">
            <v>Net 30, no pink card</v>
          </cell>
          <cell r="E1505" t="str">
            <v>2%</v>
          </cell>
          <cell r="F1505" t="str">
            <v>Yes</v>
          </cell>
          <cell r="G1505" t="str">
            <v>GA</v>
          </cell>
          <cell r="H1505">
            <v>5</v>
          </cell>
          <cell r="I1505">
            <v>0.7</v>
          </cell>
          <cell r="J1505" t="str">
            <v>Jimmy L Smith</v>
          </cell>
          <cell r="K1505" t="str">
            <v>MADISON</v>
          </cell>
          <cell r="L1505" t="str">
            <v>FL</v>
          </cell>
          <cell r="M1505" t="str">
            <v>800-577-8858</v>
          </cell>
          <cell r="N1505"/>
          <cell r="O1505"/>
          <cell r="P1505">
            <v>0</v>
          </cell>
          <cell r="Q1505">
            <v>120</v>
          </cell>
          <cell r="R1505">
            <v>516</v>
          </cell>
          <cell r="S1505"/>
          <cell r="T1505">
            <v>0</v>
          </cell>
          <cell r="U1505" t="str"/>
          <cell r="V1505" t="str"/>
          <cell r="W1505" t="str"/>
          <cell r="X1505"/>
          <cell r="Y1505"/>
          <cell r="Z1505">
            <v>0</v>
          </cell>
          <cell r="AA1505"/>
          <cell r="AB1505">
            <v>0</v>
          </cell>
          <cell r="AC1505"/>
          <cell r="AD1505">
            <v>0</v>
          </cell>
          <cell r="AE1505"/>
          <cell r="AF1505"/>
          <cell r="AG1505"/>
          <cell r="AH1505"/>
          <cell r="AI1505"/>
          <cell r="AJ1505"/>
          <cell r="AK1505" t="str">
            <v>OL</v>
          </cell>
          <cell r="AL1505">
            <v>151</v>
          </cell>
          <cell r="AM1505">
            <v>439</v>
          </cell>
          <cell r="AN1505" t="str">
            <v>10 Orangeline</v>
          </cell>
          <cell r="AO1505" t="str">
            <v>Southeast</v>
          </cell>
          <cell r="AP1505" t="str">
            <v>South</v>
          </cell>
          <cell r="AQ1505"/>
          <cell r="AR1505">
            <v>0</v>
          </cell>
          <cell r="AS1505">
            <v>0</v>
          </cell>
        </row>
        <row r="1506">
          <cell r="A1506">
            <v>13375</v>
          </cell>
          <cell r="B1506" t="str">
            <v>GROWERS EQUIPMENT COMPANY</v>
          </cell>
          <cell r="C1506" t="str">
            <v>M11341</v>
          </cell>
          <cell r="D1506" t="str">
            <v>Net 30, no pink card</v>
          </cell>
          <cell r="E1506" t="str">
            <v>2%</v>
          </cell>
          <cell r="F1506" t="str">
            <v>Yes</v>
          </cell>
          <cell r="G1506" t="str">
            <v>GA</v>
          </cell>
          <cell r="H1506">
            <v>5</v>
          </cell>
          <cell r="I1506">
            <v>0.7</v>
          </cell>
          <cell r="J1506" t="str">
            <v>Jimmy L Smith</v>
          </cell>
          <cell r="K1506" t="str">
            <v>DAVIE</v>
          </cell>
          <cell r="L1506" t="str">
            <v>FL</v>
          </cell>
          <cell r="M1506" t="str">
            <v>800-577-8858</v>
          </cell>
          <cell r="N1506"/>
          <cell r="O1506"/>
          <cell r="P1506">
            <v>0</v>
          </cell>
          <cell r="Q1506">
            <v>510</v>
          </cell>
          <cell r="R1506">
            <v>2193</v>
          </cell>
          <cell r="S1506"/>
          <cell r="T1506">
            <v>0</v>
          </cell>
          <cell r="U1506" t="str"/>
          <cell r="V1506" t="str"/>
          <cell r="W1506" t="str"/>
          <cell r="X1506"/>
          <cell r="Y1506"/>
          <cell r="Z1506">
            <v>0</v>
          </cell>
          <cell r="AA1506"/>
          <cell r="AB1506">
            <v>0</v>
          </cell>
          <cell r="AC1506"/>
          <cell r="AD1506">
            <v>0</v>
          </cell>
          <cell r="AE1506"/>
          <cell r="AF1506"/>
          <cell r="AG1506"/>
          <cell r="AH1506"/>
          <cell r="AI1506"/>
          <cell r="AJ1506"/>
          <cell r="AK1506" t="str">
            <v>OL</v>
          </cell>
          <cell r="AL1506">
            <v>151</v>
          </cell>
          <cell r="AM1506">
            <v>293</v>
          </cell>
          <cell r="AN1506" t="str">
            <v>10 Orangeline</v>
          </cell>
          <cell r="AO1506" t="str">
            <v>Southeast</v>
          </cell>
          <cell r="AP1506" t="str">
            <v>South</v>
          </cell>
          <cell r="AQ1506"/>
          <cell r="AR1506">
            <v>0</v>
          </cell>
          <cell r="AS1506">
            <v>0</v>
          </cell>
        </row>
        <row r="1507">
          <cell r="A1507" t="str">
            <v>13375A</v>
          </cell>
          <cell r="B1507" t="str">
            <v>GROWERS EQUIPMENT COMPANY</v>
          </cell>
          <cell r="C1507" t="str">
            <v>M11341</v>
          </cell>
          <cell r="D1507" t="str">
            <v>Net 30, no pink card</v>
          </cell>
          <cell r="E1507" t="str">
            <v>2%</v>
          </cell>
          <cell r="F1507" t="str">
            <v>Yes</v>
          </cell>
          <cell r="G1507" t="str">
            <v>GA</v>
          </cell>
          <cell r="H1507">
            <v>5</v>
          </cell>
          <cell r="I1507">
            <v>0.7</v>
          </cell>
          <cell r="J1507" t="str">
            <v>Jimmy L Smith</v>
          </cell>
          <cell r="K1507" t="str">
            <v>MIAMI</v>
          </cell>
          <cell r="L1507" t="str">
            <v>FL</v>
          </cell>
          <cell r="M1507" t="str">
            <v>800-577-8858</v>
          </cell>
          <cell r="N1507"/>
          <cell r="O1507"/>
          <cell r="P1507">
            <v>0</v>
          </cell>
          <cell r="Q1507">
            <v>540</v>
          </cell>
          <cell r="R1507">
            <v>2322</v>
          </cell>
          <cell r="S1507"/>
          <cell r="T1507">
            <v>0</v>
          </cell>
          <cell r="U1507" t="str"/>
          <cell r="V1507" t="str"/>
          <cell r="W1507" t="str"/>
          <cell r="X1507"/>
          <cell r="Y1507"/>
          <cell r="Z1507">
            <v>0</v>
          </cell>
          <cell r="AA1507"/>
          <cell r="AB1507">
            <v>0</v>
          </cell>
          <cell r="AC1507"/>
          <cell r="AD1507">
            <v>0</v>
          </cell>
          <cell r="AE1507"/>
          <cell r="AF1507"/>
          <cell r="AG1507"/>
          <cell r="AH1507"/>
          <cell r="AI1507"/>
          <cell r="AJ1507"/>
          <cell r="AK1507" t="str">
            <v>OL</v>
          </cell>
          <cell r="AL1507">
            <v>151</v>
          </cell>
          <cell r="AM1507">
            <v>293</v>
          </cell>
          <cell r="AN1507" t="str">
            <v>10 Orangeline</v>
          </cell>
          <cell r="AO1507" t="str">
            <v>Southeast</v>
          </cell>
          <cell r="AP1507" t="str">
            <v>South</v>
          </cell>
          <cell r="AQ1507"/>
          <cell r="AR1507">
            <v>0</v>
          </cell>
          <cell r="AS1507">
            <v>0</v>
          </cell>
        </row>
        <row r="1508">
          <cell r="A1508">
            <v>13301</v>
          </cell>
          <cell r="B1508" t="str">
            <v>GULF COAST TURF &amp; TRACTOR</v>
          </cell>
          <cell r="C1508" t="str">
            <v>M11257</v>
          </cell>
          <cell r="D1508" t="str">
            <v>Net 30, no pink card</v>
          </cell>
          <cell r="E1508" t="str">
            <v>2%</v>
          </cell>
          <cell r="F1508" t="str">
            <v>Yes</v>
          </cell>
          <cell r="G1508" t="str">
            <v>GA</v>
          </cell>
          <cell r="H1508">
            <v>5</v>
          </cell>
          <cell r="I1508">
            <v>0.7</v>
          </cell>
          <cell r="J1508" t="str">
            <v>Jimmy L Smith</v>
          </cell>
          <cell r="K1508" t="str">
            <v>LAND O LAKES</v>
          </cell>
          <cell r="L1508" t="str">
            <v>FL</v>
          </cell>
          <cell r="M1508" t="str">
            <v>800-577-8858</v>
          </cell>
          <cell r="N1508"/>
          <cell r="O1508"/>
          <cell r="P1508">
            <v>0</v>
          </cell>
          <cell r="Q1508">
            <v>310</v>
          </cell>
          <cell r="R1508">
            <v>1333</v>
          </cell>
          <cell r="S1508"/>
          <cell r="T1508">
            <v>0</v>
          </cell>
          <cell r="U1508" t="str"/>
          <cell r="V1508" t="str"/>
          <cell r="W1508" t="str"/>
          <cell r="X1508"/>
          <cell r="Y1508"/>
          <cell r="Z1508">
            <v>0</v>
          </cell>
          <cell r="AA1508"/>
          <cell r="AB1508">
            <v>0</v>
          </cell>
          <cell r="AC1508"/>
          <cell r="AD1508">
            <v>0</v>
          </cell>
          <cell r="AE1508"/>
          <cell r="AF1508"/>
          <cell r="AG1508"/>
          <cell r="AH1508"/>
          <cell r="AI1508"/>
          <cell r="AJ1508"/>
          <cell r="AK1508" t="str">
            <v>OL</v>
          </cell>
          <cell r="AL1508">
            <v>151</v>
          </cell>
          <cell r="AM1508">
            <v>440</v>
          </cell>
          <cell r="AN1508" t="str">
            <v>10 Orangeline</v>
          </cell>
          <cell r="AO1508" t="str">
            <v>Southeast</v>
          </cell>
          <cell r="AP1508" t="str">
            <v>South</v>
          </cell>
          <cell r="AQ1508"/>
          <cell r="AR1508">
            <v>0</v>
          </cell>
          <cell r="AS1508">
            <v>0</v>
          </cell>
        </row>
        <row r="1509">
          <cell r="A1509" t="str">
            <v>13301A</v>
          </cell>
          <cell r="B1509" t="str">
            <v>GULF COAST TURF &amp; TRACTOR</v>
          </cell>
          <cell r="C1509" t="str">
            <v>M11257</v>
          </cell>
          <cell r="D1509" t="str">
            <v>Net 30, no pink card</v>
          </cell>
          <cell r="E1509" t="str">
            <v>2%</v>
          </cell>
          <cell r="F1509" t="str">
            <v>Yes</v>
          </cell>
          <cell r="G1509" t="str">
            <v>GA</v>
          </cell>
          <cell r="H1509">
            <v>5</v>
          </cell>
          <cell r="I1509">
            <v>0.7</v>
          </cell>
          <cell r="J1509" t="str">
            <v>Jimmy L Smith</v>
          </cell>
          <cell r="K1509" t="str">
            <v>PLANT CITY</v>
          </cell>
          <cell r="L1509" t="str">
            <v>FL</v>
          </cell>
          <cell r="M1509" t="str">
            <v>800-577-8858</v>
          </cell>
          <cell r="N1509"/>
          <cell r="O1509"/>
          <cell r="P1509">
            <v>0</v>
          </cell>
          <cell r="Q1509">
            <v>335</v>
          </cell>
          <cell r="R1509">
            <v>1440.5</v>
          </cell>
          <cell r="S1509"/>
          <cell r="T1509">
            <v>0</v>
          </cell>
          <cell r="U1509" t="str"/>
          <cell r="V1509" t="str"/>
          <cell r="W1509" t="str"/>
          <cell r="X1509"/>
          <cell r="Y1509"/>
          <cell r="Z1509">
            <v>0</v>
          </cell>
          <cell r="AA1509"/>
          <cell r="AB1509">
            <v>0</v>
          </cell>
          <cell r="AC1509"/>
          <cell r="AD1509">
            <v>0</v>
          </cell>
          <cell r="AE1509"/>
          <cell r="AF1509"/>
          <cell r="AG1509"/>
          <cell r="AH1509"/>
          <cell r="AI1509"/>
          <cell r="AJ1509"/>
          <cell r="AK1509" t="str">
            <v>OL</v>
          </cell>
          <cell r="AL1509">
            <v>151</v>
          </cell>
          <cell r="AM1509">
            <v>440</v>
          </cell>
          <cell r="AN1509" t="str">
            <v>10 Orangeline</v>
          </cell>
          <cell r="AO1509" t="str">
            <v>Southeast</v>
          </cell>
          <cell r="AP1509" t="str">
            <v>South</v>
          </cell>
          <cell r="AQ1509"/>
          <cell r="AR1509">
            <v>0</v>
          </cell>
          <cell r="AS1509">
            <v>0</v>
          </cell>
        </row>
        <row r="1510">
          <cell r="A1510">
            <v>13314</v>
          </cell>
          <cell r="B1510" t="str">
            <v>LINDER TURF &amp; TRACTOR</v>
          </cell>
          <cell r="C1510" t="str">
            <v>M11268</v>
          </cell>
          <cell r="D1510" t="str">
            <v>Net 30, no pink card</v>
          </cell>
          <cell r="E1510" t="str">
            <v>2%</v>
          </cell>
          <cell r="F1510" t="str">
            <v>Yes</v>
          </cell>
          <cell r="G1510" t="str">
            <v>GA</v>
          </cell>
          <cell r="H1510">
            <v>5</v>
          </cell>
          <cell r="I1510">
            <v>0.7</v>
          </cell>
          <cell r="J1510" t="str">
            <v>Jimmy L Smith</v>
          </cell>
          <cell r="K1510" t="str">
            <v>PLANT CITY</v>
          </cell>
          <cell r="L1510" t="str">
            <v>FL</v>
          </cell>
          <cell r="M1510" t="str">
            <v>800-577-8858</v>
          </cell>
          <cell r="N1510"/>
          <cell r="O1510"/>
          <cell r="P1510">
            <v>0</v>
          </cell>
          <cell r="Q1510">
            <v>335</v>
          </cell>
          <cell r="R1510">
            <v>1440.5</v>
          </cell>
          <cell r="S1510"/>
          <cell r="T1510">
            <v>0</v>
          </cell>
          <cell r="U1510" t="str"/>
          <cell r="V1510" t="str"/>
          <cell r="W1510" t="str"/>
          <cell r="X1510"/>
          <cell r="Y1510"/>
          <cell r="Z1510">
            <v>0</v>
          </cell>
          <cell r="AA1510"/>
          <cell r="AB1510">
            <v>0</v>
          </cell>
          <cell r="AC1510"/>
          <cell r="AD1510">
            <v>0</v>
          </cell>
          <cell r="AE1510"/>
          <cell r="AF1510"/>
          <cell r="AG1510"/>
          <cell r="AH1510"/>
          <cell r="AI1510"/>
          <cell r="AJ1510"/>
          <cell r="AK1510" t="str">
            <v>OL</v>
          </cell>
          <cell r="AL1510">
            <v>151</v>
          </cell>
          <cell r="AM1510">
            <v>440</v>
          </cell>
          <cell r="AN1510" t="str">
            <v>10 Orangeline</v>
          </cell>
          <cell r="AO1510" t="str">
            <v>Southeast</v>
          </cell>
          <cell r="AP1510" t="str">
            <v>South</v>
          </cell>
          <cell r="AQ1510"/>
          <cell r="AR1510">
            <v>0</v>
          </cell>
          <cell r="AS1510">
            <v>0</v>
          </cell>
        </row>
        <row r="1511">
          <cell r="A1511" t="str">
            <v>13314A</v>
          </cell>
          <cell r="B1511" t="str">
            <v>LINDER TURF &amp; TRACTOR</v>
          </cell>
          <cell r="C1511" t="str">
            <v>M11268</v>
          </cell>
          <cell r="D1511" t="str">
            <v>Net 30, no pink card</v>
          </cell>
          <cell r="E1511" t="str">
            <v>2%</v>
          </cell>
          <cell r="F1511" t="str">
            <v>Yes</v>
          </cell>
          <cell r="G1511" t="str">
            <v>GA</v>
          </cell>
          <cell r="H1511">
            <v>5</v>
          </cell>
          <cell r="I1511">
            <v>0.7</v>
          </cell>
          <cell r="J1511" t="str">
            <v>Jimmy L Smith</v>
          </cell>
          <cell r="K1511" t="str">
            <v>BRADENTON</v>
          </cell>
          <cell r="L1511" t="str">
            <v>FL</v>
          </cell>
          <cell r="M1511" t="str">
            <v>800-577-8858</v>
          </cell>
          <cell r="N1511"/>
          <cell r="O1511"/>
          <cell r="P1511">
            <v>0</v>
          </cell>
          <cell r="Q1511">
            <v>360</v>
          </cell>
          <cell r="R1511">
            <v>1548</v>
          </cell>
          <cell r="S1511"/>
          <cell r="T1511">
            <v>0</v>
          </cell>
          <cell r="U1511" t="str"/>
          <cell r="V1511" t="str"/>
          <cell r="W1511" t="str"/>
          <cell r="X1511"/>
          <cell r="Y1511"/>
          <cell r="Z1511">
            <v>0</v>
          </cell>
          <cell r="AA1511"/>
          <cell r="AB1511">
            <v>0</v>
          </cell>
          <cell r="AC1511"/>
          <cell r="AD1511">
            <v>0</v>
          </cell>
          <cell r="AE1511"/>
          <cell r="AF1511"/>
          <cell r="AG1511"/>
          <cell r="AH1511"/>
          <cell r="AI1511"/>
          <cell r="AJ1511"/>
          <cell r="AK1511" t="str">
            <v>OL</v>
          </cell>
          <cell r="AL1511">
            <v>151</v>
          </cell>
          <cell r="AM1511">
            <v>408</v>
          </cell>
          <cell r="AN1511" t="str">
            <v>10 Orangeline</v>
          </cell>
          <cell r="AO1511" t="str">
            <v>Southeast</v>
          </cell>
          <cell r="AP1511" t="str">
            <v>South</v>
          </cell>
          <cell r="AQ1511"/>
          <cell r="AR1511">
            <v>0</v>
          </cell>
          <cell r="AS1511">
            <v>0</v>
          </cell>
        </row>
        <row r="1512">
          <cell r="A1512" t="str">
            <v>13314B</v>
          </cell>
          <cell r="B1512" t="str">
            <v>LINDER TURF &amp; TRACTOR</v>
          </cell>
          <cell r="C1512" t="str">
            <v>M11268</v>
          </cell>
          <cell r="D1512" t="str">
            <v>Net 30, no pink card</v>
          </cell>
          <cell r="E1512" t="str">
            <v>2%</v>
          </cell>
          <cell r="F1512" t="str">
            <v>Yes</v>
          </cell>
          <cell r="G1512" t="str">
            <v>GA</v>
          </cell>
          <cell r="H1512">
            <v>5</v>
          </cell>
          <cell r="I1512">
            <v>0.7</v>
          </cell>
          <cell r="J1512" t="str">
            <v>Jimmy L Smith</v>
          </cell>
          <cell r="K1512" t="str">
            <v>FAYETTEVILLE</v>
          </cell>
          <cell r="L1512" t="str">
            <v>NC</v>
          </cell>
          <cell r="M1512" t="str">
            <v>800-577-8858</v>
          </cell>
          <cell r="N1512"/>
          <cell r="O1512"/>
          <cell r="P1512">
            <v>0</v>
          </cell>
          <cell r="Q1512">
            <v>397</v>
          </cell>
          <cell r="R1512">
            <v>1707.1</v>
          </cell>
          <cell r="S1512"/>
          <cell r="T1512">
            <v>0</v>
          </cell>
          <cell r="U1512">
            <v>1242</v>
          </cell>
          <cell r="V1512">
            <v>5340.5999999999995</v>
          </cell>
          <cell r="W1512" t="str"/>
          <cell r="X1512"/>
          <cell r="Y1512">
            <v>510</v>
          </cell>
          <cell r="Z1512">
            <v>2193</v>
          </cell>
          <cell r="AA1512">
            <v>510</v>
          </cell>
          <cell r="AB1512">
            <v>2193</v>
          </cell>
          <cell r="AC1512">
            <v>510</v>
          </cell>
          <cell r="AD1512">
            <v>2193</v>
          </cell>
          <cell r="AE1512"/>
          <cell r="AF1512"/>
          <cell r="AG1512"/>
          <cell r="AH1512"/>
          <cell r="AI1512"/>
          <cell r="AJ1512"/>
          <cell r="AK1512" t="str">
            <v>OL</v>
          </cell>
          <cell r="AL1512">
            <v>151</v>
          </cell>
          <cell r="AM1512">
            <v>408</v>
          </cell>
          <cell r="AN1512" t="str">
            <v>10 Orangeline</v>
          </cell>
          <cell r="AO1512" t="str">
            <v>Southeast</v>
          </cell>
          <cell r="AP1512" t="str">
            <v>South</v>
          </cell>
          <cell r="AQ1512"/>
          <cell r="AR1512">
            <v>0</v>
          </cell>
          <cell r="AS1512">
            <v>0</v>
          </cell>
        </row>
        <row r="1513">
          <cell r="A1513">
            <v>13379</v>
          </cell>
          <cell r="B1513" t="str">
            <v>PANHANDLE TRACTOR, INC.</v>
          </cell>
          <cell r="C1513" t="str">
            <v>M11347</v>
          </cell>
          <cell r="D1513" t="str">
            <v>Net 30, no pink card</v>
          </cell>
          <cell r="E1513" t="str">
            <v>2%</v>
          </cell>
          <cell r="F1513" t="str">
            <v>Yes</v>
          </cell>
          <cell r="G1513" t="str">
            <v>GA</v>
          </cell>
          <cell r="H1513">
            <v>5</v>
          </cell>
          <cell r="I1513">
            <v>0.7</v>
          </cell>
          <cell r="J1513" t="str">
            <v>Jimmy L Smith</v>
          </cell>
          <cell r="K1513" t="str">
            <v>MARIANNA</v>
          </cell>
          <cell r="L1513" t="str">
            <v>FL</v>
          </cell>
          <cell r="M1513" t="str">
            <v>800-577-8858</v>
          </cell>
          <cell r="N1513"/>
          <cell r="O1513"/>
          <cell r="P1513">
            <v>0</v>
          </cell>
          <cell r="Q1513">
            <v>140</v>
          </cell>
          <cell r="R1513">
            <v>602</v>
          </cell>
          <cell r="S1513"/>
          <cell r="T1513">
            <v>0</v>
          </cell>
          <cell r="U1513" t="str"/>
          <cell r="V1513" t="str"/>
          <cell r="W1513" t="str"/>
          <cell r="X1513"/>
          <cell r="Y1513"/>
          <cell r="Z1513">
            <v>0</v>
          </cell>
          <cell r="AA1513"/>
          <cell r="AB1513">
            <v>0</v>
          </cell>
          <cell r="AC1513"/>
          <cell r="AD1513">
            <v>0</v>
          </cell>
          <cell r="AE1513"/>
          <cell r="AF1513"/>
          <cell r="AG1513"/>
          <cell r="AH1513"/>
          <cell r="AI1513"/>
          <cell r="AJ1513"/>
          <cell r="AK1513" t="str">
            <v>OL</v>
          </cell>
          <cell r="AL1513">
            <v>151</v>
          </cell>
          <cell r="AM1513">
            <v>439</v>
          </cell>
          <cell r="AN1513" t="str">
            <v>10 Orangeline</v>
          </cell>
          <cell r="AO1513" t="str">
            <v>Southeast</v>
          </cell>
          <cell r="AP1513" t="str">
            <v>South</v>
          </cell>
          <cell r="AQ1513"/>
          <cell r="AR1513">
            <v>0</v>
          </cell>
          <cell r="AS1513">
            <v>0</v>
          </cell>
        </row>
        <row r="1514">
          <cell r="A1514">
            <v>13323</v>
          </cell>
          <cell r="B1514" t="str">
            <v>POLK TRACTOR</v>
          </cell>
          <cell r="C1514" t="str">
            <v>M11277</v>
          </cell>
          <cell r="D1514" t="str">
            <v>Net 30, no pink card</v>
          </cell>
          <cell r="E1514" t="str">
            <v>O1-Northpoint</v>
          </cell>
          <cell r="F1514" t="str">
            <v>Yes</v>
          </cell>
          <cell r="G1514" t="str">
            <v>GA</v>
          </cell>
          <cell r="H1514">
            <v>8</v>
          </cell>
          <cell r="I1514">
            <v>0.7</v>
          </cell>
          <cell r="J1514" t="str">
            <v>Jimmy L Smith</v>
          </cell>
          <cell r="K1514" t="str">
            <v>WINTER HAVEN</v>
          </cell>
          <cell r="L1514" t="str">
            <v>FL</v>
          </cell>
          <cell r="M1514" t="str">
            <v>800-577-8858</v>
          </cell>
          <cell r="N1514"/>
          <cell r="O1514"/>
          <cell r="P1514">
            <v>0</v>
          </cell>
          <cell r="Q1514">
            <v>320</v>
          </cell>
          <cell r="R1514">
            <v>1376</v>
          </cell>
          <cell r="S1514"/>
          <cell r="T1514">
            <v>0</v>
          </cell>
          <cell r="U1514" t="str"/>
          <cell r="V1514" t="str"/>
          <cell r="W1514" t="str"/>
          <cell r="X1514"/>
          <cell r="Y1514"/>
          <cell r="Z1514">
            <v>0</v>
          </cell>
          <cell r="AA1514"/>
          <cell r="AB1514">
            <v>0</v>
          </cell>
          <cell r="AC1514"/>
          <cell r="AD1514">
            <v>0</v>
          </cell>
          <cell r="AE1514"/>
          <cell r="AF1514"/>
          <cell r="AG1514"/>
          <cell r="AH1514"/>
          <cell r="AI1514"/>
          <cell r="AJ1514"/>
          <cell r="AK1514" t="str">
            <v>OL</v>
          </cell>
          <cell r="AL1514">
            <v>151</v>
          </cell>
          <cell r="AM1514">
            <v>239</v>
          </cell>
          <cell r="AN1514" t="str">
            <v>10 Orangeline</v>
          </cell>
          <cell r="AO1514" t="str">
            <v>Southeast</v>
          </cell>
          <cell r="AP1514" t="str">
            <v>South</v>
          </cell>
          <cell r="AQ1514"/>
          <cell r="AR1514">
            <v>0</v>
          </cell>
          <cell r="AS1514">
            <v>0</v>
          </cell>
        </row>
        <row r="1515">
          <cell r="A1515">
            <v>13665</v>
          </cell>
          <cell r="B1515" t="str">
            <v>RICHARDS TRACTORS</v>
          </cell>
          <cell r="C1515" t="str">
            <v>M11330</v>
          </cell>
          <cell r="D1515" t="str">
            <v>Net 30, no pink card</v>
          </cell>
          <cell r="E1515" t="str">
            <v>2%</v>
          </cell>
          <cell r="F1515" t="str">
            <v>Yes</v>
          </cell>
          <cell r="G1515" t="str">
            <v>GA</v>
          </cell>
          <cell r="H1515">
            <v>5</v>
          </cell>
          <cell r="I1515">
            <v>0.7</v>
          </cell>
          <cell r="J1515" t="str">
            <v>Jimmy L Smith</v>
          </cell>
          <cell r="K1515" t="str">
            <v>HOMESTEAD</v>
          </cell>
          <cell r="L1515" t="str">
            <v>FL</v>
          </cell>
          <cell r="M1515" t="str">
            <v>800-577-8858</v>
          </cell>
          <cell r="N1515"/>
          <cell r="O1515"/>
          <cell r="P1515">
            <v>0</v>
          </cell>
          <cell r="Q1515">
            <v>560</v>
          </cell>
          <cell r="R1515">
            <v>2408</v>
          </cell>
          <cell r="S1515"/>
          <cell r="T1515">
            <v>0</v>
          </cell>
          <cell r="U1515" t="str"/>
          <cell r="V1515" t="str"/>
          <cell r="W1515" t="str"/>
          <cell r="X1515"/>
          <cell r="Y1515"/>
          <cell r="Z1515">
            <v>0</v>
          </cell>
          <cell r="AA1515"/>
          <cell r="AB1515">
            <v>0</v>
          </cell>
          <cell r="AC1515"/>
          <cell r="AD1515">
            <v>0</v>
          </cell>
          <cell r="AE1515"/>
          <cell r="AF1515"/>
          <cell r="AG1515"/>
          <cell r="AH1515"/>
          <cell r="AI1515"/>
          <cell r="AJ1515"/>
          <cell r="AK1515" t="str">
            <v>OL</v>
          </cell>
          <cell r="AL1515">
            <v>151</v>
          </cell>
          <cell r="AM1515">
            <v>293</v>
          </cell>
          <cell r="AN1515" t="str">
            <v>10 Orangeline</v>
          </cell>
          <cell r="AO1515" t="str">
            <v>Southeast</v>
          </cell>
          <cell r="AP1515" t="str">
            <v>South</v>
          </cell>
          <cell r="AQ1515"/>
          <cell r="AR1515">
            <v>0</v>
          </cell>
          <cell r="AS1515">
            <v>0</v>
          </cell>
        </row>
        <row r="1516">
          <cell r="A1516" t="str">
            <v>13665A</v>
          </cell>
          <cell r="B1516" t="str">
            <v>RICHARDS TRACTORS</v>
          </cell>
          <cell r="C1516" t="str">
            <v>M11330</v>
          </cell>
          <cell r="D1516" t="str">
            <v>Net 30, no pink card</v>
          </cell>
          <cell r="E1516" t="str">
            <v>2%</v>
          </cell>
          <cell r="F1516" t="str">
            <v>Yes</v>
          </cell>
          <cell r="G1516" t="str">
            <v>GA</v>
          </cell>
          <cell r="H1516">
            <v>5</v>
          </cell>
          <cell r="I1516">
            <v>0.7</v>
          </cell>
          <cell r="J1516" t="str">
            <v>Jimmy L Smith</v>
          </cell>
          <cell r="K1516" t="str">
            <v>HOMESTEAD</v>
          </cell>
          <cell r="L1516" t="str">
            <v>FL</v>
          </cell>
          <cell r="M1516" t="str">
            <v>800-577-8858</v>
          </cell>
          <cell r="N1516"/>
          <cell r="O1516"/>
          <cell r="P1516">
            <v>0</v>
          </cell>
          <cell r="Q1516">
            <v>560</v>
          </cell>
          <cell r="R1516">
            <v>2408</v>
          </cell>
          <cell r="S1516"/>
          <cell r="T1516">
            <v>0</v>
          </cell>
          <cell r="U1516" t="str"/>
          <cell r="V1516" t="str"/>
          <cell r="W1516" t="str"/>
          <cell r="X1516"/>
          <cell r="Y1516"/>
          <cell r="Z1516">
            <v>0</v>
          </cell>
          <cell r="AA1516"/>
          <cell r="AB1516">
            <v>0</v>
          </cell>
          <cell r="AC1516"/>
          <cell r="AD1516">
            <v>0</v>
          </cell>
          <cell r="AE1516"/>
          <cell r="AF1516"/>
          <cell r="AG1516"/>
          <cell r="AH1516"/>
          <cell r="AI1516"/>
          <cell r="AJ1516"/>
          <cell r="AK1516" t="str">
            <v>OL</v>
          </cell>
          <cell r="AL1516">
            <v>151</v>
          </cell>
          <cell r="AM1516">
            <v>293</v>
          </cell>
          <cell r="AN1516" t="str">
            <v>10 Orangeline</v>
          </cell>
          <cell r="AO1516" t="str">
            <v>Southeast</v>
          </cell>
          <cell r="AP1516" t="str">
            <v>South</v>
          </cell>
          <cell r="AQ1516"/>
          <cell r="AR1516">
            <v>0</v>
          </cell>
          <cell r="AS1516">
            <v>0</v>
          </cell>
        </row>
        <row r="1517">
          <cell r="A1517">
            <v>13666</v>
          </cell>
          <cell r="B1517" t="str">
            <v>RIDGE EQUIPMENT</v>
          </cell>
          <cell r="C1517" t="str">
            <v>M11331</v>
          </cell>
          <cell r="D1517" t="str">
            <v>Net 30, no pink card</v>
          </cell>
          <cell r="E1517" t="str">
            <v>O1-Northpoint</v>
          </cell>
          <cell r="F1517" t="str">
            <v>Yes</v>
          </cell>
          <cell r="G1517" t="str">
            <v>GA</v>
          </cell>
          <cell r="H1517">
            <v>8</v>
          </cell>
          <cell r="I1517">
            <v>0.7</v>
          </cell>
          <cell r="J1517" t="str">
            <v>Jimmy L Smith</v>
          </cell>
          <cell r="K1517" t="str">
            <v>SEBRING</v>
          </cell>
          <cell r="L1517" t="str">
            <v>FL</v>
          </cell>
          <cell r="M1517" t="str">
            <v>800-577-8858</v>
          </cell>
          <cell r="N1517"/>
          <cell r="O1517"/>
          <cell r="P1517">
            <v>0</v>
          </cell>
          <cell r="Q1517">
            <v>380</v>
          </cell>
          <cell r="R1517">
            <v>1634</v>
          </cell>
          <cell r="S1517"/>
          <cell r="T1517">
            <v>0</v>
          </cell>
          <cell r="U1517" t="str"/>
          <cell r="V1517" t="str"/>
          <cell r="W1517" t="str"/>
          <cell r="X1517"/>
          <cell r="Y1517"/>
          <cell r="Z1517">
            <v>0</v>
          </cell>
          <cell r="AA1517"/>
          <cell r="AB1517">
            <v>0</v>
          </cell>
          <cell r="AC1517"/>
          <cell r="AD1517">
            <v>0</v>
          </cell>
          <cell r="AE1517"/>
          <cell r="AF1517"/>
          <cell r="AG1517"/>
          <cell r="AH1517"/>
          <cell r="AI1517"/>
          <cell r="AJ1517"/>
          <cell r="AK1517" t="str">
            <v>OL</v>
          </cell>
          <cell r="AL1517">
            <v>151</v>
          </cell>
          <cell r="AM1517">
            <v>440</v>
          </cell>
          <cell r="AN1517" t="str">
            <v>10 Orangeline</v>
          </cell>
          <cell r="AO1517" t="str">
            <v>Southeast</v>
          </cell>
          <cell r="AP1517" t="str">
            <v>South</v>
          </cell>
          <cell r="AQ1517"/>
          <cell r="AR1517">
            <v>0</v>
          </cell>
          <cell r="AS1517">
            <v>0</v>
          </cell>
        </row>
        <row r="1518">
          <cell r="A1518" t="str">
            <v>13666A</v>
          </cell>
          <cell r="B1518" t="str">
            <v>RIDGE EQUIPMENT</v>
          </cell>
          <cell r="C1518" t="str">
            <v>M11331</v>
          </cell>
          <cell r="D1518" t="str">
            <v>Net 30, no pink card</v>
          </cell>
          <cell r="E1518" t="str">
            <v>O1-Northpoint</v>
          </cell>
          <cell r="F1518" t="str">
            <v>Yes</v>
          </cell>
          <cell r="G1518" t="str">
            <v>GA</v>
          </cell>
          <cell r="H1518">
            <v>8</v>
          </cell>
          <cell r="I1518">
            <v>0.7</v>
          </cell>
          <cell r="J1518" t="str">
            <v>Jimmy L Smith</v>
          </cell>
          <cell r="K1518" t="str">
            <v>SEBRING</v>
          </cell>
          <cell r="L1518" t="str">
            <v>FL</v>
          </cell>
          <cell r="M1518" t="str">
            <v>800-577-8858</v>
          </cell>
          <cell r="N1518"/>
          <cell r="O1518"/>
          <cell r="P1518">
            <v>0</v>
          </cell>
          <cell r="Q1518">
            <v>380</v>
          </cell>
          <cell r="R1518">
            <v>1634</v>
          </cell>
          <cell r="S1518"/>
          <cell r="T1518">
            <v>0</v>
          </cell>
          <cell r="U1518" t="str"/>
          <cell r="V1518" t="str"/>
          <cell r="W1518" t="str"/>
          <cell r="X1518"/>
          <cell r="Y1518"/>
          <cell r="Z1518">
            <v>0</v>
          </cell>
          <cell r="AA1518"/>
          <cell r="AB1518">
            <v>0</v>
          </cell>
          <cell r="AC1518"/>
          <cell r="AD1518">
            <v>0</v>
          </cell>
          <cell r="AE1518"/>
          <cell r="AF1518"/>
          <cell r="AG1518"/>
          <cell r="AH1518"/>
          <cell r="AI1518"/>
          <cell r="AJ1518"/>
          <cell r="AK1518" t="str">
            <v>OL</v>
          </cell>
          <cell r="AL1518">
            <v>151</v>
          </cell>
          <cell r="AM1518">
            <v>440</v>
          </cell>
          <cell r="AN1518" t="str">
            <v>10 Orangeline</v>
          </cell>
          <cell r="AO1518" t="str">
            <v>Southeast</v>
          </cell>
          <cell r="AP1518" t="str">
            <v>South</v>
          </cell>
          <cell r="AQ1518"/>
          <cell r="AR1518">
            <v>0</v>
          </cell>
          <cell r="AS1518">
            <v>0</v>
          </cell>
        </row>
        <row r="1519">
          <cell r="A1519">
            <v>13479</v>
          </cell>
          <cell r="B1519" t="str">
            <v>SOUTH GEORGIA TRACTOR</v>
          </cell>
          <cell r="C1519" t="str">
            <v>M11453</v>
          </cell>
          <cell r="D1519" t="str">
            <v>Net 30, no pink card</v>
          </cell>
          <cell r="E1519">
            <v>0.02</v>
          </cell>
          <cell r="F1519" t="str">
            <v>Yes</v>
          </cell>
          <cell r="G1519" t="str">
            <v>GA</v>
          </cell>
          <cell r="H1519">
            <v>5</v>
          </cell>
          <cell r="I1519">
            <v>0.7</v>
          </cell>
          <cell r="J1519" t="str">
            <v>Jimmy L Smith</v>
          </cell>
          <cell r="K1519" t="str">
            <v>TALLAHASSEE</v>
          </cell>
          <cell r="L1519" t="str">
            <v>FL</v>
          </cell>
          <cell r="M1519" t="str">
            <v>800-577-8858</v>
          </cell>
          <cell r="N1519"/>
          <cell r="O1519"/>
          <cell r="P1519">
            <v>0</v>
          </cell>
          <cell r="Q1519">
            <v>120</v>
          </cell>
          <cell r="R1519">
            <v>516</v>
          </cell>
          <cell r="S1519"/>
          <cell r="T1519">
            <v>0</v>
          </cell>
          <cell r="U1519" t="str"/>
          <cell r="V1519" t="str"/>
          <cell r="W1519" t="str"/>
          <cell r="X1519"/>
          <cell r="Y1519"/>
          <cell r="Z1519">
            <v>0</v>
          </cell>
          <cell r="AA1519"/>
          <cell r="AB1519">
            <v>0</v>
          </cell>
          <cell r="AC1519"/>
          <cell r="AD1519">
            <v>0</v>
          </cell>
          <cell r="AE1519"/>
          <cell r="AF1519"/>
          <cell r="AG1519"/>
          <cell r="AH1519"/>
          <cell r="AI1519"/>
          <cell r="AJ1519"/>
          <cell r="AK1519" t="str">
            <v>OL</v>
          </cell>
          <cell r="AL1519">
            <v>151</v>
          </cell>
          <cell r="AM1519">
            <v>439</v>
          </cell>
          <cell r="AN1519" t="str">
            <v>10 Orangeline</v>
          </cell>
          <cell r="AO1519" t="str">
            <v>Southeast</v>
          </cell>
          <cell r="AP1519" t="str">
            <v>South</v>
          </cell>
          <cell r="AQ1519"/>
          <cell r="AR1519">
            <v>0</v>
          </cell>
          <cell r="AS1519">
            <v>0</v>
          </cell>
        </row>
        <row r="1520">
          <cell r="A1520">
            <v>13335</v>
          </cell>
          <cell r="B1520" t="str">
            <v>SOWELL TRACTOR</v>
          </cell>
          <cell r="C1520" t="str">
            <v>M11285</v>
          </cell>
          <cell r="D1520" t="str">
            <v>Net 30, no pink card</v>
          </cell>
          <cell r="E1520" t="str">
            <v>2%</v>
          </cell>
          <cell r="F1520" t="str">
            <v>Yes</v>
          </cell>
          <cell r="G1520" t="str">
            <v>GA</v>
          </cell>
          <cell r="H1520">
            <v>5</v>
          </cell>
          <cell r="I1520">
            <v>0.7</v>
          </cell>
          <cell r="J1520" t="str">
            <v>Jimmy L Smith</v>
          </cell>
          <cell r="K1520" t="str">
            <v>PANAMA CITY</v>
          </cell>
          <cell r="L1520" t="str">
            <v>FL</v>
          </cell>
          <cell r="M1520" t="str">
            <v>800-577-8858</v>
          </cell>
          <cell r="N1520"/>
          <cell r="O1520"/>
          <cell r="P1520">
            <v>0</v>
          </cell>
          <cell r="Q1520">
            <v>200</v>
          </cell>
          <cell r="R1520">
            <v>860</v>
          </cell>
          <cell r="S1520"/>
          <cell r="T1520">
            <v>0</v>
          </cell>
          <cell r="U1520" t="str"/>
          <cell r="V1520" t="str"/>
          <cell r="W1520" t="str"/>
          <cell r="X1520"/>
          <cell r="Y1520"/>
          <cell r="Z1520">
            <v>0</v>
          </cell>
          <cell r="AA1520"/>
          <cell r="AB1520">
            <v>0</v>
          </cell>
          <cell r="AC1520"/>
          <cell r="AD1520">
            <v>0</v>
          </cell>
          <cell r="AE1520"/>
          <cell r="AF1520"/>
          <cell r="AG1520"/>
          <cell r="AH1520"/>
          <cell r="AI1520"/>
          <cell r="AJ1520"/>
          <cell r="AK1520" t="str">
            <v>OL</v>
          </cell>
          <cell r="AL1520">
            <v>151</v>
          </cell>
          <cell r="AM1520">
            <v>340</v>
          </cell>
          <cell r="AN1520" t="str">
            <v>10 Orangeline</v>
          </cell>
          <cell r="AO1520" t="str">
            <v>Southeast</v>
          </cell>
          <cell r="AP1520" t="str">
            <v>South</v>
          </cell>
          <cell r="AQ1520"/>
          <cell r="AR1520">
            <v>0</v>
          </cell>
          <cell r="AS1520">
            <v>0</v>
          </cell>
        </row>
        <row r="1521">
          <cell r="A1521">
            <v>13670</v>
          </cell>
          <cell r="B1521" t="str">
            <v>ATLANTA KUBOTA</v>
          </cell>
          <cell r="C1521" t="str">
            <v>M11335</v>
          </cell>
          <cell r="D1521" t="str">
            <v>Net 30, no pink card</v>
          </cell>
          <cell r="E1521" t="str">
            <v>2%</v>
          </cell>
          <cell r="F1521" t="str">
            <v>Yes</v>
          </cell>
          <cell r="G1521" t="str">
            <v>GA</v>
          </cell>
          <cell r="H1521">
            <v>5</v>
          </cell>
          <cell r="I1521">
            <v>0.7</v>
          </cell>
          <cell r="J1521" t="str">
            <v>Jimmy L Smith</v>
          </cell>
          <cell r="K1521" t="str">
            <v>MARIETTA</v>
          </cell>
          <cell r="L1521" t="str">
            <v>GA</v>
          </cell>
          <cell r="M1521" t="str">
            <v>800-577-8858</v>
          </cell>
          <cell r="N1521"/>
          <cell r="O1521"/>
          <cell r="P1521">
            <v>0</v>
          </cell>
          <cell r="Q1521">
            <v>165</v>
          </cell>
          <cell r="R1521">
            <v>709.5</v>
          </cell>
          <cell r="S1521"/>
          <cell r="T1521">
            <v>0</v>
          </cell>
          <cell r="U1521" t="str"/>
          <cell r="V1521" t="str"/>
          <cell r="W1521" t="str"/>
          <cell r="X1521"/>
          <cell r="Y1521"/>
          <cell r="Z1521">
            <v>0</v>
          </cell>
          <cell r="AA1521"/>
          <cell r="AB1521">
            <v>0</v>
          </cell>
          <cell r="AC1521"/>
          <cell r="AD1521">
            <v>0</v>
          </cell>
          <cell r="AE1521"/>
          <cell r="AF1521"/>
          <cell r="AG1521"/>
          <cell r="AH1521"/>
          <cell r="AI1521"/>
          <cell r="AJ1521"/>
          <cell r="AK1521" t="str">
            <v>OL</v>
          </cell>
          <cell r="AL1521">
            <v>151</v>
          </cell>
          <cell r="AM1521">
            <v>24</v>
          </cell>
          <cell r="AN1521" t="str">
            <v>10 Orangeline</v>
          </cell>
          <cell r="AO1521" t="str">
            <v>Southeast</v>
          </cell>
          <cell r="AP1521" t="str">
            <v>South</v>
          </cell>
          <cell r="AQ1521"/>
          <cell r="AR1521">
            <v>0</v>
          </cell>
          <cell r="AS1521">
            <v>0</v>
          </cell>
        </row>
        <row r="1522">
          <cell r="A1522">
            <v>13300</v>
          </cell>
          <cell r="B1522" t="str">
            <v>GENE &amp; MATT TRACTOR</v>
          </cell>
          <cell r="C1522" t="str">
            <v>M11256</v>
          </cell>
          <cell r="D1522" t="str">
            <v>Net 30, no pink card</v>
          </cell>
          <cell r="E1522" t="str">
            <v>2%</v>
          </cell>
          <cell r="F1522" t="str">
            <v>Yes</v>
          </cell>
          <cell r="G1522" t="str">
            <v>GA</v>
          </cell>
          <cell r="H1522">
            <v>5</v>
          </cell>
          <cell r="I1522">
            <v>0.7</v>
          </cell>
          <cell r="J1522" t="str">
            <v>Jimmy L Smith</v>
          </cell>
          <cell r="K1522" t="str">
            <v>WINDER</v>
          </cell>
          <cell r="L1522" t="str">
            <v>GA</v>
          </cell>
          <cell r="M1522" t="str">
            <v>800-577-8858</v>
          </cell>
          <cell r="N1522"/>
          <cell r="O1522"/>
          <cell r="P1522">
            <v>0</v>
          </cell>
          <cell r="Q1522">
            <v>165</v>
          </cell>
          <cell r="R1522">
            <v>709.5</v>
          </cell>
          <cell r="S1522"/>
          <cell r="T1522">
            <v>0</v>
          </cell>
          <cell r="U1522" t="str"/>
          <cell r="V1522" t="str"/>
          <cell r="W1522" t="str"/>
          <cell r="X1522"/>
          <cell r="Y1522"/>
          <cell r="Z1522">
            <v>0</v>
          </cell>
          <cell r="AA1522"/>
          <cell r="AB1522">
            <v>0</v>
          </cell>
          <cell r="AC1522"/>
          <cell r="AD1522">
            <v>0</v>
          </cell>
          <cell r="AE1522"/>
          <cell r="AF1522"/>
          <cell r="AG1522"/>
          <cell r="AH1522"/>
          <cell r="AI1522"/>
          <cell r="AJ1522"/>
          <cell r="AK1522" t="str">
            <v>OL</v>
          </cell>
          <cell r="AL1522">
            <v>151</v>
          </cell>
          <cell r="AM1522">
            <v>24</v>
          </cell>
          <cell r="AN1522" t="str">
            <v>10 Orangeline</v>
          </cell>
          <cell r="AO1522" t="str">
            <v>Southeast</v>
          </cell>
          <cell r="AP1522" t="str">
            <v>South</v>
          </cell>
          <cell r="AQ1522"/>
          <cell r="AR1522">
            <v>0</v>
          </cell>
          <cell r="AS1522">
            <v>0</v>
          </cell>
        </row>
        <row r="1523">
          <cell r="A1523">
            <v>13371</v>
          </cell>
          <cell r="B1523" t="str">
            <v>HAYS TRACTOR</v>
          </cell>
          <cell r="C1523" t="str">
            <v>M11327</v>
          </cell>
          <cell r="D1523" t="str">
            <v>Net 30, no pink card</v>
          </cell>
          <cell r="E1523" t="str">
            <v>O1-Northpoint</v>
          </cell>
          <cell r="F1523" t="str">
            <v>Yes</v>
          </cell>
          <cell r="G1523" t="str">
            <v>GA</v>
          </cell>
          <cell r="H1523">
            <v>8</v>
          </cell>
          <cell r="I1523">
            <v>0.7</v>
          </cell>
          <cell r="J1523" t="str">
            <v>Jimmy L Smith</v>
          </cell>
          <cell r="K1523" t="str">
            <v>SOCIAL CIRCLE</v>
          </cell>
          <cell r="L1523" t="str">
            <v>GA</v>
          </cell>
          <cell r="M1523" t="str">
            <v>800-577-8858</v>
          </cell>
          <cell r="N1523"/>
          <cell r="O1523"/>
          <cell r="P1523">
            <v>0</v>
          </cell>
          <cell r="Q1523">
            <v>140</v>
          </cell>
          <cell r="R1523">
            <v>602</v>
          </cell>
          <cell r="S1523"/>
          <cell r="T1523">
            <v>0</v>
          </cell>
          <cell r="U1523" t="str"/>
          <cell r="V1523" t="str"/>
          <cell r="W1523" t="str"/>
          <cell r="X1523"/>
          <cell r="Y1523"/>
          <cell r="Z1523">
            <v>0</v>
          </cell>
          <cell r="AA1523"/>
          <cell r="AB1523">
            <v>0</v>
          </cell>
          <cell r="AC1523"/>
          <cell r="AD1523">
            <v>0</v>
          </cell>
          <cell r="AE1523"/>
          <cell r="AF1523"/>
          <cell r="AG1523"/>
          <cell r="AH1523"/>
          <cell r="AI1523"/>
          <cell r="AJ1523"/>
          <cell r="AK1523" t="str">
            <v>OL</v>
          </cell>
          <cell r="AL1523">
            <v>151</v>
          </cell>
          <cell r="AM1523">
            <v>24</v>
          </cell>
          <cell r="AN1523" t="str">
            <v>10 Orangeline</v>
          </cell>
          <cell r="AO1523" t="str">
            <v>Southeast</v>
          </cell>
          <cell r="AP1523" t="str">
            <v>South</v>
          </cell>
          <cell r="AQ1523"/>
          <cell r="AR1523">
            <v>0</v>
          </cell>
          <cell r="AS1523">
            <v>0</v>
          </cell>
        </row>
        <row r="1524">
          <cell r="A1524">
            <v>13662</v>
          </cell>
          <cell r="B1524" t="str">
            <v>HAYS TRACTOR</v>
          </cell>
          <cell r="C1524" t="str">
            <v>M11327</v>
          </cell>
          <cell r="D1524" t="str">
            <v>Net 30, no pink card</v>
          </cell>
          <cell r="E1524" t="str">
            <v>2%</v>
          </cell>
          <cell r="F1524" t="str">
            <v>Yes</v>
          </cell>
          <cell r="G1524" t="str">
            <v>GA</v>
          </cell>
          <cell r="H1524">
            <v>5</v>
          </cell>
          <cell r="I1524">
            <v>0.7</v>
          </cell>
          <cell r="J1524" t="str">
            <v>Jimmy L Smith</v>
          </cell>
          <cell r="K1524" t="str">
            <v>SOCIAL CIRCLE</v>
          </cell>
          <cell r="L1524" t="str">
            <v>GA</v>
          </cell>
          <cell r="M1524" t="str">
            <v>800-577-8858</v>
          </cell>
          <cell r="N1524"/>
          <cell r="O1524"/>
          <cell r="P1524">
            <v>0</v>
          </cell>
          <cell r="Q1524">
            <v>140</v>
          </cell>
          <cell r="R1524">
            <v>602</v>
          </cell>
          <cell r="S1524"/>
          <cell r="T1524">
            <v>0</v>
          </cell>
          <cell r="U1524" t="str"/>
          <cell r="V1524" t="str"/>
          <cell r="W1524" t="str"/>
          <cell r="X1524"/>
          <cell r="Y1524"/>
          <cell r="Z1524">
            <v>0</v>
          </cell>
          <cell r="AA1524"/>
          <cell r="AB1524">
            <v>0</v>
          </cell>
          <cell r="AC1524"/>
          <cell r="AD1524">
            <v>0</v>
          </cell>
          <cell r="AE1524"/>
          <cell r="AF1524"/>
          <cell r="AG1524"/>
          <cell r="AH1524"/>
          <cell r="AI1524"/>
          <cell r="AJ1524"/>
          <cell r="AK1524" t="str">
            <v>OL</v>
          </cell>
          <cell r="AL1524">
            <v>151</v>
          </cell>
          <cell r="AM1524">
            <v>24</v>
          </cell>
          <cell r="AN1524" t="str">
            <v>10 Orangeline</v>
          </cell>
          <cell r="AO1524" t="str">
            <v>Southeast</v>
          </cell>
          <cell r="AP1524" t="str">
            <v>South</v>
          </cell>
          <cell r="AQ1524"/>
          <cell r="AR1524">
            <v>0</v>
          </cell>
          <cell r="AS1524">
            <v>0</v>
          </cell>
        </row>
        <row r="1525">
          <cell r="A1525">
            <v>13575</v>
          </cell>
          <cell r="B1525" t="str">
            <v>KUBOTA OF DOUGLAS</v>
          </cell>
          <cell r="C1525" t="str">
            <v>M11431</v>
          </cell>
          <cell r="D1525" t="str">
            <v>Net 30, no pink card</v>
          </cell>
          <cell r="E1525" t="str">
            <v>2%</v>
          </cell>
          <cell r="F1525" t="str">
            <v>Yes</v>
          </cell>
          <cell r="G1525" t="str">
            <v>GA</v>
          </cell>
          <cell r="H1525">
            <v>5</v>
          </cell>
          <cell r="I1525">
            <v>0.7</v>
          </cell>
          <cell r="J1525" t="str">
            <v>Jimmy L Smith</v>
          </cell>
          <cell r="K1525" t="str">
            <v>DOUGLAS</v>
          </cell>
          <cell r="L1525" t="str">
            <v>GA</v>
          </cell>
          <cell r="M1525" t="str">
            <v>800-577-8858</v>
          </cell>
          <cell r="N1525"/>
          <cell r="O1525"/>
          <cell r="P1525">
            <v>0</v>
          </cell>
          <cell r="Q1525">
            <v>79</v>
          </cell>
          <cell r="R1525">
            <v>339.7</v>
          </cell>
          <cell r="S1525"/>
          <cell r="T1525">
            <v>0</v>
          </cell>
          <cell r="U1525" t="str"/>
          <cell r="V1525" t="str"/>
          <cell r="W1525" t="str"/>
          <cell r="X1525"/>
          <cell r="Y1525"/>
          <cell r="Z1525">
            <v>0</v>
          </cell>
          <cell r="AA1525"/>
          <cell r="AB1525">
            <v>0</v>
          </cell>
          <cell r="AC1525"/>
          <cell r="AD1525">
            <v>0</v>
          </cell>
          <cell r="AE1525"/>
          <cell r="AF1525"/>
          <cell r="AG1525"/>
          <cell r="AH1525"/>
          <cell r="AI1525"/>
          <cell r="AJ1525"/>
          <cell r="AK1525" t="str">
            <v>OL</v>
          </cell>
          <cell r="AL1525">
            <v>151</v>
          </cell>
          <cell r="AM1525">
            <v>467</v>
          </cell>
          <cell r="AN1525" t="str">
            <v>10 Orangeline</v>
          </cell>
          <cell r="AO1525" t="str">
            <v>Southeast</v>
          </cell>
          <cell r="AP1525" t="str">
            <v>South</v>
          </cell>
          <cell r="AQ1525"/>
          <cell r="AR1525">
            <v>0</v>
          </cell>
          <cell r="AS1525">
            <v>0</v>
          </cell>
        </row>
        <row r="1526">
          <cell r="A1526">
            <v>13313</v>
          </cell>
          <cell r="B1526" t="str">
            <v xml:space="preserve">LASHLEY KUBOTA </v>
          </cell>
          <cell r="C1526" t="str">
            <v>M11267</v>
          </cell>
          <cell r="D1526" t="str">
            <v>Net 30, no pink card</v>
          </cell>
          <cell r="E1526" t="str">
            <v>2%</v>
          </cell>
          <cell r="F1526" t="str">
            <v>Yes</v>
          </cell>
          <cell r="G1526" t="str">
            <v>GA</v>
          </cell>
          <cell r="H1526">
            <v>5</v>
          </cell>
          <cell r="I1526">
            <v>0.7</v>
          </cell>
          <cell r="J1526" t="str">
            <v>Jimmy L Smith</v>
          </cell>
          <cell r="K1526" t="str">
            <v>LITHONIA</v>
          </cell>
          <cell r="L1526" t="str">
            <v>GA</v>
          </cell>
          <cell r="M1526" t="str">
            <v>800-577-8858</v>
          </cell>
          <cell r="N1526"/>
          <cell r="O1526"/>
          <cell r="P1526">
            <v>0</v>
          </cell>
          <cell r="Q1526">
            <v>145</v>
          </cell>
          <cell r="R1526">
            <v>623.5</v>
          </cell>
          <cell r="S1526"/>
          <cell r="T1526">
            <v>0</v>
          </cell>
          <cell r="U1526" t="str"/>
          <cell r="V1526" t="str"/>
          <cell r="W1526" t="str"/>
          <cell r="X1526"/>
          <cell r="Y1526"/>
          <cell r="Z1526">
            <v>0</v>
          </cell>
          <cell r="AA1526"/>
          <cell r="AB1526">
            <v>0</v>
          </cell>
          <cell r="AC1526"/>
          <cell r="AD1526">
            <v>0</v>
          </cell>
          <cell r="AE1526"/>
          <cell r="AF1526"/>
          <cell r="AG1526"/>
          <cell r="AH1526"/>
          <cell r="AI1526"/>
          <cell r="AJ1526"/>
          <cell r="AK1526" t="str">
            <v>OL</v>
          </cell>
          <cell r="AL1526">
            <v>151</v>
          </cell>
          <cell r="AM1526">
            <v>24</v>
          </cell>
          <cell r="AN1526" t="str">
            <v>10 Orangeline</v>
          </cell>
          <cell r="AO1526" t="str">
            <v>Southeast</v>
          </cell>
          <cell r="AP1526" t="str">
            <v>South</v>
          </cell>
          <cell r="AQ1526"/>
          <cell r="AR1526">
            <v>0</v>
          </cell>
          <cell r="AS1526">
            <v>0</v>
          </cell>
        </row>
        <row r="1527">
          <cell r="A1527">
            <v>13316</v>
          </cell>
          <cell r="B1527" t="str">
            <v>MASON TRACTOR</v>
          </cell>
          <cell r="C1527" t="str">
            <v>M11270</v>
          </cell>
          <cell r="D1527" t="str">
            <v>Net 30, no pink card</v>
          </cell>
          <cell r="E1527" t="str">
            <v>2%</v>
          </cell>
          <cell r="F1527" t="str">
            <v>Yes</v>
          </cell>
          <cell r="G1527" t="str">
            <v>GA</v>
          </cell>
          <cell r="H1527">
            <v>5</v>
          </cell>
          <cell r="I1527">
            <v>0.7</v>
          </cell>
          <cell r="J1527" t="str">
            <v>Jimmy L Smith</v>
          </cell>
          <cell r="K1527" t="str">
            <v>BLUE RIDGE</v>
          </cell>
          <cell r="L1527" t="str">
            <v>GA</v>
          </cell>
          <cell r="M1527" t="str">
            <v>800-577-8858</v>
          </cell>
          <cell r="N1527"/>
          <cell r="O1527"/>
          <cell r="P1527">
            <v>0</v>
          </cell>
          <cell r="Q1527">
            <v>140</v>
          </cell>
          <cell r="R1527">
            <v>602</v>
          </cell>
          <cell r="S1527"/>
          <cell r="T1527">
            <v>0</v>
          </cell>
          <cell r="U1527" t="str"/>
          <cell r="V1527" t="str"/>
          <cell r="W1527" t="str"/>
          <cell r="X1527"/>
          <cell r="Y1527"/>
          <cell r="Z1527">
            <v>0</v>
          </cell>
          <cell r="AA1527"/>
          <cell r="AB1527">
            <v>0</v>
          </cell>
          <cell r="AC1527"/>
          <cell r="AD1527">
            <v>0</v>
          </cell>
          <cell r="AE1527"/>
          <cell r="AF1527"/>
          <cell r="AG1527"/>
          <cell r="AH1527"/>
          <cell r="AI1527"/>
          <cell r="AJ1527"/>
          <cell r="AK1527" t="str">
            <v>OL</v>
          </cell>
          <cell r="AL1527">
            <v>151</v>
          </cell>
          <cell r="AM1527">
            <v>24</v>
          </cell>
          <cell r="AN1527" t="str">
            <v>10 Orangeline</v>
          </cell>
          <cell r="AO1527" t="str">
            <v>Southeast</v>
          </cell>
          <cell r="AP1527" t="str">
            <v>South</v>
          </cell>
          <cell r="AQ1527"/>
          <cell r="AR1527">
            <v>0</v>
          </cell>
          <cell r="AS1527">
            <v>0</v>
          </cell>
        </row>
        <row r="1528">
          <cell r="A1528" t="str">
            <v>13316A</v>
          </cell>
          <cell r="B1528" t="str">
            <v>MASON TRACTOR</v>
          </cell>
          <cell r="C1528" t="str">
            <v>M11270</v>
          </cell>
          <cell r="D1528" t="str">
            <v>Net 30, no pink card</v>
          </cell>
          <cell r="E1528" t="str">
            <v>2%</v>
          </cell>
          <cell r="F1528" t="str">
            <v>Yes</v>
          </cell>
          <cell r="G1528" t="str">
            <v>GA</v>
          </cell>
          <cell r="H1528">
            <v>5</v>
          </cell>
          <cell r="I1528">
            <v>0.7</v>
          </cell>
          <cell r="J1528" t="str">
            <v>Jimmy L Smith</v>
          </cell>
          <cell r="K1528" t="str">
            <v>MCDONOUGH</v>
          </cell>
          <cell r="L1528" t="str">
            <v>GA</v>
          </cell>
          <cell r="M1528" t="str">
            <v>800-577-8858</v>
          </cell>
          <cell r="N1528"/>
          <cell r="O1528"/>
          <cell r="P1528">
            <v>0</v>
          </cell>
          <cell r="Q1528">
            <v>120</v>
          </cell>
          <cell r="R1528">
            <v>516</v>
          </cell>
          <cell r="S1528"/>
          <cell r="T1528">
            <v>0</v>
          </cell>
          <cell r="U1528" t="str"/>
          <cell r="V1528" t="str"/>
          <cell r="W1528" t="str"/>
          <cell r="X1528"/>
          <cell r="Y1528"/>
          <cell r="Z1528">
            <v>0</v>
          </cell>
          <cell r="AA1528"/>
          <cell r="AB1528">
            <v>0</v>
          </cell>
          <cell r="AC1528"/>
          <cell r="AD1528">
            <v>0</v>
          </cell>
          <cell r="AE1528"/>
          <cell r="AF1528"/>
          <cell r="AG1528"/>
          <cell r="AH1528"/>
          <cell r="AI1528"/>
          <cell r="AJ1528"/>
          <cell r="AK1528" t="str">
            <v>OL</v>
          </cell>
          <cell r="AL1528">
            <v>151</v>
          </cell>
          <cell r="AM1528">
            <v>24</v>
          </cell>
          <cell r="AN1528" t="str">
            <v>10 Orangeline</v>
          </cell>
          <cell r="AO1528" t="str">
            <v>Southeast</v>
          </cell>
          <cell r="AP1528" t="str">
            <v>South</v>
          </cell>
          <cell r="AQ1528"/>
          <cell r="AR1528">
            <v>0</v>
          </cell>
          <cell r="AS1528">
            <v>0</v>
          </cell>
        </row>
        <row r="1529">
          <cell r="A1529" t="str">
            <v>13316B</v>
          </cell>
          <cell r="B1529" t="str">
            <v>MASON TRACTOR</v>
          </cell>
          <cell r="C1529" t="str">
            <v>M11270</v>
          </cell>
          <cell r="D1529" t="str">
            <v>Net 30, no pink card</v>
          </cell>
          <cell r="E1529" t="str">
            <v>2%</v>
          </cell>
          <cell r="F1529" t="str">
            <v>Yes</v>
          </cell>
          <cell r="G1529" t="str">
            <v>GA</v>
          </cell>
          <cell r="H1529">
            <v>5</v>
          </cell>
          <cell r="I1529">
            <v>0.7</v>
          </cell>
          <cell r="J1529" t="str">
            <v>Jimmy L Smith</v>
          </cell>
          <cell r="K1529" t="str">
            <v>NORCROSS</v>
          </cell>
          <cell r="L1529" t="str">
            <v>GA</v>
          </cell>
          <cell r="M1529" t="str">
            <v>800-577-8858</v>
          </cell>
          <cell r="N1529"/>
          <cell r="O1529"/>
          <cell r="P1529">
            <v>0</v>
          </cell>
          <cell r="Q1529">
            <v>165</v>
          </cell>
          <cell r="R1529">
            <v>709.5</v>
          </cell>
          <cell r="S1529"/>
          <cell r="T1529">
            <v>0</v>
          </cell>
          <cell r="U1529" t="str"/>
          <cell r="V1529" t="str"/>
          <cell r="W1529" t="str"/>
          <cell r="X1529"/>
          <cell r="Y1529"/>
          <cell r="Z1529">
            <v>0</v>
          </cell>
          <cell r="AA1529"/>
          <cell r="AB1529">
            <v>0</v>
          </cell>
          <cell r="AC1529"/>
          <cell r="AD1529">
            <v>0</v>
          </cell>
          <cell r="AE1529"/>
          <cell r="AF1529"/>
          <cell r="AG1529"/>
          <cell r="AH1529"/>
          <cell r="AI1529"/>
          <cell r="AJ1529"/>
          <cell r="AK1529" t="str">
            <v>OL</v>
          </cell>
          <cell r="AL1529">
            <v>151</v>
          </cell>
          <cell r="AM1529">
            <v>24</v>
          </cell>
          <cell r="AN1529" t="str">
            <v>10 Orangeline</v>
          </cell>
          <cell r="AO1529" t="str">
            <v>Southeast</v>
          </cell>
          <cell r="AP1529" t="str">
            <v>South</v>
          </cell>
          <cell r="AQ1529"/>
          <cell r="AR1529">
            <v>0</v>
          </cell>
          <cell r="AS1529">
            <v>0</v>
          </cell>
        </row>
        <row r="1530">
          <cell r="A1530" t="str">
            <v>13316C</v>
          </cell>
          <cell r="B1530" t="str">
            <v>MASON TRACTOR</v>
          </cell>
          <cell r="C1530" t="str">
            <v>M11270</v>
          </cell>
          <cell r="D1530" t="str">
            <v>Net 30, no pink card</v>
          </cell>
          <cell r="E1530" t="str">
            <v>2%</v>
          </cell>
          <cell r="F1530" t="str">
            <v>Yes</v>
          </cell>
          <cell r="G1530" t="str">
            <v>GA</v>
          </cell>
          <cell r="H1530">
            <v>5</v>
          </cell>
          <cell r="I1530">
            <v>0.7</v>
          </cell>
          <cell r="J1530" t="str">
            <v>Jimmy L Smith</v>
          </cell>
          <cell r="K1530" t="str">
            <v>CUMMING</v>
          </cell>
          <cell r="L1530" t="str">
            <v>GA</v>
          </cell>
          <cell r="M1530" t="str">
            <v>800-577-8858</v>
          </cell>
          <cell r="N1530"/>
          <cell r="O1530"/>
          <cell r="P1530">
            <v>0</v>
          </cell>
          <cell r="Q1530">
            <v>185</v>
          </cell>
          <cell r="R1530">
            <v>795.5</v>
          </cell>
          <cell r="S1530"/>
          <cell r="T1530">
            <v>0</v>
          </cell>
          <cell r="U1530" t="str"/>
          <cell r="V1530" t="str"/>
          <cell r="W1530" t="str"/>
          <cell r="X1530"/>
          <cell r="Y1530"/>
          <cell r="Z1530">
            <v>0</v>
          </cell>
          <cell r="AA1530"/>
          <cell r="AB1530">
            <v>0</v>
          </cell>
          <cell r="AC1530"/>
          <cell r="AD1530">
            <v>0</v>
          </cell>
          <cell r="AE1530"/>
          <cell r="AF1530"/>
          <cell r="AG1530"/>
          <cell r="AH1530"/>
          <cell r="AI1530"/>
          <cell r="AJ1530"/>
          <cell r="AK1530" t="str">
            <v>OL</v>
          </cell>
          <cell r="AL1530">
            <v>151</v>
          </cell>
          <cell r="AM1530">
            <v>24</v>
          </cell>
          <cell r="AN1530" t="str">
            <v>10 Orangeline</v>
          </cell>
          <cell r="AO1530" t="str">
            <v>Southeast</v>
          </cell>
          <cell r="AP1530" t="str">
            <v>South</v>
          </cell>
          <cell r="AQ1530"/>
          <cell r="AR1530">
            <v>0</v>
          </cell>
          <cell r="AS1530">
            <v>0</v>
          </cell>
        </row>
        <row r="1531">
          <cell r="A1531">
            <v>13321</v>
          </cell>
          <cell r="B1531" t="str">
            <v>NELSON TRACTOR - GA</v>
          </cell>
          <cell r="C1531" t="str">
            <v>M11274</v>
          </cell>
          <cell r="D1531" t="str">
            <v>Net 30, no pink card</v>
          </cell>
          <cell r="E1531" t="str">
            <v>2%</v>
          </cell>
          <cell r="F1531" t="str">
            <v>Yes</v>
          </cell>
          <cell r="G1531" t="str">
            <v>GA</v>
          </cell>
          <cell r="H1531">
            <v>5</v>
          </cell>
          <cell r="I1531">
            <v>0.7</v>
          </cell>
          <cell r="J1531" t="str">
            <v>Jimmy L Smith</v>
          </cell>
          <cell r="K1531" t="str">
            <v>BLAIRSVILLE</v>
          </cell>
          <cell r="L1531" t="str">
            <v>GA</v>
          </cell>
          <cell r="M1531" t="str">
            <v>800-577-8858</v>
          </cell>
          <cell r="N1531"/>
          <cell r="O1531"/>
          <cell r="P1531">
            <v>0</v>
          </cell>
          <cell r="Q1531">
            <v>260</v>
          </cell>
          <cell r="R1531">
            <v>1118</v>
          </cell>
          <cell r="S1531"/>
          <cell r="T1531">
            <v>0</v>
          </cell>
          <cell r="U1531" t="str"/>
          <cell r="V1531" t="str"/>
          <cell r="W1531" t="str"/>
          <cell r="X1531"/>
          <cell r="Y1531"/>
          <cell r="Z1531">
            <v>0</v>
          </cell>
          <cell r="AA1531"/>
          <cell r="AB1531">
            <v>0</v>
          </cell>
          <cell r="AC1531"/>
          <cell r="AD1531">
            <v>0</v>
          </cell>
          <cell r="AE1531"/>
          <cell r="AF1531"/>
          <cell r="AG1531"/>
          <cell r="AH1531"/>
          <cell r="AI1531"/>
          <cell r="AJ1531"/>
          <cell r="AK1531" t="str">
            <v>OL</v>
          </cell>
          <cell r="AL1531">
            <v>151</v>
          </cell>
          <cell r="AM1531">
            <v>24</v>
          </cell>
          <cell r="AN1531" t="str">
            <v>10 Orangeline</v>
          </cell>
          <cell r="AO1531" t="str">
            <v>Southeast</v>
          </cell>
          <cell r="AP1531" t="str">
            <v>South</v>
          </cell>
          <cell r="AQ1531"/>
          <cell r="AR1531">
            <v>0</v>
          </cell>
          <cell r="AS1531">
            <v>0</v>
          </cell>
        </row>
        <row r="1532">
          <cell r="A1532" t="str">
            <v>13321A</v>
          </cell>
          <cell r="B1532" t="str">
            <v>NELSON TRACTOR - GA</v>
          </cell>
          <cell r="C1532" t="str">
            <v>M11274</v>
          </cell>
          <cell r="D1532" t="str">
            <v>Net 30, no pink card</v>
          </cell>
          <cell r="E1532" t="str">
            <v>2%</v>
          </cell>
          <cell r="F1532" t="str">
            <v>Yes</v>
          </cell>
          <cell r="G1532" t="str">
            <v>GA</v>
          </cell>
          <cell r="H1532">
            <v>5</v>
          </cell>
          <cell r="I1532">
            <v>0.7</v>
          </cell>
          <cell r="J1532" t="str">
            <v>Jimmy L Smith</v>
          </cell>
          <cell r="K1532" t="str">
            <v>JASPER</v>
          </cell>
          <cell r="L1532" t="str">
            <v>GA</v>
          </cell>
          <cell r="M1532" t="str">
            <v>800-577-8858</v>
          </cell>
          <cell r="N1532"/>
          <cell r="O1532"/>
          <cell r="P1532">
            <v>0</v>
          </cell>
          <cell r="Q1532">
            <v>210</v>
          </cell>
          <cell r="R1532">
            <v>903</v>
          </cell>
          <cell r="S1532"/>
          <cell r="T1532">
            <v>0</v>
          </cell>
          <cell r="U1532" t="str"/>
          <cell r="V1532" t="str"/>
          <cell r="W1532" t="str"/>
          <cell r="X1532"/>
          <cell r="Y1532"/>
          <cell r="Z1532">
            <v>0</v>
          </cell>
          <cell r="AA1532"/>
          <cell r="AB1532">
            <v>0</v>
          </cell>
          <cell r="AC1532"/>
          <cell r="AD1532">
            <v>0</v>
          </cell>
          <cell r="AE1532"/>
          <cell r="AF1532"/>
          <cell r="AG1532"/>
          <cell r="AH1532"/>
          <cell r="AI1532"/>
          <cell r="AJ1532"/>
          <cell r="AK1532" t="str">
            <v>OL</v>
          </cell>
          <cell r="AL1532">
            <v>151</v>
          </cell>
          <cell r="AM1532">
            <v>24</v>
          </cell>
          <cell r="AN1532" t="str">
            <v>10 Orangeline</v>
          </cell>
          <cell r="AO1532" t="str">
            <v>Southeast</v>
          </cell>
          <cell r="AP1532" t="str">
            <v>South</v>
          </cell>
          <cell r="AQ1532"/>
          <cell r="AR1532">
            <v>0</v>
          </cell>
          <cell r="AS1532">
            <v>0</v>
          </cell>
        </row>
        <row r="1533">
          <cell r="A1533">
            <v>13322</v>
          </cell>
          <cell r="B1533" t="str">
            <v>PALMER EQUIPMENT</v>
          </cell>
          <cell r="C1533" t="str">
            <v>M11276</v>
          </cell>
          <cell r="D1533" t="str">
            <v>Net 30, no pink card</v>
          </cell>
          <cell r="E1533" t="str">
            <v>2%</v>
          </cell>
          <cell r="F1533" t="str">
            <v>Yes</v>
          </cell>
          <cell r="G1533" t="str">
            <v>GA</v>
          </cell>
          <cell r="H1533">
            <v>5</v>
          </cell>
          <cell r="I1533">
            <v>0.7</v>
          </cell>
          <cell r="J1533" t="str">
            <v>Jimmy L Smith</v>
          </cell>
          <cell r="K1533" t="str">
            <v>WASHINGTON</v>
          </cell>
          <cell r="L1533" t="str">
            <v>GA</v>
          </cell>
          <cell r="M1533" t="str">
            <v>800-577-8858</v>
          </cell>
          <cell r="N1533"/>
          <cell r="O1533"/>
          <cell r="P1533">
            <v>0</v>
          </cell>
          <cell r="Q1533">
            <v>170</v>
          </cell>
          <cell r="R1533">
            <v>731</v>
          </cell>
          <cell r="S1533"/>
          <cell r="T1533">
            <v>0</v>
          </cell>
          <cell r="U1533" t="str"/>
          <cell r="V1533" t="str"/>
          <cell r="W1533" t="str"/>
          <cell r="X1533"/>
          <cell r="Y1533"/>
          <cell r="Z1533">
            <v>0</v>
          </cell>
          <cell r="AA1533"/>
          <cell r="AB1533">
            <v>0</v>
          </cell>
          <cell r="AC1533"/>
          <cell r="AD1533">
            <v>0</v>
          </cell>
          <cell r="AE1533"/>
          <cell r="AF1533"/>
          <cell r="AG1533"/>
          <cell r="AH1533"/>
          <cell r="AI1533"/>
          <cell r="AJ1533"/>
          <cell r="AK1533" t="str">
            <v>OL</v>
          </cell>
          <cell r="AL1533">
            <v>151</v>
          </cell>
          <cell r="AM1533">
            <v>26</v>
          </cell>
          <cell r="AN1533" t="str">
            <v>10 Orangeline</v>
          </cell>
          <cell r="AO1533" t="str">
            <v>Southeast</v>
          </cell>
          <cell r="AP1533" t="str">
            <v>South</v>
          </cell>
          <cell r="AQ1533"/>
          <cell r="AR1533">
            <v>0</v>
          </cell>
          <cell r="AS1533">
            <v>0</v>
          </cell>
        </row>
        <row r="1534">
          <cell r="A1534">
            <v>13359</v>
          </cell>
          <cell r="B1534" t="str">
            <v>SAPELO EQUIPMENT</v>
          </cell>
          <cell r="C1534" t="str">
            <v>M11322</v>
          </cell>
          <cell r="D1534" t="str">
            <v>Net 30, no pink card</v>
          </cell>
          <cell r="E1534" t="str">
            <v>O1-Northpoint</v>
          </cell>
          <cell r="F1534" t="str">
            <v>Yes</v>
          </cell>
          <cell r="G1534" t="str">
            <v>GA</v>
          </cell>
          <cell r="H1534">
            <v>8</v>
          </cell>
          <cell r="I1534">
            <v>0.7</v>
          </cell>
          <cell r="J1534" t="str">
            <v>Jimmy L Smith</v>
          </cell>
          <cell r="K1534" t="str">
            <v>BRUNSWICK</v>
          </cell>
          <cell r="L1534" t="str">
            <v>GA</v>
          </cell>
          <cell r="M1534" t="str">
            <v>800-577-8858</v>
          </cell>
          <cell r="N1534"/>
          <cell r="O1534"/>
          <cell r="P1534">
            <v>0</v>
          </cell>
          <cell r="Q1534">
            <v>180</v>
          </cell>
          <cell r="R1534">
            <v>774</v>
          </cell>
          <cell r="S1534"/>
          <cell r="T1534">
            <v>0</v>
          </cell>
          <cell r="U1534" t="str"/>
          <cell r="V1534" t="str"/>
          <cell r="W1534" t="str"/>
          <cell r="X1534"/>
          <cell r="Y1534"/>
          <cell r="Z1534">
            <v>0</v>
          </cell>
          <cell r="AA1534"/>
          <cell r="AB1534">
            <v>0</v>
          </cell>
          <cell r="AC1534"/>
          <cell r="AD1534">
            <v>0</v>
          </cell>
          <cell r="AE1534"/>
          <cell r="AF1534"/>
          <cell r="AG1534"/>
          <cell r="AH1534"/>
          <cell r="AI1534"/>
          <cell r="AJ1534"/>
          <cell r="AK1534" t="str">
            <v>OL</v>
          </cell>
          <cell r="AL1534">
            <v>151</v>
          </cell>
          <cell r="AM1534">
            <v>58</v>
          </cell>
          <cell r="AN1534" t="str">
            <v>10 Orangeline</v>
          </cell>
          <cell r="AO1534" t="str">
            <v>Southeast</v>
          </cell>
          <cell r="AP1534" t="str">
            <v>South</v>
          </cell>
          <cell r="AQ1534"/>
          <cell r="AR1534">
            <v>0</v>
          </cell>
          <cell r="AS1534">
            <v>0</v>
          </cell>
        </row>
        <row r="1535">
          <cell r="A1535">
            <v>13315</v>
          </cell>
          <cell r="B1535" t="str">
            <v>SHEA TRACTOR</v>
          </cell>
          <cell r="C1535" t="str">
            <v>M11269</v>
          </cell>
          <cell r="D1535" t="str">
            <v>Net 30, no pink card</v>
          </cell>
          <cell r="E1535" t="str">
            <v>O1-Northpoint</v>
          </cell>
          <cell r="F1535" t="str">
            <v>Yes</v>
          </cell>
          <cell r="G1535" t="str">
            <v>GA</v>
          </cell>
          <cell r="H1535">
            <v>8</v>
          </cell>
          <cell r="I1535">
            <v>0.7</v>
          </cell>
          <cell r="J1535" t="str">
            <v>Jimmy L Smith</v>
          </cell>
          <cell r="K1535" t="str">
            <v>STATESBORO</v>
          </cell>
          <cell r="L1535" t="str">
            <v>GA</v>
          </cell>
          <cell r="M1535" t="str">
            <v>800-577-8858</v>
          </cell>
          <cell r="N1535"/>
          <cell r="O1535"/>
          <cell r="P1535">
            <v>0</v>
          </cell>
          <cell r="Q1535">
            <v>150</v>
          </cell>
          <cell r="R1535">
            <v>645</v>
          </cell>
          <cell r="S1535"/>
          <cell r="T1535">
            <v>0</v>
          </cell>
          <cell r="U1535" t="str"/>
          <cell r="V1535" t="str"/>
          <cell r="W1535" t="str"/>
          <cell r="X1535"/>
          <cell r="Y1535"/>
          <cell r="Z1535">
            <v>0</v>
          </cell>
          <cell r="AA1535"/>
          <cell r="AB1535">
            <v>0</v>
          </cell>
          <cell r="AC1535"/>
          <cell r="AD1535">
            <v>0</v>
          </cell>
          <cell r="AE1535"/>
          <cell r="AF1535"/>
          <cell r="AG1535"/>
          <cell r="AH1535"/>
          <cell r="AI1535"/>
          <cell r="AJ1535"/>
          <cell r="AK1535" t="str">
            <v>OL</v>
          </cell>
          <cell r="AL1535">
            <v>151</v>
          </cell>
          <cell r="AM1535">
            <v>410</v>
          </cell>
          <cell r="AN1535" t="str">
            <v>10 Orangeline</v>
          </cell>
          <cell r="AO1535" t="str">
            <v>Southeast</v>
          </cell>
          <cell r="AP1535" t="str">
            <v>South</v>
          </cell>
          <cell r="AQ1535"/>
          <cell r="AR1535">
            <v>0</v>
          </cell>
          <cell r="AS1535">
            <v>0</v>
          </cell>
        </row>
        <row r="1536">
          <cell r="A1536">
            <v>13389</v>
          </cell>
          <cell r="B1536" t="str">
            <v>SOUTHERN TRACTOR &amp; OUTDOORS</v>
          </cell>
          <cell r="C1536" t="str">
            <v>M10377</v>
          </cell>
          <cell r="D1536" t="str">
            <v>Net 30, no pink card</v>
          </cell>
          <cell r="E1536" t="str">
            <v>O1-Northpoint</v>
          </cell>
          <cell r="F1536" t="str">
            <v>Yes</v>
          </cell>
          <cell r="G1536" t="str">
            <v>GA</v>
          </cell>
          <cell r="H1536">
            <v>8</v>
          </cell>
          <cell r="I1536">
            <v>0.7</v>
          </cell>
          <cell r="J1536" t="str">
            <v>Jimmy L Smith</v>
          </cell>
          <cell r="K1536" t="str">
            <v>MOULTRIE</v>
          </cell>
          <cell r="L1536" t="str">
            <v>GA</v>
          </cell>
          <cell r="M1536" t="str">
            <v>800-577-8858</v>
          </cell>
          <cell r="N1536"/>
          <cell r="O1536"/>
          <cell r="P1536">
            <v>0</v>
          </cell>
          <cell r="Q1536">
            <v>60</v>
          </cell>
          <cell r="R1536">
            <v>258</v>
          </cell>
          <cell r="S1536"/>
          <cell r="T1536">
            <v>0</v>
          </cell>
          <cell r="U1536" t="str"/>
          <cell r="V1536" t="str"/>
          <cell r="W1536" t="str"/>
          <cell r="X1536"/>
          <cell r="Y1536"/>
          <cell r="Z1536">
            <v>0</v>
          </cell>
          <cell r="AA1536"/>
          <cell r="AB1536">
            <v>0</v>
          </cell>
          <cell r="AC1536"/>
          <cell r="AD1536">
            <v>0</v>
          </cell>
          <cell r="AE1536"/>
          <cell r="AF1536"/>
          <cell r="AG1536"/>
          <cell r="AH1536"/>
          <cell r="AI1536"/>
          <cell r="AJ1536"/>
          <cell r="AK1536" t="str">
            <v>OL</v>
          </cell>
          <cell r="AL1536">
            <v>151</v>
          </cell>
          <cell r="AM1536">
            <v>6</v>
          </cell>
          <cell r="AN1536" t="str">
            <v>10 Orangeline</v>
          </cell>
          <cell r="AO1536" t="str">
            <v>Southeast</v>
          </cell>
          <cell r="AP1536" t="str">
            <v>South</v>
          </cell>
          <cell r="AQ1536"/>
          <cell r="AR1536">
            <v>0</v>
          </cell>
          <cell r="AS1536">
            <v>0</v>
          </cell>
        </row>
        <row r="1537">
          <cell r="A1537" t="str">
            <v>13389A</v>
          </cell>
          <cell r="B1537" t="str">
            <v>SOUTHERN TRACTOR &amp; OUTDOORS</v>
          </cell>
          <cell r="C1537" t="str">
            <v>M10377</v>
          </cell>
          <cell r="D1537" t="str">
            <v>Net 30, no pink card</v>
          </cell>
          <cell r="E1537" t="str">
            <v>O1-Northpoint</v>
          </cell>
          <cell r="F1537" t="str">
            <v>Yes</v>
          </cell>
          <cell r="G1537" t="str">
            <v>GA</v>
          </cell>
          <cell r="H1537">
            <v>8</v>
          </cell>
          <cell r="I1537">
            <v>0.7</v>
          </cell>
          <cell r="J1537" t="str">
            <v>Jimmy L Smith</v>
          </cell>
          <cell r="K1537" t="str">
            <v>ALBANY</v>
          </cell>
          <cell r="L1537" t="str">
            <v>GA</v>
          </cell>
          <cell r="M1537" t="str">
            <v>800-577-8858</v>
          </cell>
          <cell r="N1537"/>
          <cell r="O1537"/>
          <cell r="P1537">
            <v>0</v>
          </cell>
          <cell r="Q1537">
            <v>40</v>
          </cell>
          <cell r="R1537">
            <v>172</v>
          </cell>
          <cell r="S1537"/>
          <cell r="T1537">
            <v>0</v>
          </cell>
          <cell r="U1537" t="str"/>
          <cell r="V1537" t="str"/>
          <cell r="W1537" t="str"/>
          <cell r="X1537"/>
          <cell r="Y1537"/>
          <cell r="Z1537">
            <v>0</v>
          </cell>
          <cell r="AA1537"/>
          <cell r="AB1537">
            <v>0</v>
          </cell>
          <cell r="AC1537"/>
          <cell r="AD1537">
            <v>0</v>
          </cell>
          <cell r="AE1537"/>
          <cell r="AF1537"/>
          <cell r="AG1537"/>
          <cell r="AH1537"/>
          <cell r="AI1537"/>
          <cell r="AJ1537"/>
          <cell r="AK1537" t="str">
            <v>OL</v>
          </cell>
          <cell r="AL1537">
            <v>151</v>
          </cell>
          <cell r="AM1537">
            <v>6</v>
          </cell>
          <cell r="AN1537" t="str">
            <v>10 Orangeline</v>
          </cell>
          <cell r="AO1537" t="str">
            <v>Southeast</v>
          </cell>
          <cell r="AP1537" t="str">
            <v>South</v>
          </cell>
          <cell r="AQ1537"/>
          <cell r="AR1537">
            <v>0</v>
          </cell>
          <cell r="AS1537">
            <v>0</v>
          </cell>
        </row>
        <row r="1538">
          <cell r="A1538" t="str">
            <v>13389B</v>
          </cell>
          <cell r="B1538" t="str">
            <v>SOUTHERN TRACTOR &amp; OUTDOORS</v>
          </cell>
          <cell r="C1538" t="str">
            <v>M10377</v>
          </cell>
          <cell r="D1538" t="str">
            <v>Net 30, no pink card</v>
          </cell>
          <cell r="E1538" t="str">
            <v>O1-Northpoint</v>
          </cell>
          <cell r="F1538" t="str">
            <v>Yes</v>
          </cell>
          <cell r="G1538" t="str">
            <v>GA</v>
          </cell>
          <cell r="H1538">
            <v>8</v>
          </cell>
          <cell r="I1538">
            <v>0.7</v>
          </cell>
          <cell r="J1538" t="str">
            <v>Jimmy L Smith</v>
          </cell>
          <cell r="K1538" t="str">
            <v>LEESBURG</v>
          </cell>
          <cell r="L1538" t="str">
            <v>GA</v>
          </cell>
          <cell r="M1538" t="str">
            <v>800-577-8858</v>
          </cell>
          <cell r="N1538"/>
          <cell r="O1538"/>
          <cell r="P1538">
            <v>0</v>
          </cell>
          <cell r="Q1538">
            <v>35</v>
          </cell>
          <cell r="R1538">
            <v>150.5</v>
          </cell>
          <cell r="S1538"/>
          <cell r="T1538">
            <v>0</v>
          </cell>
          <cell r="U1538" t="str"/>
          <cell r="V1538" t="str"/>
          <cell r="W1538" t="str"/>
          <cell r="X1538"/>
          <cell r="Y1538"/>
          <cell r="Z1538">
            <v>0</v>
          </cell>
          <cell r="AA1538"/>
          <cell r="AB1538">
            <v>0</v>
          </cell>
          <cell r="AC1538"/>
          <cell r="AD1538">
            <v>0</v>
          </cell>
          <cell r="AE1538"/>
          <cell r="AF1538"/>
          <cell r="AG1538"/>
          <cell r="AH1538"/>
          <cell r="AI1538"/>
          <cell r="AJ1538"/>
          <cell r="AK1538" t="str">
            <v>OL</v>
          </cell>
          <cell r="AL1538">
            <v>151</v>
          </cell>
          <cell r="AM1538">
            <v>6</v>
          </cell>
          <cell r="AN1538" t="str">
            <v>10 Orangeline</v>
          </cell>
          <cell r="AO1538" t="str">
            <v>Southeast</v>
          </cell>
          <cell r="AP1538" t="str">
            <v>South</v>
          </cell>
          <cell r="AQ1538"/>
          <cell r="AR1538">
            <v>0</v>
          </cell>
          <cell r="AS1538">
            <v>0</v>
          </cell>
        </row>
        <row r="1539">
          <cell r="A1539">
            <v>13334</v>
          </cell>
          <cell r="B1539" t="str">
            <v>SOUTHSIDE EQUIPMENT</v>
          </cell>
          <cell r="C1539" t="str">
            <v>M11284</v>
          </cell>
          <cell r="D1539" t="str">
            <v>Net 30, no pink card</v>
          </cell>
          <cell r="E1539" t="str">
            <v>O1-Northpoint</v>
          </cell>
          <cell r="F1539" t="str">
            <v>Yes</v>
          </cell>
          <cell r="G1539" t="str">
            <v>GA</v>
          </cell>
          <cell r="H1539">
            <v>8</v>
          </cell>
          <cell r="I1539">
            <v>0.7</v>
          </cell>
          <cell r="J1539" t="str">
            <v>Jimmy L Smith</v>
          </cell>
          <cell r="K1539" t="str">
            <v>MILLEDGEVILLE</v>
          </cell>
          <cell r="L1539" t="str">
            <v>GA</v>
          </cell>
          <cell r="M1539" t="str">
            <v>800-577-8858</v>
          </cell>
          <cell r="N1539"/>
          <cell r="O1539"/>
          <cell r="P1539">
            <v>0</v>
          </cell>
          <cell r="Q1539">
            <v>100</v>
          </cell>
          <cell r="R1539">
            <v>430</v>
          </cell>
          <cell r="S1539"/>
          <cell r="T1539">
            <v>0</v>
          </cell>
          <cell r="U1539" t="str"/>
          <cell r="V1539" t="str"/>
          <cell r="W1539" t="str"/>
          <cell r="X1539"/>
          <cell r="Y1539"/>
          <cell r="Z1539">
            <v>0</v>
          </cell>
          <cell r="AA1539"/>
          <cell r="AB1539">
            <v>0</v>
          </cell>
          <cell r="AC1539"/>
          <cell r="AD1539">
            <v>0</v>
          </cell>
          <cell r="AE1539"/>
          <cell r="AF1539"/>
          <cell r="AG1539"/>
          <cell r="AH1539"/>
          <cell r="AI1539"/>
          <cell r="AJ1539"/>
          <cell r="AK1539" t="str">
            <v>OL</v>
          </cell>
          <cell r="AL1539">
            <v>151</v>
          </cell>
          <cell r="AM1539">
            <v>271</v>
          </cell>
          <cell r="AN1539" t="str">
            <v>10 Orangeline</v>
          </cell>
          <cell r="AO1539" t="str">
            <v>Southeast</v>
          </cell>
          <cell r="AP1539" t="str">
            <v>South</v>
          </cell>
          <cell r="AQ1539"/>
          <cell r="AR1539">
            <v>0</v>
          </cell>
          <cell r="AS1539">
            <v>0</v>
          </cell>
        </row>
        <row r="1540">
          <cell r="A1540">
            <v>13341</v>
          </cell>
          <cell r="B1540" t="str">
            <v>WALKER RHODES TRACTOR</v>
          </cell>
          <cell r="C1540" t="str">
            <v>M11289</v>
          </cell>
          <cell r="D1540" t="str">
            <v>Net 30, no pink card</v>
          </cell>
          <cell r="E1540" t="str">
            <v>2%</v>
          </cell>
          <cell r="F1540" t="str">
            <v>Yes</v>
          </cell>
          <cell r="G1540" t="str">
            <v>GA</v>
          </cell>
          <cell r="H1540">
            <v>5</v>
          </cell>
          <cell r="I1540">
            <v>0.7</v>
          </cell>
          <cell r="J1540" t="str">
            <v>Jimmy L Smith</v>
          </cell>
          <cell r="K1540" t="str">
            <v>PERRY</v>
          </cell>
          <cell r="L1540" t="str">
            <v>GA</v>
          </cell>
          <cell r="M1540" t="str">
            <v>800-577-8858</v>
          </cell>
          <cell r="N1540"/>
          <cell r="O1540"/>
          <cell r="P1540">
            <v>0</v>
          </cell>
          <cell r="Q1540">
            <v>40</v>
          </cell>
          <cell r="R1540">
            <v>172</v>
          </cell>
          <cell r="S1540"/>
          <cell r="T1540">
            <v>0</v>
          </cell>
          <cell r="U1540" t="str"/>
          <cell r="V1540" t="str"/>
          <cell r="W1540" t="str"/>
          <cell r="X1540"/>
          <cell r="Y1540"/>
          <cell r="Z1540">
            <v>0</v>
          </cell>
          <cell r="AA1540"/>
          <cell r="AB1540">
            <v>0</v>
          </cell>
          <cell r="AC1540"/>
          <cell r="AD1540">
            <v>0</v>
          </cell>
          <cell r="AE1540"/>
          <cell r="AF1540"/>
          <cell r="AG1540"/>
          <cell r="AH1540"/>
          <cell r="AI1540"/>
          <cell r="AJ1540"/>
          <cell r="AK1540" t="str">
            <v>OL</v>
          </cell>
          <cell r="AL1540">
            <v>151</v>
          </cell>
          <cell r="AM1540">
            <v>271</v>
          </cell>
          <cell r="AN1540" t="str">
            <v>10 Orangeline</v>
          </cell>
          <cell r="AO1540" t="str">
            <v>Southeast</v>
          </cell>
          <cell r="AP1540" t="str">
            <v>South</v>
          </cell>
          <cell r="AQ1540"/>
          <cell r="AR1540">
            <v>0</v>
          </cell>
          <cell r="AS1540">
            <v>0</v>
          </cell>
        </row>
        <row r="1541">
          <cell r="A1541">
            <v>13342</v>
          </cell>
          <cell r="B1541" t="str">
            <v>WAVERLY HALL FARM</v>
          </cell>
          <cell r="C1541" t="str">
            <v>M11290</v>
          </cell>
          <cell r="D1541" t="str">
            <v>Net 30, no pink card</v>
          </cell>
          <cell r="E1541" t="str">
            <v>2%</v>
          </cell>
          <cell r="F1541" t="str">
            <v>Yes</v>
          </cell>
          <cell r="G1541" t="str">
            <v>GA</v>
          </cell>
          <cell r="H1541">
            <v>5</v>
          </cell>
          <cell r="I1541">
            <v>0.7</v>
          </cell>
          <cell r="J1541" t="str">
            <v>Jimmy L Smith</v>
          </cell>
          <cell r="K1541" t="str">
            <v>WAVERLY HALL</v>
          </cell>
          <cell r="L1541" t="str">
            <v>GA</v>
          </cell>
          <cell r="M1541" t="str">
            <v>800-577-8858</v>
          </cell>
          <cell r="N1541"/>
          <cell r="O1541"/>
          <cell r="P1541">
            <v>0</v>
          </cell>
          <cell r="Q1541">
            <v>95</v>
          </cell>
          <cell r="R1541">
            <v>408.5</v>
          </cell>
          <cell r="S1541"/>
          <cell r="T1541">
            <v>0</v>
          </cell>
          <cell r="U1541" t="str"/>
          <cell r="V1541" t="str"/>
          <cell r="W1541" t="str"/>
          <cell r="X1541"/>
          <cell r="Y1541"/>
          <cell r="Z1541">
            <v>0</v>
          </cell>
          <cell r="AA1541"/>
          <cell r="AB1541">
            <v>0</v>
          </cell>
          <cell r="AC1541"/>
          <cell r="AD1541">
            <v>0</v>
          </cell>
          <cell r="AE1541"/>
          <cell r="AF1541"/>
          <cell r="AG1541"/>
          <cell r="AH1541"/>
          <cell r="AI1541"/>
          <cell r="AJ1541"/>
          <cell r="AK1541" t="str">
            <v>OL</v>
          </cell>
          <cell r="AL1541">
            <v>151</v>
          </cell>
          <cell r="AM1541">
            <v>92</v>
          </cell>
          <cell r="AN1541" t="str">
            <v>10 Orangeline</v>
          </cell>
          <cell r="AO1541" t="str">
            <v>Southeast</v>
          </cell>
          <cell r="AP1541" t="str">
            <v>South</v>
          </cell>
          <cell r="AQ1541"/>
          <cell r="AR1541">
            <v>0</v>
          </cell>
          <cell r="AS1541">
            <v>0</v>
          </cell>
        </row>
        <row r="1542">
          <cell r="A1542">
            <v>13582</v>
          </cell>
          <cell r="B1542" t="str">
            <v>BURKS TRACTOR</v>
          </cell>
          <cell r="C1542" t="str">
            <v>M11452</v>
          </cell>
          <cell r="D1542" t="str">
            <v>Net 30, no pink card</v>
          </cell>
          <cell r="E1542" t="str">
            <v>2%</v>
          </cell>
          <cell r="F1542" t="str">
            <v>Yes</v>
          </cell>
          <cell r="G1542" t="str">
            <v>OH</v>
          </cell>
          <cell r="H1542">
            <v>5</v>
          </cell>
          <cell r="I1542">
            <v>0.7</v>
          </cell>
          <cell r="J1542" t="str">
            <v>Jimmy L Smith</v>
          </cell>
          <cell r="K1542" t="str">
            <v>CALDWELL</v>
          </cell>
          <cell r="L1542" t="str">
            <v>ID</v>
          </cell>
          <cell r="M1542" t="str">
            <v>800-577-8876</v>
          </cell>
          <cell r="N1542"/>
          <cell r="O1542"/>
          <cell r="P1542">
            <v>0</v>
          </cell>
          <cell r="Q1542"/>
          <cell r="R1542">
            <v>0</v>
          </cell>
          <cell r="S1542"/>
          <cell r="T1542">
            <v>0</v>
          </cell>
          <cell r="U1542" t="str"/>
          <cell r="V1542" t="str"/>
          <cell r="W1542" t="str"/>
          <cell r="X1542"/>
          <cell r="Y1542"/>
          <cell r="Z1542">
            <v>0</v>
          </cell>
          <cell r="AA1542"/>
          <cell r="AB1542">
            <v>0</v>
          </cell>
          <cell r="AC1542"/>
          <cell r="AD1542">
            <v>0</v>
          </cell>
          <cell r="AE1542"/>
          <cell r="AF1542"/>
          <cell r="AG1542"/>
          <cell r="AH1542"/>
          <cell r="AI1542"/>
          <cell r="AJ1542">
            <v>0</v>
          </cell>
          <cell r="AK1542" t="str">
            <v>OL</v>
          </cell>
          <cell r="AL1542">
            <v>151</v>
          </cell>
          <cell r="AM1542">
            <v>50</v>
          </cell>
          <cell r="AN1542" t="str">
            <v>10 Orangeline</v>
          </cell>
          <cell r="AO1542" t="str">
            <v>Northwest</v>
          </cell>
          <cell r="AP1542" t="str">
            <v>West</v>
          </cell>
          <cell r="AQ1542"/>
          <cell r="AR1542">
            <v>0</v>
          </cell>
          <cell r="AS1542">
            <v>0</v>
          </cell>
        </row>
        <row r="1543">
          <cell r="A1543">
            <v>13622</v>
          </cell>
          <cell r="B1543" t="str">
            <v>CENTRAL IOWA FARM STORE</v>
          </cell>
          <cell r="C1543" t="str">
            <v>M11599</v>
          </cell>
          <cell r="D1543" t="str">
            <v>Net 30, no pink card</v>
          </cell>
          <cell r="E1543" t="str">
            <v>2%</v>
          </cell>
          <cell r="F1543" t="str">
            <v>Yes</v>
          </cell>
          <cell r="G1543" t="str">
            <v>OH</v>
          </cell>
          <cell r="H1543">
            <v>5</v>
          </cell>
          <cell r="I1543">
            <v>0.7</v>
          </cell>
          <cell r="J1543" t="str">
            <v>Jimmy L Smith</v>
          </cell>
          <cell r="K1543" t="str">
            <v>MARSHALLTOWN</v>
          </cell>
          <cell r="L1543" t="str">
            <v>IA</v>
          </cell>
          <cell r="M1543" t="str">
            <v>800-577-8876</v>
          </cell>
          <cell r="N1543"/>
          <cell r="O1543">
            <v>728</v>
          </cell>
          <cell r="P1543">
            <v>3130.4</v>
          </cell>
          <cell r="Q1543">
            <v>1041</v>
          </cell>
          <cell r="R1543">
            <v>4476.3</v>
          </cell>
          <cell r="S1543"/>
          <cell r="T1543">
            <v>0</v>
          </cell>
          <cell r="U1543">
            <v>684</v>
          </cell>
          <cell r="V1543">
            <v>2941.2</v>
          </cell>
          <cell r="W1543">
            <v>745</v>
          </cell>
          <cell r="X1543">
            <v>3203.5</v>
          </cell>
          <cell r="Y1543"/>
          <cell r="Z1543">
            <v>0</v>
          </cell>
          <cell r="AA1543">
            <v>592</v>
          </cell>
          <cell r="AB1543">
            <v>2545.6</v>
          </cell>
          <cell r="AC1543">
            <v>592</v>
          </cell>
          <cell r="AD1543">
            <v>2545.6</v>
          </cell>
          <cell r="AE1543"/>
          <cell r="AF1543"/>
          <cell r="AG1543"/>
          <cell r="AH1543"/>
          <cell r="AI1543"/>
          <cell r="AJ1543"/>
          <cell r="AK1543" t="str">
            <v>OL</v>
          </cell>
          <cell r="AL1543">
            <v>151</v>
          </cell>
          <cell r="AM1543"/>
          <cell r="AN1543" t="str">
            <v>10 Orangeline</v>
          </cell>
          <cell r="AO1543" t="str">
            <v>Midwest</v>
          </cell>
          <cell r="AP1543" t="str">
            <v>Central</v>
          </cell>
          <cell r="AQ1543"/>
          <cell r="AR1543">
            <v>0</v>
          </cell>
          <cell r="AS1543">
            <v>0</v>
          </cell>
        </row>
        <row r="1544">
          <cell r="A1544">
            <v>13488</v>
          </cell>
          <cell r="B1544" t="str">
            <v>BEARD IMPLEMENT</v>
          </cell>
          <cell r="C1544" t="str">
            <v>M11463</v>
          </cell>
          <cell r="D1544" t="str">
            <v>Net 30, no pink card</v>
          </cell>
          <cell r="E1544" t="str">
            <v>2%</v>
          </cell>
          <cell r="F1544" t="str">
            <v>Yes</v>
          </cell>
          <cell r="G1544" t="str">
            <v>OH</v>
          </cell>
          <cell r="H1544">
            <v>5</v>
          </cell>
          <cell r="I1544">
            <v>0.7</v>
          </cell>
          <cell r="J1544" t="str">
            <v>Jimmy L Smith</v>
          </cell>
          <cell r="K1544" t="str">
            <v>PITTSFIELD</v>
          </cell>
          <cell r="L1544" t="str">
            <v>IL</v>
          </cell>
          <cell r="M1544" t="str">
            <v>800-577-8876</v>
          </cell>
          <cell r="N1544"/>
          <cell r="O1544"/>
          <cell r="P1544">
            <v>0</v>
          </cell>
          <cell r="Q1544"/>
          <cell r="R1544">
            <v>0</v>
          </cell>
          <cell r="S1544"/>
          <cell r="T1544">
            <v>0</v>
          </cell>
          <cell r="U1544" t="str"/>
          <cell r="V1544" t="str"/>
          <cell r="W1544" t="str"/>
          <cell r="X1544" t="str"/>
          <cell r="Y1544">
            <v>420</v>
          </cell>
          <cell r="Z1544">
            <v>1806</v>
          </cell>
          <cell r="AA1544">
            <v>420</v>
          </cell>
          <cell r="AB1544">
            <v>1806</v>
          </cell>
          <cell r="AC1544">
            <v>420</v>
          </cell>
          <cell r="AD1544">
            <v>1806</v>
          </cell>
          <cell r="AE1544"/>
          <cell r="AF1544"/>
          <cell r="AG1544"/>
          <cell r="AH1544"/>
          <cell r="AI1544"/>
          <cell r="AJ1544"/>
          <cell r="AK1544" t="str">
            <v>OL</v>
          </cell>
          <cell r="AL1544">
            <v>151</v>
          </cell>
          <cell r="AM1544">
            <v>367</v>
          </cell>
          <cell r="AN1544" t="str">
            <v>10 Orangeline</v>
          </cell>
          <cell r="AO1544" t="str">
            <v>Midwest</v>
          </cell>
          <cell r="AP1544" t="str">
            <v>Central</v>
          </cell>
          <cell r="AQ1544"/>
          <cell r="AR1544">
            <v>0</v>
          </cell>
          <cell r="AS1544">
            <v>0</v>
          </cell>
        </row>
        <row r="1545">
          <cell r="A1545">
            <v>13425</v>
          </cell>
          <cell r="B1545" t="str">
            <v>BIRKEY'S</v>
          </cell>
          <cell r="C1545" t="str">
            <v>M11191</v>
          </cell>
          <cell r="D1545" t="str">
            <v>Net 30, no pink card</v>
          </cell>
          <cell r="E1545" t="str">
            <v>2%</v>
          </cell>
          <cell r="F1545" t="str">
            <v>Yes</v>
          </cell>
          <cell r="G1545" t="str">
            <v>OH</v>
          </cell>
          <cell r="H1545">
            <v>5</v>
          </cell>
          <cell r="I1545">
            <v>0.7</v>
          </cell>
          <cell r="J1545" t="str">
            <v>Jimmy L Smith</v>
          </cell>
          <cell r="K1545" t="str">
            <v xml:space="preserve">URBANA </v>
          </cell>
          <cell r="L1545" t="str">
            <v>IL</v>
          </cell>
          <cell r="M1545" t="str">
            <v>800-577-8867</v>
          </cell>
          <cell r="N1545"/>
          <cell r="O1545"/>
          <cell r="P1545">
            <v>0</v>
          </cell>
          <cell r="Q1545"/>
          <cell r="R1545">
            <v>0</v>
          </cell>
          <cell r="S1545"/>
          <cell r="T1545">
            <v>0</v>
          </cell>
          <cell r="U1545" t="str"/>
          <cell r="V1545" t="str"/>
          <cell r="W1545" t="str"/>
          <cell r="X1545" t="str"/>
          <cell r="Y1545">
            <v>265</v>
          </cell>
          <cell r="Z1545">
            <v>1139.5</v>
          </cell>
          <cell r="AA1545">
            <v>265</v>
          </cell>
          <cell r="AB1545">
            <v>1139.5</v>
          </cell>
          <cell r="AC1545">
            <v>265</v>
          </cell>
          <cell r="AD1545">
            <v>1139.5</v>
          </cell>
          <cell r="AE1545"/>
          <cell r="AF1545"/>
          <cell r="AG1545"/>
          <cell r="AH1545"/>
          <cell r="AI1545"/>
          <cell r="AJ1545"/>
          <cell r="AK1545" t="str">
            <v>OL</v>
          </cell>
          <cell r="AL1545">
            <v>151</v>
          </cell>
          <cell r="AM1545">
            <v>71</v>
          </cell>
          <cell r="AN1545" t="str">
            <v>10 Orangeline</v>
          </cell>
          <cell r="AO1545" t="str">
            <v>Midwest</v>
          </cell>
          <cell r="AP1545" t="str">
            <v>Central</v>
          </cell>
          <cell r="AQ1545"/>
          <cell r="AR1545">
            <v>0</v>
          </cell>
          <cell r="AS1545">
            <v>0</v>
          </cell>
        </row>
        <row r="1546">
          <cell r="A1546" t="str">
            <v>13425A</v>
          </cell>
          <cell r="B1546" t="str">
            <v>BIRKEY'S</v>
          </cell>
          <cell r="C1546" t="str">
            <v>M11191</v>
          </cell>
          <cell r="D1546" t="str">
            <v>Net 30, no pink card</v>
          </cell>
          <cell r="E1546" t="str">
            <v>2%</v>
          </cell>
          <cell r="F1546" t="str">
            <v>Yes</v>
          </cell>
          <cell r="G1546" t="str">
            <v>OH</v>
          </cell>
          <cell r="H1546">
            <v>5</v>
          </cell>
          <cell r="I1546">
            <v>0.7</v>
          </cell>
          <cell r="J1546" t="str">
            <v>Jimmy L Smith</v>
          </cell>
          <cell r="K1546" t="str">
            <v>URBANA</v>
          </cell>
          <cell r="L1546" t="str">
            <v>IL</v>
          </cell>
          <cell r="M1546" t="str">
            <v>800-577-8867</v>
          </cell>
          <cell r="N1546"/>
          <cell r="O1546"/>
          <cell r="P1546">
            <v>0</v>
          </cell>
          <cell r="Q1546"/>
          <cell r="R1546">
            <v>0</v>
          </cell>
          <cell r="S1546"/>
          <cell r="T1546">
            <v>0</v>
          </cell>
          <cell r="U1546" t="str"/>
          <cell r="V1546" t="str"/>
          <cell r="W1546" t="str"/>
          <cell r="X1546" t="str"/>
          <cell r="Y1546">
            <v>260</v>
          </cell>
          <cell r="Z1546">
            <v>1118</v>
          </cell>
          <cell r="AA1546">
            <v>260</v>
          </cell>
          <cell r="AB1546">
            <v>1118</v>
          </cell>
          <cell r="AC1546">
            <v>260</v>
          </cell>
          <cell r="AD1546">
            <v>1118</v>
          </cell>
          <cell r="AE1546"/>
          <cell r="AF1546"/>
          <cell r="AG1546"/>
          <cell r="AH1546"/>
          <cell r="AI1546"/>
          <cell r="AJ1546"/>
          <cell r="AK1546" t="str">
            <v>OL</v>
          </cell>
          <cell r="AL1546">
            <v>151</v>
          </cell>
          <cell r="AM1546">
            <v>71</v>
          </cell>
          <cell r="AN1546" t="str">
            <v>10 Orangeline</v>
          </cell>
          <cell r="AO1546" t="str">
            <v>Midwest</v>
          </cell>
          <cell r="AP1546" t="str">
            <v>Central</v>
          </cell>
          <cell r="AQ1546"/>
          <cell r="AR1546">
            <v>0</v>
          </cell>
          <cell r="AS1546">
            <v>0</v>
          </cell>
        </row>
        <row r="1547">
          <cell r="A1547" t="str">
            <v>13425B</v>
          </cell>
          <cell r="B1547" t="str">
            <v>BIRKEY'S</v>
          </cell>
          <cell r="C1547" t="str">
            <v>M11191</v>
          </cell>
          <cell r="D1547" t="str">
            <v>Net 30, no pink card</v>
          </cell>
          <cell r="E1547" t="str">
            <v>2%</v>
          </cell>
          <cell r="F1547" t="str">
            <v>Yes</v>
          </cell>
          <cell r="G1547" t="str">
            <v>OH</v>
          </cell>
          <cell r="H1547">
            <v>5</v>
          </cell>
          <cell r="I1547">
            <v>0.7</v>
          </cell>
          <cell r="J1547" t="str">
            <v>Jimmy L Smith</v>
          </cell>
          <cell r="K1547" t="str">
            <v>MACOMB</v>
          </cell>
          <cell r="L1547" t="str">
            <v>IL</v>
          </cell>
          <cell r="M1547" t="str">
            <v>800-577-8867</v>
          </cell>
          <cell r="N1547"/>
          <cell r="O1547"/>
          <cell r="P1547">
            <v>0</v>
          </cell>
          <cell r="Q1547"/>
          <cell r="R1547">
            <v>0</v>
          </cell>
          <cell r="S1547"/>
          <cell r="T1547">
            <v>0</v>
          </cell>
          <cell r="U1547" t="str"/>
          <cell r="V1547" t="str"/>
          <cell r="W1547" t="str"/>
          <cell r="X1547" t="str"/>
          <cell r="Y1547">
            <v>400</v>
          </cell>
          <cell r="Z1547">
            <v>1720</v>
          </cell>
          <cell r="AA1547">
            <v>400</v>
          </cell>
          <cell r="AB1547">
            <v>1720</v>
          </cell>
          <cell r="AC1547">
            <v>400</v>
          </cell>
          <cell r="AD1547">
            <v>1720</v>
          </cell>
          <cell r="AE1547"/>
          <cell r="AF1547"/>
          <cell r="AG1547"/>
          <cell r="AH1547"/>
          <cell r="AI1547"/>
          <cell r="AJ1547"/>
          <cell r="AK1547" t="str">
            <v>OL</v>
          </cell>
          <cell r="AL1547">
            <v>151</v>
          </cell>
          <cell r="AM1547">
            <v>344</v>
          </cell>
          <cell r="AN1547" t="str">
            <v>10 Orangeline</v>
          </cell>
          <cell r="AO1547" t="str">
            <v>Midwest</v>
          </cell>
          <cell r="AP1547" t="str">
            <v>Central</v>
          </cell>
          <cell r="AQ1547"/>
          <cell r="AR1547">
            <v>0</v>
          </cell>
          <cell r="AS1547">
            <v>0</v>
          </cell>
        </row>
        <row r="1548">
          <cell r="A1548">
            <v>13473</v>
          </cell>
          <cell r="B1548" t="str">
            <v>CARTER TURF &amp; TRACTOR</v>
          </cell>
          <cell r="C1548" t="str">
            <v>M11446</v>
          </cell>
          <cell r="D1548" t="str">
            <v>Net 30, no pink card</v>
          </cell>
          <cell r="E1548" t="str">
            <v>2%</v>
          </cell>
          <cell r="F1548" t="str">
            <v>Yes</v>
          </cell>
          <cell r="G1548" t="str">
            <v>OH</v>
          </cell>
          <cell r="H1548">
            <v>5</v>
          </cell>
          <cell r="I1548">
            <v>0.7</v>
          </cell>
          <cell r="J1548" t="str">
            <v>Jimmy L Smith</v>
          </cell>
          <cell r="K1548" t="str">
            <v>FAIRFIELD</v>
          </cell>
          <cell r="L1548" t="str">
            <v>IL</v>
          </cell>
          <cell r="M1548" t="str">
            <v>800-577-8859</v>
          </cell>
          <cell r="N1548"/>
          <cell r="O1548"/>
          <cell r="P1548">
            <v>0</v>
          </cell>
          <cell r="Q1548"/>
          <cell r="R1548">
            <v>0</v>
          </cell>
          <cell r="S1548"/>
          <cell r="T1548">
            <v>0</v>
          </cell>
          <cell r="U1548" t="str"/>
          <cell r="V1548" t="str"/>
          <cell r="W1548" t="str"/>
          <cell r="X1548" t="str"/>
          <cell r="Y1548">
            <v>280</v>
          </cell>
          <cell r="Z1548">
            <v>1204</v>
          </cell>
          <cell r="AA1548">
            <v>280</v>
          </cell>
          <cell r="AB1548">
            <v>1204</v>
          </cell>
          <cell r="AC1548">
            <v>280</v>
          </cell>
          <cell r="AD1548">
            <v>1204</v>
          </cell>
          <cell r="AE1548"/>
          <cell r="AF1548"/>
          <cell r="AG1548"/>
          <cell r="AH1548"/>
          <cell r="AI1548"/>
          <cell r="AJ1548"/>
          <cell r="AK1548" t="str">
            <v>OL</v>
          </cell>
          <cell r="AL1548">
            <v>151</v>
          </cell>
          <cell r="AM1548">
            <v>308</v>
          </cell>
          <cell r="AN1548" t="str">
            <v>10 Orangeline</v>
          </cell>
          <cell r="AO1548" t="str">
            <v>Midwest</v>
          </cell>
          <cell r="AP1548" t="str">
            <v>Central</v>
          </cell>
          <cell r="AQ1548"/>
          <cell r="AR1548">
            <v>0</v>
          </cell>
          <cell r="AS1548">
            <v>0</v>
          </cell>
        </row>
        <row r="1549">
          <cell r="A1549" t="str">
            <v>13473A</v>
          </cell>
          <cell r="B1549" t="str">
            <v>CARTER TURF &amp; TRACTOR</v>
          </cell>
          <cell r="C1549" t="str">
            <v>M11446</v>
          </cell>
          <cell r="D1549" t="str">
            <v>Net 30, no pink card</v>
          </cell>
          <cell r="E1549" t="str">
            <v>2%</v>
          </cell>
          <cell r="F1549" t="str">
            <v>Yes</v>
          </cell>
          <cell r="G1549" t="str">
            <v>OH</v>
          </cell>
          <cell r="H1549">
            <v>5</v>
          </cell>
          <cell r="I1549">
            <v>0.7</v>
          </cell>
          <cell r="J1549" t="str">
            <v>Jimmy L Smith</v>
          </cell>
          <cell r="K1549" t="str">
            <v>FAIRFIELD</v>
          </cell>
          <cell r="L1549" t="str">
            <v>IL</v>
          </cell>
          <cell r="M1549" t="str">
            <v>800-577-8859</v>
          </cell>
          <cell r="N1549"/>
          <cell r="O1549"/>
          <cell r="P1549">
            <v>0</v>
          </cell>
          <cell r="Q1549"/>
          <cell r="R1549">
            <v>0</v>
          </cell>
          <cell r="S1549"/>
          <cell r="T1549">
            <v>0</v>
          </cell>
          <cell r="U1549" t="str"/>
          <cell r="V1549" t="str"/>
          <cell r="W1549" t="str"/>
          <cell r="X1549" t="str"/>
          <cell r="Y1549">
            <v>280</v>
          </cell>
          <cell r="Z1549">
            <v>1204</v>
          </cell>
          <cell r="AA1549">
            <v>280</v>
          </cell>
          <cell r="AB1549">
            <v>1204</v>
          </cell>
          <cell r="AC1549">
            <v>280</v>
          </cell>
          <cell r="AD1549">
            <v>1204</v>
          </cell>
          <cell r="AE1549"/>
          <cell r="AF1549"/>
          <cell r="AG1549"/>
          <cell r="AH1549"/>
          <cell r="AI1549"/>
          <cell r="AJ1549"/>
          <cell r="AK1549" t="str">
            <v>OL</v>
          </cell>
          <cell r="AL1549">
            <v>151</v>
          </cell>
          <cell r="AM1549">
            <v>308</v>
          </cell>
          <cell r="AN1549" t="str">
            <v>10 Orangeline</v>
          </cell>
          <cell r="AO1549" t="str">
            <v>Midwest</v>
          </cell>
          <cell r="AP1549" t="str">
            <v>Central</v>
          </cell>
          <cell r="AQ1549"/>
          <cell r="AR1549">
            <v>0</v>
          </cell>
          <cell r="AS1549">
            <v>0</v>
          </cell>
        </row>
        <row r="1550">
          <cell r="A1550">
            <v>13434</v>
          </cell>
          <cell r="B1550" t="str">
            <v>GERMAN-BLISS EQUIP</v>
          </cell>
          <cell r="C1550" t="str">
            <v>M11401</v>
          </cell>
          <cell r="D1550" t="str">
            <v>Net 30, no pink card</v>
          </cell>
          <cell r="E1550" t="str">
            <v>2%</v>
          </cell>
          <cell r="F1550" t="str">
            <v>Yes</v>
          </cell>
          <cell r="G1550" t="str">
            <v>OH</v>
          </cell>
          <cell r="H1550">
            <v>5</v>
          </cell>
          <cell r="I1550">
            <v>0.7</v>
          </cell>
          <cell r="J1550" t="str">
            <v>Jimmy L Smith</v>
          </cell>
          <cell r="K1550" t="str">
            <v>PRINCEVILLE</v>
          </cell>
          <cell r="L1550" t="str">
            <v>IL</v>
          </cell>
          <cell r="M1550" t="str">
            <v>800-577-8876</v>
          </cell>
          <cell r="N1550"/>
          <cell r="O1550"/>
          <cell r="P1550">
            <v>0</v>
          </cell>
          <cell r="Q1550"/>
          <cell r="R1550">
            <v>0</v>
          </cell>
          <cell r="S1550"/>
          <cell r="T1550">
            <v>0</v>
          </cell>
          <cell r="U1550" t="str"/>
          <cell r="V1550" t="str"/>
          <cell r="W1550" t="str"/>
          <cell r="X1550" t="str"/>
          <cell r="Y1550">
            <v>380</v>
          </cell>
          <cell r="Z1550">
            <v>1634</v>
          </cell>
          <cell r="AA1550">
            <v>380</v>
          </cell>
          <cell r="AB1550">
            <v>1634</v>
          </cell>
          <cell r="AC1550">
            <v>380</v>
          </cell>
          <cell r="AD1550">
            <v>1634</v>
          </cell>
          <cell r="AE1550"/>
          <cell r="AF1550"/>
          <cell r="AG1550"/>
          <cell r="AH1550"/>
          <cell r="AI1550"/>
          <cell r="AJ1550"/>
          <cell r="AK1550" t="str">
            <v>OL</v>
          </cell>
          <cell r="AL1550">
            <v>151</v>
          </cell>
          <cell r="AM1550">
            <v>344</v>
          </cell>
          <cell r="AN1550" t="str">
            <v>10 Orangeline</v>
          </cell>
          <cell r="AO1550" t="str">
            <v>Midwest</v>
          </cell>
          <cell r="AP1550" t="str">
            <v>Central</v>
          </cell>
          <cell r="AQ1550"/>
          <cell r="AR1550">
            <v>0</v>
          </cell>
          <cell r="AS1550">
            <v>0</v>
          </cell>
        </row>
        <row r="1551">
          <cell r="A1551">
            <v>13530</v>
          </cell>
          <cell r="B1551" t="str">
            <v>GERMAN-BLISS EQUIP</v>
          </cell>
          <cell r="C1551" t="str">
            <v>M11401</v>
          </cell>
          <cell r="D1551" t="str">
            <v>Net 30, no pink card</v>
          </cell>
          <cell r="E1551" t="str">
            <v>O1-Northpoint</v>
          </cell>
          <cell r="F1551" t="str">
            <v>Yes</v>
          </cell>
          <cell r="G1551" t="str">
            <v>OH</v>
          </cell>
          <cell r="H1551">
            <v>8</v>
          </cell>
          <cell r="I1551">
            <v>0.7</v>
          </cell>
          <cell r="J1551" t="str">
            <v>Jimmy L Smith</v>
          </cell>
          <cell r="K1551" t="str">
            <v>PRINCEVILLE</v>
          </cell>
          <cell r="L1551" t="str">
            <v>IL</v>
          </cell>
          <cell r="M1551" t="str">
            <v>800-577-8876</v>
          </cell>
          <cell r="N1551"/>
          <cell r="O1551"/>
          <cell r="P1551">
            <v>0</v>
          </cell>
          <cell r="Q1551"/>
          <cell r="R1551">
            <v>0</v>
          </cell>
          <cell r="S1551"/>
          <cell r="T1551">
            <v>0</v>
          </cell>
          <cell r="U1551" t="str"/>
          <cell r="V1551" t="str"/>
          <cell r="W1551" t="str"/>
          <cell r="X1551" t="str"/>
          <cell r="Y1551">
            <v>380</v>
          </cell>
          <cell r="Z1551">
            <v>1634</v>
          </cell>
          <cell r="AA1551">
            <v>380</v>
          </cell>
          <cell r="AB1551">
            <v>1634</v>
          </cell>
          <cell r="AC1551">
            <v>380</v>
          </cell>
          <cell r="AD1551">
            <v>1634</v>
          </cell>
          <cell r="AE1551"/>
          <cell r="AF1551"/>
          <cell r="AG1551"/>
          <cell r="AH1551"/>
          <cell r="AI1551"/>
          <cell r="AJ1551"/>
          <cell r="AK1551" t="str">
            <v>OL</v>
          </cell>
          <cell r="AL1551">
            <v>151</v>
          </cell>
          <cell r="AM1551">
            <v>344</v>
          </cell>
          <cell r="AN1551" t="str">
            <v>10 Orangeline</v>
          </cell>
          <cell r="AO1551" t="str">
            <v>Midwest</v>
          </cell>
          <cell r="AP1551" t="str">
            <v>Central</v>
          </cell>
          <cell r="AQ1551"/>
          <cell r="AR1551">
            <v>0</v>
          </cell>
          <cell r="AS1551">
            <v>0</v>
          </cell>
        </row>
        <row r="1552">
          <cell r="A1552" t="str">
            <v>13302F</v>
          </cell>
          <cell r="B1552" t="str">
            <v>H &amp; R AGRI-POWER</v>
          </cell>
          <cell r="C1552" t="str">
            <v>M11258</v>
          </cell>
          <cell r="D1552" t="str">
            <v>Net 30, no pink card</v>
          </cell>
          <cell r="E1552" t="str">
            <v>2%</v>
          </cell>
          <cell r="F1552" t="str">
            <v>Yes</v>
          </cell>
          <cell r="G1552" t="str">
            <v>OH</v>
          </cell>
          <cell r="H1552">
            <v>5</v>
          </cell>
          <cell r="I1552">
            <v>0.7</v>
          </cell>
          <cell r="J1552" t="str">
            <v>Jimmy L Smith</v>
          </cell>
          <cell r="K1552" t="str">
            <v>BENTON</v>
          </cell>
          <cell r="L1552" t="str">
            <v>IL</v>
          </cell>
          <cell r="M1552" t="str">
            <v>800-577-8858</v>
          </cell>
          <cell r="N1552"/>
          <cell r="O1552">
            <v>555</v>
          </cell>
          <cell r="P1552">
            <v>2386.5</v>
          </cell>
          <cell r="Q1552">
            <v>600</v>
          </cell>
          <cell r="R1552">
            <v>2580</v>
          </cell>
          <cell r="S1552"/>
          <cell r="T1552">
            <v>0</v>
          </cell>
          <cell r="U1552">
            <v>667</v>
          </cell>
          <cell r="V1552">
            <v>2868.1</v>
          </cell>
          <cell r="W1552">
            <v>635</v>
          </cell>
          <cell r="X1552">
            <v>2730.5</v>
          </cell>
          <cell r="Y1552"/>
          <cell r="Z1552">
            <v>0</v>
          </cell>
          <cell r="AA1552">
            <v>315</v>
          </cell>
          <cell r="AB1552">
            <v>1354.5</v>
          </cell>
          <cell r="AC1552">
            <v>315</v>
          </cell>
          <cell r="AD1552">
            <v>1354.5</v>
          </cell>
          <cell r="AE1552"/>
          <cell r="AF1552"/>
          <cell r="AG1552"/>
          <cell r="AH1552"/>
          <cell r="AI1552"/>
          <cell r="AJ1552"/>
          <cell r="AK1552" t="str">
            <v>OL</v>
          </cell>
          <cell r="AL1552">
            <v>151</v>
          </cell>
          <cell r="AM1552">
            <v>67</v>
          </cell>
          <cell r="AN1552" t="str">
            <v>10 Orangeline</v>
          </cell>
          <cell r="AO1552" t="str">
            <v>Midwest</v>
          </cell>
          <cell r="AP1552" t="str">
            <v>Central</v>
          </cell>
          <cell r="AQ1552"/>
          <cell r="AR1552">
            <v>0</v>
          </cell>
          <cell r="AS1552">
            <v>0</v>
          </cell>
        </row>
        <row r="1553">
          <cell r="A1553">
            <v>13541</v>
          </cell>
          <cell r="B1553" t="str">
            <v>NIEMEYER REPAIR</v>
          </cell>
          <cell r="C1553" t="str">
            <v>M11514</v>
          </cell>
          <cell r="D1553" t="str">
            <v>Net 30, no pink card</v>
          </cell>
          <cell r="E1553">
            <v>0.02</v>
          </cell>
          <cell r="F1553" t="str">
            <v>Yes</v>
          </cell>
          <cell r="G1553" t="str">
            <v>OH</v>
          </cell>
          <cell r="H1553">
            <v>5</v>
          </cell>
          <cell r="I1553">
            <v>0.7</v>
          </cell>
          <cell r="J1553" t="str">
            <v>Jimmy L Smith</v>
          </cell>
          <cell r="K1553" t="str">
            <v>HUMBOLDT</v>
          </cell>
          <cell r="L1553" t="str">
            <v>IL</v>
          </cell>
          <cell r="M1553" t="str">
            <v>800-577-8876</v>
          </cell>
          <cell r="N1553"/>
          <cell r="O1553">
            <v>680</v>
          </cell>
          <cell r="P1553">
            <v>2924</v>
          </cell>
          <cell r="Q1553"/>
          <cell r="R1553">
            <v>0</v>
          </cell>
          <cell r="S1553"/>
          <cell r="T1553">
            <v>0</v>
          </cell>
          <cell r="U1553" t="str"/>
          <cell r="V1553" t="str"/>
          <cell r="W1553" t="str"/>
          <cell r="X1553" t="str"/>
          <cell r="Y1553">
            <v>270</v>
          </cell>
          <cell r="Z1553">
            <v>1161</v>
          </cell>
          <cell r="AA1553">
            <v>270</v>
          </cell>
          <cell r="AB1553">
            <v>1161</v>
          </cell>
          <cell r="AC1553">
            <v>270</v>
          </cell>
          <cell r="AD1553">
            <v>1161</v>
          </cell>
          <cell r="AE1553"/>
          <cell r="AF1553"/>
          <cell r="AG1553"/>
          <cell r="AH1553"/>
          <cell r="AI1553"/>
          <cell r="AJ1553"/>
          <cell r="AK1553" t="str">
            <v>OL</v>
          </cell>
          <cell r="AL1553">
            <v>151</v>
          </cell>
          <cell r="AM1553">
            <v>286</v>
          </cell>
          <cell r="AN1553" t="str">
            <v>10 Orangeline</v>
          </cell>
          <cell r="AO1553" t="str">
            <v>Midwest</v>
          </cell>
          <cell r="AP1553" t="str">
            <v>Central</v>
          </cell>
          <cell r="AQ1553"/>
          <cell r="AR1553">
            <v>0</v>
          </cell>
          <cell r="AS1553">
            <v>0</v>
          </cell>
        </row>
        <row r="1554">
          <cell r="A1554">
            <v>13523</v>
          </cell>
          <cell r="B1554" t="str">
            <v>PILLAR EQUIPMENT</v>
          </cell>
          <cell r="C1554" t="str">
            <v>M11494</v>
          </cell>
          <cell r="D1554" t="str">
            <v>Net 30, no pink card</v>
          </cell>
          <cell r="E1554" t="str">
            <v>FP - Wells Fargo</v>
          </cell>
          <cell r="F1554" t="str">
            <v>Yes</v>
          </cell>
          <cell r="G1554" t="str">
            <v>OH</v>
          </cell>
          <cell r="H1554">
            <v>8</v>
          </cell>
          <cell r="I1554">
            <v>0.7</v>
          </cell>
          <cell r="J1554" t="str">
            <v>Jimmy L Smith</v>
          </cell>
          <cell r="K1554" t="str">
            <v>PITTSFIELD</v>
          </cell>
          <cell r="L1554" t="str">
            <v>IL</v>
          </cell>
          <cell r="M1554" t="str">
            <v>800-577-8876</v>
          </cell>
          <cell r="N1554"/>
          <cell r="O1554"/>
          <cell r="P1554">
            <v>0</v>
          </cell>
          <cell r="Q1554"/>
          <cell r="R1554">
            <v>0</v>
          </cell>
          <cell r="S1554"/>
          <cell r="T1554">
            <v>0</v>
          </cell>
          <cell r="U1554" t="str"/>
          <cell r="V1554" t="str"/>
          <cell r="W1554" t="str"/>
          <cell r="X1554" t="str"/>
          <cell r="Y1554">
            <v>430</v>
          </cell>
          <cell r="Z1554">
            <v>1849</v>
          </cell>
          <cell r="AA1554">
            <v>430</v>
          </cell>
          <cell r="AB1554">
            <v>1849</v>
          </cell>
          <cell r="AC1554">
            <v>430</v>
          </cell>
          <cell r="AD1554">
            <v>1849</v>
          </cell>
          <cell r="AE1554"/>
          <cell r="AF1554"/>
          <cell r="AG1554"/>
          <cell r="AH1554"/>
          <cell r="AI1554"/>
          <cell r="AJ1554"/>
          <cell r="AK1554" t="str">
            <v>OL</v>
          </cell>
          <cell r="AL1554">
            <v>151</v>
          </cell>
          <cell r="AM1554">
            <v>105</v>
          </cell>
          <cell r="AN1554" t="str">
            <v>10 Orangeline</v>
          </cell>
          <cell r="AO1554" t="str">
            <v>Midwest</v>
          </cell>
          <cell r="AP1554" t="str">
            <v>Central</v>
          </cell>
          <cell r="AQ1554"/>
          <cell r="AR1554">
            <v>0</v>
          </cell>
          <cell r="AS1554">
            <v>0</v>
          </cell>
        </row>
        <row r="1555">
          <cell r="A1555">
            <v>13417</v>
          </cell>
          <cell r="B1555" t="str">
            <v>AFFOLDER IMPLEMENT</v>
          </cell>
          <cell r="C1555" t="str">
            <v>M11183</v>
          </cell>
          <cell r="D1555" t="str">
            <v>Net 30, no pink card</v>
          </cell>
          <cell r="E1555" t="str">
            <v>2%</v>
          </cell>
          <cell r="F1555" t="str">
            <v>Yes</v>
          </cell>
          <cell r="G1555" t="str">
            <v>OH</v>
          </cell>
          <cell r="H1555">
            <v>5</v>
          </cell>
          <cell r="I1555">
            <v>0.7</v>
          </cell>
          <cell r="J1555" t="str">
            <v>Jimmy L Smith</v>
          </cell>
          <cell r="K1555" t="str">
            <v>BERNE</v>
          </cell>
          <cell r="L1555" t="str">
            <v>IN</v>
          </cell>
          <cell r="M1555" t="str">
            <v>800-577-8859</v>
          </cell>
          <cell r="N1555"/>
          <cell r="O1555"/>
          <cell r="P1555">
            <v>0</v>
          </cell>
          <cell r="Q1555"/>
          <cell r="R1555">
            <v>0</v>
          </cell>
          <cell r="S1555"/>
          <cell r="T1555">
            <v>0</v>
          </cell>
          <cell r="U1555" t="str"/>
          <cell r="V1555" t="str"/>
          <cell r="W1555" t="str"/>
          <cell r="X1555" t="str"/>
          <cell r="Y1555">
            <v>170</v>
          </cell>
          <cell r="Z1555">
            <v>731</v>
          </cell>
          <cell r="AA1555">
            <v>170</v>
          </cell>
          <cell r="AB1555">
            <v>731</v>
          </cell>
          <cell r="AC1555">
            <v>170</v>
          </cell>
          <cell r="AD1555">
            <v>731</v>
          </cell>
          <cell r="AE1555"/>
          <cell r="AF1555"/>
          <cell r="AG1555"/>
          <cell r="AH1555"/>
          <cell r="AI1555"/>
          <cell r="AJ1555"/>
          <cell r="AK1555" t="str">
            <v>OL</v>
          </cell>
          <cell r="AL1555">
            <v>151</v>
          </cell>
          <cell r="AM1555">
            <v>155</v>
          </cell>
          <cell r="AN1555" t="str">
            <v>10 Orangeline</v>
          </cell>
          <cell r="AO1555" t="str">
            <v>Midwest</v>
          </cell>
          <cell r="AP1555" t="str">
            <v>North</v>
          </cell>
          <cell r="AQ1555"/>
          <cell r="AR1555">
            <v>0</v>
          </cell>
          <cell r="AS1555">
            <v>0</v>
          </cell>
        </row>
        <row r="1556">
          <cell r="A1556" t="str">
            <v>13277A</v>
          </cell>
          <cell r="B1556" t="str">
            <v>ANDERSONS' SALES</v>
          </cell>
          <cell r="C1556" t="str">
            <v>M11242</v>
          </cell>
          <cell r="D1556" t="str">
            <v>Net 30, no pink card</v>
          </cell>
          <cell r="E1556" t="str">
            <v>2%</v>
          </cell>
          <cell r="F1556" t="str">
            <v>Yes</v>
          </cell>
          <cell r="G1556" t="str">
            <v>GA</v>
          </cell>
          <cell r="H1556">
            <v>5</v>
          </cell>
          <cell r="I1556">
            <v>0.7</v>
          </cell>
          <cell r="J1556" t="str">
            <v>Jimmy L Smith</v>
          </cell>
          <cell r="K1556" t="str">
            <v>MADISON</v>
          </cell>
          <cell r="L1556" t="str">
            <v>IN</v>
          </cell>
          <cell r="M1556" t="str">
            <v>800-577-8858</v>
          </cell>
          <cell r="N1556"/>
          <cell r="O1556"/>
          <cell r="P1556">
            <v>0</v>
          </cell>
          <cell r="Q1556"/>
          <cell r="R1556">
            <v>0</v>
          </cell>
          <cell r="S1556"/>
          <cell r="T1556">
            <v>0</v>
          </cell>
          <cell r="U1556" t="str"/>
          <cell r="V1556" t="str"/>
          <cell r="W1556" t="str"/>
          <cell r="X1556" t="str"/>
          <cell r="Y1556">
            <v>95</v>
          </cell>
          <cell r="Z1556">
            <v>408.5</v>
          </cell>
          <cell r="AA1556">
            <v>95</v>
          </cell>
          <cell r="AB1556">
            <v>408.5</v>
          </cell>
          <cell r="AC1556">
            <v>95</v>
          </cell>
          <cell r="AD1556">
            <v>408.5</v>
          </cell>
          <cell r="AE1556"/>
          <cell r="AF1556"/>
          <cell r="AG1556"/>
          <cell r="AH1556"/>
          <cell r="AI1556"/>
          <cell r="AJ1556"/>
          <cell r="AK1556" t="str">
            <v>OL</v>
          </cell>
          <cell r="AL1556">
            <v>151</v>
          </cell>
          <cell r="AM1556">
            <v>263</v>
          </cell>
          <cell r="AN1556" t="str">
            <v>10 Orangeline</v>
          </cell>
          <cell r="AO1556" t="str">
            <v>Midwest</v>
          </cell>
          <cell r="AP1556" t="str">
            <v>North</v>
          </cell>
          <cell r="AQ1556"/>
          <cell r="AR1556">
            <v>0</v>
          </cell>
          <cell r="AS1556">
            <v>0</v>
          </cell>
        </row>
        <row r="1557">
          <cell r="A1557">
            <v>13474</v>
          </cell>
          <cell r="B1557" t="str">
            <v>BRIGHT EQUIPMENT</v>
          </cell>
          <cell r="C1557" t="str">
            <v>M11450</v>
          </cell>
          <cell r="D1557" t="str">
            <v>Net 30, no pink card</v>
          </cell>
          <cell r="E1557" t="str">
            <v>FP-Wells</v>
          </cell>
          <cell r="F1557" t="str">
            <v>Yes</v>
          </cell>
          <cell r="G1557" t="str">
            <v>OH</v>
          </cell>
          <cell r="H1557">
            <v>8</v>
          </cell>
          <cell r="I1557">
            <v>0.7</v>
          </cell>
          <cell r="J1557" t="str">
            <v>Jimmy L Smith</v>
          </cell>
          <cell r="K1557" t="str">
            <v>GREENTOWN</v>
          </cell>
          <cell r="L1557" t="str">
            <v>IN</v>
          </cell>
          <cell r="M1557" t="str">
            <v>800-577-8874</v>
          </cell>
          <cell r="N1557"/>
          <cell r="O1557"/>
          <cell r="P1557">
            <v>0</v>
          </cell>
          <cell r="Q1557"/>
          <cell r="R1557">
            <v>0</v>
          </cell>
          <cell r="S1557"/>
          <cell r="T1557">
            <v>0</v>
          </cell>
          <cell r="U1557" t="str"/>
          <cell r="V1557" t="str"/>
          <cell r="W1557" t="str"/>
          <cell r="X1557" t="str"/>
          <cell r="Y1557">
            <v>195</v>
          </cell>
          <cell r="Z1557">
            <v>838.5</v>
          </cell>
          <cell r="AA1557">
            <v>195</v>
          </cell>
          <cell r="AB1557">
            <v>838.5</v>
          </cell>
          <cell r="AC1557">
            <v>195</v>
          </cell>
          <cell r="AD1557">
            <v>838.5</v>
          </cell>
          <cell r="AE1557"/>
          <cell r="AF1557"/>
          <cell r="AG1557"/>
          <cell r="AH1557"/>
          <cell r="AI1557"/>
          <cell r="AJ1557"/>
          <cell r="AK1557" t="str">
            <v>OL</v>
          </cell>
          <cell r="AL1557">
            <v>151</v>
          </cell>
          <cell r="AM1557">
            <v>204</v>
          </cell>
          <cell r="AN1557" t="str">
            <v>10 Orangeline</v>
          </cell>
          <cell r="AO1557" t="str">
            <v>Midwest</v>
          </cell>
          <cell r="AP1557" t="str">
            <v>North</v>
          </cell>
          <cell r="AQ1557"/>
          <cell r="AR1557">
            <v>0</v>
          </cell>
          <cell r="AS1557">
            <v>0</v>
          </cell>
        </row>
        <row r="1558">
          <cell r="A1558">
            <v>13432</v>
          </cell>
          <cell r="B1558" t="str">
            <v>EDWARDS EQUIP</v>
          </cell>
          <cell r="C1558" t="str">
            <v>M11198</v>
          </cell>
          <cell r="D1558" t="str">
            <v>Net 30, no pink card</v>
          </cell>
          <cell r="E1558" t="str">
            <v>2%</v>
          </cell>
          <cell r="F1558" t="str">
            <v>Yes</v>
          </cell>
          <cell r="G1558" t="str">
            <v>OH</v>
          </cell>
          <cell r="H1558">
            <v>5</v>
          </cell>
          <cell r="I1558">
            <v>0.7</v>
          </cell>
          <cell r="J1558" t="str">
            <v>Jimmy L Smith</v>
          </cell>
          <cell r="K1558" t="str">
            <v>DANVILLE</v>
          </cell>
          <cell r="L1558" t="str">
            <v>IN</v>
          </cell>
          <cell r="M1558" t="str">
            <v>800-577-8874</v>
          </cell>
          <cell r="N1558"/>
          <cell r="O1558"/>
          <cell r="P1558">
            <v>0</v>
          </cell>
          <cell r="Q1558"/>
          <cell r="R1558">
            <v>0</v>
          </cell>
          <cell r="S1558"/>
          <cell r="T1558">
            <v>0</v>
          </cell>
          <cell r="U1558" t="str"/>
          <cell r="V1558" t="str"/>
          <cell r="W1558" t="str"/>
          <cell r="X1558" t="str"/>
          <cell r="Y1558">
            <v>165</v>
          </cell>
          <cell r="Z1558">
            <v>709.5</v>
          </cell>
          <cell r="AA1558">
            <v>165</v>
          </cell>
          <cell r="AB1558">
            <v>709.5</v>
          </cell>
          <cell r="AC1558">
            <v>165</v>
          </cell>
          <cell r="AD1558">
            <v>709.5</v>
          </cell>
          <cell r="AE1558"/>
          <cell r="AF1558"/>
          <cell r="AG1558"/>
          <cell r="AH1558"/>
          <cell r="AI1558"/>
          <cell r="AJ1558"/>
          <cell r="AK1558" t="str">
            <v>OL</v>
          </cell>
          <cell r="AL1558">
            <v>151</v>
          </cell>
          <cell r="AM1558">
            <v>204</v>
          </cell>
          <cell r="AN1558" t="str">
            <v>10 Orangeline</v>
          </cell>
          <cell r="AO1558" t="str">
            <v>Midwest</v>
          </cell>
          <cell r="AP1558" t="str">
            <v>North</v>
          </cell>
          <cell r="AQ1558"/>
          <cell r="AR1558">
            <v>0</v>
          </cell>
          <cell r="AS1558">
            <v>0</v>
          </cell>
        </row>
        <row r="1559">
          <cell r="A1559">
            <v>13645</v>
          </cell>
          <cell r="B1559" t="str">
            <v>GRUBB IMPLEMENT</v>
          </cell>
          <cell r="C1559" t="str">
            <v>M11624</v>
          </cell>
          <cell r="D1559" t="str">
            <v>Net 30, no pink card</v>
          </cell>
          <cell r="E1559" t="str">
            <v>FP - Wells Fargo</v>
          </cell>
          <cell r="F1559" t="str">
            <v>Yes</v>
          </cell>
          <cell r="G1559" t="str">
            <v>OH</v>
          </cell>
          <cell r="H1559">
            <v>8</v>
          </cell>
          <cell r="I1559">
            <v>0.7</v>
          </cell>
          <cell r="J1559" t="str">
            <v>Jimmy L Smith</v>
          </cell>
          <cell r="K1559" t="str">
            <v>COVINGTON</v>
          </cell>
          <cell r="L1559" t="str">
            <v>IN</v>
          </cell>
          <cell r="M1559"/>
          <cell r="N1559"/>
          <cell r="O1559">
            <v>756</v>
          </cell>
          <cell r="P1559">
            <v>3250.7999999999997</v>
          </cell>
          <cell r="Q1559">
            <v>698</v>
          </cell>
          <cell r="R1559">
            <v>3001.4</v>
          </cell>
          <cell r="S1559"/>
          <cell r="T1559">
            <v>0</v>
          </cell>
          <cell r="U1559">
            <v>785</v>
          </cell>
          <cell r="V1559">
            <v>3375.5</v>
          </cell>
          <cell r="W1559">
            <v>837</v>
          </cell>
          <cell r="X1559">
            <v>3599.1</v>
          </cell>
          <cell r="Y1559"/>
          <cell r="Z1559">
            <v>0</v>
          </cell>
          <cell r="AA1559">
            <v>220</v>
          </cell>
          <cell r="AB1559">
            <v>946</v>
          </cell>
          <cell r="AC1559">
            <v>220</v>
          </cell>
          <cell r="AD1559">
            <v>946</v>
          </cell>
          <cell r="AE1559"/>
          <cell r="AF1559"/>
          <cell r="AG1559"/>
          <cell r="AH1559"/>
          <cell r="AI1559"/>
          <cell r="AJ1559"/>
          <cell r="AK1559" t="str">
            <v>OL</v>
          </cell>
          <cell r="AL1559">
            <v>151</v>
          </cell>
          <cell r="AM1559"/>
          <cell r="AN1559" t="str">
            <v>10 Orangeline</v>
          </cell>
          <cell r="AO1559" t="str">
            <v>Midwest</v>
          </cell>
          <cell r="AP1559" t="str">
            <v>North</v>
          </cell>
          <cell r="AQ1559"/>
          <cell r="AR1559">
            <v>0</v>
          </cell>
          <cell r="AS1559">
            <v>0</v>
          </cell>
        </row>
        <row r="1560">
          <cell r="A1560">
            <v>13436</v>
          </cell>
          <cell r="B1560" t="str">
            <v>HOEFLING TRUCK</v>
          </cell>
          <cell r="C1560" t="str">
            <v>M11202</v>
          </cell>
          <cell r="D1560" t="str">
            <v>Net 30, no pink card</v>
          </cell>
          <cell r="E1560" t="str">
            <v>2%</v>
          </cell>
          <cell r="F1560" t="str">
            <v>Yes</v>
          </cell>
          <cell r="G1560" t="str">
            <v>OH</v>
          </cell>
          <cell r="H1560">
            <v>5</v>
          </cell>
          <cell r="I1560">
            <v>0.7</v>
          </cell>
          <cell r="J1560" t="str">
            <v>Jimmy L Smith</v>
          </cell>
          <cell r="K1560" t="str">
            <v xml:space="preserve">WASHINGTON </v>
          </cell>
          <cell r="L1560" t="str">
            <v>IN</v>
          </cell>
          <cell r="M1560" t="str">
            <v>800-577-8878</v>
          </cell>
          <cell r="N1560"/>
          <cell r="O1560"/>
          <cell r="P1560">
            <v>0</v>
          </cell>
          <cell r="Q1560"/>
          <cell r="R1560">
            <v>0</v>
          </cell>
          <cell r="S1560"/>
          <cell r="T1560">
            <v>0</v>
          </cell>
          <cell r="U1560" t="str"/>
          <cell r="V1560" t="str"/>
          <cell r="W1560" t="str"/>
          <cell r="X1560" t="str"/>
          <cell r="Y1560">
            <v>230</v>
          </cell>
          <cell r="Z1560">
            <v>989</v>
          </cell>
          <cell r="AA1560">
            <v>230</v>
          </cell>
          <cell r="AB1560">
            <v>989</v>
          </cell>
          <cell r="AC1560">
            <v>230</v>
          </cell>
          <cell r="AD1560">
            <v>989</v>
          </cell>
          <cell r="AE1560"/>
          <cell r="AF1560"/>
          <cell r="AG1560"/>
          <cell r="AH1560"/>
          <cell r="AI1560"/>
          <cell r="AJ1560"/>
          <cell r="AK1560" t="str">
            <v>OL</v>
          </cell>
          <cell r="AL1560">
            <v>151</v>
          </cell>
          <cell r="AM1560">
            <v>457</v>
          </cell>
          <cell r="AN1560" t="str">
            <v>10 Orangeline</v>
          </cell>
          <cell r="AO1560" t="str">
            <v>Midwest</v>
          </cell>
          <cell r="AP1560" t="str">
            <v>North</v>
          </cell>
          <cell r="AQ1560"/>
          <cell r="AR1560">
            <v>0</v>
          </cell>
          <cell r="AS1560">
            <v>0</v>
          </cell>
        </row>
        <row r="1561">
          <cell r="A1561">
            <v>13471</v>
          </cell>
          <cell r="B1561" t="str">
            <v>HUMPHREY'S OUTDOOR</v>
          </cell>
          <cell r="C1561" t="str">
            <v>M11229</v>
          </cell>
          <cell r="D1561" t="str">
            <v>Net 30, no pink card</v>
          </cell>
          <cell r="E1561" t="str">
            <v>2%</v>
          </cell>
          <cell r="F1561" t="str">
            <v>Yes</v>
          </cell>
          <cell r="G1561" t="str">
            <v>OH</v>
          </cell>
          <cell r="H1561">
            <v>5</v>
          </cell>
          <cell r="I1561">
            <v>0.7</v>
          </cell>
          <cell r="J1561" t="str">
            <v>Jimmy L Smith</v>
          </cell>
          <cell r="K1561" t="str">
            <v>GREENCASTLE</v>
          </cell>
          <cell r="L1561" t="str">
            <v>IN</v>
          </cell>
          <cell r="M1561" t="str">
            <v>800-577-8878</v>
          </cell>
          <cell r="N1561"/>
          <cell r="O1561">
            <v>746</v>
          </cell>
          <cell r="P1561">
            <v>3207.7999999999997</v>
          </cell>
          <cell r="Q1561">
            <v>678</v>
          </cell>
          <cell r="R1561">
            <v>2915.4</v>
          </cell>
          <cell r="S1561"/>
          <cell r="T1561">
            <v>0</v>
          </cell>
          <cell r="U1561" t="str"/>
          <cell r="V1561" t="str"/>
          <cell r="W1561" t="str"/>
          <cell r="X1561" t="str"/>
          <cell r="Y1561">
            <v>187</v>
          </cell>
          <cell r="Z1561">
            <v>804.1</v>
          </cell>
          <cell r="AA1561">
            <v>187</v>
          </cell>
          <cell r="AB1561">
            <v>804.1</v>
          </cell>
          <cell r="AC1561">
            <v>187</v>
          </cell>
          <cell r="AD1561">
            <v>804.1</v>
          </cell>
          <cell r="AE1561"/>
          <cell r="AF1561"/>
          <cell r="AG1561"/>
          <cell r="AH1561"/>
          <cell r="AI1561"/>
          <cell r="AJ1561"/>
          <cell r="AK1561" t="str">
            <v>OL</v>
          </cell>
          <cell r="AL1561">
            <v>151</v>
          </cell>
          <cell r="AM1561">
            <v>204</v>
          </cell>
          <cell r="AN1561" t="str">
            <v>10 Orangeline</v>
          </cell>
          <cell r="AO1561" t="str">
            <v>Midwest</v>
          </cell>
          <cell r="AP1561" t="str">
            <v>North</v>
          </cell>
          <cell r="AQ1561"/>
          <cell r="AR1561">
            <v>0</v>
          </cell>
          <cell r="AS1561">
            <v>0</v>
          </cell>
        </row>
        <row r="1562">
          <cell r="A1562">
            <v>13664</v>
          </cell>
          <cell r="B1562" t="str">
            <v>JACOBI SALES</v>
          </cell>
          <cell r="C1562" t="str">
            <v>M11329</v>
          </cell>
          <cell r="D1562" t="str">
            <v>Net 30, no pink card</v>
          </cell>
          <cell r="E1562" t="str">
            <v>2%</v>
          </cell>
          <cell r="F1562" t="str">
            <v>Yes</v>
          </cell>
          <cell r="G1562" t="str">
            <v>GA</v>
          </cell>
          <cell r="H1562">
            <v>5</v>
          </cell>
          <cell r="I1562">
            <v>0.7</v>
          </cell>
          <cell r="J1562" t="str">
            <v>Jimmy L Smith</v>
          </cell>
          <cell r="K1562" t="str">
            <v>PALMYRA</v>
          </cell>
          <cell r="L1562" t="str">
            <v>IN</v>
          </cell>
          <cell r="M1562" t="str">
            <v>800-577-8858</v>
          </cell>
          <cell r="N1562"/>
          <cell r="O1562"/>
          <cell r="P1562">
            <v>0</v>
          </cell>
          <cell r="Q1562"/>
          <cell r="R1562">
            <v>0</v>
          </cell>
          <cell r="S1562"/>
          <cell r="T1562">
            <v>0</v>
          </cell>
          <cell r="U1562" t="str"/>
          <cell r="V1562" t="str"/>
          <cell r="W1562" t="str"/>
          <cell r="X1562" t="str"/>
          <cell r="Y1562">
            <v>150</v>
          </cell>
          <cell r="Z1562">
            <v>645</v>
          </cell>
          <cell r="AA1562">
            <v>150</v>
          </cell>
          <cell r="AB1562">
            <v>645</v>
          </cell>
          <cell r="AC1562">
            <v>150</v>
          </cell>
          <cell r="AD1562">
            <v>645</v>
          </cell>
          <cell r="AE1562"/>
          <cell r="AF1562"/>
          <cell r="AG1562"/>
          <cell r="AH1562"/>
          <cell r="AI1562"/>
          <cell r="AJ1562"/>
          <cell r="AK1562" t="str">
            <v>OL</v>
          </cell>
          <cell r="AL1562">
            <v>151</v>
          </cell>
          <cell r="AM1562">
            <v>263</v>
          </cell>
          <cell r="AN1562" t="str">
            <v>10 Orangeline</v>
          </cell>
          <cell r="AO1562" t="str">
            <v>Midwest</v>
          </cell>
          <cell r="AP1562" t="str">
            <v>North</v>
          </cell>
          <cell r="AQ1562"/>
          <cell r="AR1562">
            <v>0</v>
          </cell>
          <cell r="AS1562">
            <v>0</v>
          </cell>
        </row>
        <row r="1563">
          <cell r="A1563">
            <v>13446</v>
          </cell>
          <cell r="B1563" t="str">
            <v>MORE FARM</v>
          </cell>
          <cell r="C1563" t="str">
            <v>M11212</v>
          </cell>
          <cell r="D1563" t="str">
            <v>Net 30, no pink card</v>
          </cell>
          <cell r="E1563">
            <v>0.02</v>
          </cell>
          <cell r="F1563" t="str">
            <v>Yes</v>
          </cell>
          <cell r="G1563" t="str">
            <v>OH</v>
          </cell>
          <cell r="H1563">
            <v>5</v>
          </cell>
          <cell r="I1563">
            <v>0.7</v>
          </cell>
          <cell r="J1563" t="str">
            <v>Jimmy L Smith</v>
          </cell>
          <cell r="K1563" t="str">
            <v>COLUMBIA CITY</v>
          </cell>
          <cell r="L1563" t="str">
            <v>IN</v>
          </cell>
          <cell r="M1563" t="str">
            <v>800-577-8888</v>
          </cell>
          <cell r="N1563"/>
          <cell r="O1563">
            <v>928</v>
          </cell>
          <cell r="P1563">
            <v>3990.3999999999996</v>
          </cell>
          <cell r="Q1563">
            <v>795</v>
          </cell>
          <cell r="R1563">
            <v>3418.5</v>
          </cell>
          <cell r="S1563"/>
          <cell r="T1563">
            <v>0</v>
          </cell>
          <cell r="U1563" t="str"/>
          <cell r="V1563" t="str"/>
          <cell r="W1563" t="str"/>
          <cell r="X1563" t="str"/>
          <cell r="Y1563">
            <v>225</v>
          </cell>
          <cell r="Z1563">
            <v>967.5</v>
          </cell>
          <cell r="AA1563">
            <v>225</v>
          </cell>
          <cell r="AB1563">
            <v>967.5</v>
          </cell>
          <cell r="AC1563">
            <v>225</v>
          </cell>
          <cell r="AD1563">
            <v>967.5</v>
          </cell>
          <cell r="AE1563"/>
          <cell r="AF1563"/>
          <cell r="AG1563"/>
          <cell r="AH1563"/>
          <cell r="AI1563"/>
          <cell r="AJ1563">
            <v>0</v>
          </cell>
          <cell r="AK1563" t="str">
            <v>OL</v>
          </cell>
          <cell r="AL1563">
            <v>151</v>
          </cell>
          <cell r="AM1563">
            <v>93</v>
          </cell>
          <cell r="AN1563" t="str">
            <v>10 Orangeline</v>
          </cell>
          <cell r="AO1563" t="str">
            <v>Midwest</v>
          </cell>
          <cell r="AP1563" t="str">
            <v>North</v>
          </cell>
          <cell r="AQ1563"/>
          <cell r="AR1563">
            <v>0</v>
          </cell>
          <cell r="AS1563">
            <v>0</v>
          </cell>
        </row>
        <row r="1564">
          <cell r="A1564" t="str">
            <v>13446A</v>
          </cell>
          <cell r="B1564" t="str">
            <v>MORE FARM</v>
          </cell>
          <cell r="C1564" t="str">
            <v>M11212</v>
          </cell>
          <cell r="D1564" t="str">
            <v>Net 30, no pink card</v>
          </cell>
          <cell r="E1564">
            <v>0.02</v>
          </cell>
          <cell r="F1564" t="str">
            <v>Yes</v>
          </cell>
          <cell r="G1564" t="str">
            <v>OH</v>
          </cell>
          <cell r="H1564">
            <v>5</v>
          </cell>
          <cell r="I1564">
            <v>0.7</v>
          </cell>
          <cell r="J1564" t="str">
            <v>Jimmy L Smith</v>
          </cell>
          <cell r="K1564" t="str">
            <v>WARSAW</v>
          </cell>
          <cell r="L1564" t="str">
            <v>IN</v>
          </cell>
          <cell r="M1564" t="str">
            <v>800-577-8888</v>
          </cell>
          <cell r="N1564"/>
          <cell r="O1564">
            <v>900</v>
          </cell>
          <cell r="P1564">
            <v>3870</v>
          </cell>
          <cell r="Q1564"/>
          <cell r="R1564">
            <v>0</v>
          </cell>
          <cell r="S1564"/>
          <cell r="T1564">
            <v>0</v>
          </cell>
          <cell r="U1564" t="str"/>
          <cell r="V1564" t="str"/>
          <cell r="W1564" t="str"/>
          <cell r="X1564" t="str"/>
          <cell r="Y1564">
            <v>240</v>
          </cell>
          <cell r="Z1564">
            <v>1032</v>
          </cell>
          <cell r="AA1564">
            <v>240</v>
          </cell>
          <cell r="AB1564">
            <v>1032</v>
          </cell>
          <cell r="AC1564">
            <v>240</v>
          </cell>
          <cell r="AD1564">
            <v>1032</v>
          </cell>
          <cell r="AE1564"/>
          <cell r="AF1564"/>
          <cell r="AG1564"/>
          <cell r="AH1564"/>
          <cell r="AI1564"/>
          <cell r="AJ1564">
            <v>0</v>
          </cell>
          <cell r="AK1564" t="str">
            <v>OL</v>
          </cell>
          <cell r="AL1564">
            <v>151</v>
          </cell>
          <cell r="AM1564">
            <v>155</v>
          </cell>
          <cell r="AN1564" t="str">
            <v>10 Orangeline</v>
          </cell>
          <cell r="AO1564" t="str">
            <v>Midwest</v>
          </cell>
          <cell r="AP1564" t="str">
            <v>North</v>
          </cell>
          <cell r="AQ1564"/>
          <cell r="AR1564">
            <v>0</v>
          </cell>
          <cell r="AS1564">
            <v>0</v>
          </cell>
        </row>
        <row r="1565">
          <cell r="A1565">
            <v>13452</v>
          </cell>
          <cell r="B1565" t="str">
            <v>RIGG'S MOWERS</v>
          </cell>
          <cell r="C1565" t="str">
            <v>M11218</v>
          </cell>
          <cell r="D1565" t="str">
            <v>Net 30, no pink card</v>
          </cell>
          <cell r="E1565">
            <v>0.02</v>
          </cell>
          <cell r="F1565" t="str">
            <v>Yes</v>
          </cell>
          <cell r="G1565" t="str">
            <v>OH</v>
          </cell>
          <cell r="H1565">
            <v>5</v>
          </cell>
          <cell r="I1565">
            <v>0.7</v>
          </cell>
          <cell r="J1565" t="str">
            <v>Jimmy L Smith</v>
          </cell>
          <cell r="K1565" t="str">
            <v>VALPARAISO</v>
          </cell>
          <cell r="L1565" t="str">
            <v>IN</v>
          </cell>
          <cell r="M1565" t="str">
            <v>800-577-8894</v>
          </cell>
          <cell r="N1565"/>
          <cell r="O1565"/>
          <cell r="P1565">
            <v>0</v>
          </cell>
          <cell r="Q1565"/>
          <cell r="R1565">
            <v>0</v>
          </cell>
          <cell r="S1565"/>
          <cell r="T1565">
            <v>0</v>
          </cell>
          <cell r="U1565" t="str"/>
          <cell r="V1565" t="str"/>
          <cell r="W1565" t="str"/>
          <cell r="X1565" t="str"/>
          <cell r="Y1565">
            <v>290</v>
          </cell>
          <cell r="Z1565">
            <v>1247</v>
          </cell>
          <cell r="AA1565">
            <v>290</v>
          </cell>
          <cell r="AB1565">
            <v>1247</v>
          </cell>
          <cell r="AC1565">
            <v>290</v>
          </cell>
          <cell r="AD1565">
            <v>1247</v>
          </cell>
          <cell r="AE1565"/>
          <cell r="AF1565"/>
          <cell r="AG1565"/>
          <cell r="AH1565"/>
          <cell r="AI1565"/>
          <cell r="AJ1565"/>
          <cell r="AK1565" t="str">
            <v>OL</v>
          </cell>
          <cell r="AL1565">
            <v>151</v>
          </cell>
          <cell r="AM1565">
            <v>78</v>
          </cell>
          <cell r="AN1565" t="str">
            <v>10 Orangeline</v>
          </cell>
          <cell r="AO1565" t="str">
            <v>Midwest</v>
          </cell>
          <cell r="AP1565" t="str">
            <v>North</v>
          </cell>
          <cell r="AQ1565"/>
          <cell r="AR1565">
            <v>0</v>
          </cell>
          <cell r="AS1565">
            <v>0</v>
          </cell>
        </row>
        <row r="1566">
          <cell r="A1566">
            <v>13464</v>
          </cell>
          <cell r="B1566" t="str">
            <v>STUTZMAN POWER</v>
          </cell>
          <cell r="C1566" t="str">
            <v>M11444</v>
          </cell>
          <cell r="D1566" t="str">
            <v>Net 30, no pink card</v>
          </cell>
          <cell r="E1566" t="str">
            <v>FP-Wells</v>
          </cell>
          <cell r="F1566" t="str">
            <v>Yes</v>
          </cell>
          <cell r="G1566" t="str">
            <v>OH</v>
          </cell>
          <cell r="H1566">
            <v>8</v>
          </cell>
          <cell r="I1566">
            <v>0.7</v>
          </cell>
          <cell r="J1566" t="str">
            <v>Jimmy L Smith</v>
          </cell>
          <cell r="K1566" t="str">
            <v>SHIPSHEWANA</v>
          </cell>
          <cell r="L1566" t="str">
            <v>IN</v>
          </cell>
          <cell r="M1566" t="str">
            <v>800-577-8894</v>
          </cell>
          <cell r="N1566"/>
          <cell r="O1566"/>
          <cell r="P1566">
            <v>0</v>
          </cell>
          <cell r="Q1566"/>
          <cell r="R1566">
            <v>0</v>
          </cell>
          <cell r="S1566"/>
          <cell r="T1566">
            <v>0</v>
          </cell>
          <cell r="U1566" t="str"/>
          <cell r="V1566" t="str"/>
          <cell r="W1566" t="str"/>
          <cell r="X1566" t="str"/>
          <cell r="Y1566">
            <v>265</v>
          </cell>
          <cell r="Z1566">
            <v>1139.5</v>
          </cell>
          <cell r="AA1566">
            <v>265</v>
          </cell>
          <cell r="AB1566">
            <v>1139.5</v>
          </cell>
          <cell r="AC1566">
            <v>265</v>
          </cell>
          <cell r="AD1566">
            <v>1139.5</v>
          </cell>
          <cell r="AE1566"/>
          <cell r="AF1566"/>
          <cell r="AG1566"/>
          <cell r="AH1566"/>
          <cell r="AI1566"/>
          <cell r="AJ1566"/>
          <cell r="AK1566" t="str">
            <v>OL</v>
          </cell>
          <cell r="AL1566">
            <v>151</v>
          </cell>
          <cell r="AM1566">
            <v>126</v>
          </cell>
          <cell r="AN1566" t="str">
            <v>10 Orangeline</v>
          </cell>
          <cell r="AO1566" t="str">
            <v>Midwest</v>
          </cell>
          <cell r="AP1566" t="str">
            <v>North</v>
          </cell>
          <cell r="AQ1566"/>
          <cell r="AR1566">
            <v>0</v>
          </cell>
          <cell r="AS1566">
            <v>0</v>
          </cell>
        </row>
        <row r="1567">
          <cell r="A1567">
            <v>13457</v>
          </cell>
          <cell r="B1567" t="str">
            <v>ZIMMER TRACTOR</v>
          </cell>
          <cell r="C1567" t="str">
            <v>M11223</v>
          </cell>
          <cell r="D1567" t="str">
            <v>Net 30, no pink card</v>
          </cell>
          <cell r="E1567" t="str">
            <v>2%</v>
          </cell>
          <cell r="F1567" t="str">
            <v>Yes</v>
          </cell>
          <cell r="G1567" t="str">
            <v>OH</v>
          </cell>
          <cell r="H1567">
            <v>5</v>
          </cell>
          <cell r="I1567">
            <v>0.7</v>
          </cell>
          <cell r="J1567" t="str">
            <v>Jimmy L Smith</v>
          </cell>
          <cell r="K1567" t="str">
            <v>BROOKVILLE</v>
          </cell>
          <cell r="L1567" t="str">
            <v>IN</v>
          </cell>
          <cell r="M1567" t="str">
            <v>800-577-8899</v>
          </cell>
          <cell r="N1567"/>
          <cell r="O1567"/>
          <cell r="P1567">
            <v>0</v>
          </cell>
          <cell r="Q1567"/>
          <cell r="R1567">
            <v>0</v>
          </cell>
          <cell r="S1567"/>
          <cell r="T1567">
            <v>0</v>
          </cell>
          <cell r="U1567" t="str"/>
          <cell r="V1567" t="str"/>
          <cell r="W1567" t="str"/>
          <cell r="X1567" t="str"/>
          <cell r="Y1567">
            <v>70</v>
          </cell>
          <cell r="Z1567">
            <v>301</v>
          </cell>
          <cell r="AA1567">
            <v>70</v>
          </cell>
          <cell r="AB1567">
            <v>301</v>
          </cell>
          <cell r="AC1567">
            <v>70</v>
          </cell>
          <cell r="AD1567">
            <v>301</v>
          </cell>
          <cell r="AE1567"/>
          <cell r="AF1567"/>
          <cell r="AG1567"/>
          <cell r="AH1567"/>
          <cell r="AI1567"/>
          <cell r="AJ1567"/>
          <cell r="AK1567" t="str">
            <v>OL</v>
          </cell>
          <cell r="AL1567">
            <v>151</v>
          </cell>
          <cell r="AM1567">
            <v>81</v>
          </cell>
          <cell r="AN1567" t="str">
            <v>10 Orangeline</v>
          </cell>
          <cell r="AO1567" t="str">
            <v>Midwest</v>
          </cell>
          <cell r="AP1567" t="str">
            <v>North</v>
          </cell>
          <cell r="AQ1567"/>
          <cell r="AR1567">
            <v>0</v>
          </cell>
          <cell r="AS1567">
            <v>0</v>
          </cell>
        </row>
        <row r="1568">
          <cell r="A1568">
            <v>13574</v>
          </cell>
          <cell r="B1568" t="str">
            <v>COLEMAN EQUIPMENT</v>
          </cell>
          <cell r="C1568" t="str">
            <v>M11548</v>
          </cell>
          <cell r="D1568" t="str">
            <v>Net 30, no pink card</v>
          </cell>
          <cell r="E1568" t="str">
            <v>2%</v>
          </cell>
          <cell r="F1568" t="str">
            <v>Yes</v>
          </cell>
          <cell r="G1568" t="str">
            <v>TX</v>
          </cell>
          <cell r="H1568">
            <v>5</v>
          </cell>
          <cell r="I1568">
            <v>0.7</v>
          </cell>
          <cell r="J1568" t="str">
            <v>Jimmy L Smith</v>
          </cell>
          <cell r="K1568" t="str">
            <v>BONNER SPRINGS</v>
          </cell>
          <cell r="L1568" t="str">
            <v>KS</v>
          </cell>
          <cell r="M1568" t="str">
            <v>800-577-8858</v>
          </cell>
          <cell r="N1568"/>
          <cell r="O1568"/>
          <cell r="P1568">
            <v>0</v>
          </cell>
          <cell r="Q1568"/>
          <cell r="R1568">
            <v>0</v>
          </cell>
          <cell r="S1568"/>
          <cell r="T1568">
            <v>0</v>
          </cell>
          <cell r="U1568" t="str"/>
          <cell r="V1568" t="str"/>
          <cell r="W1568" t="str"/>
          <cell r="X1568" t="str"/>
          <cell r="Y1568"/>
          <cell r="Z1568">
            <v>0</v>
          </cell>
          <cell r="AA1568"/>
          <cell r="AB1568">
            <v>0</v>
          </cell>
          <cell r="AC1568"/>
          <cell r="AD1568">
            <v>0</v>
          </cell>
          <cell r="AE1568"/>
          <cell r="AF1568"/>
          <cell r="AG1568"/>
          <cell r="AH1568"/>
          <cell r="AI1568"/>
          <cell r="AJ1568"/>
          <cell r="AK1568" t="str">
            <v>OL</v>
          </cell>
          <cell r="AL1568">
            <v>151</v>
          </cell>
          <cell r="AM1568">
            <v>226</v>
          </cell>
          <cell r="AN1568" t="str">
            <v>10 Orangeline</v>
          </cell>
          <cell r="AO1568" t="str">
            <v>Midwest</v>
          </cell>
          <cell r="AP1568" t="str">
            <v>South</v>
          </cell>
          <cell r="AQ1568"/>
          <cell r="AR1568">
            <v>0</v>
          </cell>
          <cell r="AS1568">
            <v>0</v>
          </cell>
        </row>
        <row r="1569">
          <cell r="A1569" t="str">
            <v>13574A</v>
          </cell>
          <cell r="B1569" t="str">
            <v>COLEMAN EQUIPMENT</v>
          </cell>
          <cell r="C1569" t="str">
            <v>M11548</v>
          </cell>
          <cell r="D1569" t="str">
            <v>Net 30, no pink card</v>
          </cell>
          <cell r="E1569" t="str">
            <v>2%</v>
          </cell>
          <cell r="F1569" t="str">
            <v>Yes</v>
          </cell>
          <cell r="G1569" t="str">
            <v>TX</v>
          </cell>
          <cell r="H1569">
            <v>5</v>
          </cell>
          <cell r="I1569">
            <v>0.7</v>
          </cell>
          <cell r="J1569" t="str">
            <v>Jimmy L Smith</v>
          </cell>
          <cell r="K1569" t="str">
            <v>SHAWNEE</v>
          </cell>
          <cell r="L1569" t="str">
            <v>KS</v>
          </cell>
          <cell r="M1569" t="str">
            <v>800-577-8858</v>
          </cell>
          <cell r="N1569"/>
          <cell r="O1569">
            <v>470</v>
          </cell>
          <cell r="P1569">
            <v>2021</v>
          </cell>
          <cell r="Q1569"/>
          <cell r="R1569">
            <v>0</v>
          </cell>
          <cell r="S1569"/>
          <cell r="T1569">
            <v>0</v>
          </cell>
          <cell r="U1569" t="str"/>
          <cell r="V1569" t="str"/>
          <cell r="W1569" t="str"/>
          <cell r="X1569" t="str"/>
          <cell r="Y1569"/>
          <cell r="Z1569">
            <v>0</v>
          </cell>
          <cell r="AA1569"/>
          <cell r="AB1569">
            <v>0</v>
          </cell>
          <cell r="AC1569"/>
          <cell r="AD1569">
            <v>0</v>
          </cell>
          <cell r="AE1569"/>
          <cell r="AF1569"/>
          <cell r="AG1569"/>
          <cell r="AH1569"/>
          <cell r="AI1569"/>
          <cell r="AJ1569"/>
          <cell r="AK1569" t="str">
            <v>OL</v>
          </cell>
          <cell r="AL1569">
            <v>151</v>
          </cell>
          <cell r="AM1569">
            <v>226</v>
          </cell>
          <cell r="AN1569" t="str">
            <v>10 Orangeline</v>
          </cell>
          <cell r="AO1569" t="str">
            <v>Midwest</v>
          </cell>
          <cell r="AP1569" t="str">
            <v>South</v>
          </cell>
          <cell r="AQ1569"/>
          <cell r="AR1569">
            <v>0</v>
          </cell>
          <cell r="AS1569">
            <v>0</v>
          </cell>
        </row>
        <row r="1570">
          <cell r="A1570">
            <v>13639</v>
          </cell>
          <cell r="B1570" t="str">
            <v>FLINT dba KUBOTA OF SALINA</v>
          </cell>
          <cell r="C1570" t="str">
            <v>M11619</v>
          </cell>
          <cell r="D1570" t="str">
            <v>Net 30, no pink card</v>
          </cell>
          <cell r="E1570" t="str">
            <v>2%</v>
          </cell>
          <cell r="F1570" t="str">
            <v>Yes</v>
          </cell>
          <cell r="G1570" t="str">
            <v>TX</v>
          </cell>
          <cell r="H1570">
            <v>5</v>
          </cell>
          <cell r="I1570">
            <v>0.7</v>
          </cell>
          <cell r="J1570" t="str">
            <v>Jimmy L Smith</v>
          </cell>
          <cell r="K1570" t="str">
            <v>SALINA</v>
          </cell>
          <cell r="L1570" t="str">
            <v>KS</v>
          </cell>
          <cell r="M1570" t="str">
            <v>800-577-8858</v>
          </cell>
          <cell r="N1570"/>
          <cell r="O1570">
            <v>497</v>
          </cell>
          <cell r="P1570">
            <v>2137.1</v>
          </cell>
          <cell r="Q1570">
            <v>1122</v>
          </cell>
          <cell r="R1570">
            <v>4824.5999999999995</v>
          </cell>
          <cell r="S1570"/>
          <cell r="T1570">
            <v>0</v>
          </cell>
          <cell r="U1570">
            <v>367</v>
          </cell>
          <cell r="V1570">
            <v>1578.1</v>
          </cell>
          <cell r="W1570">
            <v>496</v>
          </cell>
          <cell r="X1570">
            <v>2132.7999999999997</v>
          </cell>
          <cell r="Y1570">
            <v>804</v>
          </cell>
          <cell r="Z1570">
            <v>3457.2</v>
          </cell>
          <cell r="AA1570">
            <v>804</v>
          </cell>
          <cell r="AB1570">
            <v>3457.2</v>
          </cell>
          <cell r="AC1570">
            <v>804</v>
          </cell>
          <cell r="AD1570">
            <v>3457.2</v>
          </cell>
          <cell r="AE1570"/>
          <cell r="AF1570"/>
          <cell r="AG1570"/>
          <cell r="AH1570"/>
          <cell r="AI1570"/>
          <cell r="AJ1570"/>
          <cell r="AK1570" t="str">
            <v>OL</v>
          </cell>
          <cell r="AL1570">
            <v>151</v>
          </cell>
          <cell r="AM1570">
            <v>396</v>
          </cell>
          <cell r="AN1570" t="str">
            <v>10 Orangeline</v>
          </cell>
          <cell r="AO1570" t="str">
            <v>Midwest</v>
          </cell>
          <cell r="AP1570" t="str">
            <v>South</v>
          </cell>
          <cell r="AQ1570"/>
          <cell r="AR1570">
            <v>0</v>
          </cell>
          <cell r="AS1570">
            <v>0</v>
          </cell>
        </row>
        <row r="1571">
          <cell r="A1571">
            <v>13276</v>
          </cell>
          <cell r="B1571" t="str">
            <v>AMBURGEY'S FARM MACHINERY</v>
          </cell>
          <cell r="C1571" t="str">
            <v>M11238</v>
          </cell>
          <cell r="D1571" t="str">
            <v>Net 30, no pink card</v>
          </cell>
          <cell r="E1571" t="str">
            <v>2%</v>
          </cell>
          <cell r="F1571" t="str">
            <v>Yes</v>
          </cell>
          <cell r="G1571" t="str">
            <v>OH</v>
          </cell>
          <cell r="H1571">
            <v>5</v>
          </cell>
          <cell r="I1571">
            <v>0.7</v>
          </cell>
          <cell r="J1571" t="str">
            <v>Jimmy L Smith</v>
          </cell>
          <cell r="K1571" t="str">
            <v>MT STERLING</v>
          </cell>
          <cell r="L1571" t="str">
            <v>KY</v>
          </cell>
          <cell r="M1571" t="str">
            <v>800-577-8858</v>
          </cell>
          <cell r="N1571"/>
          <cell r="O1571"/>
          <cell r="P1571">
            <v>0</v>
          </cell>
          <cell r="Q1571">
            <v>540</v>
          </cell>
          <cell r="R1571">
            <v>2322</v>
          </cell>
          <cell r="S1571"/>
          <cell r="T1571">
            <v>0</v>
          </cell>
          <cell r="U1571" t="str"/>
          <cell r="V1571" t="str"/>
          <cell r="W1571" t="str"/>
          <cell r="X1571" t="str"/>
          <cell r="Y1571">
            <v>100</v>
          </cell>
          <cell r="Z1571">
            <v>430</v>
          </cell>
          <cell r="AA1571">
            <v>100</v>
          </cell>
          <cell r="AB1571">
            <v>430</v>
          </cell>
          <cell r="AC1571">
            <v>100</v>
          </cell>
          <cell r="AD1571">
            <v>430</v>
          </cell>
          <cell r="AE1571"/>
          <cell r="AF1571"/>
          <cell r="AG1571"/>
          <cell r="AH1571"/>
          <cell r="AI1571"/>
          <cell r="AJ1571"/>
          <cell r="AK1571" t="str">
            <v>OL</v>
          </cell>
          <cell r="AL1571">
            <v>151</v>
          </cell>
          <cell r="AM1571">
            <v>252</v>
          </cell>
          <cell r="AN1571" t="str">
            <v>10 Orangeline</v>
          </cell>
          <cell r="AO1571" t="str">
            <v>Southeast</v>
          </cell>
          <cell r="AP1571" t="str">
            <v>South</v>
          </cell>
          <cell r="AQ1571"/>
          <cell r="AR1571">
            <v>0</v>
          </cell>
          <cell r="AS1571">
            <v>0</v>
          </cell>
        </row>
        <row r="1572">
          <cell r="A1572">
            <v>13277</v>
          </cell>
          <cell r="B1572" t="str">
            <v>ANDERSONS' SALES</v>
          </cell>
          <cell r="C1572" t="str">
            <v>M11242</v>
          </cell>
          <cell r="D1572" t="str">
            <v>Net 30, no pink card</v>
          </cell>
          <cell r="E1572" t="str">
            <v>2%</v>
          </cell>
          <cell r="F1572" t="str">
            <v>Yes</v>
          </cell>
          <cell r="G1572" t="str">
            <v>OH</v>
          </cell>
          <cell r="H1572">
            <v>5</v>
          </cell>
          <cell r="I1572">
            <v>0.7</v>
          </cell>
          <cell r="J1572" t="str">
            <v>Jimmy L Smith</v>
          </cell>
          <cell r="K1572" t="str">
            <v>CRESTWOOD</v>
          </cell>
          <cell r="L1572" t="str">
            <v>KY</v>
          </cell>
          <cell r="M1572" t="str">
            <v>800-577-8858</v>
          </cell>
          <cell r="N1572"/>
          <cell r="O1572"/>
          <cell r="P1572">
            <v>0</v>
          </cell>
          <cell r="Q1572">
            <v>580</v>
          </cell>
          <cell r="R1572">
            <v>2494</v>
          </cell>
          <cell r="S1572"/>
          <cell r="T1572">
            <v>0</v>
          </cell>
          <cell r="U1572" t="str"/>
          <cell r="V1572" t="str"/>
          <cell r="W1572" t="str"/>
          <cell r="X1572" t="str"/>
          <cell r="Y1572">
            <v>110</v>
          </cell>
          <cell r="Z1572">
            <v>473</v>
          </cell>
          <cell r="AA1572">
            <v>110</v>
          </cell>
          <cell r="AB1572">
            <v>473</v>
          </cell>
          <cell r="AC1572">
            <v>110</v>
          </cell>
          <cell r="AD1572">
            <v>473</v>
          </cell>
          <cell r="AE1572"/>
          <cell r="AF1572"/>
          <cell r="AG1572"/>
          <cell r="AH1572"/>
          <cell r="AI1572"/>
          <cell r="AJ1572"/>
          <cell r="AK1572" t="str">
            <v>OL</v>
          </cell>
          <cell r="AL1572">
            <v>151</v>
          </cell>
          <cell r="AM1572">
            <v>263</v>
          </cell>
          <cell r="AN1572" t="str">
            <v>10 Orangeline</v>
          </cell>
          <cell r="AO1572" t="str">
            <v>Southeast</v>
          </cell>
          <cell r="AP1572" t="str">
            <v>South</v>
          </cell>
          <cell r="AQ1572"/>
          <cell r="AR1572">
            <v>0</v>
          </cell>
          <cell r="AS1572">
            <v>0</v>
          </cell>
        </row>
        <row r="1573">
          <cell r="A1573" t="str">
            <v>13277B</v>
          </cell>
          <cell r="B1573" t="str">
            <v>ANDERSONS' SALES</v>
          </cell>
          <cell r="C1573" t="str">
            <v>M11242</v>
          </cell>
          <cell r="D1573" t="str">
            <v>Net 30, no pink card</v>
          </cell>
          <cell r="E1573" t="str">
            <v>2%</v>
          </cell>
          <cell r="F1573" t="str">
            <v>Yes</v>
          </cell>
          <cell r="G1573" t="str">
            <v>OH</v>
          </cell>
          <cell r="H1573">
            <v>5</v>
          </cell>
          <cell r="I1573">
            <v>0.7</v>
          </cell>
          <cell r="J1573" t="str">
            <v>Jimmy L Smith</v>
          </cell>
          <cell r="K1573" t="str">
            <v>LOUISVILLE</v>
          </cell>
          <cell r="L1573" t="str">
            <v>KY</v>
          </cell>
          <cell r="M1573" t="str">
            <v>800-577-8858</v>
          </cell>
          <cell r="N1573"/>
          <cell r="O1573"/>
          <cell r="P1573">
            <v>0</v>
          </cell>
          <cell r="Q1573">
            <v>570</v>
          </cell>
          <cell r="R1573">
            <v>2451</v>
          </cell>
          <cell r="S1573"/>
          <cell r="T1573">
            <v>0</v>
          </cell>
          <cell r="U1573" t="str"/>
          <cell r="V1573" t="str"/>
          <cell r="W1573" t="str"/>
          <cell r="X1573" t="str"/>
          <cell r="Y1573">
            <v>120</v>
          </cell>
          <cell r="Z1573">
            <v>516</v>
          </cell>
          <cell r="AA1573">
            <v>120</v>
          </cell>
          <cell r="AB1573">
            <v>516</v>
          </cell>
          <cell r="AC1573">
            <v>120</v>
          </cell>
          <cell r="AD1573">
            <v>516</v>
          </cell>
          <cell r="AE1573"/>
          <cell r="AF1573"/>
          <cell r="AG1573"/>
          <cell r="AH1573"/>
          <cell r="AI1573"/>
          <cell r="AJ1573"/>
          <cell r="AK1573" t="str">
            <v>OL</v>
          </cell>
          <cell r="AL1573">
            <v>151</v>
          </cell>
          <cell r="AM1573">
            <v>263</v>
          </cell>
          <cell r="AN1573" t="str">
            <v>10 Orangeline</v>
          </cell>
          <cell r="AO1573" t="str">
            <v>Southeast</v>
          </cell>
          <cell r="AP1573" t="str">
            <v>South</v>
          </cell>
          <cell r="AQ1573"/>
          <cell r="AR1573">
            <v>0</v>
          </cell>
          <cell r="AS1573">
            <v>0</v>
          </cell>
        </row>
        <row r="1574">
          <cell r="A1574">
            <v>13290</v>
          </cell>
          <cell r="B1574" t="str">
            <v>CENTRAL EQUIPMENT</v>
          </cell>
          <cell r="C1574" t="str">
            <v>M11248</v>
          </cell>
          <cell r="D1574" t="str">
            <v>Net 30, no pink card</v>
          </cell>
          <cell r="E1574" t="str">
            <v>2%</v>
          </cell>
          <cell r="F1574" t="str">
            <v>Yes</v>
          </cell>
          <cell r="G1574" t="str">
            <v>OH</v>
          </cell>
          <cell r="H1574">
            <v>5</v>
          </cell>
          <cell r="I1574">
            <v>0.7</v>
          </cell>
          <cell r="J1574" t="str">
            <v>Jimmy L Smith</v>
          </cell>
          <cell r="K1574" t="str">
            <v>LEXINGTON</v>
          </cell>
          <cell r="L1574" t="str">
            <v>KY</v>
          </cell>
          <cell r="M1574" t="str">
            <v>800-577-8858</v>
          </cell>
          <cell r="N1574"/>
          <cell r="O1574"/>
          <cell r="P1574">
            <v>0</v>
          </cell>
          <cell r="Q1574">
            <v>530</v>
          </cell>
          <cell r="R1574">
            <v>2279</v>
          </cell>
          <cell r="S1574"/>
          <cell r="T1574">
            <v>0</v>
          </cell>
          <cell r="U1574" t="str"/>
          <cell r="V1574" t="str"/>
          <cell r="W1574" t="str"/>
          <cell r="X1574" t="str"/>
          <cell r="Y1574">
            <v>110</v>
          </cell>
          <cell r="Z1574">
            <v>473</v>
          </cell>
          <cell r="AA1574">
            <v>110</v>
          </cell>
          <cell r="AB1574">
            <v>473</v>
          </cell>
          <cell r="AC1574">
            <v>110</v>
          </cell>
          <cell r="AD1574">
            <v>473</v>
          </cell>
          <cell r="AE1574"/>
          <cell r="AF1574"/>
          <cell r="AG1574"/>
          <cell r="AH1574"/>
          <cell r="AI1574"/>
          <cell r="AJ1574"/>
          <cell r="AK1574" t="str">
            <v>OL</v>
          </cell>
          <cell r="AL1574">
            <v>151</v>
          </cell>
          <cell r="AM1574">
            <v>252</v>
          </cell>
          <cell r="AN1574" t="str">
            <v>10 Orangeline</v>
          </cell>
          <cell r="AO1574" t="str">
            <v>Southeast</v>
          </cell>
          <cell r="AP1574" t="str">
            <v>South</v>
          </cell>
          <cell r="AQ1574"/>
          <cell r="AR1574">
            <v>0</v>
          </cell>
          <cell r="AS1574">
            <v>0</v>
          </cell>
        </row>
        <row r="1575">
          <cell r="A1575">
            <v>13294</v>
          </cell>
          <cell r="B1575" t="str">
            <v>DAVIS EQUIPMENT</v>
          </cell>
          <cell r="C1575" t="str">
            <v>M11253</v>
          </cell>
          <cell r="D1575" t="str">
            <v>Net 30, no pink card</v>
          </cell>
          <cell r="E1575" t="str">
            <v>2%</v>
          </cell>
          <cell r="F1575" t="str">
            <v>Yes</v>
          </cell>
          <cell r="G1575" t="str">
            <v>OH</v>
          </cell>
          <cell r="H1575">
            <v>5</v>
          </cell>
          <cell r="I1575">
            <v>0.7</v>
          </cell>
          <cell r="J1575" t="str">
            <v>Jimmy L Smith</v>
          </cell>
          <cell r="K1575" t="str">
            <v>ASHLAND</v>
          </cell>
          <cell r="L1575" t="str">
            <v>KY</v>
          </cell>
          <cell r="M1575" t="str">
            <v>800-577-8858</v>
          </cell>
          <cell r="N1575"/>
          <cell r="O1575"/>
          <cell r="P1575">
            <v>0</v>
          </cell>
          <cell r="Q1575">
            <v>620</v>
          </cell>
          <cell r="R1575">
            <v>2666</v>
          </cell>
          <cell r="S1575"/>
          <cell r="T1575">
            <v>0</v>
          </cell>
          <cell r="U1575" t="str"/>
          <cell r="V1575" t="str"/>
          <cell r="W1575" t="str"/>
          <cell r="X1575" t="str"/>
          <cell r="Y1575">
            <v>120</v>
          </cell>
          <cell r="Z1575">
            <v>516</v>
          </cell>
          <cell r="AA1575">
            <v>120</v>
          </cell>
          <cell r="AB1575">
            <v>516</v>
          </cell>
          <cell r="AC1575">
            <v>120</v>
          </cell>
          <cell r="AD1575">
            <v>516</v>
          </cell>
          <cell r="AE1575"/>
          <cell r="AF1575"/>
          <cell r="AG1575"/>
          <cell r="AH1575"/>
          <cell r="AI1575"/>
          <cell r="AJ1575"/>
          <cell r="AK1575" t="str">
            <v>OL</v>
          </cell>
          <cell r="AL1575">
            <v>151</v>
          </cell>
          <cell r="AM1575">
            <v>197</v>
          </cell>
          <cell r="AN1575" t="str">
            <v>10 Orangeline</v>
          </cell>
          <cell r="AO1575" t="str">
            <v>Southeast</v>
          </cell>
          <cell r="AP1575" t="str">
            <v>South</v>
          </cell>
          <cell r="AQ1575"/>
          <cell r="AR1575">
            <v>0</v>
          </cell>
          <cell r="AS1575">
            <v>0</v>
          </cell>
        </row>
        <row r="1576">
          <cell r="A1576">
            <v>13369</v>
          </cell>
          <cell r="B1576" t="str">
            <v>DERBY STATE EQUIPMENT SALES</v>
          </cell>
          <cell r="C1576" t="str">
            <v>M11346</v>
          </cell>
          <cell r="D1576" t="str">
            <v>Net 30, no pink card</v>
          </cell>
          <cell r="E1576" t="str">
            <v>2%</v>
          </cell>
          <cell r="F1576" t="str">
            <v>Yes</v>
          </cell>
          <cell r="G1576" t="str">
            <v>OH</v>
          </cell>
          <cell r="H1576">
            <v>5</v>
          </cell>
          <cell r="I1576">
            <v>0.7</v>
          </cell>
          <cell r="J1576" t="str">
            <v>Jimmy L Smith</v>
          </cell>
          <cell r="K1576" t="str">
            <v>RICHMOND</v>
          </cell>
          <cell r="L1576" t="str">
            <v>KY</v>
          </cell>
          <cell r="M1576" t="str">
            <v>800-577-8858</v>
          </cell>
          <cell r="N1576"/>
          <cell r="O1576"/>
          <cell r="P1576">
            <v>0</v>
          </cell>
          <cell r="Q1576">
            <v>500</v>
          </cell>
          <cell r="R1576">
            <v>2150</v>
          </cell>
          <cell r="S1576"/>
          <cell r="T1576">
            <v>0</v>
          </cell>
          <cell r="U1576" t="str"/>
          <cell r="V1576" t="str"/>
          <cell r="W1576" t="str"/>
          <cell r="X1576" t="str"/>
          <cell r="Y1576">
            <v>130</v>
          </cell>
          <cell r="Z1576">
            <v>559</v>
          </cell>
          <cell r="AA1576">
            <v>130</v>
          </cell>
          <cell r="AB1576">
            <v>559</v>
          </cell>
          <cell r="AC1576">
            <v>130</v>
          </cell>
          <cell r="AD1576">
            <v>559</v>
          </cell>
          <cell r="AE1576"/>
          <cell r="AF1576"/>
          <cell r="AG1576"/>
          <cell r="AH1576"/>
          <cell r="AI1576"/>
          <cell r="AJ1576"/>
          <cell r="AK1576" t="str">
            <v>OL</v>
          </cell>
          <cell r="AL1576">
            <v>151</v>
          </cell>
          <cell r="AM1576">
            <v>252</v>
          </cell>
          <cell r="AN1576" t="str">
            <v>10 Orangeline</v>
          </cell>
          <cell r="AO1576" t="str">
            <v>Southeast</v>
          </cell>
          <cell r="AP1576" t="str">
            <v>South</v>
          </cell>
          <cell r="AQ1576"/>
          <cell r="AR1576">
            <v>0</v>
          </cell>
          <cell r="AS1576">
            <v>0</v>
          </cell>
        </row>
        <row r="1577">
          <cell r="A1577">
            <v>13302</v>
          </cell>
          <cell r="B1577" t="str">
            <v>H &amp; R AGRI-POWER</v>
          </cell>
          <cell r="C1577" t="str">
            <v>M11258</v>
          </cell>
          <cell r="D1577" t="str">
            <v>Net 30, no pink card</v>
          </cell>
          <cell r="E1577" t="str">
            <v>2%</v>
          </cell>
          <cell r="F1577" t="str">
            <v>Yes</v>
          </cell>
          <cell r="G1577" t="str">
            <v>OH</v>
          </cell>
          <cell r="H1577">
            <v>5</v>
          </cell>
          <cell r="I1577">
            <v>0.7</v>
          </cell>
          <cell r="J1577" t="str">
            <v>Jimmy L Smith</v>
          </cell>
          <cell r="K1577" t="str">
            <v>HOPKINSVILLE</v>
          </cell>
          <cell r="L1577" t="str">
            <v>KY</v>
          </cell>
          <cell r="M1577" t="str">
            <v>800-577-8858</v>
          </cell>
          <cell r="N1577"/>
          <cell r="O1577"/>
          <cell r="P1577">
            <v>0</v>
          </cell>
          <cell r="Q1577">
            <v>465</v>
          </cell>
          <cell r="R1577">
            <v>1999.5</v>
          </cell>
          <cell r="S1577"/>
          <cell r="T1577">
            <v>0</v>
          </cell>
          <cell r="U1577" t="str"/>
          <cell r="V1577" t="str"/>
          <cell r="W1577" t="str"/>
          <cell r="X1577" t="str"/>
          <cell r="Y1577">
            <v>290</v>
          </cell>
          <cell r="Z1577">
            <v>1247</v>
          </cell>
          <cell r="AA1577">
            <v>290</v>
          </cell>
          <cell r="AB1577">
            <v>1247</v>
          </cell>
          <cell r="AC1577">
            <v>290</v>
          </cell>
          <cell r="AD1577">
            <v>1247</v>
          </cell>
          <cell r="AE1577"/>
          <cell r="AF1577"/>
          <cell r="AG1577"/>
          <cell r="AH1577"/>
          <cell r="AI1577"/>
          <cell r="AJ1577"/>
          <cell r="AK1577" t="str">
            <v>OL</v>
          </cell>
          <cell r="AL1577">
            <v>151</v>
          </cell>
          <cell r="AM1577">
            <v>83</v>
          </cell>
          <cell r="AN1577" t="str">
            <v>10 Orangeline</v>
          </cell>
          <cell r="AO1577" t="str">
            <v>Southeast</v>
          </cell>
          <cell r="AP1577" t="str">
            <v>South</v>
          </cell>
          <cell r="AQ1577"/>
          <cell r="AR1577">
            <v>0</v>
          </cell>
          <cell r="AS1577">
            <v>0</v>
          </cell>
        </row>
        <row r="1578">
          <cell r="A1578" t="str">
            <v>13302A</v>
          </cell>
          <cell r="B1578" t="str">
            <v>H &amp; R AGRI-POWER</v>
          </cell>
          <cell r="C1578" t="str">
            <v>M11258</v>
          </cell>
          <cell r="D1578" t="str">
            <v>Net 30, no pink card</v>
          </cell>
          <cell r="E1578" t="str">
            <v>2%</v>
          </cell>
          <cell r="F1578" t="str">
            <v>Yes</v>
          </cell>
          <cell r="G1578" t="str">
            <v>OH</v>
          </cell>
          <cell r="H1578">
            <v>5</v>
          </cell>
          <cell r="I1578">
            <v>0.7</v>
          </cell>
          <cell r="J1578" t="str">
            <v>Jimmy L Smith</v>
          </cell>
          <cell r="K1578" t="str">
            <v>RUSSELLVILLE</v>
          </cell>
          <cell r="L1578" t="str">
            <v>KY</v>
          </cell>
          <cell r="M1578" t="str">
            <v>800-577-8858</v>
          </cell>
          <cell r="N1578"/>
          <cell r="O1578"/>
          <cell r="P1578">
            <v>0</v>
          </cell>
          <cell r="Q1578">
            <v>445</v>
          </cell>
          <cell r="R1578">
            <v>1913.5</v>
          </cell>
          <cell r="S1578"/>
          <cell r="T1578">
            <v>0</v>
          </cell>
          <cell r="U1578" t="str"/>
          <cell r="V1578" t="str"/>
          <cell r="W1578" t="str"/>
          <cell r="X1578" t="str"/>
          <cell r="Y1578">
            <v>265</v>
          </cell>
          <cell r="Z1578">
            <v>1139.5</v>
          </cell>
          <cell r="AA1578">
            <v>265</v>
          </cell>
          <cell r="AB1578">
            <v>1139.5</v>
          </cell>
          <cell r="AC1578">
            <v>265</v>
          </cell>
          <cell r="AD1578">
            <v>1139.5</v>
          </cell>
          <cell r="AE1578"/>
          <cell r="AF1578"/>
          <cell r="AG1578"/>
          <cell r="AH1578"/>
          <cell r="AI1578"/>
          <cell r="AJ1578"/>
          <cell r="AK1578" t="str">
            <v>OL</v>
          </cell>
          <cell r="AL1578">
            <v>151</v>
          </cell>
          <cell r="AM1578">
            <v>52</v>
          </cell>
          <cell r="AN1578" t="str">
            <v>10 Orangeline</v>
          </cell>
          <cell r="AO1578" t="str">
            <v>Southeast</v>
          </cell>
          <cell r="AP1578" t="str">
            <v>South</v>
          </cell>
          <cell r="AQ1578"/>
          <cell r="AR1578">
            <v>0</v>
          </cell>
          <cell r="AS1578">
            <v>0</v>
          </cell>
        </row>
        <row r="1579">
          <cell r="A1579" t="str">
            <v>13302C</v>
          </cell>
          <cell r="B1579" t="str">
            <v>H &amp; R AGRI-POWER</v>
          </cell>
          <cell r="C1579" t="str">
            <v>M11258</v>
          </cell>
          <cell r="D1579" t="str">
            <v>Net 30, no pink card</v>
          </cell>
          <cell r="E1579" t="str">
            <v>2%</v>
          </cell>
          <cell r="F1579" t="str">
            <v>Yes</v>
          </cell>
          <cell r="G1579" t="str">
            <v>OH</v>
          </cell>
          <cell r="H1579">
            <v>5</v>
          </cell>
          <cell r="I1579">
            <v>0.7</v>
          </cell>
          <cell r="J1579" t="str">
            <v>Jimmy L Smith</v>
          </cell>
          <cell r="K1579" t="str">
            <v>MORGANFIELD</v>
          </cell>
          <cell r="L1579" t="str">
            <v>KY</v>
          </cell>
          <cell r="M1579" t="str">
            <v>800-577-8858</v>
          </cell>
          <cell r="N1579"/>
          <cell r="O1579"/>
          <cell r="P1579">
            <v>0</v>
          </cell>
          <cell r="Q1579">
            <v>540</v>
          </cell>
          <cell r="R1579">
            <v>2322</v>
          </cell>
          <cell r="S1579"/>
          <cell r="T1579">
            <v>0</v>
          </cell>
          <cell r="U1579" t="str"/>
          <cell r="V1579" t="str"/>
          <cell r="W1579" t="str"/>
          <cell r="X1579" t="str"/>
          <cell r="Y1579">
            <v>270</v>
          </cell>
          <cell r="Z1579">
            <v>1161</v>
          </cell>
          <cell r="AA1579">
            <v>270</v>
          </cell>
          <cell r="AB1579">
            <v>1161</v>
          </cell>
          <cell r="AC1579">
            <v>270</v>
          </cell>
          <cell r="AD1579">
            <v>1161</v>
          </cell>
          <cell r="AE1579"/>
          <cell r="AF1579"/>
          <cell r="AG1579"/>
          <cell r="AH1579"/>
          <cell r="AI1579"/>
          <cell r="AJ1579"/>
          <cell r="AK1579" t="str">
            <v>OL</v>
          </cell>
          <cell r="AL1579">
            <v>151</v>
          </cell>
          <cell r="AM1579">
            <v>135</v>
          </cell>
          <cell r="AN1579" t="str">
            <v>10 Orangeline</v>
          </cell>
          <cell r="AO1579" t="str">
            <v>Southeast</v>
          </cell>
          <cell r="AP1579" t="str">
            <v>South</v>
          </cell>
          <cell r="AQ1579"/>
          <cell r="AR1579">
            <v>0</v>
          </cell>
          <cell r="AS1579">
            <v>0</v>
          </cell>
        </row>
        <row r="1580">
          <cell r="A1580">
            <v>13304</v>
          </cell>
          <cell r="B1580" t="str">
            <v>HOBDY, DYE, AND READ</v>
          </cell>
          <cell r="C1580" t="str">
            <v>M11304</v>
          </cell>
          <cell r="D1580" t="str">
            <v>Net 30, no pink card</v>
          </cell>
          <cell r="E1580" t="str">
            <v>O1-Northpoint</v>
          </cell>
          <cell r="F1580" t="str">
            <v>Yes</v>
          </cell>
          <cell r="G1580" t="str">
            <v>OH</v>
          </cell>
          <cell r="H1580">
            <v>8</v>
          </cell>
          <cell r="I1580">
            <v>0.7</v>
          </cell>
          <cell r="J1580" t="str">
            <v>Jimmy L Smith</v>
          </cell>
          <cell r="K1580" t="str">
            <v>BOWLING GREEN</v>
          </cell>
          <cell r="L1580" t="str">
            <v>KY</v>
          </cell>
          <cell r="M1580" t="str">
            <v>800-577-8858</v>
          </cell>
          <cell r="N1580"/>
          <cell r="O1580"/>
          <cell r="P1580">
            <v>0</v>
          </cell>
          <cell r="Q1580">
            <v>460</v>
          </cell>
          <cell r="R1580">
            <v>1978</v>
          </cell>
          <cell r="S1580"/>
          <cell r="T1580">
            <v>0</v>
          </cell>
          <cell r="U1580" t="str"/>
          <cell r="V1580" t="str"/>
          <cell r="W1580" t="str"/>
          <cell r="X1580" t="str"/>
          <cell r="Y1580">
            <v>240</v>
          </cell>
          <cell r="Z1580">
            <v>1032</v>
          </cell>
          <cell r="AA1580">
            <v>240</v>
          </cell>
          <cell r="AB1580">
            <v>1032</v>
          </cell>
          <cell r="AC1580">
            <v>240</v>
          </cell>
          <cell r="AD1580">
            <v>1032</v>
          </cell>
          <cell r="AE1580"/>
          <cell r="AF1580"/>
          <cell r="AG1580"/>
          <cell r="AH1580"/>
          <cell r="AI1580"/>
          <cell r="AJ1580"/>
          <cell r="AK1580" t="str">
            <v>OL</v>
          </cell>
          <cell r="AL1580">
            <v>151</v>
          </cell>
          <cell r="AM1580" t="str"/>
          <cell r="AN1580" t="str">
            <v>10 Orangeline</v>
          </cell>
          <cell r="AO1580" t="str">
            <v>Southeast</v>
          </cell>
          <cell r="AP1580" t="str">
            <v>South</v>
          </cell>
          <cell r="AQ1580"/>
          <cell r="AR1580">
            <v>0</v>
          </cell>
          <cell r="AS1580">
            <v>0</v>
          </cell>
        </row>
        <row r="1581">
          <cell r="A1581" t="str">
            <v>13304A</v>
          </cell>
          <cell r="B1581" t="str">
            <v>HOBDY, DYE, AND READ</v>
          </cell>
          <cell r="C1581" t="str">
            <v>M11304</v>
          </cell>
          <cell r="D1581" t="str">
            <v>Net 30, no pink card</v>
          </cell>
          <cell r="E1581" t="str">
            <v>O1-Northpoint</v>
          </cell>
          <cell r="F1581" t="str">
            <v>Yes</v>
          </cell>
          <cell r="G1581" t="str">
            <v>OH</v>
          </cell>
          <cell r="H1581">
            <v>8</v>
          </cell>
          <cell r="I1581">
            <v>0.7</v>
          </cell>
          <cell r="J1581" t="str">
            <v>Jimmy L Smith</v>
          </cell>
          <cell r="K1581" t="str">
            <v>SCOTTSVILLE</v>
          </cell>
          <cell r="L1581" t="str">
            <v>KY</v>
          </cell>
          <cell r="M1581" t="str">
            <v>800-577-8858</v>
          </cell>
          <cell r="N1581"/>
          <cell r="O1581"/>
          <cell r="P1581">
            <v>0</v>
          </cell>
          <cell r="Q1581">
            <v>440</v>
          </cell>
          <cell r="R1581">
            <v>1892</v>
          </cell>
          <cell r="S1581"/>
          <cell r="T1581">
            <v>0</v>
          </cell>
          <cell r="U1581" t="str"/>
          <cell r="V1581" t="str"/>
          <cell r="W1581" t="str"/>
          <cell r="X1581" t="str"/>
          <cell r="Y1581">
            <v>240</v>
          </cell>
          <cell r="Z1581">
            <v>1032</v>
          </cell>
          <cell r="AA1581">
            <v>240</v>
          </cell>
          <cell r="AB1581">
            <v>1032</v>
          </cell>
          <cell r="AC1581">
            <v>240</v>
          </cell>
          <cell r="AD1581">
            <v>1032</v>
          </cell>
          <cell r="AE1581"/>
          <cell r="AF1581"/>
          <cell r="AG1581"/>
          <cell r="AH1581"/>
          <cell r="AI1581"/>
          <cell r="AJ1581"/>
          <cell r="AK1581" t="str">
            <v>OL</v>
          </cell>
          <cell r="AL1581">
            <v>151</v>
          </cell>
          <cell r="AM1581">
            <v>263</v>
          </cell>
          <cell r="AN1581" t="str">
            <v>10 Orangeline</v>
          </cell>
          <cell r="AO1581" t="str">
            <v>Southeast</v>
          </cell>
          <cell r="AP1581" t="str">
            <v>South</v>
          </cell>
          <cell r="AQ1581"/>
          <cell r="AR1581">
            <v>0</v>
          </cell>
          <cell r="AS1581">
            <v>0</v>
          </cell>
        </row>
        <row r="1582">
          <cell r="A1582" t="str">
            <v>13304B</v>
          </cell>
          <cell r="B1582" t="str">
            <v>HOBDY, DYE, AND READ</v>
          </cell>
          <cell r="C1582" t="str">
            <v>M11304</v>
          </cell>
          <cell r="D1582" t="str">
            <v>Net 30, no pink card</v>
          </cell>
          <cell r="E1582" t="str">
            <v>O1-Northpoint</v>
          </cell>
          <cell r="F1582" t="str">
            <v>Yes</v>
          </cell>
          <cell r="G1582" t="str">
            <v>OH</v>
          </cell>
          <cell r="H1582">
            <v>8</v>
          </cell>
          <cell r="I1582">
            <v>0.7</v>
          </cell>
          <cell r="J1582" t="str">
            <v>Jimmy L Smith</v>
          </cell>
          <cell r="K1582" t="str">
            <v>HARDINSBURG</v>
          </cell>
          <cell r="L1582" t="str">
            <v>KY</v>
          </cell>
          <cell r="M1582" t="str">
            <v>800-577-8858</v>
          </cell>
          <cell r="N1582"/>
          <cell r="O1582"/>
          <cell r="P1582">
            <v>0</v>
          </cell>
          <cell r="Q1582">
            <v>540</v>
          </cell>
          <cell r="R1582">
            <v>2322</v>
          </cell>
          <cell r="S1582"/>
          <cell r="T1582">
            <v>0</v>
          </cell>
          <cell r="U1582" t="str"/>
          <cell r="V1582" t="str"/>
          <cell r="W1582" t="str"/>
          <cell r="X1582" t="str"/>
          <cell r="Y1582">
            <v>185</v>
          </cell>
          <cell r="Z1582">
            <v>795.5</v>
          </cell>
          <cell r="AA1582">
            <v>185</v>
          </cell>
          <cell r="AB1582">
            <v>795.5</v>
          </cell>
          <cell r="AC1582">
            <v>185</v>
          </cell>
          <cell r="AD1582">
            <v>795.5</v>
          </cell>
          <cell r="AE1582"/>
          <cell r="AF1582"/>
          <cell r="AG1582"/>
          <cell r="AH1582"/>
          <cell r="AI1582"/>
          <cell r="AJ1582"/>
          <cell r="AK1582" t="str">
            <v>OL</v>
          </cell>
          <cell r="AL1582">
            <v>151</v>
          </cell>
          <cell r="AM1582">
            <v>263</v>
          </cell>
          <cell r="AN1582" t="str">
            <v>10 Orangeline</v>
          </cell>
          <cell r="AO1582" t="str">
            <v>Southeast</v>
          </cell>
          <cell r="AP1582" t="str">
            <v>South</v>
          </cell>
          <cell r="AQ1582"/>
          <cell r="AR1582">
            <v>0</v>
          </cell>
          <cell r="AS1582">
            <v>0</v>
          </cell>
        </row>
        <row r="1583">
          <cell r="A1583" t="str">
            <v>13304C</v>
          </cell>
          <cell r="B1583" t="str">
            <v>HOBDY, DYE, AND READ</v>
          </cell>
          <cell r="C1583" t="str">
            <v>M11304</v>
          </cell>
          <cell r="D1583" t="str">
            <v>Net 30, no pink card</v>
          </cell>
          <cell r="E1583" t="str">
            <v>O1-Northpoint</v>
          </cell>
          <cell r="F1583" t="str">
            <v>Yes</v>
          </cell>
          <cell r="G1583" t="str">
            <v>OH</v>
          </cell>
          <cell r="H1583">
            <v>8</v>
          </cell>
          <cell r="I1583">
            <v>0.7</v>
          </cell>
          <cell r="J1583" t="str">
            <v>Jimmy L Smith</v>
          </cell>
          <cell r="K1583" t="str">
            <v>COLUMBIA</v>
          </cell>
          <cell r="L1583" t="str">
            <v>KY</v>
          </cell>
          <cell r="M1583" t="str">
            <v>800-577-8858</v>
          </cell>
          <cell r="N1583"/>
          <cell r="O1583"/>
          <cell r="P1583">
            <v>0</v>
          </cell>
          <cell r="Q1583">
            <v>440</v>
          </cell>
          <cell r="R1583">
            <v>1892</v>
          </cell>
          <cell r="S1583"/>
          <cell r="T1583">
            <v>0</v>
          </cell>
          <cell r="U1583" t="str"/>
          <cell r="V1583" t="str"/>
          <cell r="W1583" t="str"/>
          <cell r="X1583" t="str"/>
          <cell r="Y1583">
            <v>200</v>
          </cell>
          <cell r="Z1583">
            <v>860</v>
          </cell>
          <cell r="AA1583">
            <v>200</v>
          </cell>
          <cell r="AB1583">
            <v>860</v>
          </cell>
          <cell r="AC1583">
            <v>200</v>
          </cell>
          <cell r="AD1583">
            <v>860</v>
          </cell>
          <cell r="AE1583"/>
          <cell r="AF1583"/>
          <cell r="AG1583"/>
          <cell r="AH1583"/>
          <cell r="AI1583"/>
          <cell r="AJ1583"/>
          <cell r="AK1583" t="str">
            <v>OL</v>
          </cell>
          <cell r="AL1583">
            <v>151</v>
          </cell>
          <cell r="AM1583" t="str"/>
          <cell r="AN1583" t="str">
            <v>10 Orangeline</v>
          </cell>
          <cell r="AO1583" t="str">
            <v>Southeast</v>
          </cell>
          <cell r="AP1583" t="str">
            <v>South</v>
          </cell>
          <cell r="AQ1583"/>
          <cell r="AR1583">
            <v>0</v>
          </cell>
          <cell r="AS1583">
            <v>0</v>
          </cell>
        </row>
        <row r="1584">
          <cell r="A1584">
            <v>13305</v>
          </cell>
          <cell r="B1584" t="str">
            <v>HOLBROOK EQUIPMENT</v>
          </cell>
          <cell r="C1584" t="str">
            <v>M11260</v>
          </cell>
          <cell r="D1584" t="str">
            <v>Net 30, no pink card</v>
          </cell>
          <cell r="E1584" t="str">
            <v>2%</v>
          </cell>
          <cell r="F1584" t="str">
            <v>Yes</v>
          </cell>
          <cell r="G1584" t="str">
            <v>OH</v>
          </cell>
          <cell r="H1584">
            <v>5</v>
          </cell>
          <cell r="I1584">
            <v>0.7</v>
          </cell>
          <cell r="J1584" t="str">
            <v>Jimmy L Smith</v>
          </cell>
          <cell r="K1584" t="str">
            <v>CAMPTON</v>
          </cell>
          <cell r="L1584" t="str">
            <v>KY</v>
          </cell>
          <cell r="M1584" t="str">
            <v>800-577-8858</v>
          </cell>
          <cell r="N1584"/>
          <cell r="O1584"/>
          <cell r="P1584">
            <v>0</v>
          </cell>
          <cell r="Q1584">
            <v>520</v>
          </cell>
          <cell r="R1584">
            <v>2236</v>
          </cell>
          <cell r="S1584"/>
          <cell r="T1584">
            <v>0</v>
          </cell>
          <cell r="U1584" t="str"/>
          <cell r="V1584" t="str"/>
          <cell r="W1584" t="str"/>
          <cell r="X1584" t="str"/>
          <cell r="Y1584">
            <v>165</v>
          </cell>
          <cell r="Z1584">
            <v>709.5</v>
          </cell>
          <cell r="AA1584">
            <v>165</v>
          </cell>
          <cell r="AB1584">
            <v>709.5</v>
          </cell>
          <cell r="AC1584">
            <v>165</v>
          </cell>
          <cell r="AD1584">
            <v>709.5</v>
          </cell>
          <cell r="AE1584"/>
          <cell r="AF1584"/>
          <cell r="AG1584"/>
          <cell r="AH1584"/>
          <cell r="AI1584"/>
          <cell r="AJ1584"/>
          <cell r="AK1584" t="str">
            <v>OL</v>
          </cell>
          <cell r="AL1584">
            <v>151</v>
          </cell>
          <cell r="AM1584">
            <v>252</v>
          </cell>
          <cell r="AN1584" t="str">
            <v>10 Orangeline</v>
          </cell>
          <cell r="AO1584" t="str">
            <v>Southeast</v>
          </cell>
          <cell r="AP1584" t="str">
            <v>South</v>
          </cell>
          <cell r="AQ1584"/>
          <cell r="AR1584">
            <v>0</v>
          </cell>
          <cell r="AS1584">
            <v>0</v>
          </cell>
        </row>
        <row r="1585">
          <cell r="A1585" t="str">
            <v>13664A</v>
          </cell>
          <cell r="B1585" t="str">
            <v>JACOBI SALES</v>
          </cell>
          <cell r="C1585" t="str">
            <v>M11329</v>
          </cell>
          <cell r="D1585" t="str">
            <v>Net 30, no pink card</v>
          </cell>
          <cell r="E1585" t="str">
            <v>2%</v>
          </cell>
          <cell r="F1585" t="str">
            <v>Yes</v>
          </cell>
          <cell r="G1585" t="str">
            <v>OH</v>
          </cell>
          <cell r="H1585">
            <v>5</v>
          </cell>
          <cell r="I1585">
            <v>0.7</v>
          </cell>
          <cell r="J1585" t="str">
            <v>Jimmy L Smith</v>
          </cell>
          <cell r="K1585" t="str">
            <v>SHELBYVILLE</v>
          </cell>
          <cell r="L1585" t="str">
            <v>KY</v>
          </cell>
          <cell r="M1585" t="str">
            <v>800-577-8858</v>
          </cell>
          <cell r="N1585"/>
          <cell r="O1585"/>
          <cell r="P1585">
            <v>0</v>
          </cell>
          <cell r="Q1585">
            <v>580</v>
          </cell>
          <cell r="R1585">
            <v>2494</v>
          </cell>
          <cell r="S1585"/>
          <cell r="T1585">
            <v>0</v>
          </cell>
          <cell r="U1585" t="str"/>
          <cell r="V1585" t="str"/>
          <cell r="W1585" t="str"/>
          <cell r="X1585" t="str"/>
          <cell r="Y1585">
            <v>110</v>
          </cell>
          <cell r="Z1585">
            <v>473</v>
          </cell>
          <cell r="AA1585">
            <v>110</v>
          </cell>
          <cell r="AB1585">
            <v>473</v>
          </cell>
          <cell r="AC1585">
            <v>110</v>
          </cell>
          <cell r="AD1585">
            <v>473</v>
          </cell>
          <cell r="AE1585"/>
          <cell r="AF1585"/>
          <cell r="AG1585"/>
          <cell r="AH1585"/>
          <cell r="AI1585"/>
          <cell r="AJ1585"/>
          <cell r="AK1585" t="str">
            <v>OL</v>
          </cell>
          <cell r="AL1585">
            <v>151</v>
          </cell>
          <cell r="AM1585">
            <v>263</v>
          </cell>
          <cell r="AN1585" t="str">
            <v>10 Orangeline</v>
          </cell>
          <cell r="AO1585" t="str">
            <v>Southeast</v>
          </cell>
          <cell r="AP1585" t="str">
            <v>South</v>
          </cell>
          <cell r="AQ1585"/>
          <cell r="AR1585">
            <v>0</v>
          </cell>
          <cell r="AS1585">
            <v>0</v>
          </cell>
        </row>
        <row r="1586">
          <cell r="A1586">
            <v>13306</v>
          </cell>
          <cell r="B1586" t="str">
            <v>JAMES RANDALL LAWSON TRACTOR</v>
          </cell>
          <cell r="C1586" t="str">
            <v>M11262</v>
          </cell>
          <cell r="D1586" t="str">
            <v>Net 30, no pink card</v>
          </cell>
          <cell r="E1586" t="str">
            <v>2%</v>
          </cell>
          <cell r="F1586" t="str">
            <v>Yes</v>
          </cell>
          <cell r="G1586" t="str">
            <v>OH</v>
          </cell>
          <cell r="H1586">
            <v>5</v>
          </cell>
          <cell r="I1586">
            <v>0.7</v>
          </cell>
          <cell r="J1586" t="str">
            <v>Jimmy L Smith</v>
          </cell>
          <cell r="K1586" t="str">
            <v>LEBANON</v>
          </cell>
          <cell r="L1586" t="str">
            <v>KY</v>
          </cell>
          <cell r="M1586" t="str">
            <v>800-577-8858</v>
          </cell>
          <cell r="N1586"/>
          <cell r="O1586"/>
          <cell r="P1586">
            <v>0</v>
          </cell>
          <cell r="Q1586">
            <v>480</v>
          </cell>
          <cell r="R1586">
            <v>2064</v>
          </cell>
          <cell r="S1586"/>
          <cell r="T1586">
            <v>0</v>
          </cell>
          <cell r="U1586" t="str"/>
          <cell r="V1586" t="str"/>
          <cell r="W1586" t="str"/>
          <cell r="X1586" t="str"/>
          <cell r="Y1586">
            <v>165</v>
          </cell>
          <cell r="Z1586">
            <v>709.5</v>
          </cell>
          <cell r="AA1586">
            <v>165</v>
          </cell>
          <cell r="AB1586">
            <v>709.5</v>
          </cell>
          <cell r="AC1586">
            <v>165</v>
          </cell>
          <cell r="AD1586">
            <v>709.5</v>
          </cell>
          <cell r="AE1586"/>
          <cell r="AF1586"/>
          <cell r="AG1586"/>
          <cell r="AH1586"/>
          <cell r="AI1586"/>
          <cell r="AJ1586"/>
          <cell r="AK1586" t="str">
            <v>OL</v>
          </cell>
          <cell r="AL1586">
            <v>151</v>
          </cell>
          <cell r="AM1586">
            <v>263</v>
          </cell>
          <cell r="AN1586" t="str">
            <v>10 Orangeline</v>
          </cell>
          <cell r="AO1586" t="str">
            <v>Southeast</v>
          </cell>
          <cell r="AP1586" t="str">
            <v>South</v>
          </cell>
          <cell r="AQ1586"/>
          <cell r="AR1586">
            <v>0</v>
          </cell>
          <cell r="AS1586">
            <v>0</v>
          </cell>
        </row>
        <row r="1587">
          <cell r="A1587" t="str">
            <v>13306A</v>
          </cell>
          <cell r="B1587" t="str">
            <v>JAMES RANDALL LAWSON TRACTOR</v>
          </cell>
          <cell r="C1587" t="str">
            <v>M11262</v>
          </cell>
          <cell r="D1587" t="str">
            <v>Net 30, no pink card</v>
          </cell>
          <cell r="E1587" t="str">
            <v>2%</v>
          </cell>
          <cell r="F1587" t="str">
            <v>Yes</v>
          </cell>
          <cell r="G1587" t="str">
            <v>OH</v>
          </cell>
          <cell r="H1587">
            <v>5</v>
          </cell>
          <cell r="I1587">
            <v>0.7</v>
          </cell>
          <cell r="J1587" t="str">
            <v>Jimmy L Smith</v>
          </cell>
          <cell r="K1587" t="str">
            <v>STANFORD</v>
          </cell>
          <cell r="L1587" t="str">
            <v>KY</v>
          </cell>
          <cell r="M1587" t="str">
            <v>800-577-8858</v>
          </cell>
          <cell r="N1587"/>
          <cell r="O1587"/>
          <cell r="P1587">
            <v>0</v>
          </cell>
          <cell r="Q1587">
            <v>500</v>
          </cell>
          <cell r="R1587">
            <v>2150</v>
          </cell>
          <cell r="S1587"/>
          <cell r="T1587">
            <v>0</v>
          </cell>
          <cell r="U1587" t="str"/>
          <cell r="V1587" t="str"/>
          <cell r="W1587" t="str"/>
          <cell r="X1587" t="str"/>
          <cell r="Y1587">
            <v>150</v>
          </cell>
          <cell r="Z1587">
            <v>645</v>
          </cell>
          <cell r="AA1587">
            <v>150</v>
          </cell>
          <cell r="AB1587">
            <v>645</v>
          </cell>
          <cell r="AC1587">
            <v>150</v>
          </cell>
          <cell r="AD1587">
            <v>645</v>
          </cell>
          <cell r="AE1587"/>
          <cell r="AF1587"/>
          <cell r="AG1587"/>
          <cell r="AH1587"/>
          <cell r="AI1587"/>
          <cell r="AJ1587"/>
          <cell r="AK1587" t="str">
            <v>OL</v>
          </cell>
          <cell r="AL1587">
            <v>151</v>
          </cell>
          <cell r="AM1587">
            <v>252</v>
          </cell>
          <cell r="AN1587" t="str">
            <v>10 Orangeline</v>
          </cell>
          <cell r="AO1587" t="str">
            <v>Southeast</v>
          </cell>
          <cell r="AP1587" t="str">
            <v>South</v>
          </cell>
          <cell r="AQ1587"/>
          <cell r="AR1587">
            <v>0</v>
          </cell>
          <cell r="AS1587">
            <v>0</v>
          </cell>
        </row>
        <row r="1588">
          <cell r="A1588">
            <v>13307</v>
          </cell>
          <cell r="B1588" t="str">
            <v>JOE HILL'S AUTOMOTIVE</v>
          </cell>
          <cell r="C1588" t="str">
            <v>M11263</v>
          </cell>
          <cell r="D1588" t="str">
            <v>Net 30, no pink card</v>
          </cell>
          <cell r="E1588" t="str">
            <v>2%</v>
          </cell>
          <cell r="F1588" t="str">
            <v>Yes</v>
          </cell>
          <cell r="G1588" t="str">
            <v>OH</v>
          </cell>
          <cell r="H1588">
            <v>5</v>
          </cell>
          <cell r="I1588">
            <v>0.7</v>
          </cell>
          <cell r="J1588" t="str">
            <v>Jimmy L Smith</v>
          </cell>
          <cell r="K1588" t="str">
            <v>BARDSTOWN</v>
          </cell>
          <cell r="L1588" t="str">
            <v>KY</v>
          </cell>
          <cell r="M1588" t="str">
            <v>800-577-8858</v>
          </cell>
          <cell r="N1588"/>
          <cell r="O1588"/>
          <cell r="P1588">
            <v>0</v>
          </cell>
          <cell r="Q1588">
            <v>550</v>
          </cell>
          <cell r="R1588">
            <v>2365</v>
          </cell>
          <cell r="S1588"/>
          <cell r="T1588">
            <v>0</v>
          </cell>
          <cell r="U1588" t="str"/>
          <cell r="V1588" t="str"/>
          <cell r="W1588" t="str"/>
          <cell r="X1588" t="str"/>
          <cell r="Y1588">
            <v>160</v>
          </cell>
          <cell r="Z1588">
            <v>688</v>
          </cell>
          <cell r="AA1588">
            <v>160</v>
          </cell>
          <cell r="AB1588">
            <v>688</v>
          </cell>
          <cell r="AC1588">
            <v>160</v>
          </cell>
          <cell r="AD1588">
            <v>688</v>
          </cell>
          <cell r="AE1588"/>
          <cell r="AF1588"/>
          <cell r="AG1588"/>
          <cell r="AH1588"/>
          <cell r="AI1588"/>
          <cell r="AJ1588"/>
          <cell r="AK1588" t="str">
            <v>OL</v>
          </cell>
          <cell r="AL1588">
            <v>151</v>
          </cell>
          <cell r="AM1588">
            <v>263</v>
          </cell>
          <cell r="AN1588" t="str">
            <v>10 Orangeline</v>
          </cell>
          <cell r="AO1588" t="str">
            <v>Southeast</v>
          </cell>
          <cell r="AP1588" t="str">
            <v>South</v>
          </cell>
          <cell r="AQ1588"/>
          <cell r="AR1588">
            <v>0</v>
          </cell>
          <cell r="AS1588">
            <v>0</v>
          </cell>
        </row>
        <row r="1589">
          <cell r="A1589">
            <v>13311</v>
          </cell>
          <cell r="B1589" t="str">
            <v>KUBOTA TRACTOR OF THE TRISTATE</v>
          </cell>
          <cell r="C1589" t="str">
            <v>M11266</v>
          </cell>
          <cell r="D1589" t="str">
            <v>Net 30, no pink card</v>
          </cell>
          <cell r="E1589" t="str">
            <v>2%</v>
          </cell>
          <cell r="F1589" t="str">
            <v>Yes</v>
          </cell>
          <cell r="G1589" t="str">
            <v>OH</v>
          </cell>
          <cell r="H1589">
            <v>5</v>
          </cell>
          <cell r="I1589">
            <v>0.7</v>
          </cell>
          <cell r="J1589" t="str">
            <v>Jimmy L Smith</v>
          </cell>
          <cell r="K1589" t="str">
            <v>FLORENCE</v>
          </cell>
          <cell r="L1589" t="str">
            <v>KY</v>
          </cell>
          <cell r="M1589" t="str">
            <v>800-577-8858</v>
          </cell>
          <cell r="N1589"/>
          <cell r="O1589"/>
          <cell r="P1589">
            <v>0</v>
          </cell>
          <cell r="Q1589">
            <v>600</v>
          </cell>
          <cell r="R1589">
            <v>2580</v>
          </cell>
          <cell r="S1589"/>
          <cell r="T1589">
            <v>0</v>
          </cell>
          <cell r="U1589" t="str"/>
          <cell r="V1589" t="str"/>
          <cell r="W1589" t="str"/>
          <cell r="X1589" t="str"/>
          <cell r="Y1589">
            <v>34</v>
          </cell>
          <cell r="Z1589">
            <v>146.19999999999999</v>
          </cell>
          <cell r="AA1589">
            <v>34</v>
          </cell>
          <cell r="AB1589">
            <v>146.19999999999999</v>
          </cell>
          <cell r="AC1589">
            <v>34</v>
          </cell>
          <cell r="AD1589">
            <v>146.19999999999999</v>
          </cell>
          <cell r="AE1589"/>
          <cell r="AF1589"/>
          <cell r="AG1589"/>
          <cell r="AH1589"/>
          <cell r="AI1589"/>
          <cell r="AJ1589"/>
          <cell r="AK1589" t="str">
            <v>OL</v>
          </cell>
          <cell r="AL1589">
            <v>151</v>
          </cell>
          <cell r="AM1589">
            <v>81</v>
          </cell>
          <cell r="AN1589" t="str">
            <v>10 Orangeline</v>
          </cell>
          <cell r="AO1589" t="str">
            <v>Southeast</v>
          </cell>
          <cell r="AP1589" t="str">
            <v>South</v>
          </cell>
          <cell r="AQ1589"/>
          <cell r="AR1589">
            <v>0</v>
          </cell>
          <cell r="AS1589">
            <v>0</v>
          </cell>
        </row>
        <row r="1590">
          <cell r="A1590">
            <v>13317</v>
          </cell>
          <cell r="B1590" t="str">
            <v>MCKEEL EQUIPMENT</v>
          </cell>
          <cell r="C1590" t="str">
            <v>M11271</v>
          </cell>
          <cell r="D1590" t="str">
            <v>Net 30, no pink card</v>
          </cell>
          <cell r="E1590" t="str">
            <v>2%</v>
          </cell>
          <cell r="F1590" t="str">
            <v>Yes</v>
          </cell>
          <cell r="G1590" t="str">
            <v>OH</v>
          </cell>
          <cell r="H1590">
            <v>5</v>
          </cell>
          <cell r="I1590">
            <v>0.7</v>
          </cell>
          <cell r="J1590" t="str">
            <v>Jimmy L Smith</v>
          </cell>
          <cell r="K1590" t="str">
            <v>MURRAY</v>
          </cell>
          <cell r="L1590" t="str">
            <v>KY</v>
          </cell>
          <cell r="M1590" t="str">
            <v>800-577-8858</v>
          </cell>
          <cell r="N1590"/>
          <cell r="O1590"/>
          <cell r="P1590">
            <v>0</v>
          </cell>
          <cell r="Q1590">
            <v>508</v>
          </cell>
          <cell r="R1590">
            <v>2184.4</v>
          </cell>
          <cell r="S1590"/>
          <cell r="T1590">
            <v>0</v>
          </cell>
          <cell r="U1590" t="str"/>
          <cell r="V1590" t="str"/>
          <cell r="W1590" t="str"/>
          <cell r="X1590" t="str"/>
          <cell r="Y1590">
            <v>344</v>
          </cell>
          <cell r="Z1590">
            <v>1479.2</v>
          </cell>
          <cell r="AA1590">
            <v>344</v>
          </cell>
          <cell r="AB1590">
            <v>1479.2</v>
          </cell>
          <cell r="AC1590">
            <v>344</v>
          </cell>
          <cell r="AD1590">
            <v>1479.2</v>
          </cell>
          <cell r="AE1590"/>
          <cell r="AF1590"/>
          <cell r="AG1590"/>
          <cell r="AH1590"/>
          <cell r="AI1590"/>
          <cell r="AJ1590"/>
          <cell r="AK1590" t="str">
            <v>OL</v>
          </cell>
          <cell r="AL1590">
            <v>151</v>
          </cell>
          <cell r="AM1590">
            <v>339</v>
          </cell>
          <cell r="AN1590" t="str">
            <v>10 Orangeline</v>
          </cell>
          <cell r="AO1590" t="str">
            <v>Southeast</v>
          </cell>
          <cell r="AP1590" t="str">
            <v>South</v>
          </cell>
          <cell r="AQ1590"/>
          <cell r="AR1590">
            <v>0</v>
          </cell>
          <cell r="AS1590">
            <v>0</v>
          </cell>
        </row>
        <row r="1591">
          <cell r="A1591">
            <v>13357</v>
          </cell>
          <cell r="B1591" t="str">
            <v>OUTDOOR POWER SOURCE</v>
          </cell>
          <cell r="C1591" t="str">
            <v>M11320</v>
          </cell>
          <cell r="D1591" t="str">
            <v>Net 30, no pink card</v>
          </cell>
          <cell r="E1591" t="str">
            <v>O1-Northpoint</v>
          </cell>
          <cell r="F1591" t="str">
            <v>Yes</v>
          </cell>
          <cell r="G1591" t="str">
            <v>OH</v>
          </cell>
          <cell r="H1591">
            <v>8</v>
          </cell>
          <cell r="I1591">
            <v>0.7</v>
          </cell>
          <cell r="J1591" t="str">
            <v>Jimmy L Smith</v>
          </cell>
          <cell r="K1591" t="str">
            <v>ELIZABETHTOWN</v>
          </cell>
          <cell r="L1591" t="str">
            <v>KY</v>
          </cell>
          <cell r="M1591" t="str">
            <v>800-577-8858</v>
          </cell>
          <cell r="N1591"/>
          <cell r="O1591"/>
          <cell r="P1591">
            <v>0</v>
          </cell>
          <cell r="Q1591">
            <v>522</v>
          </cell>
          <cell r="R1591">
            <v>2244.6</v>
          </cell>
          <cell r="S1591"/>
          <cell r="T1591">
            <v>0</v>
          </cell>
          <cell r="U1591" t="str"/>
          <cell r="V1591" t="str"/>
          <cell r="W1591" t="str"/>
          <cell r="X1591" t="str"/>
          <cell r="Y1591">
            <v>165</v>
          </cell>
          <cell r="Z1591">
            <v>709.5</v>
          </cell>
          <cell r="AA1591">
            <v>165</v>
          </cell>
          <cell r="AB1591">
            <v>709.5</v>
          </cell>
          <cell r="AC1591">
            <v>165</v>
          </cell>
          <cell r="AD1591">
            <v>709.5</v>
          </cell>
          <cell r="AE1591"/>
          <cell r="AF1591"/>
          <cell r="AG1591"/>
          <cell r="AH1591"/>
          <cell r="AI1591"/>
          <cell r="AJ1591"/>
          <cell r="AK1591" t="str">
            <v>OL</v>
          </cell>
          <cell r="AL1591">
            <v>151</v>
          </cell>
          <cell r="AM1591">
            <v>263</v>
          </cell>
          <cell r="AN1591" t="str">
            <v>10 Orangeline</v>
          </cell>
          <cell r="AO1591" t="str">
            <v>Southeast</v>
          </cell>
          <cell r="AP1591" t="str">
            <v>South</v>
          </cell>
          <cell r="AQ1591"/>
          <cell r="AR1591">
            <v>0</v>
          </cell>
          <cell r="AS1591">
            <v>0</v>
          </cell>
        </row>
        <row r="1592">
          <cell r="A1592">
            <v>13327</v>
          </cell>
          <cell r="B1592" t="str">
            <v>RIVERSIDE TRACTOR</v>
          </cell>
          <cell r="C1592" t="str">
            <v>M11280</v>
          </cell>
          <cell r="D1592" t="str">
            <v>Net 30, no pink card</v>
          </cell>
          <cell r="E1592" t="str">
            <v>2%</v>
          </cell>
          <cell r="F1592" t="str">
            <v>Yes</v>
          </cell>
          <cell r="G1592" t="str">
            <v>OH</v>
          </cell>
          <cell r="H1592">
            <v>5</v>
          </cell>
          <cell r="I1592">
            <v>0.7</v>
          </cell>
          <cell r="J1592" t="str">
            <v>Jimmy L Smith</v>
          </cell>
          <cell r="K1592" t="str">
            <v>AUGUSTA</v>
          </cell>
          <cell r="L1592" t="str">
            <v>KY</v>
          </cell>
          <cell r="M1592" t="str">
            <v>800-577-8858</v>
          </cell>
          <cell r="N1592"/>
          <cell r="O1592"/>
          <cell r="P1592">
            <v>0</v>
          </cell>
          <cell r="Q1592">
            <v>600</v>
          </cell>
          <cell r="R1592">
            <v>2580</v>
          </cell>
          <cell r="S1592"/>
          <cell r="T1592">
            <v>0</v>
          </cell>
          <cell r="U1592" t="str"/>
          <cell r="V1592" t="str"/>
          <cell r="W1592" t="str"/>
          <cell r="X1592" t="str"/>
          <cell r="Y1592">
            <v>35</v>
          </cell>
          <cell r="Z1592">
            <v>150.5</v>
          </cell>
          <cell r="AA1592">
            <v>35</v>
          </cell>
          <cell r="AB1592">
            <v>150.5</v>
          </cell>
          <cell r="AC1592">
            <v>35</v>
          </cell>
          <cell r="AD1592">
            <v>150.5</v>
          </cell>
          <cell r="AE1592"/>
          <cell r="AF1592"/>
          <cell r="AG1592"/>
          <cell r="AH1592"/>
          <cell r="AI1592"/>
          <cell r="AJ1592"/>
          <cell r="AK1592" t="str">
            <v>OL</v>
          </cell>
          <cell r="AL1592">
            <v>151</v>
          </cell>
          <cell r="AM1592">
            <v>81</v>
          </cell>
          <cell r="AN1592" t="str">
            <v>10 Orangeline</v>
          </cell>
          <cell r="AO1592" t="str">
            <v>Southeast</v>
          </cell>
          <cell r="AP1592" t="str">
            <v>South</v>
          </cell>
          <cell r="AQ1592"/>
          <cell r="AR1592">
            <v>0</v>
          </cell>
          <cell r="AS1592">
            <v>0</v>
          </cell>
        </row>
        <row r="1593">
          <cell r="A1593">
            <v>13356</v>
          </cell>
          <cell r="B1593" t="str">
            <v>SILER IMPLEMENT</v>
          </cell>
          <cell r="C1593" t="str">
            <v>M11319</v>
          </cell>
          <cell r="D1593" t="str">
            <v>Net 30, no pink card</v>
          </cell>
          <cell r="E1593" t="str">
            <v>2%</v>
          </cell>
          <cell r="F1593" t="str">
            <v>Yes</v>
          </cell>
          <cell r="G1593" t="str">
            <v>OH</v>
          </cell>
          <cell r="H1593">
            <v>5</v>
          </cell>
          <cell r="I1593">
            <v>0.7</v>
          </cell>
          <cell r="J1593" t="str">
            <v>Jimmy L Smith</v>
          </cell>
          <cell r="K1593" t="str">
            <v>CORBIN</v>
          </cell>
          <cell r="L1593" t="str">
            <v>KY</v>
          </cell>
          <cell r="M1593" t="str">
            <v>800-577-8858</v>
          </cell>
          <cell r="N1593"/>
          <cell r="O1593"/>
          <cell r="P1593">
            <v>0</v>
          </cell>
          <cell r="Q1593">
            <v>440</v>
          </cell>
          <cell r="R1593">
            <v>1892</v>
          </cell>
          <cell r="S1593"/>
          <cell r="T1593">
            <v>0</v>
          </cell>
          <cell r="U1593" t="str"/>
          <cell r="V1593" t="str"/>
          <cell r="W1593" t="str"/>
          <cell r="X1593" t="str"/>
          <cell r="Y1593">
            <v>190</v>
          </cell>
          <cell r="Z1593">
            <v>817</v>
          </cell>
          <cell r="AA1593">
            <v>190</v>
          </cell>
          <cell r="AB1593">
            <v>817</v>
          </cell>
          <cell r="AC1593">
            <v>190</v>
          </cell>
          <cell r="AD1593">
            <v>817</v>
          </cell>
          <cell r="AE1593"/>
          <cell r="AF1593"/>
          <cell r="AG1593"/>
          <cell r="AH1593"/>
          <cell r="AI1593"/>
          <cell r="AJ1593"/>
          <cell r="AK1593" t="str">
            <v>OL</v>
          </cell>
          <cell r="AL1593">
            <v>151</v>
          </cell>
          <cell r="AM1593">
            <v>98</v>
          </cell>
          <cell r="AN1593" t="str">
            <v>10 Orangeline</v>
          </cell>
          <cell r="AO1593" t="str">
            <v>Southeast</v>
          </cell>
          <cell r="AP1593" t="str">
            <v>South</v>
          </cell>
          <cell r="AQ1593"/>
          <cell r="AR1593">
            <v>0</v>
          </cell>
          <cell r="AS1593">
            <v>0</v>
          </cell>
        </row>
        <row r="1594">
          <cell r="A1594">
            <v>13337</v>
          </cell>
          <cell r="B1594" t="str">
            <v>STEVE BARLOW FARM EQUIP</v>
          </cell>
          <cell r="C1594" t="str">
            <v>M11241</v>
          </cell>
          <cell r="D1594" t="str">
            <v>Net 30, no pink card</v>
          </cell>
          <cell r="E1594" t="str">
            <v>2%</v>
          </cell>
          <cell r="F1594" t="str">
            <v>Yes</v>
          </cell>
          <cell r="G1594" t="str">
            <v>OH</v>
          </cell>
          <cell r="H1594">
            <v>5</v>
          </cell>
          <cell r="I1594">
            <v>0.7</v>
          </cell>
          <cell r="J1594" t="str">
            <v>Jimmy L Smith</v>
          </cell>
          <cell r="K1594" t="str">
            <v>SOMERSET</v>
          </cell>
          <cell r="L1594" t="str">
            <v>KY</v>
          </cell>
          <cell r="M1594" t="str">
            <v>800-577-8858</v>
          </cell>
          <cell r="N1594"/>
          <cell r="O1594"/>
          <cell r="P1594">
            <v>0</v>
          </cell>
          <cell r="Q1594">
            <v>465</v>
          </cell>
          <cell r="R1594">
            <v>1999.5</v>
          </cell>
          <cell r="S1594"/>
          <cell r="T1594">
            <v>0</v>
          </cell>
          <cell r="U1594" t="str"/>
          <cell r="V1594" t="str"/>
          <cell r="W1594" t="str"/>
          <cell r="X1594" t="str"/>
          <cell r="Y1594">
            <v>180</v>
          </cell>
          <cell r="Z1594">
            <v>774</v>
          </cell>
          <cell r="AA1594">
            <v>180</v>
          </cell>
          <cell r="AB1594">
            <v>774</v>
          </cell>
          <cell r="AC1594">
            <v>180</v>
          </cell>
          <cell r="AD1594">
            <v>774</v>
          </cell>
          <cell r="AE1594"/>
          <cell r="AF1594"/>
          <cell r="AG1594"/>
          <cell r="AH1594"/>
          <cell r="AI1594"/>
          <cell r="AJ1594"/>
          <cell r="AK1594" t="str">
            <v>OL</v>
          </cell>
          <cell r="AL1594">
            <v>151</v>
          </cell>
          <cell r="AM1594">
            <v>423</v>
          </cell>
          <cell r="AN1594" t="str">
            <v>10 Orangeline</v>
          </cell>
          <cell r="AO1594" t="str">
            <v>Southeast</v>
          </cell>
          <cell r="AP1594" t="str">
            <v>South</v>
          </cell>
          <cell r="AQ1594"/>
          <cell r="AR1594">
            <v>0</v>
          </cell>
          <cell r="AS1594">
            <v>0</v>
          </cell>
        </row>
        <row r="1595">
          <cell r="A1595">
            <v>13568</v>
          </cell>
          <cell r="B1595" t="str">
            <v>THOMPSON TRACTOR</v>
          </cell>
          <cell r="C1595" t="str">
            <v>M11547</v>
          </cell>
          <cell r="D1595" t="str">
            <v>Net 30, no pink card</v>
          </cell>
          <cell r="E1595" t="str">
            <v>2%</v>
          </cell>
          <cell r="F1595" t="str">
            <v>Yes</v>
          </cell>
          <cell r="G1595" t="str">
            <v>OH</v>
          </cell>
          <cell r="H1595">
            <v>5</v>
          </cell>
          <cell r="I1595">
            <v>0.7</v>
          </cell>
          <cell r="J1595" t="str">
            <v>Jimmy L Smith</v>
          </cell>
          <cell r="K1595" t="str">
            <v>MOOREHEAD</v>
          </cell>
          <cell r="L1595" t="str">
            <v>KY</v>
          </cell>
          <cell r="M1595" t="str">
            <v>800-577-8858</v>
          </cell>
          <cell r="N1595"/>
          <cell r="O1595">
            <v>822</v>
          </cell>
          <cell r="P1595">
            <v>3534.6</v>
          </cell>
          <cell r="Q1595">
            <v>564</v>
          </cell>
          <cell r="R1595">
            <v>2425.1999999999998</v>
          </cell>
          <cell r="S1595"/>
          <cell r="T1595">
            <v>0</v>
          </cell>
          <cell r="U1595" t="str"/>
          <cell r="V1595" t="str"/>
          <cell r="W1595" t="str"/>
          <cell r="X1595" t="str"/>
          <cell r="Y1595">
            <v>91</v>
          </cell>
          <cell r="Z1595">
            <v>391.3</v>
          </cell>
          <cell r="AA1595">
            <v>91</v>
          </cell>
          <cell r="AB1595">
            <v>391.3</v>
          </cell>
          <cell r="AC1595">
            <v>91</v>
          </cell>
          <cell r="AD1595">
            <v>391.3</v>
          </cell>
          <cell r="AE1595"/>
          <cell r="AF1595"/>
          <cell r="AG1595"/>
          <cell r="AH1595"/>
          <cell r="AI1595"/>
          <cell r="AJ1595"/>
          <cell r="AK1595" t="str">
            <v>OL</v>
          </cell>
          <cell r="AL1595">
            <v>151</v>
          </cell>
          <cell r="AM1595">
            <v>252</v>
          </cell>
          <cell r="AN1595" t="str">
            <v>10 Orangeline</v>
          </cell>
          <cell r="AO1595" t="str">
            <v>Southeast</v>
          </cell>
          <cell r="AP1595" t="str">
            <v>South</v>
          </cell>
          <cell r="AQ1595"/>
          <cell r="AR1595">
            <v>0</v>
          </cell>
          <cell r="AS1595">
            <v>0</v>
          </cell>
        </row>
        <row r="1596">
          <cell r="A1596">
            <v>13269</v>
          </cell>
          <cell r="B1596" t="str">
            <v>ABELL &amp; SON, INC</v>
          </cell>
          <cell r="C1596" t="str">
            <v>M11216</v>
          </cell>
          <cell r="D1596" t="str">
            <v>Net 30, no pink card</v>
          </cell>
          <cell r="E1596" t="str">
            <v>2%</v>
          </cell>
          <cell r="F1596" t="str">
            <v>Yes</v>
          </cell>
          <cell r="G1596" t="str">
            <v>TX</v>
          </cell>
          <cell r="H1596">
            <v>5</v>
          </cell>
          <cell r="I1596">
            <v>0.7</v>
          </cell>
          <cell r="J1596" t="str">
            <v>Josh Cowden</v>
          </cell>
          <cell r="K1596" t="str">
            <v>WELSH</v>
          </cell>
          <cell r="L1596" t="str">
            <v>LA</v>
          </cell>
          <cell r="M1596" t="str">
            <v>800-577-8858</v>
          </cell>
          <cell r="N1596"/>
          <cell r="O1596">
            <v>302</v>
          </cell>
          <cell r="P1596">
            <v>1298.5999999999999</v>
          </cell>
          <cell r="Q1596"/>
          <cell r="R1596">
            <v>0</v>
          </cell>
          <cell r="S1596"/>
          <cell r="T1596">
            <v>0</v>
          </cell>
          <cell r="U1596" t="str"/>
          <cell r="V1596" t="str"/>
          <cell r="W1596" t="str"/>
          <cell r="X1596" t="str"/>
          <cell r="Y1596"/>
          <cell r="Z1596">
            <v>0</v>
          </cell>
          <cell r="AA1596"/>
          <cell r="AB1596">
            <v>0</v>
          </cell>
          <cell r="AC1596"/>
          <cell r="AD1596">
            <v>0</v>
          </cell>
          <cell r="AE1596"/>
          <cell r="AF1596"/>
          <cell r="AG1596"/>
          <cell r="AH1596"/>
          <cell r="AI1596"/>
          <cell r="AJ1596"/>
          <cell r="AK1596" t="str">
            <v>OL</v>
          </cell>
          <cell r="AL1596">
            <v>151</v>
          </cell>
          <cell r="AM1596">
            <v>238</v>
          </cell>
          <cell r="AN1596" t="str">
            <v>10 Orangeline</v>
          </cell>
          <cell r="AO1596" t="str">
            <v>Central</v>
          </cell>
          <cell r="AP1596" t="str">
            <v>South</v>
          </cell>
          <cell r="AQ1596"/>
          <cell r="AR1596">
            <v>0</v>
          </cell>
          <cell r="AS1596">
            <v>0</v>
          </cell>
        </row>
        <row r="1597">
          <cell r="A1597">
            <v>11396</v>
          </cell>
          <cell r="B1597" t="str">
            <v>ASCENSION EQUIPMENT</v>
          </cell>
          <cell r="C1597" t="str">
            <v>M00614</v>
          </cell>
          <cell r="D1597" t="str">
            <v>Net 30, no pink card</v>
          </cell>
          <cell r="E1597" t="str">
            <v>O1-Northpoint</v>
          </cell>
          <cell r="F1597" t="str">
            <v>Yes</v>
          </cell>
          <cell r="G1597" t="str">
            <v>TX</v>
          </cell>
          <cell r="H1597">
            <v>8</v>
          </cell>
          <cell r="I1597">
            <v>0.7</v>
          </cell>
          <cell r="J1597" t="str">
            <v>Josh Cowden</v>
          </cell>
          <cell r="K1597" t="str">
            <v>GONZALES</v>
          </cell>
          <cell r="L1597" t="str">
            <v>LA</v>
          </cell>
          <cell r="M1597" t="str">
            <v>800-577-8858</v>
          </cell>
          <cell r="N1597"/>
          <cell r="O1597">
            <v>355</v>
          </cell>
          <cell r="P1597">
            <v>1526.5</v>
          </cell>
          <cell r="Q1597">
            <v>520</v>
          </cell>
          <cell r="R1597">
            <v>2236</v>
          </cell>
          <cell r="S1597"/>
          <cell r="T1597">
            <v>0</v>
          </cell>
          <cell r="U1597" t="str"/>
          <cell r="V1597" t="str"/>
          <cell r="W1597" t="str"/>
          <cell r="X1597" t="str"/>
          <cell r="Y1597"/>
          <cell r="Z1597">
            <v>0</v>
          </cell>
          <cell r="AA1597"/>
          <cell r="AB1597">
            <v>0</v>
          </cell>
          <cell r="AC1597"/>
          <cell r="AD1597">
            <v>0</v>
          </cell>
          <cell r="AE1597"/>
          <cell r="AF1597"/>
          <cell r="AG1597"/>
          <cell r="AH1597"/>
          <cell r="AI1597"/>
          <cell r="AJ1597"/>
          <cell r="AK1597" t="str">
            <v>OL</v>
          </cell>
          <cell r="AL1597">
            <v>151</v>
          </cell>
          <cell r="AM1597">
            <v>32</v>
          </cell>
          <cell r="AN1597" t="str">
            <v>10 Orangeline</v>
          </cell>
          <cell r="AO1597" t="str">
            <v>Central</v>
          </cell>
          <cell r="AP1597" t="str">
            <v>South</v>
          </cell>
          <cell r="AQ1597"/>
          <cell r="AR1597">
            <v>0</v>
          </cell>
          <cell r="AS1597">
            <v>0</v>
          </cell>
        </row>
        <row r="1598">
          <cell r="A1598">
            <v>13248</v>
          </cell>
          <cell r="B1598" t="str">
            <v>CHL ENT dba LOEWER EQUIPMENT</v>
          </cell>
          <cell r="C1598" t="str">
            <v>M11189</v>
          </cell>
          <cell r="D1598" t="str">
            <v>Net 30, no pink card</v>
          </cell>
          <cell r="E1598" t="str">
            <v>2%</v>
          </cell>
          <cell r="F1598" t="str">
            <v>Yes</v>
          </cell>
          <cell r="G1598" t="str">
            <v>TX</v>
          </cell>
          <cell r="H1598">
            <v>5</v>
          </cell>
          <cell r="I1598">
            <v>0.7</v>
          </cell>
          <cell r="J1598" t="str">
            <v>Josh Cowden</v>
          </cell>
          <cell r="K1598" t="str">
            <v>ALEXANDRIA</v>
          </cell>
          <cell r="L1598" t="str">
            <v>LA</v>
          </cell>
          <cell r="M1598" t="str">
            <v>800-577-8858</v>
          </cell>
          <cell r="N1598"/>
          <cell r="O1598">
            <v>230</v>
          </cell>
          <cell r="P1598">
            <v>989</v>
          </cell>
          <cell r="Q1598"/>
          <cell r="R1598">
            <v>0</v>
          </cell>
          <cell r="S1598"/>
          <cell r="T1598">
            <v>0</v>
          </cell>
          <cell r="U1598" t="str"/>
          <cell r="V1598" t="str"/>
          <cell r="W1598" t="str"/>
          <cell r="X1598" t="str"/>
          <cell r="Y1598"/>
          <cell r="Z1598">
            <v>0</v>
          </cell>
          <cell r="AA1598"/>
          <cell r="AB1598">
            <v>0</v>
          </cell>
          <cell r="AC1598"/>
          <cell r="AD1598">
            <v>0</v>
          </cell>
          <cell r="AE1598"/>
          <cell r="AF1598"/>
          <cell r="AG1598"/>
          <cell r="AH1598"/>
          <cell r="AI1598"/>
          <cell r="AJ1598"/>
          <cell r="AK1598" t="str">
            <v>OL</v>
          </cell>
          <cell r="AL1598">
            <v>151</v>
          </cell>
          <cell r="AM1598">
            <v>9</v>
          </cell>
          <cell r="AN1598" t="str">
            <v>10 Orangeline</v>
          </cell>
          <cell r="AO1598" t="str">
            <v>Central</v>
          </cell>
          <cell r="AP1598" t="str">
            <v>South</v>
          </cell>
          <cell r="AQ1598"/>
          <cell r="AR1598">
            <v>0</v>
          </cell>
          <cell r="AS1598">
            <v>0</v>
          </cell>
        </row>
        <row r="1599">
          <cell r="A1599">
            <v>13187</v>
          </cell>
          <cell r="B1599" t="str">
            <v>EVERGREEN TRACTOR + EQUIP</v>
          </cell>
          <cell r="C1599" t="str">
            <v>M11127</v>
          </cell>
          <cell r="D1599" t="str">
            <v>Net 30, no pink card</v>
          </cell>
          <cell r="E1599" t="str">
            <v>2%</v>
          </cell>
          <cell r="F1599" t="str">
            <v>Yes</v>
          </cell>
          <cell r="G1599" t="str">
            <v>TX</v>
          </cell>
          <cell r="H1599">
            <v>5</v>
          </cell>
          <cell r="I1599">
            <v>0.7</v>
          </cell>
          <cell r="J1599" t="str">
            <v>Josh Cowden</v>
          </cell>
          <cell r="K1599" t="str">
            <v>COVINGTON</v>
          </cell>
          <cell r="L1599" t="str">
            <v>LA</v>
          </cell>
          <cell r="M1599" t="str">
            <v>800-577-8858</v>
          </cell>
          <cell r="N1599"/>
          <cell r="O1599">
            <v>400</v>
          </cell>
          <cell r="P1599">
            <v>1720</v>
          </cell>
          <cell r="Q1599"/>
          <cell r="R1599">
            <v>0</v>
          </cell>
          <cell r="S1599"/>
          <cell r="T1599">
            <v>0</v>
          </cell>
          <cell r="U1599" t="str"/>
          <cell r="V1599" t="str"/>
          <cell r="W1599" t="str"/>
          <cell r="X1599" t="str"/>
          <cell r="Y1599"/>
          <cell r="Z1599">
            <v>0</v>
          </cell>
          <cell r="AA1599"/>
          <cell r="AB1599">
            <v>0</v>
          </cell>
          <cell r="AC1599"/>
          <cell r="AD1599">
            <v>0</v>
          </cell>
          <cell r="AE1599"/>
          <cell r="AF1599"/>
          <cell r="AG1599"/>
          <cell r="AH1599"/>
          <cell r="AI1599"/>
          <cell r="AJ1599"/>
          <cell r="AK1599" t="str">
            <v>OL</v>
          </cell>
          <cell r="AL1599">
            <v>151</v>
          </cell>
          <cell r="AM1599">
            <v>320</v>
          </cell>
          <cell r="AN1599" t="str">
            <v>10 Orangeline</v>
          </cell>
          <cell r="AO1599" t="str">
            <v>Central</v>
          </cell>
          <cell r="AP1599" t="str">
            <v>South</v>
          </cell>
          <cell r="AQ1599"/>
          <cell r="AR1599">
            <v>0</v>
          </cell>
          <cell r="AS1599">
            <v>0</v>
          </cell>
        </row>
        <row r="1600">
          <cell r="A1600" t="str">
            <v>11356A</v>
          </cell>
          <cell r="B1600" t="str">
            <v>HENDERSON IMPLEMENT (POWER)</v>
          </cell>
          <cell r="C1600" t="str">
            <v>M04303</v>
          </cell>
          <cell r="D1600" t="str">
            <v>Net 30, no pink card</v>
          </cell>
          <cell r="E1600" t="str">
            <v>2%</v>
          </cell>
          <cell r="F1600" t="str">
            <v>Yes</v>
          </cell>
          <cell r="G1600" t="str">
            <v>TX</v>
          </cell>
          <cell r="H1600">
            <v>5</v>
          </cell>
          <cell r="I1600">
            <v>0.7</v>
          </cell>
          <cell r="J1600" t="str">
            <v>Josh Cowden</v>
          </cell>
          <cell r="K1600" t="str">
            <v>LAKE CHARLES</v>
          </cell>
          <cell r="L1600" t="str">
            <v>LA</v>
          </cell>
          <cell r="M1600" t="str">
            <v>800-577-8858</v>
          </cell>
          <cell r="N1600"/>
          <cell r="O1600">
            <v>270</v>
          </cell>
          <cell r="P1600">
            <v>1161</v>
          </cell>
          <cell r="Q1600"/>
          <cell r="R1600">
            <v>0</v>
          </cell>
          <cell r="S1600"/>
          <cell r="T1600">
            <v>0</v>
          </cell>
          <cell r="U1600" t="str"/>
          <cell r="V1600" t="str"/>
          <cell r="W1600" t="str"/>
          <cell r="X1600" t="str"/>
          <cell r="Y1600"/>
          <cell r="Z1600">
            <v>0</v>
          </cell>
          <cell r="AA1600"/>
          <cell r="AB1600">
            <v>0</v>
          </cell>
          <cell r="AC1600"/>
          <cell r="AD1600">
            <v>0</v>
          </cell>
          <cell r="AE1600"/>
          <cell r="AF1600"/>
          <cell r="AG1600"/>
          <cell r="AH1600"/>
          <cell r="AI1600"/>
          <cell r="AJ1600"/>
          <cell r="AK1600" t="str">
            <v>OL</v>
          </cell>
          <cell r="AL1600">
            <v>151</v>
          </cell>
          <cell r="AM1600">
            <v>238</v>
          </cell>
          <cell r="AN1600" t="str">
            <v>10 Orangeline</v>
          </cell>
          <cell r="AO1600" t="str">
            <v>Central</v>
          </cell>
          <cell r="AP1600" t="str">
            <v>South</v>
          </cell>
          <cell r="AQ1600"/>
          <cell r="AR1600">
            <v>0</v>
          </cell>
          <cell r="AS1600">
            <v>0</v>
          </cell>
        </row>
        <row r="1601">
          <cell r="A1601" t="str">
            <v>11356B</v>
          </cell>
          <cell r="B1601" t="str">
            <v>HENDERSON IMPLEMENT (POWER)</v>
          </cell>
          <cell r="C1601" t="str">
            <v>M04303</v>
          </cell>
          <cell r="D1601" t="str">
            <v>Net 30, no pink card</v>
          </cell>
          <cell r="E1601" t="str">
            <v>2%</v>
          </cell>
          <cell r="F1601" t="str">
            <v>Yes</v>
          </cell>
          <cell r="G1601" t="str">
            <v>TX</v>
          </cell>
          <cell r="H1601">
            <v>5</v>
          </cell>
          <cell r="I1601">
            <v>0.7</v>
          </cell>
          <cell r="J1601" t="str">
            <v>Josh Cowden</v>
          </cell>
          <cell r="K1601" t="str">
            <v>ABBEVILLE</v>
          </cell>
          <cell r="L1601" t="str">
            <v>LA</v>
          </cell>
          <cell r="M1601" t="str">
            <v>800-577-8858</v>
          </cell>
          <cell r="N1601"/>
          <cell r="O1601">
            <v>330</v>
          </cell>
          <cell r="P1601">
            <v>1419</v>
          </cell>
          <cell r="Q1601"/>
          <cell r="R1601">
            <v>0</v>
          </cell>
          <cell r="S1601"/>
          <cell r="T1601">
            <v>0</v>
          </cell>
          <cell r="U1601" t="str"/>
          <cell r="V1601" t="str"/>
          <cell r="W1601" t="str"/>
          <cell r="X1601" t="str"/>
          <cell r="Y1601"/>
          <cell r="Z1601">
            <v>0</v>
          </cell>
          <cell r="AA1601"/>
          <cell r="AB1601">
            <v>0</v>
          </cell>
          <cell r="AC1601"/>
          <cell r="AD1601">
            <v>0</v>
          </cell>
          <cell r="AE1601"/>
          <cell r="AF1601"/>
          <cell r="AG1601"/>
          <cell r="AH1601"/>
          <cell r="AI1601"/>
          <cell r="AJ1601"/>
          <cell r="AK1601" t="str">
            <v>OL</v>
          </cell>
          <cell r="AL1601">
            <v>151</v>
          </cell>
          <cell r="AM1601">
            <v>236</v>
          </cell>
          <cell r="AN1601" t="str">
            <v>10 Orangeline</v>
          </cell>
          <cell r="AO1601" t="str">
            <v>Central</v>
          </cell>
          <cell r="AP1601" t="str">
            <v>South</v>
          </cell>
          <cell r="AQ1601"/>
          <cell r="AR1601">
            <v>0</v>
          </cell>
          <cell r="AS1601">
            <v>0</v>
          </cell>
        </row>
        <row r="1602">
          <cell r="A1602">
            <v>11356</v>
          </cell>
          <cell r="B1602" t="str">
            <v>HENDERSON IMPLEMENT, use ship to only</v>
          </cell>
          <cell r="C1602" t="str">
            <v>M04303</v>
          </cell>
          <cell r="D1602" t="str">
            <v>Net 30, no pink card</v>
          </cell>
          <cell r="E1602" t="str">
            <v>2%</v>
          </cell>
          <cell r="F1602" t="str">
            <v>Yes</v>
          </cell>
          <cell r="G1602" t="str">
            <v>TX</v>
          </cell>
          <cell r="H1602">
            <v>5</v>
          </cell>
          <cell r="I1602">
            <v>0.7</v>
          </cell>
          <cell r="J1602" t="str">
            <v>Josh Cowden</v>
          </cell>
          <cell r="K1602" t="str">
            <v>WELSH</v>
          </cell>
          <cell r="L1602" t="str">
            <v>LA</v>
          </cell>
          <cell r="M1602" t="str">
            <v>800-577-8858</v>
          </cell>
          <cell r="N1602"/>
          <cell r="O1602">
            <v>302</v>
          </cell>
          <cell r="P1602">
            <v>1298.5999999999999</v>
          </cell>
          <cell r="Q1602"/>
          <cell r="R1602">
            <v>0</v>
          </cell>
          <cell r="S1602"/>
          <cell r="T1602">
            <v>0</v>
          </cell>
          <cell r="U1602" t="str"/>
          <cell r="V1602" t="str"/>
          <cell r="W1602" t="str"/>
          <cell r="X1602" t="str"/>
          <cell r="Y1602"/>
          <cell r="Z1602">
            <v>0</v>
          </cell>
          <cell r="AA1602"/>
          <cell r="AB1602">
            <v>0</v>
          </cell>
          <cell r="AC1602"/>
          <cell r="AD1602">
            <v>0</v>
          </cell>
          <cell r="AE1602"/>
          <cell r="AF1602"/>
          <cell r="AG1602"/>
          <cell r="AH1602"/>
          <cell r="AI1602"/>
          <cell r="AJ1602"/>
          <cell r="AK1602" t="str">
            <v>OL</v>
          </cell>
          <cell r="AL1602">
            <v>151</v>
          </cell>
          <cell r="AM1602">
            <v>238</v>
          </cell>
          <cell r="AN1602" t="str">
            <v>10 Orangeline</v>
          </cell>
          <cell r="AO1602" t="str">
            <v>Central</v>
          </cell>
          <cell r="AP1602" t="str">
            <v>South</v>
          </cell>
          <cell r="AQ1602"/>
          <cell r="AR1602">
            <v>0</v>
          </cell>
          <cell r="AS1602">
            <v>0</v>
          </cell>
        </row>
        <row r="1603">
          <cell r="A1603">
            <v>13199</v>
          </cell>
          <cell r="B1603" t="str">
            <v>LEE TRACTOR CO</v>
          </cell>
          <cell r="C1603" t="str">
            <v>M11139</v>
          </cell>
          <cell r="D1603" t="str">
            <v>Net 30, no pink card</v>
          </cell>
          <cell r="E1603" t="str">
            <v>2%</v>
          </cell>
          <cell r="F1603" t="str">
            <v>Yes</v>
          </cell>
          <cell r="G1603" t="str">
            <v>TX</v>
          </cell>
          <cell r="H1603">
            <v>5</v>
          </cell>
          <cell r="I1603">
            <v>0.7</v>
          </cell>
          <cell r="J1603" t="str">
            <v>Josh Cowden</v>
          </cell>
          <cell r="K1603" t="str">
            <v>KENNER</v>
          </cell>
          <cell r="L1603" t="str">
            <v>LA</v>
          </cell>
          <cell r="M1603" t="str">
            <v>800-577-8858</v>
          </cell>
          <cell r="N1603"/>
          <cell r="O1603">
            <v>400</v>
          </cell>
          <cell r="P1603">
            <v>1720</v>
          </cell>
          <cell r="Q1603"/>
          <cell r="R1603">
            <v>0</v>
          </cell>
          <cell r="S1603"/>
          <cell r="T1603">
            <v>0</v>
          </cell>
          <cell r="U1603" t="str"/>
          <cell r="V1603" t="str"/>
          <cell r="W1603" t="str"/>
          <cell r="X1603" t="str"/>
          <cell r="Y1603"/>
          <cell r="Z1603">
            <v>0</v>
          </cell>
          <cell r="AA1603"/>
          <cell r="AB1603">
            <v>0</v>
          </cell>
          <cell r="AC1603"/>
          <cell r="AD1603">
            <v>0</v>
          </cell>
          <cell r="AE1603"/>
          <cell r="AF1603"/>
          <cell r="AG1603"/>
          <cell r="AH1603"/>
          <cell r="AI1603"/>
          <cell r="AJ1603"/>
          <cell r="AK1603" t="str">
            <v>OL</v>
          </cell>
          <cell r="AL1603">
            <v>151</v>
          </cell>
          <cell r="AM1603">
            <v>320</v>
          </cell>
          <cell r="AN1603" t="str">
            <v>10 Orangeline</v>
          </cell>
          <cell r="AO1603" t="str">
            <v>Central</v>
          </cell>
          <cell r="AP1603" t="str">
            <v>South</v>
          </cell>
          <cell r="AQ1603"/>
          <cell r="AR1603">
            <v>0</v>
          </cell>
          <cell r="AS1603">
            <v>0</v>
          </cell>
        </row>
        <row r="1604">
          <cell r="A1604">
            <v>13264</v>
          </cell>
          <cell r="B1604" t="str">
            <v>LEMANN'S FARM SUPPLY</v>
          </cell>
          <cell r="C1604" t="str">
            <v>M11192</v>
          </cell>
          <cell r="D1604" t="str">
            <v>Net 30, no pink card</v>
          </cell>
          <cell r="E1604" t="str">
            <v>2%</v>
          </cell>
          <cell r="F1604" t="str">
            <v>Yes</v>
          </cell>
          <cell r="G1604" t="str">
            <v>TX</v>
          </cell>
          <cell r="H1604">
            <v>5</v>
          </cell>
          <cell r="I1604">
            <v>0.7</v>
          </cell>
          <cell r="J1604" t="str">
            <v>Josh Cowden</v>
          </cell>
          <cell r="K1604" t="str">
            <v>DONALDSONVILLE</v>
          </cell>
          <cell r="L1604" t="str">
            <v>LA</v>
          </cell>
          <cell r="M1604" t="str">
            <v>800-577-8858</v>
          </cell>
          <cell r="N1604"/>
          <cell r="O1604">
            <v>360</v>
          </cell>
          <cell r="P1604">
            <v>1548</v>
          </cell>
          <cell r="Q1604"/>
          <cell r="R1604">
            <v>0</v>
          </cell>
          <cell r="S1604"/>
          <cell r="T1604">
            <v>0</v>
          </cell>
          <cell r="U1604" t="str"/>
          <cell r="V1604" t="str"/>
          <cell r="W1604" t="str"/>
          <cell r="X1604" t="str"/>
          <cell r="Y1604"/>
          <cell r="Z1604">
            <v>0</v>
          </cell>
          <cell r="AA1604"/>
          <cell r="AB1604">
            <v>0</v>
          </cell>
          <cell r="AC1604"/>
          <cell r="AD1604">
            <v>0</v>
          </cell>
          <cell r="AE1604"/>
          <cell r="AF1604"/>
          <cell r="AG1604"/>
          <cell r="AH1604"/>
          <cell r="AI1604"/>
          <cell r="AJ1604"/>
          <cell r="AK1604" t="str">
            <v>OL</v>
          </cell>
          <cell r="AL1604">
            <v>151</v>
          </cell>
          <cell r="AM1604">
            <v>32</v>
          </cell>
          <cell r="AN1604" t="str">
            <v>10 Orangeline</v>
          </cell>
          <cell r="AO1604" t="str">
            <v>Central</v>
          </cell>
          <cell r="AP1604" t="str">
            <v>South</v>
          </cell>
          <cell r="AQ1604"/>
          <cell r="AR1604">
            <v>0</v>
          </cell>
          <cell r="AS1604">
            <v>0</v>
          </cell>
        </row>
        <row r="1605">
          <cell r="A1605">
            <v>13320</v>
          </cell>
          <cell r="B1605" t="str">
            <v>NELSON TRACTOR - LA</v>
          </cell>
          <cell r="C1605" t="str">
            <v>M11296</v>
          </cell>
          <cell r="D1605" t="str">
            <v>Net 30, no pink card</v>
          </cell>
          <cell r="E1605" t="str">
            <v>2%</v>
          </cell>
          <cell r="F1605" t="str">
            <v>Yes</v>
          </cell>
          <cell r="G1605" t="str">
            <v>GA</v>
          </cell>
          <cell r="H1605">
            <v>5</v>
          </cell>
          <cell r="I1605">
            <v>0.7</v>
          </cell>
          <cell r="J1605" t="str">
            <v>Josh Cowden</v>
          </cell>
          <cell r="K1605" t="str">
            <v>WINNSBORO</v>
          </cell>
          <cell r="L1605" t="str">
            <v>LA</v>
          </cell>
          <cell r="M1605" t="str">
            <v>800-577-8858</v>
          </cell>
          <cell r="N1605"/>
          <cell r="O1605">
            <v>250</v>
          </cell>
          <cell r="P1605">
            <v>1075</v>
          </cell>
          <cell r="Q1605"/>
          <cell r="R1605">
            <v>0</v>
          </cell>
          <cell r="S1605"/>
          <cell r="T1605">
            <v>0</v>
          </cell>
          <cell r="U1605" t="str"/>
          <cell r="V1605" t="str"/>
          <cell r="W1605" t="str"/>
          <cell r="X1605" t="str"/>
          <cell r="Y1605"/>
          <cell r="Z1605">
            <v>0</v>
          </cell>
          <cell r="AA1605"/>
          <cell r="AB1605">
            <v>0</v>
          </cell>
          <cell r="AC1605"/>
          <cell r="AD1605">
            <v>0</v>
          </cell>
          <cell r="AE1605"/>
          <cell r="AF1605"/>
          <cell r="AG1605"/>
          <cell r="AH1605"/>
          <cell r="AI1605"/>
          <cell r="AJ1605"/>
          <cell r="AK1605" t="str">
            <v>OL</v>
          </cell>
          <cell r="AL1605">
            <v>151</v>
          </cell>
          <cell r="AM1605">
            <v>304</v>
          </cell>
          <cell r="AN1605" t="str">
            <v>10 Orangeline</v>
          </cell>
          <cell r="AO1605" t="str">
            <v>Central</v>
          </cell>
          <cell r="AP1605" t="str">
            <v>South</v>
          </cell>
          <cell r="AQ1605"/>
          <cell r="AR1605">
            <v>0</v>
          </cell>
          <cell r="AS1605">
            <v>0</v>
          </cell>
        </row>
        <row r="1606">
          <cell r="A1606">
            <v>13208</v>
          </cell>
          <cell r="B1606" t="str">
            <v>PATRICK MILLER TRACTOR</v>
          </cell>
          <cell r="C1606" t="str">
            <v>M11147</v>
          </cell>
          <cell r="D1606" t="str">
            <v>Net 30, no pink card</v>
          </cell>
          <cell r="E1606" t="str">
            <v>2%</v>
          </cell>
          <cell r="F1606" t="str">
            <v>Yes</v>
          </cell>
          <cell r="G1606" t="str">
            <v>TX</v>
          </cell>
          <cell r="H1606">
            <v>5</v>
          </cell>
          <cell r="I1606">
            <v>0.7</v>
          </cell>
          <cell r="J1606" t="str">
            <v>Josh Cowden</v>
          </cell>
          <cell r="K1606" t="str">
            <v>MANY</v>
          </cell>
          <cell r="L1606" t="str">
            <v>LA</v>
          </cell>
          <cell r="M1606" t="str">
            <v>800-577-8858</v>
          </cell>
          <cell r="N1606"/>
          <cell r="O1606">
            <v>180</v>
          </cell>
          <cell r="P1606">
            <v>774</v>
          </cell>
          <cell r="Q1606"/>
          <cell r="R1606">
            <v>0</v>
          </cell>
          <cell r="S1606"/>
          <cell r="T1606">
            <v>0</v>
          </cell>
          <cell r="U1606" t="str"/>
          <cell r="V1606" t="str"/>
          <cell r="W1606" t="str"/>
          <cell r="X1606" t="str"/>
          <cell r="Y1606"/>
          <cell r="Z1606">
            <v>0</v>
          </cell>
          <cell r="AA1606"/>
          <cell r="AB1606">
            <v>0</v>
          </cell>
          <cell r="AC1606"/>
          <cell r="AD1606">
            <v>0</v>
          </cell>
          <cell r="AE1606"/>
          <cell r="AF1606"/>
          <cell r="AG1606"/>
          <cell r="AH1606"/>
          <cell r="AI1606"/>
          <cell r="AJ1606"/>
          <cell r="AK1606" t="str">
            <v>OL</v>
          </cell>
          <cell r="AL1606">
            <v>151</v>
          </cell>
          <cell r="AM1606">
            <v>419</v>
          </cell>
          <cell r="AN1606" t="str">
            <v>10 Orangeline</v>
          </cell>
          <cell r="AO1606" t="str">
            <v>Central</v>
          </cell>
          <cell r="AP1606" t="str">
            <v>South</v>
          </cell>
          <cell r="AQ1606"/>
          <cell r="AR1606">
            <v>0</v>
          </cell>
          <cell r="AS1606">
            <v>0</v>
          </cell>
        </row>
        <row r="1607">
          <cell r="A1607" t="str">
            <v>13208A</v>
          </cell>
          <cell r="B1607" t="str">
            <v>PATRICK MILLER TRACTOR</v>
          </cell>
          <cell r="C1607" t="str">
            <v>M11147</v>
          </cell>
          <cell r="D1607" t="str">
            <v>Net 30, no pink card</v>
          </cell>
          <cell r="E1607" t="str">
            <v>2%</v>
          </cell>
          <cell r="F1607" t="str">
            <v>Yes</v>
          </cell>
          <cell r="G1607" t="str">
            <v>TX</v>
          </cell>
          <cell r="H1607">
            <v>5</v>
          </cell>
          <cell r="I1607">
            <v>0.7</v>
          </cell>
          <cell r="J1607" t="str">
            <v>Josh Cowden</v>
          </cell>
          <cell r="K1607" t="str">
            <v>NATCHITOCHES</v>
          </cell>
          <cell r="L1607" t="str">
            <v>LA</v>
          </cell>
          <cell r="M1607" t="str">
            <v>800-577-8858</v>
          </cell>
          <cell r="N1607"/>
          <cell r="O1607">
            <v>190</v>
          </cell>
          <cell r="P1607">
            <v>817</v>
          </cell>
          <cell r="Q1607"/>
          <cell r="R1607">
            <v>0</v>
          </cell>
          <cell r="S1607"/>
          <cell r="T1607">
            <v>0</v>
          </cell>
          <cell r="U1607" t="str"/>
          <cell r="V1607" t="str"/>
          <cell r="W1607" t="str"/>
          <cell r="X1607" t="str"/>
          <cell r="Y1607"/>
          <cell r="Z1607">
            <v>0</v>
          </cell>
          <cell r="AA1607"/>
          <cell r="AB1607">
            <v>0</v>
          </cell>
          <cell r="AC1607"/>
          <cell r="AD1607">
            <v>0</v>
          </cell>
          <cell r="AE1607"/>
          <cell r="AF1607"/>
          <cell r="AG1607"/>
          <cell r="AH1607"/>
          <cell r="AI1607"/>
          <cell r="AJ1607"/>
          <cell r="AK1607" t="str">
            <v>OL</v>
          </cell>
          <cell r="AL1607">
            <v>151</v>
          </cell>
          <cell r="AM1607">
            <v>419</v>
          </cell>
          <cell r="AN1607" t="str">
            <v>10 Orangeline</v>
          </cell>
          <cell r="AO1607" t="str">
            <v>Central</v>
          </cell>
          <cell r="AP1607" t="str">
            <v>South</v>
          </cell>
          <cell r="AQ1607"/>
          <cell r="AR1607">
            <v>0</v>
          </cell>
          <cell r="AS1607">
            <v>0</v>
          </cell>
        </row>
        <row r="1608">
          <cell r="A1608">
            <v>13211</v>
          </cell>
          <cell r="B1608" t="str">
            <v xml:space="preserve">PROGRESSIVE TRACTOR &amp; IMPLEMENT </v>
          </cell>
          <cell r="C1608" t="str">
            <v>M11151</v>
          </cell>
          <cell r="D1608" t="str">
            <v>Net 30, no pink card</v>
          </cell>
          <cell r="E1608" t="str">
            <v>2%</v>
          </cell>
          <cell r="F1608" t="str">
            <v>Yes</v>
          </cell>
          <cell r="G1608" t="str">
            <v>TX</v>
          </cell>
          <cell r="H1608">
            <v>5</v>
          </cell>
          <cell r="I1608">
            <v>0.7</v>
          </cell>
          <cell r="J1608" t="str">
            <v>Josh Cowden</v>
          </cell>
          <cell r="K1608" t="str">
            <v>OPELOUSAS</v>
          </cell>
          <cell r="L1608" t="str">
            <v>LA</v>
          </cell>
          <cell r="M1608" t="str">
            <v>800-577-8858</v>
          </cell>
          <cell r="N1608"/>
          <cell r="O1608">
            <v>300</v>
          </cell>
          <cell r="P1608">
            <v>1290</v>
          </cell>
          <cell r="Q1608"/>
          <cell r="R1608">
            <v>0</v>
          </cell>
          <cell r="S1608"/>
          <cell r="T1608">
            <v>0</v>
          </cell>
          <cell r="U1608" t="str"/>
          <cell r="V1608" t="str"/>
          <cell r="W1608" t="str"/>
          <cell r="X1608" t="str"/>
          <cell r="Y1608"/>
          <cell r="Z1608">
            <v>0</v>
          </cell>
          <cell r="AA1608"/>
          <cell r="AB1608">
            <v>0</v>
          </cell>
          <cell r="AC1608"/>
          <cell r="AD1608">
            <v>0</v>
          </cell>
          <cell r="AE1608"/>
          <cell r="AF1608"/>
          <cell r="AG1608"/>
          <cell r="AH1608"/>
          <cell r="AI1608"/>
          <cell r="AJ1608"/>
          <cell r="AK1608" t="str">
            <v>OL</v>
          </cell>
          <cell r="AL1608">
            <v>151</v>
          </cell>
          <cell r="AM1608">
            <v>236</v>
          </cell>
          <cell r="AN1608" t="str">
            <v>10 Orangeline</v>
          </cell>
          <cell r="AO1608" t="str">
            <v>Central</v>
          </cell>
          <cell r="AP1608" t="str">
            <v>South</v>
          </cell>
          <cell r="AQ1608"/>
          <cell r="AR1608">
            <v>0</v>
          </cell>
          <cell r="AS1608">
            <v>0</v>
          </cell>
        </row>
        <row r="1609">
          <cell r="A1609">
            <v>13213</v>
          </cell>
          <cell r="B1609" t="str">
            <v>RUSTON TRACTOR</v>
          </cell>
          <cell r="C1609" t="str">
            <v>M11153</v>
          </cell>
          <cell r="D1609" t="str">
            <v>Net 30, no pink card</v>
          </cell>
          <cell r="E1609" t="str">
            <v>2%</v>
          </cell>
          <cell r="F1609" t="str">
            <v>Yes</v>
          </cell>
          <cell r="G1609" t="str">
            <v>TX</v>
          </cell>
          <cell r="H1609">
            <v>5</v>
          </cell>
          <cell r="I1609">
            <v>0.7</v>
          </cell>
          <cell r="J1609" t="str">
            <v>Josh Cowden</v>
          </cell>
          <cell r="K1609" t="str">
            <v>RUSTON</v>
          </cell>
          <cell r="L1609" t="str">
            <v>LA</v>
          </cell>
          <cell r="M1609" t="str">
            <v>800-577-8858</v>
          </cell>
          <cell r="N1609"/>
          <cell r="O1609">
            <v>175</v>
          </cell>
          <cell r="P1609">
            <v>752.5</v>
          </cell>
          <cell r="Q1609"/>
          <cell r="R1609">
            <v>0</v>
          </cell>
          <cell r="S1609"/>
          <cell r="T1609">
            <v>0</v>
          </cell>
          <cell r="U1609" t="str"/>
          <cell r="V1609" t="str"/>
          <cell r="W1609" t="str"/>
          <cell r="X1609" t="str"/>
          <cell r="Y1609"/>
          <cell r="Z1609">
            <v>0</v>
          </cell>
          <cell r="AA1609"/>
          <cell r="AB1609">
            <v>0</v>
          </cell>
          <cell r="AC1609"/>
          <cell r="AD1609">
            <v>0</v>
          </cell>
          <cell r="AE1609"/>
          <cell r="AF1609"/>
          <cell r="AG1609"/>
          <cell r="AH1609"/>
          <cell r="AI1609"/>
          <cell r="AJ1609"/>
          <cell r="AK1609" t="str">
            <v>OL</v>
          </cell>
          <cell r="AL1609">
            <v>151</v>
          </cell>
          <cell r="AM1609">
            <v>419</v>
          </cell>
          <cell r="AN1609" t="str">
            <v>10 Orangeline</v>
          </cell>
          <cell r="AO1609" t="str">
            <v>Central</v>
          </cell>
          <cell r="AP1609" t="str">
            <v>South</v>
          </cell>
          <cell r="AQ1609"/>
          <cell r="AR1609">
            <v>0</v>
          </cell>
          <cell r="AS1609">
            <v>0</v>
          </cell>
        </row>
        <row r="1610">
          <cell r="A1610">
            <v>13214</v>
          </cell>
          <cell r="B1610" t="str">
            <v>SAMMY BROUSSARD EQUIPMENT</v>
          </cell>
          <cell r="C1610" t="str">
            <v>M11154</v>
          </cell>
          <cell r="D1610" t="str">
            <v>Net 30, no pink card</v>
          </cell>
          <cell r="E1610" t="str">
            <v>2%</v>
          </cell>
          <cell r="F1610" t="str">
            <v>Yes</v>
          </cell>
          <cell r="G1610" t="str">
            <v>TX</v>
          </cell>
          <cell r="H1610">
            <v>5</v>
          </cell>
          <cell r="I1610">
            <v>0.7</v>
          </cell>
          <cell r="J1610" t="str">
            <v>Josh Cowden</v>
          </cell>
          <cell r="K1610" t="str">
            <v>BREAUX BRIDGE</v>
          </cell>
          <cell r="L1610" t="str">
            <v>LA</v>
          </cell>
          <cell r="M1610" t="str">
            <v>800-577-8858</v>
          </cell>
          <cell r="N1610"/>
          <cell r="O1610">
            <v>320</v>
          </cell>
          <cell r="P1610">
            <v>1376</v>
          </cell>
          <cell r="Q1610"/>
          <cell r="R1610">
            <v>0</v>
          </cell>
          <cell r="S1610"/>
          <cell r="T1610">
            <v>0</v>
          </cell>
          <cell r="U1610" t="str"/>
          <cell r="V1610" t="str"/>
          <cell r="W1610" t="str"/>
          <cell r="X1610" t="str"/>
          <cell r="Y1610"/>
          <cell r="Z1610">
            <v>0</v>
          </cell>
          <cell r="AA1610"/>
          <cell r="AB1610">
            <v>0</v>
          </cell>
          <cell r="AC1610"/>
          <cell r="AD1610">
            <v>0</v>
          </cell>
          <cell r="AE1610"/>
          <cell r="AF1610"/>
          <cell r="AG1610"/>
          <cell r="AH1610"/>
          <cell r="AI1610"/>
          <cell r="AJ1610"/>
          <cell r="AK1610" t="str">
            <v>OL</v>
          </cell>
          <cell r="AL1610">
            <v>151</v>
          </cell>
          <cell r="AM1610">
            <v>236</v>
          </cell>
          <cell r="AN1610" t="str">
            <v>10 Orangeline</v>
          </cell>
          <cell r="AO1610" t="str">
            <v>Central</v>
          </cell>
          <cell r="AP1610" t="str">
            <v>South</v>
          </cell>
          <cell r="AQ1610"/>
          <cell r="AR1610">
            <v>0</v>
          </cell>
          <cell r="AS1610">
            <v>0</v>
          </cell>
        </row>
        <row r="1611">
          <cell r="A1611">
            <v>13382</v>
          </cell>
          <cell r="B1611" t="str">
            <v>SAMMY BROUSSARD EQUIPMENT</v>
          </cell>
          <cell r="C1611" t="str">
            <v>M11154</v>
          </cell>
          <cell r="D1611" t="str">
            <v>Net 30, no pink card</v>
          </cell>
          <cell r="E1611" t="str">
            <v>O1-Northpoint</v>
          </cell>
          <cell r="F1611" t="str">
            <v>Yes</v>
          </cell>
          <cell r="G1611" t="str">
            <v>TX</v>
          </cell>
          <cell r="H1611">
            <v>8</v>
          </cell>
          <cell r="I1611">
            <v>0.7</v>
          </cell>
          <cell r="J1611" t="str">
            <v>Josh Cowden</v>
          </cell>
          <cell r="K1611" t="str">
            <v>BREAUX BRIDGE</v>
          </cell>
          <cell r="L1611" t="str">
            <v>LA</v>
          </cell>
          <cell r="M1611" t="str">
            <v>800-577-8858</v>
          </cell>
          <cell r="N1611"/>
          <cell r="O1611">
            <v>320</v>
          </cell>
          <cell r="P1611">
            <v>1376</v>
          </cell>
          <cell r="Q1611"/>
          <cell r="R1611">
            <v>0</v>
          </cell>
          <cell r="S1611"/>
          <cell r="T1611">
            <v>0</v>
          </cell>
          <cell r="U1611" t="str"/>
          <cell r="V1611" t="str"/>
          <cell r="W1611" t="str"/>
          <cell r="X1611" t="str"/>
          <cell r="Y1611"/>
          <cell r="Z1611">
            <v>0</v>
          </cell>
          <cell r="AA1611"/>
          <cell r="AB1611">
            <v>0</v>
          </cell>
          <cell r="AC1611"/>
          <cell r="AD1611">
            <v>0</v>
          </cell>
          <cell r="AE1611"/>
          <cell r="AF1611"/>
          <cell r="AG1611"/>
          <cell r="AH1611"/>
          <cell r="AI1611"/>
          <cell r="AJ1611"/>
          <cell r="AK1611" t="str">
            <v>OL</v>
          </cell>
          <cell r="AL1611">
            <v>151</v>
          </cell>
          <cell r="AM1611">
            <v>236</v>
          </cell>
          <cell r="AN1611" t="str">
            <v>10 Orangeline</v>
          </cell>
          <cell r="AO1611" t="str">
            <v>Central</v>
          </cell>
          <cell r="AP1611" t="str">
            <v>South</v>
          </cell>
          <cell r="AQ1611"/>
          <cell r="AR1611">
            <v>0</v>
          </cell>
          <cell r="AS1611">
            <v>0</v>
          </cell>
        </row>
        <row r="1612">
          <cell r="A1612" t="str">
            <v>13214A</v>
          </cell>
          <cell r="B1612" t="str">
            <v>SAMMY BROUSSARD EQUIPMENT</v>
          </cell>
          <cell r="C1612" t="str">
            <v>M11154</v>
          </cell>
          <cell r="D1612" t="str">
            <v>Net 30, no pink card</v>
          </cell>
          <cell r="E1612" t="str">
            <v>2%</v>
          </cell>
          <cell r="F1612" t="str">
            <v>Yes</v>
          </cell>
          <cell r="G1612" t="str">
            <v>TX</v>
          </cell>
          <cell r="H1612">
            <v>5</v>
          </cell>
          <cell r="I1612">
            <v>0.7</v>
          </cell>
          <cell r="J1612" t="str">
            <v>Josh Cowden</v>
          </cell>
          <cell r="K1612" t="str">
            <v>LAFAYETTE</v>
          </cell>
          <cell r="L1612" t="str">
            <v>LA</v>
          </cell>
          <cell r="M1612" t="str">
            <v>800-577-8858</v>
          </cell>
          <cell r="N1612"/>
          <cell r="O1612">
            <v>310</v>
          </cell>
          <cell r="P1612">
            <v>1333</v>
          </cell>
          <cell r="Q1612"/>
          <cell r="R1612">
            <v>0</v>
          </cell>
          <cell r="S1612"/>
          <cell r="T1612">
            <v>0</v>
          </cell>
          <cell r="U1612" t="str"/>
          <cell r="V1612" t="str"/>
          <cell r="W1612" t="str"/>
          <cell r="X1612" t="str"/>
          <cell r="Y1612"/>
          <cell r="Z1612">
            <v>0</v>
          </cell>
          <cell r="AA1612"/>
          <cell r="AB1612">
            <v>0</v>
          </cell>
          <cell r="AC1612"/>
          <cell r="AD1612">
            <v>0</v>
          </cell>
          <cell r="AE1612"/>
          <cell r="AF1612"/>
          <cell r="AG1612"/>
          <cell r="AH1612"/>
          <cell r="AI1612"/>
          <cell r="AJ1612"/>
          <cell r="AK1612" t="str">
            <v>OL</v>
          </cell>
          <cell r="AL1612">
            <v>151</v>
          </cell>
          <cell r="AM1612">
            <v>236</v>
          </cell>
          <cell r="AN1612" t="str">
            <v>10 Orangeline</v>
          </cell>
          <cell r="AO1612" t="str">
            <v>Central</v>
          </cell>
          <cell r="AP1612" t="str">
            <v>South</v>
          </cell>
          <cell r="AQ1612"/>
          <cell r="AR1612">
            <v>0</v>
          </cell>
          <cell r="AS1612">
            <v>0</v>
          </cell>
        </row>
        <row r="1613">
          <cell r="A1613" t="str">
            <v>13214B</v>
          </cell>
          <cell r="B1613" t="str">
            <v>SAMMY BROUSSARD EQUIPMENT</v>
          </cell>
          <cell r="C1613" t="str">
            <v>M11154</v>
          </cell>
          <cell r="D1613" t="str">
            <v>Net 30, no pink card</v>
          </cell>
          <cell r="E1613" t="str">
            <v>2%</v>
          </cell>
          <cell r="F1613" t="str">
            <v>Yes</v>
          </cell>
          <cell r="G1613" t="str">
            <v>TX</v>
          </cell>
          <cell r="H1613">
            <v>5</v>
          </cell>
          <cell r="I1613">
            <v>0.7</v>
          </cell>
          <cell r="J1613" t="str">
            <v>Josh Cowden</v>
          </cell>
          <cell r="K1613" t="str">
            <v>NEW IBERIA</v>
          </cell>
          <cell r="L1613" t="str">
            <v>LA</v>
          </cell>
          <cell r="M1613" t="str">
            <v>800-577-8858</v>
          </cell>
          <cell r="N1613"/>
          <cell r="O1613">
            <v>330</v>
          </cell>
          <cell r="P1613">
            <v>1419</v>
          </cell>
          <cell r="Q1613"/>
          <cell r="R1613">
            <v>0</v>
          </cell>
          <cell r="S1613"/>
          <cell r="T1613">
            <v>0</v>
          </cell>
          <cell r="U1613" t="str"/>
          <cell r="V1613" t="str"/>
          <cell r="W1613" t="str"/>
          <cell r="X1613" t="str"/>
          <cell r="Y1613"/>
          <cell r="Z1613">
            <v>0</v>
          </cell>
          <cell r="AA1613"/>
          <cell r="AB1613">
            <v>0</v>
          </cell>
          <cell r="AC1613"/>
          <cell r="AD1613">
            <v>0</v>
          </cell>
          <cell r="AE1613"/>
          <cell r="AF1613"/>
          <cell r="AG1613"/>
          <cell r="AH1613"/>
          <cell r="AI1613"/>
          <cell r="AJ1613"/>
          <cell r="AK1613" t="str">
            <v>OL</v>
          </cell>
          <cell r="AL1613">
            <v>151</v>
          </cell>
          <cell r="AM1613">
            <v>236</v>
          </cell>
          <cell r="AN1613" t="str">
            <v>10 Orangeline</v>
          </cell>
          <cell r="AO1613" t="str">
            <v>Central</v>
          </cell>
          <cell r="AP1613" t="str">
            <v>South</v>
          </cell>
          <cell r="AQ1613"/>
          <cell r="AR1613">
            <v>0</v>
          </cell>
          <cell r="AS1613">
            <v>0</v>
          </cell>
        </row>
        <row r="1614">
          <cell r="A1614" t="str">
            <v>13382A</v>
          </cell>
          <cell r="B1614" t="str">
            <v>SAMMY BROUSSARD EQUIPMENT</v>
          </cell>
          <cell r="C1614" t="str">
            <v>M11154</v>
          </cell>
          <cell r="D1614" t="str">
            <v>Net 30, no pink card</v>
          </cell>
          <cell r="E1614" t="str">
            <v>O1-Northpoint</v>
          </cell>
          <cell r="F1614" t="str">
            <v>Yes</v>
          </cell>
          <cell r="G1614" t="str">
            <v>TX</v>
          </cell>
          <cell r="H1614">
            <v>8</v>
          </cell>
          <cell r="I1614">
            <v>0.7</v>
          </cell>
          <cell r="J1614" t="str">
            <v>Josh Cowden</v>
          </cell>
          <cell r="K1614" t="str">
            <v>LAFAYETTE</v>
          </cell>
          <cell r="L1614" t="str">
            <v>LA</v>
          </cell>
          <cell r="M1614" t="str">
            <v>800-577-8858</v>
          </cell>
          <cell r="N1614"/>
          <cell r="O1614">
            <v>310</v>
          </cell>
          <cell r="P1614">
            <v>1333</v>
          </cell>
          <cell r="Q1614"/>
          <cell r="R1614">
            <v>0</v>
          </cell>
          <cell r="S1614"/>
          <cell r="T1614">
            <v>0</v>
          </cell>
          <cell r="U1614" t="str"/>
          <cell r="V1614" t="str"/>
          <cell r="W1614" t="str"/>
          <cell r="X1614" t="str"/>
          <cell r="Y1614"/>
          <cell r="Z1614">
            <v>0</v>
          </cell>
          <cell r="AA1614"/>
          <cell r="AB1614">
            <v>0</v>
          </cell>
          <cell r="AC1614"/>
          <cell r="AD1614">
            <v>0</v>
          </cell>
          <cell r="AE1614"/>
          <cell r="AF1614"/>
          <cell r="AG1614"/>
          <cell r="AH1614"/>
          <cell r="AI1614"/>
          <cell r="AJ1614"/>
          <cell r="AK1614" t="str">
            <v>OL</v>
          </cell>
          <cell r="AL1614">
            <v>151</v>
          </cell>
          <cell r="AM1614">
            <v>236</v>
          </cell>
          <cell r="AN1614" t="str">
            <v>10 Orangeline</v>
          </cell>
          <cell r="AO1614" t="str">
            <v>Central</v>
          </cell>
          <cell r="AP1614" t="str">
            <v>South</v>
          </cell>
          <cell r="AQ1614"/>
          <cell r="AR1614">
            <v>0</v>
          </cell>
          <cell r="AS1614">
            <v>0</v>
          </cell>
        </row>
        <row r="1615">
          <cell r="A1615" t="str">
            <v>13382B</v>
          </cell>
          <cell r="B1615" t="str">
            <v>SAMMY BROUSSARD EQUIPMENT</v>
          </cell>
          <cell r="C1615" t="str">
            <v>M11154</v>
          </cell>
          <cell r="D1615" t="str">
            <v>Net 30, no pink card</v>
          </cell>
          <cell r="E1615" t="str">
            <v>O1-Northpoint</v>
          </cell>
          <cell r="F1615" t="str">
            <v>Yes</v>
          </cell>
          <cell r="G1615" t="str">
            <v>TX</v>
          </cell>
          <cell r="H1615">
            <v>8</v>
          </cell>
          <cell r="I1615">
            <v>0.7</v>
          </cell>
          <cell r="J1615" t="str">
            <v>Josh Cowden</v>
          </cell>
          <cell r="K1615" t="str">
            <v>NEW IBERIA</v>
          </cell>
          <cell r="L1615" t="str">
            <v>LA</v>
          </cell>
          <cell r="M1615" t="str">
            <v>800-577-8858</v>
          </cell>
          <cell r="N1615"/>
          <cell r="O1615">
            <v>330</v>
          </cell>
          <cell r="P1615">
            <v>1419</v>
          </cell>
          <cell r="Q1615"/>
          <cell r="R1615">
            <v>0</v>
          </cell>
          <cell r="S1615"/>
          <cell r="T1615">
            <v>0</v>
          </cell>
          <cell r="U1615" t="str"/>
          <cell r="V1615" t="str"/>
          <cell r="W1615" t="str"/>
          <cell r="X1615" t="str"/>
          <cell r="Y1615"/>
          <cell r="Z1615">
            <v>0</v>
          </cell>
          <cell r="AA1615"/>
          <cell r="AB1615">
            <v>0</v>
          </cell>
          <cell r="AC1615"/>
          <cell r="AD1615">
            <v>0</v>
          </cell>
          <cell r="AE1615"/>
          <cell r="AF1615"/>
          <cell r="AG1615"/>
          <cell r="AH1615"/>
          <cell r="AI1615"/>
          <cell r="AJ1615"/>
          <cell r="AK1615" t="str">
            <v>OL</v>
          </cell>
          <cell r="AL1615">
            <v>151</v>
          </cell>
          <cell r="AM1615">
            <v>236</v>
          </cell>
          <cell r="AN1615" t="str">
            <v>10 Orangeline</v>
          </cell>
          <cell r="AO1615" t="str">
            <v>Central</v>
          </cell>
          <cell r="AP1615" t="str">
            <v>South</v>
          </cell>
          <cell r="AQ1615"/>
          <cell r="AR1615">
            <v>0</v>
          </cell>
          <cell r="AS1615">
            <v>0</v>
          </cell>
        </row>
        <row r="1616">
          <cell r="A1616">
            <v>13254</v>
          </cell>
          <cell r="B1616" t="str">
            <v>SHREVEPORT TRACTOR</v>
          </cell>
          <cell r="C1616" t="str">
            <v>M11188</v>
          </cell>
          <cell r="D1616" t="str">
            <v>Net 30, no pink card</v>
          </cell>
          <cell r="E1616" t="str">
            <v>2%</v>
          </cell>
          <cell r="F1616" t="str">
            <v>Yes</v>
          </cell>
          <cell r="G1616" t="str">
            <v>TX</v>
          </cell>
          <cell r="H1616">
            <v>5</v>
          </cell>
          <cell r="I1616">
            <v>0.7</v>
          </cell>
          <cell r="J1616" t="str">
            <v>Josh Cowden</v>
          </cell>
          <cell r="K1616" t="str">
            <v>SHREVEPORT</v>
          </cell>
          <cell r="L1616" t="str">
            <v>LA</v>
          </cell>
          <cell r="M1616" t="str">
            <v>800-577-8858</v>
          </cell>
          <cell r="N1616"/>
          <cell r="O1616">
            <v>110</v>
          </cell>
          <cell r="P1616">
            <v>473</v>
          </cell>
          <cell r="Q1616"/>
          <cell r="R1616">
            <v>0</v>
          </cell>
          <cell r="S1616"/>
          <cell r="T1616">
            <v>0</v>
          </cell>
          <cell r="U1616" t="str"/>
          <cell r="V1616" t="str"/>
          <cell r="W1616" t="str"/>
          <cell r="X1616" t="str"/>
          <cell r="Y1616"/>
          <cell r="Z1616">
            <v>0</v>
          </cell>
          <cell r="AA1616"/>
          <cell r="AB1616">
            <v>0</v>
          </cell>
          <cell r="AC1616"/>
          <cell r="AD1616">
            <v>0</v>
          </cell>
          <cell r="AE1616"/>
          <cell r="AF1616"/>
          <cell r="AG1616"/>
          <cell r="AH1616"/>
          <cell r="AI1616"/>
          <cell r="AJ1616"/>
          <cell r="AK1616" t="str">
            <v>OL</v>
          </cell>
          <cell r="AL1616">
            <v>151</v>
          </cell>
          <cell r="AM1616">
            <v>419</v>
          </cell>
          <cell r="AN1616" t="str">
            <v>10 Orangeline</v>
          </cell>
          <cell r="AO1616" t="str">
            <v>Central</v>
          </cell>
          <cell r="AP1616" t="str">
            <v>South</v>
          </cell>
          <cell r="AQ1616"/>
          <cell r="AR1616">
            <v>0</v>
          </cell>
          <cell r="AS1616">
            <v>0</v>
          </cell>
        </row>
        <row r="1617">
          <cell r="A1617">
            <v>13216</v>
          </cell>
          <cell r="B1617" t="str">
            <v>SIMMONS TRACTOR</v>
          </cell>
          <cell r="C1617" t="str">
            <v>M11156</v>
          </cell>
          <cell r="D1617" t="str">
            <v>Net 30, no pink card</v>
          </cell>
          <cell r="E1617" t="str">
            <v>2%</v>
          </cell>
          <cell r="F1617" t="str">
            <v>Yes</v>
          </cell>
          <cell r="G1617" t="str">
            <v>TX</v>
          </cell>
          <cell r="H1617">
            <v>5</v>
          </cell>
          <cell r="I1617">
            <v>0.7</v>
          </cell>
          <cell r="J1617" t="str">
            <v>Josh Cowden</v>
          </cell>
          <cell r="K1617" t="str">
            <v>DERIDDER</v>
          </cell>
          <cell r="L1617" t="str">
            <v>LA</v>
          </cell>
          <cell r="M1617" t="str">
            <v>800-577-8858</v>
          </cell>
          <cell r="N1617"/>
          <cell r="O1617">
            <v>240</v>
          </cell>
          <cell r="P1617">
            <v>1032</v>
          </cell>
          <cell r="Q1617"/>
          <cell r="R1617">
            <v>0</v>
          </cell>
          <cell r="S1617"/>
          <cell r="T1617">
            <v>0</v>
          </cell>
          <cell r="U1617" t="str"/>
          <cell r="V1617" t="str"/>
          <cell r="W1617" t="str"/>
          <cell r="X1617" t="str"/>
          <cell r="Y1617"/>
          <cell r="Z1617">
            <v>0</v>
          </cell>
          <cell r="AA1617"/>
          <cell r="AB1617">
            <v>0</v>
          </cell>
          <cell r="AC1617"/>
          <cell r="AD1617">
            <v>0</v>
          </cell>
          <cell r="AE1617"/>
          <cell r="AF1617"/>
          <cell r="AG1617"/>
          <cell r="AH1617"/>
          <cell r="AI1617"/>
          <cell r="AJ1617"/>
          <cell r="AK1617" t="str">
            <v>OL</v>
          </cell>
          <cell r="AL1617">
            <v>151</v>
          </cell>
          <cell r="AM1617">
            <v>238</v>
          </cell>
          <cell r="AN1617" t="str">
            <v>10 Orangeline</v>
          </cell>
          <cell r="AO1617" t="str">
            <v>Central</v>
          </cell>
          <cell r="AP1617" t="str">
            <v>South</v>
          </cell>
          <cell r="AQ1617"/>
          <cell r="AR1617">
            <v>0</v>
          </cell>
          <cell r="AS1617">
            <v>0</v>
          </cell>
        </row>
        <row r="1618">
          <cell r="A1618">
            <v>13318</v>
          </cell>
          <cell r="B1618" t="str">
            <v>STAR EQUIPMENT</v>
          </cell>
          <cell r="C1618" t="str">
            <v>M11303</v>
          </cell>
          <cell r="D1618" t="str">
            <v>Net 30, no pink card</v>
          </cell>
          <cell r="E1618" t="str">
            <v>2%</v>
          </cell>
          <cell r="F1618" t="str">
            <v>Yes</v>
          </cell>
          <cell r="G1618" t="str">
            <v>GA</v>
          </cell>
          <cell r="H1618">
            <v>5</v>
          </cell>
          <cell r="I1618">
            <v>0.7</v>
          </cell>
          <cell r="J1618" t="str">
            <v>Josh Cowden</v>
          </cell>
          <cell r="K1618" t="str">
            <v>HAMMOND</v>
          </cell>
          <cell r="L1618" t="str">
            <v>LA</v>
          </cell>
          <cell r="M1618" t="str">
            <v>800-577-8858</v>
          </cell>
          <cell r="N1618"/>
          <cell r="O1618">
            <v>380</v>
          </cell>
          <cell r="P1618">
            <v>1634</v>
          </cell>
          <cell r="Q1618"/>
          <cell r="R1618">
            <v>0</v>
          </cell>
          <cell r="S1618"/>
          <cell r="T1618">
            <v>0</v>
          </cell>
          <cell r="U1618" t="str"/>
          <cell r="V1618" t="str"/>
          <cell r="W1618" t="str"/>
          <cell r="X1618" t="str"/>
          <cell r="Y1618"/>
          <cell r="Z1618">
            <v>0</v>
          </cell>
          <cell r="AA1618"/>
          <cell r="AB1618">
            <v>0</v>
          </cell>
          <cell r="AC1618"/>
          <cell r="AD1618">
            <v>0</v>
          </cell>
          <cell r="AE1618"/>
          <cell r="AF1618"/>
          <cell r="AG1618"/>
          <cell r="AH1618"/>
          <cell r="AI1618"/>
          <cell r="AJ1618"/>
          <cell r="AK1618" t="str">
            <v>OL</v>
          </cell>
          <cell r="AL1618">
            <v>151</v>
          </cell>
          <cell r="AM1618">
            <v>180</v>
          </cell>
          <cell r="AN1618" t="str">
            <v>10 Orangeline</v>
          </cell>
          <cell r="AO1618" t="str">
            <v>Central</v>
          </cell>
          <cell r="AP1618" t="str">
            <v>South</v>
          </cell>
          <cell r="AQ1618"/>
          <cell r="AR1618">
            <v>0</v>
          </cell>
          <cell r="AS1618">
            <v>0</v>
          </cell>
        </row>
        <row r="1619">
          <cell r="A1619">
            <v>13303</v>
          </cell>
          <cell r="B1619" t="str">
            <v>ALL ROADS KUBOTA</v>
          </cell>
          <cell r="C1619" t="str">
            <v>M11259</v>
          </cell>
          <cell r="D1619" t="str">
            <v>Net 30, no pink card</v>
          </cell>
          <cell r="E1619" t="str">
            <v>2%</v>
          </cell>
          <cell r="F1619" t="str">
            <v>Yes</v>
          </cell>
          <cell r="G1619" t="str">
            <v>GA</v>
          </cell>
          <cell r="H1619">
            <v>5</v>
          </cell>
          <cell r="I1619">
            <v>0.7</v>
          </cell>
          <cell r="J1619" t="str">
            <v>Jimmy L Smith</v>
          </cell>
          <cell r="K1619" t="str">
            <v>BEL AIR</v>
          </cell>
          <cell r="L1619" t="str">
            <v>MD</v>
          </cell>
          <cell r="M1619" t="str">
            <v>800-577-8858</v>
          </cell>
          <cell r="N1619"/>
          <cell r="O1619"/>
          <cell r="P1619">
            <v>0</v>
          </cell>
          <cell r="Q1619">
            <v>817</v>
          </cell>
          <cell r="R1619">
            <v>3513.1</v>
          </cell>
          <cell r="S1619"/>
          <cell r="T1619">
            <v>0</v>
          </cell>
          <cell r="U1619" t="str"/>
          <cell r="V1619" t="str"/>
          <cell r="W1619" t="str"/>
          <cell r="X1619" t="str"/>
          <cell r="Y1619">
            <v>520</v>
          </cell>
          <cell r="Z1619">
            <v>2236</v>
          </cell>
          <cell r="AA1619">
            <v>520</v>
          </cell>
          <cell r="AB1619">
            <v>2236</v>
          </cell>
          <cell r="AC1619">
            <v>520</v>
          </cell>
          <cell r="AD1619">
            <v>2236</v>
          </cell>
          <cell r="AE1619"/>
          <cell r="AF1619"/>
          <cell r="AG1619"/>
          <cell r="AH1619"/>
          <cell r="AI1619"/>
          <cell r="AJ1619"/>
          <cell r="AK1619" t="str">
            <v>OL</v>
          </cell>
          <cell r="AL1619">
            <v>151</v>
          </cell>
          <cell r="AM1619">
            <v>29</v>
          </cell>
          <cell r="AN1619" t="str">
            <v>10 Orangeline</v>
          </cell>
          <cell r="AO1619" t="str">
            <v>Southeast</v>
          </cell>
          <cell r="AP1619" t="str">
            <v>North</v>
          </cell>
          <cell r="AQ1619"/>
          <cell r="AR1619">
            <v>0</v>
          </cell>
          <cell r="AS1619">
            <v>0</v>
          </cell>
        </row>
        <row r="1620">
          <cell r="A1620" t="str">
            <v>13303A</v>
          </cell>
          <cell r="B1620" t="str">
            <v>ALL ROADS KUBOTA</v>
          </cell>
          <cell r="C1620" t="str">
            <v>M11259</v>
          </cell>
          <cell r="D1620" t="str">
            <v>Net 30, no pink card</v>
          </cell>
          <cell r="E1620" t="str">
            <v>2%</v>
          </cell>
          <cell r="F1620" t="str">
            <v>Yes</v>
          </cell>
          <cell r="G1620" t="str">
            <v>GA</v>
          </cell>
          <cell r="H1620">
            <v>5</v>
          </cell>
          <cell r="I1620">
            <v>0.7</v>
          </cell>
          <cell r="J1620" t="str">
            <v>Jimmy L Smith</v>
          </cell>
          <cell r="K1620" t="str">
            <v>DUNDALK</v>
          </cell>
          <cell r="L1620" t="str">
            <v>MD</v>
          </cell>
          <cell r="M1620" t="str">
            <v>800-577-8858</v>
          </cell>
          <cell r="N1620"/>
          <cell r="O1620"/>
          <cell r="P1620">
            <v>0</v>
          </cell>
          <cell r="Q1620">
            <v>800</v>
          </cell>
          <cell r="R1620">
            <v>3440</v>
          </cell>
          <cell r="S1620"/>
          <cell r="T1620">
            <v>0</v>
          </cell>
          <cell r="U1620" t="str"/>
          <cell r="V1620" t="str"/>
          <cell r="W1620" t="str"/>
          <cell r="X1620" t="str"/>
          <cell r="Y1620">
            <v>500</v>
          </cell>
          <cell r="Z1620">
            <v>2150</v>
          </cell>
          <cell r="AA1620">
            <v>500</v>
          </cell>
          <cell r="AB1620">
            <v>2150</v>
          </cell>
          <cell r="AC1620">
            <v>500</v>
          </cell>
          <cell r="AD1620">
            <v>2150</v>
          </cell>
          <cell r="AE1620"/>
          <cell r="AF1620"/>
          <cell r="AG1620"/>
          <cell r="AH1620"/>
          <cell r="AI1620"/>
          <cell r="AJ1620"/>
          <cell r="AK1620" t="str">
            <v>OL</v>
          </cell>
          <cell r="AL1620">
            <v>151</v>
          </cell>
          <cell r="AM1620">
            <v>29</v>
          </cell>
          <cell r="AN1620" t="str">
            <v>10 Orangeline</v>
          </cell>
          <cell r="AO1620" t="str">
            <v>Southeast</v>
          </cell>
          <cell r="AP1620" t="str">
            <v>North</v>
          </cell>
          <cell r="AQ1620"/>
          <cell r="AR1620">
            <v>0</v>
          </cell>
          <cell r="AS1620">
            <v>0</v>
          </cell>
        </row>
        <row r="1621">
          <cell r="A1621" t="str">
            <v>13303B</v>
          </cell>
          <cell r="B1621" t="str">
            <v>ALL ROADS KUBOTA</v>
          </cell>
          <cell r="C1621" t="str">
            <v>M11259</v>
          </cell>
          <cell r="D1621" t="str">
            <v>Net 30, no pink card</v>
          </cell>
          <cell r="E1621" t="str">
            <v>2%</v>
          </cell>
          <cell r="F1621" t="str">
            <v>Yes</v>
          </cell>
          <cell r="G1621" t="str">
            <v>GA</v>
          </cell>
          <cell r="H1621">
            <v>5</v>
          </cell>
          <cell r="I1621">
            <v>0.7</v>
          </cell>
          <cell r="J1621" t="str">
            <v>Jimmy L Smith</v>
          </cell>
          <cell r="K1621" t="str">
            <v>ABERDEEN</v>
          </cell>
          <cell r="L1621" t="str">
            <v>MD</v>
          </cell>
          <cell r="M1621" t="str">
            <v>800-577-8858</v>
          </cell>
          <cell r="N1621"/>
          <cell r="O1621">
            <v>1330</v>
          </cell>
          <cell r="P1621">
            <v>5719</v>
          </cell>
          <cell r="Q1621">
            <v>780</v>
          </cell>
          <cell r="R1621">
            <v>3354</v>
          </cell>
          <cell r="S1621"/>
          <cell r="T1621">
            <v>0</v>
          </cell>
          <cell r="U1621" t="str"/>
          <cell r="V1621" t="str"/>
          <cell r="W1621" t="str"/>
          <cell r="X1621" t="str"/>
          <cell r="Y1621">
            <v>540</v>
          </cell>
          <cell r="Z1621">
            <v>2322</v>
          </cell>
          <cell r="AA1621">
            <v>540</v>
          </cell>
          <cell r="AB1621">
            <v>2322</v>
          </cell>
          <cell r="AC1621">
            <v>540</v>
          </cell>
          <cell r="AD1621">
            <v>2322</v>
          </cell>
          <cell r="AE1621"/>
          <cell r="AF1621"/>
          <cell r="AG1621"/>
          <cell r="AH1621"/>
          <cell r="AI1621"/>
          <cell r="AJ1621"/>
          <cell r="AK1621" t="str">
            <v>OL</v>
          </cell>
          <cell r="AL1621">
            <v>151</v>
          </cell>
          <cell r="AM1621">
            <v>29</v>
          </cell>
          <cell r="AN1621" t="str">
            <v>10 Orangeline</v>
          </cell>
          <cell r="AO1621" t="str">
            <v>Southeast</v>
          </cell>
          <cell r="AP1621" t="str">
            <v>North</v>
          </cell>
          <cell r="AQ1621"/>
          <cell r="AR1621">
            <v>0</v>
          </cell>
          <cell r="AS1621">
            <v>0</v>
          </cell>
        </row>
        <row r="1622">
          <cell r="A1622">
            <v>13661</v>
          </cell>
          <cell r="B1622" t="str">
            <v>ANTIETAM TRACTOR</v>
          </cell>
          <cell r="C1622" t="str">
            <v>M11326</v>
          </cell>
          <cell r="D1622" t="str">
            <v>Net 30, no pink card</v>
          </cell>
          <cell r="E1622" t="str">
            <v>2%</v>
          </cell>
          <cell r="F1622" t="str">
            <v>Yes</v>
          </cell>
          <cell r="G1622" t="str">
            <v>GA</v>
          </cell>
          <cell r="H1622">
            <v>5</v>
          </cell>
          <cell r="I1622">
            <v>0.7</v>
          </cell>
          <cell r="J1622" t="str">
            <v>Jimmy L Smith</v>
          </cell>
          <cell r="K1622" t="str">
            <v>HAGERSTOWN</v>
          </cell>
          <cell r="L1622" t="str">
            <v>MD</v>
          </cell>
          <cell r="M1622" t="str">
            <v>800-577-8858</v>
          </cell>
          <cell r="N1622"/>
          <cell r="O1622"/>
          <cell r="P1622">
            <v>0</v>
          </cell>
          <cell r="Q1622">
            <v>733</v>
          </cell>
          <cell r="R1622">
            <v>3151.9</v>
          </cell>
          <cell r="S1622"/>
          <cell r="T1622">
            <v>0</v>
          </cell>
          <cell r="U1622" t="str"/>
          <cell r="V1622" t="str"/>
          <cell r="W1622" t="str"/>
          <cell r="X1622" t="str"/>
          <cell r="Y1622">
            <v>420</v>
          </cell>
          <cell r="Z1622">
            <v>1806</v>
          </cell>
          <cell r="AA1622">
            <v>420</v>
          </cell>
          <cell r="AB1622">
            <v>1806</v>
          </cell>
          <cell r="AC1622">
            <v>420</v>
          </cell>
          <cell r="AD1622">
            <v>1806</v>
          </cell>
          <cell r="AE1622"/>
          <cell r="AF1622"/>
          <cell r="AG1622"/>
          <cell r="AH1622"/>
          <cell r="AI1622"/>
          <cell r="AJ1622"/>
          <cell r="AK1622" t="str">
            <v>OL</v>
          </cell>
          <cell r="AL1622">
            <v>151</v>
          </cell>
          <cell r="AM1622">
            <v>179</v>
          </cell>
          <cell r="AN1622" t="str">
            <v>10 Orangeline</v>
          </cell>
          <cell r="AO1622" t="str">
            <v>Southeast</v>
          </cell>
          <cell r="AP1622" t="str">
            <v>North</v>
          </cell>
          <cell r="AQ1622"/>
          <cell r="AR1622">
            <v>0</v>
          </cell>
          <cell r="AS1622">
            <v>0</v>
          </cell>
        </row>
        <row r="1623">
          <cell r="A1623">
            <v>13348</v>
          </cell>
          <cell r="B1623" t="str">
            <v>RIPPEON EQUIPMENT (Gaithersburg)</v>
          </cell>
          <cell r="C1623" t="str">
            <v>M11311</v>
          </cell>
          <cell r="D1623" t="str">
            <v>Net 30, no pink card</v>
          </cell>
          <cell r="E1623" t="str">
            <v>2%</v>
          </cell>
          <cell r="F1623" t="str">
            <v>Yes</v>
          </cell>
          <cell r="G1623" t="str">
            <v>GA</v>
          </cell>
          <cell r="H1623">
            <v>5</v>
          </cell>
          <cell r="I1623">
            <v>0.7</v>
          </cell>
          <cell r="J1623" t="str">
            <v>Jimmy L Smith</v>
          </cell>
          <cell r="K1623" t="str">
            <v>FREDERICK</v>
          </cell>
          <cell r="L1623" t="str">
            <v>MD</v>
          </cell>
          <cell r="M1623" t="str">
            <v>800-577-8858</v>
          </cell>
          <cell r="N1623"/>
          <cell r="O1623"/>
          <cell r="P1623">
            <v>0</v>
          </cell>
          <cell r="Q1623">
            <v>800</v>
          </cell>
          <cell r="R1623">
            <v>3440</v>
          </cell>
          <cell r="S1623"/>
          <cell r="T1623">
            <v>0</v>
          </cell>
          <cell r="U1623" t="str"/>
          <cell r="V1623" t="str"/>
          <cell r="W1623" t="str"/>
          <cell r="X1623" t="str"/>
          <cell r="Y1623">
            <v>445</v>
          </cell>
          <cell r="Z1623">
            <v>1913.5</v>
          </cell>
          <cell r="AA1623">
            <v>445</v>
          </cell>
          <cell r="AB1623">
            <v>1913.5</v>
          </cell>
          <cell r="AC1623">
            <v>445</v>
          </cell>
          <cell r="AD1623">
            <v>1913.5</v>
          </cell>
          <cell r="AE1623"/>
          <cell r="AF1623"/>
          <cell r="AG1623"/>
          <cell r="AH1623"/>
          <cell r="AI1623"/>
          <cell r="AJ1623"/>
          <cell r="AK1623" t="str">
            <v>OL</v>
          </cell>
          <cell r="AL1623">
            <v>151</v>
          </cell>
          <cell r="AM1623">
            <v>461</v>
          </cell>
          <cell r="AN1623" t="str">
            <v>10 Orangeline</v>
          </cell>
          <cell r="AO1623" t="str">
            <v>Southeast</v>
          </cell>
          <cell r="AP1623" t="str">
            <v>North</v>
          </cell>
          <cell r="AQ1623"/>
          <cell r="AR1623">
            <v>0</v>
          </cell>
          <cell r="AS1623">
            <v>0</v>
          </cell>
        </row>
        <row r="1624">
          <cell r="A1624" t="str">
            <v>13348A</v>
          </cell>
          <cell r="B1624" t="str">
            <v>RIPPEON EQUIPMENT (Gaithersburg)</v>
          </cell>
          <cell r="C1624" t="str">
            <v>M11311</v>
          </cell>
          <cell r="D1624" t="str">
            <v>Net 30, no pink card</v>
          </cell>
          <cell r="E1624" t="str">
            <v>2%</v>
          </cell>
          <cell r="F1624" t="str">
            <v>Yes</v>
          </cell>
          <cell r="G1624" t="str">
            <v>GA</v>
          </cell>
          <cell r="H1624">
            <v>5</v>
          </cell>
          <cell r="I1624">
            <v>0.7</v>
          </cell>
          <cell r="J1624" t="str">
            <v>Jimmy L Smith</v>
          </cell>
          <cell r="K1624" t="str">
            <v>GAITHERSBURG</v>
          </cell>
          <cell r="L1624" t="str">
            <v>MD</v>
          </cell>
          <cell r="M1624" t="str">
            <v>800-577-8858</v>
          </cell>
          <cell r="N1624"/>
          <cell r="O1624"/>
          <cell r="P1624">
            <v>0</v>
          </cell>
          <cell r="Q1624">
            <v>775</v>
          </cell>
          <cell r="R1624">
            <v>3332.5</v>
          </cell>
          <cell r="S1624"/>
          <cell r="T1624">
            <v>0</v>
          </cell>
          <cell r="U1624" t="str"/>
          <cell r="V1624" t="str"/>
          <cell r="W1624" t="str"/>
          <cell r="X1624" t="str"/>
          <cell r="Y1624">
            <v>465</v>
          </cell>
          <cell r="Z1624">
            <v>1999.5</v>
          </cell>
          <cell r="AA1624">
            <v>465</v>
          </cell>
          <cell r="AB1624">
            <v>1999.5</v>
          </cell>
          <cell r="AC1624">
            <v>465</v>
          </cell>
          <cell r="AD1624">
            <v>1999.5</v>
          </cell>
          <cell r="AE1624"/>
          <cell r="AF1624"/>
          <cell r="AG1624"/>
          <cell r="AH1624"/>
          <cell r="AI1624"/>
          <cell r="AJ1624"/>
          <cell r="AK1624" t="str">
            <v>OL</v>
          </cell>
          <cell r="AL1624">
            <v>151</v>
          </cell>
          <cell r="AM1624">
            <v>461</v>
          </cell>
          <cell r="AN1624" t="str">
            <v>10 Orangeline</v>
          </cell>
          <cell r="AO1624" t="str">
            <v>Southeast</v>
          </cell>
          <cell r="AP1624" t="str">
            <v>North</v>
          </cell>
          <cell r="AQ1624"/>
          <cell r="AR1624">
            <v>0</v>
          </cell>
          <cell r="AS1624">
            <v>0</v>
          </cell>
        </row>
        <row r="1625">
          <cell r="A1625" t="str">
            <v>13348B</v>
          </cell>
          <cell r="B1625" t="str">
            <v>RIPPEON EQUIPMENT (Gaithersburg)</v>
          </cell>
          <cell r="C1625" t="str">
            <v>M11311</v>
          </cell>
          <cell r="D1625" t="str">
            <v>Net 30, no pink card</v>
          </cell>
          <cell r="E1625" t="str">
            <v>2%</v>
          </cell>
          <cell r="F1625" t="str">
            <v>Yes</v>
          </cell>
          <cell r="G1625" t="str">
            <v>GA</v>
          </cell>
          <cell r="H1625">
            <v>5</v>
          </cell>
          <cell r="I1625">
            <v>0.7</v>
          </cell>
          <cell r="J1625" t="str">
            <v>Jimmy L Smith</v>
          </cell>
          <cell r="K1625" t="str">
            <v>WESTMINSTER</v>
          </cell>
          <cell r="L1625" t="str">
            <v>MD</v>
          </cell>
          <cell r="M1625" t="str">
            <v>800-577-8858</v>
          </cell>
          <cell r="N1625"/>
          <cell r="O1625"/>
          <cell r="P1625">
            <v>0</v>
          </cell>
          <cell r="Q1625">
            <v>805</v>
          </cell>
          <cell r="R1625">
            <v>3461.5</v>
          </cell>
          <cell r="S1625"/>
          <cell r="T1625">
            <v>0</v>
          </cell>
          <cell r="U1625" t="str"/>
          <cell r="V1625" t="str"/>
          <cell r="W1625" t="str"/>
          <cell r="X1625" t="str"/>
          <cell r="Y1625">
            <v>475</v>
          </cell>
          <cell r="Z1625">
            <v>2042.5</v>
          </cell>
          <cell r="AA1625">
            <v>475</v>
          </cell>
          <cell r="AB1625">
            <v>2042.5</v>
          </cell>
          <cell r="AC1625">
            <v>475</v>
          </cell>
          <cell r="AD1625">
            <v>2042.5</v>
          </cell>
          <cell r="AE1625"/>
          <cell r="AF1625"/>
          <cell r="AG1625"/>
          <cell r="AH1625"/>
          <cell r="AI1625"/>
          <cell r="AJ1625"/>
          <cell r="AK1625" t="str">
            <v>OL</v>
          </cell>
          <cell r="AL1625">
            <v>151</v>
          </cell>
          <cell r="AM1625">
            <v>29</v>
          </cell>
          <cell r="AN1625" t="str">
            <v>10 Orangeline</v>
          </cell>
          <cell r="AO1625" t="str">
            <v>Southeast</v>
          </cell>
          <cell r="AP1625" t="str">
            <v>North</v>
          </cell>
          <cell r="AQ1625"/>
          <cell r="AR1625">
            <v>0</v>
          </cell>
          <cell r="AS1625">
            <v>0</v>
          </cell>
        </row>
        <row r="1626">
          <cell r="A1626">
            <v>13465</v>
          </cell>
          <cell r="B1626" t="str">
            <v>WESTERN MD OUTDOOR</v>
          </cell>
          <cell r="C1626" t="str">
            <v>M11441</v>
          </cell>
          <cell r="D1626" t="str">
            <v>Net 30, no pink card</v>
          </cell>
          <cell r="E1626" t="str">
            <v>2%</v>
          </cell>
          <cell r="F1626" t="str">
            <v>Yes</v>
          </cell>
          <cell r="G1626" t="str">
            <v>GA</v>
          </cell>
          <cell r="H1626">
            <v>5</v>
          </cell>
          <cell r="I1626">
            <v>0.7</v>
          </cell>
          <cell r="J1626" t="str">
            <v>Jimmy L Smith</v>
          </cell>
          <cell r="K1626" t="str">
            <v>CUMBERLAND</v>
          </cell>
          <cell r="L1626" t="str">
            <v>MD</v>
          </cell>
          <cell r="M1626" t="str">
            <v>800-577-8858</v>
          </cell>
          <cell r="N1626"/>
          <cell r="O1626"/>
          <cell r="P1626">
            <v>0</v>
          </cell>
          <cell r="Q1626">
            <v>775</v>
          </cell>
          <cell r="R1626">
            <v>3332.5</v>
          </cell>
          <cell r="S1626"/>
          <cell r="T1626">
            <v>0</v>
          </cell>
          <cell r="U1626" t="str"/>
          <cell r="V1626" t="str"/>
          <cell r="W1626" t="str"/>
          <cell r="X1626" t="str"/>
          <cell r="Y1626">
            <v>360</v>
          </cell>
          <cell r="Z1626">
            <v>1548</v>
          </cell>
          <cell r="AA1626">
            <v>360</v>
          </cell>
          <cell r="AB1626">
            <v>1548</v>
          </cell>
          <cell r="AC1626">
            <v>360</v>
          </cell>
          <cell r="AD1626">
            <v>1548</v>
          </cell>
          <cell r="AE1626"/>
          <cell r="AF1626"/>
          <cell r="AG1626"/>
          <cell r="AH1626"/>
          <cell r="AI1626"/>
          <cell r="AJ1626"/>
          <cell r="AK1626" t="str">
            <v>OL</v>
          </cell>
          <cell r="AL1626">
            <v>151</v>
          </cell>
          <cell r="AM1626">
            <v>100</v>
          </cell>
          <cell r="AN1626" t="str">
            <v>10 Orangeline</v>
          </cell>
          <cell r="AO1626" t="str">
            <v>Southeast</v>
          </cell>
          <cell r="AP1626" t="str">
            <v>North</v>
          </cell>
          <cell r="AQ1626"/>
          <cell r="AR1626">
            <v>0</v>
          </cell>
          <cell r="AS1626">
            <v>0</v>
          </cell>
        </row>
        <row r="1627">
          <cell r="A1627" t="str">
            <v>13465A</v>
          </cell>
          <cell r="B1627" t="str">
            <v>WESTERN MD OUTDOOR</v>
          </cell>
          <cell r="C1627" t="str">
            <v>M11441</v>
          </cell>
          <cell r="D1627" t="str">
            <v>Net 30, no pink card</v>
          </cell>
          <cell r="E1627" t="str">
            <v>2%</v>
          </cell>
          <cell r="F1627" t="str">
            <v>Yes</v>
          </cell>
          <cell r="G1627" t="str">
            <v>GA</v>
          </cell>
          <cell r="H1627">
            <v>5</v>
          </cell>
          <cell r="I1627">
            <v>0.7</v>
          </cell>
          <cell r="J1627" t="str">
            <v>Jimmy L Smith</v>
          </cell>
          <cell r="K1627" t="str">
            <v>FREDERICK</v>
          </cell>
          <cell r="L1627" t="str">
            <v>MD</v>
          </cell>
          <cell r="M1627" t="str">
            <v>800-577-8858</v>
          </cell>
          <cell r="N1627"/>
          <cell r="O1627"/>
          <cell r="P1627">
            <v>0</v>
          </cell>
          <cell r="Q1627">
            <v>800</v>
          </cell>
          <cell r="R1627">
            <v>3440</v>
          </cell>
          <cell r="S1627"/>
          <cell r="T1627">
            <v>0</v>
          </cell>
          <cell r="U1627" t="str"/>
          <cell r="V1627" t="str"/>
          <cell r="W1627" t="str"/>
          <cell r="X1627" t="str"/>
          <cell r="Y1627">
            <v>445</v>
          </cell>
          <cell r="Z1627">
            <v>1913.5</v>
          </cell>
          <cell r="AA1627">
            <v>445</v>
          </cell>
          <cell r="AB1627">
            <v>1913.5</v>
          </cell>
          <cell r="AC1627">
            <v>445</v>
          </cell>
          <cell r="AD1627">
            <v>1913.5</v>
          </cell>
          <cell r="AE1627"/>
          <cell r="AF1627"/>
          <cell r="AG1627"/>
          <cell r="AH1627"/>
          <cell r="AI1627"/>
          <cell r="AJ1627"/>
          <cell r="AK1627" t="str">
            <v>OL</v>
          </cell>
          <cell r="AL1627">
            <v>151</v>
          </cell>
          <cell r="AM1627">
            <v>461</v>
          </cell>
          <cell r="AN1627" t="str">
            <v>10 Orangeline</v>
          </cell>
          <cell r="AO1627" t="str">
            <v>Southeast</v>
          </cell>
          <cell r="AP1627" t="str">
            <v>North</v>
          </cell>
          <cell r="AQ1627"/>
          <cell r="AR1627">
            <v>0</v>
          </cell>
          <cell r="AS1627">
            <v>0</v>
          </cell>
        </row>
        <row r="1628">
          <cell r="A1628">
            <v>13460</v>
          </cell>
          <cell r="B1628" t="str">
            <v>UNION FARM</v>
          </cell>
          <cell r="C1628" t="str">
            <v>M11226</v>
          </cell>
          <cell r="D1628" t="str">
            <v>Net 30, no pink card</v>
          </cell>
          <cell r="E1628" t="str">
            <v>2%</v>
          </cell>
          <cell r="F1628" t="str">
            <v>Yes</v>
          </cell>
          <cell r="G1628" t="str">
            <v>OH</v>
          </cell>
          <cell r="H1628">
            <v>5</v>
          </cell>
          <cell r="I1628">
            <v>0.7</v>
          </cell>
          <cell r="J1628" t="str">
            <v>Jimmy L Smith</v>
          </cell>
          <cell r="K1628" t="str">
            <v xml:space="preserve">UNION </v>
          </cell>
          <cell r="L1628" t="str">
            <v>ME</v>
          </cell>
          <cell r="M1628" t="str">
            <v>800-577-8902</v>
          </cell>
          <cell r="N1628"/>
          <cell r="O1628"/>
          <cell r="P1628">
            <v>0</v>
          </cell>
          <cell r="Q1628"/>
          <cell r="R1628">
            <v>0</v>
          </cell>
          <cell r="S1628"/>
          <cell r="T1628">
            <v>0</v>
          </cell>
          <cell r="U1628" t="str"/>
          <cell r="V1628" t="str"/>
          <cell r="W1628" t="str"/>
          <cell r="X1628" t="str"/>
          <cell r="Y1628">
            <v>1100</v>
          </cell>
          <cell r="Z1628">
            <v>4730</v>
          </cell>
          <cell r="AA1628">
            <v>1100</v>
          </cell>
          <cell r="AB1628">
            <v>4730</v>
          </cell>
          <cell r="AC1628">
            <v>1100</v>
          </cell>
          <cell r="AD1628">
            <v>4730</v>
          </cell>
          <cell r="AE1628"/>
          <cell r="AF1628"/>
          <cell r="AG1628"/>
          <cell r="AH1628"/>
          <cell r="AI1628"/>
          <cell r="AJ1628"/>
          <cell r="AK1628" t="str">
            <v>OL</v>
          </cell>
          <cell r="AL1628">
            <v>151</v>
          </cell>
          <cell r="AM1628">
            <v>30</v>
          </cell>
          <cell r="AN1628" t="str">
            <v>10 Orangeline</v>
          </cell>
          <cell r="AO1628" t="str">
            <v>North</v>
          </cell>
          <cell r="AP1628" t="str">
            <v>North</v>
          </cell>
          <cell r="AQ1628"/>
          <cell r="AR1628">
            <v>0</v>
          </cell>
          <cell r="AS1628">
            <v>0</v>
          </cell>
        </row>
        <row r="1629">
          <cell r="A1629">
            <v>13419</v>
          </cell>
          <cell r="B1629" t="str">
            <v>ALDERMAN'S</v>
          </cell>
          <cell r="C1629" t="str">
            <v>M11185</v>
          </cell>
          <cell r="D1629" t="str">
            <v>Net 30, no pink card</v>
          </cell>
          <cell r="E1629" t="str">
            <v>2%</v>
          </cell>
          <cell r="F1629" t="str">
            <v>Yes</v>
          </cell>
          <cell r="G1629" t="str">
            <v>OH</v>
          </cell>
          <cell r="H1629">
            <v>5</v>
          </cell>
          <cell r="I1629">
            <v>0.7</v>
          </cell>
          <cell r="J1629" t="str">
            <v>Jimmy L Smith</v>
          </cell>
          <cell r="K1629" t="str">
            <v xml:space="preserve">LENNON </v>
          </cell>
          <cell r="L1629" t="str">
            <v>MI</v>
          </cell>
          <cell r="M1629" t="str">
            <v>800-577-8861</v>
          </cell>
          <cell r="N1629"/>
          <cell r="O1629"/>
          <cell r="P1629">
            <v>0</v>
          </cell>
          <cell r="Q1629"/>
          <cell r="R1629">
            <v>0</v>
          </cell>
          <cell r="S1629"/>
          <cell r="T1629">
            <v>0</v>
          </cell>
          <cell r="U1629" t="str"/>
          <cell r="V1629" t="str"/>
          <cell r="W1629" t="str"/>
          <cell r="X1629" t="str"/>
          <cell r="Y1629">
            <v>330</v>
          </cell>
          <cell r="Z1629">
            <v>1419</v>
          </cell>
          <cell r="AA1629">
            <v>330</v>
          </cell>
          <cell r="AB1629">
            <v>1419</v>
          </cell>
          <cell r="AC1629">
            <v>330</v>
          </cell>
          <cell r="AD1629">
            <v>1419</v>
          </cell>
          <cell r="AE1629"/>
          <cell r="AF1629"/>
          <cell r="AG1629"/>
          <cell r="AH1629"/>
          <cell r="AI1629"/>
          <cell r="AJ1629"/>
          <cell r="AK1629" t="str">
            <v>OL</v>
          </cell>
          <cell r="AL1629">
            <v>151</v>
          </cell>
          <cell r="AM1629">
            <v>145</v>
          </cell>
          <cell r="AN1629" t="str">
            <v>10 Orangeline</v>
          </cell>
          <cell r="AO1629" t="str">
            <v>North</v>
          </cell>
          <cell r="AP1629" t="str">
            <v>North</v>
          </cell>
          <cell r="AQ1629"/>
          <cell r="AR1629">
            <v>0</v>
          </cell>
          <cell r="AS1629">
            <v>0</v>
          </cell>
        </row>
        <row r="1630">
          <cell r="A1630">
            <v>13463</v>
          </cell>
          <cell r="B1630" t="str">
            <v>CAPITAL EQUIPMENT</v>
          </cell>
          <cell r="C1630" t="str">
            <v>M11230</v>
          </cell>
          <cell r="D1630" t="str">
            <v>Net 30, no pink card</v>
          </cell>
          <cell r="E1630" t="str">
            <v>2%</v>
          </cell>
          <cell r="F1630" t="str">
            <v>Yes</v>
          </cell>
          <cell r="G1630" t="str">
            <v>OH</v>
          </cell>
          <cell r="H1630">
            <v>5</v>
          </cell>
          <cell r="I1630">
            <v>0.7</v>
          </cell>
          <cell r="J1630" t="str">
            <v>Jimmy L Smith</v>
          </cell>
          <cell r="K1630" t="str">
            <v>DEWITT</v>
          </cell>
          <cell r="L1630" t="str">
            <v>MI</v>
          </cell>
          <cell r="M1630" t="str">
            <v>800-577-8861</v>
          </cell>
          <cell r="N1630"/>
          <cell r="O1630"/>
          <cell r="P1630">
            <v>0</v>
          </cell>
          <cell r="Q1630"/>
          <cell r="R1630">
            <v>0</v>
          </cell>
          <cell r="S1630"/>
          <cell r="T1630">
            <v>0</v>
          </cell>
          <cell r="U1630" t="str"/>
          <cell r="V1630" t="str"/>
          <cell r="W1630" t="str"/>
          <cell r="X1630" t="str"/>
          <cell r="Y1630">
            <v>340</v>
          </cell>
          <cell r="Z1630">
            <v>1462</v>
          </cell>
          <cell r="AA1630">
            <v>340</v>
          </cell>
          <cell r="AB1630">
            <v>1462</v>
          </cell>
          <cell r="AC1630">
            <v>340</v>
          </cell>
          <cell r="AD1630">
            <v>1462</v>
          </cell>
          <cell r="AE1630"/>
          <cell r="AF1630"/>
          <cell r="AG1630"/>
          <cell r="AH1630"/>
          <cell r="AI1630"/>
          <cell r="AJ1630"/>
          <cell r="AK1630" t="str">
            <v>OL</v>
          </cell>
          <cell r="AL1630">
            <v>151</v>
          </cell>
          <cell r="AM1630">
            <v>241</v>
          </cell>
          <cell r="AN1630" t="str">
            <v>10 Orangeline</v>
          </cell>
          <cell r="AO1630" t="str">
            <v>North</v>
          </cell>
          <cell r="AP1630" t="str">
            <v>North</v>
          </cell>
          <cell r="AQ1630"/>
          <cell r="AR1630">
            <v>0</v>
          </cell>
          <cell r="AS1630">
            <v>0</v>
          </cell>
        </row>
        <row r="1631">
          <cell r="A1631" t="str">
            <v>13463A</v>
          </cell>
          <cell r="B1631" t="str">
            <v>CAPITAL EQUIPMENT</v>
          </cell>
          <cell r="C1631" t="str">
            <v>M11230</v>
          </cell>
          <cell r="D1631" t="str">
            <v>Net 30, no pink card</v>
          </cell>
          <cell r="E1631" t="str">
            <v>2%</v>
          </cell>
          <cell r="F1631" t="str">
            <v>Yes</v>
          </cell>
          <cell r="G1631" t="str">
            <v>OH</v>
          </cell>
          <cell r="H1631">
            <v>5</v>
          </cell>
          <cell r="I1631">
            <v>0.7</v>
          </cell>
          <cell r="J1631" t="str">
            <v>Jimmy L Smith</v>
          </cell>
          <cell r="K1631" t="str">
            <v>CLARE</v>
          </cell>
          <cell r="L1631" t="str">
            <v>MI</v>
          </cell>
          <cell r="M1631" t="str">
            <v>800-577-8861</v>
          </cell>
          <cell r="N1631"/>
          <cell r="O1631"/>
          <cell r="P1631">
            <v>0</v>
          </cell>
          <cell r="Q1631"/>
          <cell r="R1631">
            <v>0</v>
          </cell>
          <cell r="S1631"/>
          <cell r="T1631">
            <v>0</v>
          </cell>
          <cell r="U1631" t="str"/>
          <cell r="V1631" t="str"/>
          <cell r="W1631" t="str"/>
          <cell r="X1631" t="str"/>
          <cell r="Y1631">
            <v>410</v>
          </cell>
          <cell r="Z1631">
            <v>1763</v>
          </cell>
          <cell r="AA1631">
            <v>410</v>
          </cell>
          <cell r="AB1631">
            <v>1763</v>
          </cell>
          <cell r="AC1631">
            <v>410</v>
          </cell>
          <cell r="AD1631">
            <v>1763</v>
          </cell>
          <cell r="AE1631"/>
          <cell r="AF1631"/>
          <cell r="AG1631"/>
          <cell r="AH1631"/>
          <cell r="AI1631"/>
          <cell r="AJ1631"/>
          <cell r="AK1631" t="str">
            <v>OL</v>
          </cell>
          <cell r="AL1631">
            <v>151</v>
          </cell>
          <cell r="AM1631">
            <v>307</v>
          </cell>
          <cell r="AN1631" t="str">
            <v>10 Orangeline</v>
          </cell>
          <cell r="AO1631" t="str">
            <v>North</v>
          </cell>
          <cell r="AP1631" t="str">
            <v>North</v>
          </cell>
          <cell r="AQ1631"/>
          <cell r="AR1631">
            <v>0</v>
          </cell>
          <cell r="AS1631">
            <v>0</v>
          </cell>
        </row>
        <row r="1632">
          <cell r="A1632" t="str">
            <v>13463B</v>
          </cell>
          <cell r="B1632" t="str">
            <v>CAPITAL EQUIPMENT</v>
          </cell>
          <cell r="C1632" t="str">
            <v>M11230</v>
          </cell>
          <cell r="D1632" t="str">
            <v>Net 30, no pink card</v>
          </cell>
          <cell r="E1632" t="str">
            <v>2%</v>
          </cell>
          <cell r="F1632" t="str">
            <v>Yes</v>
          </cell>
          <cell r="G1632" t="str">
            <v>OH</v>
          </cell>
          <cell r="H1632">
            <v>5</v>
          </cell>
          <cell r="I1632">
            <v>0.7</v>
          </cell>
          <cell r="J1632" t="str">
            <v>Jimmy L Smith</v>
          </cell>
          <cell r="K1632" t="str">
            <v>IONIA</v>
          </cell>
          <cell r="L1632" t="str">
            <v>MI</v>
          </cell>
          <cell r="M1632" t="str">
            <v>800-577-8861</v>
          </cell>
          <cell r="N1632"/>
          <cell r="O1632"/>
          <cell r="P1632">
            <v>0</v>
          </cell>
          <cell r="Q1632"/>
          <cell r="R1632">
            <v>0</v>
          </cell>
          <cell r="S1632"/>
          <cell r="T1632">
            <v>0</v>
          </cell>
          <cell r="U1632" t="str"/>
          <cell r="V1632" t="str"/>
          <cell r="W1632" t="str"/>
          <cell r="X1632" t="str"/>
          <cell r="Y1632">
            <v>340</v>
          </cell>
          <cell r="Z1632">
            <v>1462</v>
          </cell>
          <cell r="AA1632">
            <v>340</v>
          </cell>
          <cell r="AB1632">
            <v>1462</v>
          </cell>
          <cell r="AC1632">
            <v>340</v>
          </cell>
          <cell r="AD1632">
            <v>1462</v>
          </cell>
          <cell r="AE1632"/>
          <cell r="AF1632"/>
          <cell r="AG1632"/>
          <cell r="AH1632"/>
          <cell r="AI1632"/>
          <cell r="AJ1632"/>
          <cell r="AK1632" t="str">
            <v>OL</v>
          </cell>
          <cell r="AL1632">
            <v>151</v>
          </cell>
          <cell r="AM1632">
            <v>241</v>
          </cell>
          <cell r="AN1632" t="str">
            <v>10 Orangeline</v>
          </cell>
          <cell r="AO1632" t="str">
            <v>North</v>
          </cell>
          <cell r="AP1632" t="str">
            <v>North</v>
          </cell>
          <cell r="AQ1632"/>
          <cell r="AR1632">
            <v>0</v>
          </cell>
          <cell r="AS1632">
            <v>0</v>
          </cell>
        </row>
        <row r="1633">
          <cell r="A1633">
            <v>13570</v>
          </cell>
          <cell r="B1633" t="str">
            <v>GINOP SALES</v>
          </cell>
          <cell r="C1633" t="str">
            <v>M11549</v>
          </cell>
          <cell r="D1633" t="str">
            <v>Net 30, no pink card</v>
          </cell>
          <cell r="E1633" t="str">
            <v>2%</v>
          </cell>
          <cell r="F1633" t="str">
            <v>Yes</v>
          </cell>
          <cell r="G1633" t="str">
            <v>OH</v>
          </cell>
          <cell r="H1633">
            <v>5</v>
          </cell>
          <cell r="I1633">
            <v>0.7</v>
          </cell>
          <cell r="J1633" t="str">
            <v>Jimmy L Smith</v>
          </cell>
          <cell r="K1633" t="str">
            <v>ALANSON</v>
          </cell>
          <cell r="L1633" t="str">
            <v>MI</v>
          </cell>
          <cell r="M1633" t="str">
            <v>800-577-8861</v>
          </cell>
          <cell r="N1633"/>
          <cell r="O1633"/>
          <cell r="P1633">
            <v>0</v>
          </cell>
          <cell r="Q1633"/>
          <cell r="R1633">
            <v>0</v>
          </cell>
          <cell r="S1633"/>
          <cell r="T1633">
            <v>0</v>
          </cell>
          <cell r="U1633" t="str"/>
          <cell r="V1633" t="str"/>
          <cell r="W1633" t="str"/>
          <cell r="X1633" t="str"/>
          <cell r="Y1633">
            <v>520</v>
          </cell>
          <cell r="Z1633">
            <v>2236</v>
          </cell>
          <cell r="AA1633">
            <v>520</v>
          </cell>
          <cell r="AB1633">
            <v>2236</v>
          </cell>
          <cell r="AC1633">
            <v>520</v>
          </cell>
          <cell r="AD1633">
            <v>2236</v>
          </cell>
          <cell r="AE1633"/>
          <cell r="AF1633"/>
          <cell r="AG1633"/>
          <cell r="AH1633"/>
          <cell r="AI1633"/>
          <cell r="AJ1633"/>
          <cell r="AK1633" t="str">
            <v>OL</v>
          </cell>
          <cell r="AL1633">
            <v>151</v>
          </cell>
          <cell r="AM1633">
            <v>345</v>
          </cell>
          <cell r="AN1633" t="str">
            <v>10 Orangeline</v>
          </cell>
          <cell r="AO1633" t="str">
            <v>North</v>
          </cell>
          <cell r="AP1633" t="str">
            <v>North</v>
          </cell>
          <cell r="AQ1633"/>
          <cell r="AR1633">
            <v>0</v>
          </cell>
          <cell r="AS1633">
            <v>0</v>
          </cell>
        </row>
        <row r="1634">
          <cell r="A1634" t="str">
            <v>13570A</v>
          </cell>
          <cell r="B1634" t="str">
            <v>GINOP SALES</v>
          </cell>
          <cell r="C1634" t="str">
            <v>M11549</v>
          </cell>
          <cell r="D1634" t="str">
            <v>Net 30, no pink card</v>
          </cell>
          <cell r="E1634" t="str">
            <v>2%</v>
          </cell>
          <cell r="F1634" t="str">
            <v>Yes</v>
          </cell>
          <cell r="G1634" t="str">
            <v>OH</v>
          </cell>
          <cell r="H1634">
            <v>5</v>
          </cell>
          <cell r="I1634">
            <v>0.7</v>
          </cell>
          <cell r="J1634" t="str">
            <v>Jimmy L Smith</v>
          </cell>
          <cell r="K1634" t="str">
            <v>HILLMAN</v>
          </cell>
          <cell r="L1634" t="str">
            <v>MI</v>
          </cell>
          <cell r="M1634" t="str">
            <v>800-577-8861</v>
          </cell>
          <cell r="N1634"/>
          <cell r="O1634"/>
          <cell r="P1634">
            <v>0</v>
          </cell>
          <cell r="Q1634"/>
          <cell r="R1634">
            <v>0</v>
          </cell>
          <cell r="S1634"/>
          <cell r="T1634">
            <v>0</v>
          </cell>
          <cell r="U1634" t="str"/>
          <cell r="V1634" t="str"/>
          <cell r="W1634" t="str"/>
          <cell r="X1634" t="str"/>
          <cell r="Y1634">
            <v>475</v>
          </cell>
          <cell r="Z1634">
            <v>2042.5</v>
          </cell>
          <cell r="AA1634">
            <v>475</v>
          </cell>
          <cell r="AB1634">
            <v>2042.5</v>
          </cell>
          <cell r="AC1634">
            <v>475</v>
          </cell>
          <cell r="AD1634">
            <v>2042.5</v>
          </cell>
          <cell r="AE1634"/>
          <cell r="AF1634"/>
          <cell r="AG1634"/>
          <cell r="AH1634"/>
          <cell r="AI1634"/>
          <cell r="AJ1634"/>
          <cell r="AK1634" t="str">
            <v>OL</v>
          </cell>
          <cell r="AL1634">
            <v>151</v>
          </cell>
          <cell r="AM1634">
            <v>345</v>
          </cell>
          <cell r="AN1634" t="str">
            <v>10 Orangeline</v>
          </cell>
          <cell r="AO1634" t="str">
            <v>North</v>
          </cell>
          <cell r="AP1634" t="str">
            <v>North</v>
          </cell>
          <cell r="AQ1634"/>
          <cell r="AR1634">
            <v>0</v>
          </cell>
          <cell r="AS1634">
            <v>0</v>
          </cell>
        </row>
        <row r="1635">
          <cell r="A1635">
            <v>13517</v>
          </cell>
          <cell r="B1635" t="str">
            <v>INA STORE INC</v>
          </cell>
          <cell r="C1635" t="str">
            <v>M11490</v>
          </cell>
          <cell r="D1635" t="str">
            <v>Net 30, no pink card</v>
          </cell>
          <cell r="E1635" t="str">
            <v>2%</v>
          </cell>
          <cell r="F1635" t="str">
            <v>Yes</v>
          </cell>
          <cell r="G1635" t="str">
            <v>OH</v>
          </cell>
          <cell r="H1635">
            <v>5</v>
          </cell>
          <cell r="I1635">
            <v>0.7</v>
          </cell>
          <cell r="J1635" t="str">
            <v>Jimmy L Smith</v>
          </cell>
          <cell r="K1635" t="str">
            <v>BRIDGEPORT</v>
          </cell>
          <cell r="L1635" t="str">
            <v>MI</v>
          </cell>
          <cell r="M1635" t="str">
            <v>800-577-8861</v>
          </cell>
          <cell r="N1635"/>
          <cell r="O1635"/>
          <cell r="P1635">
            <v>0</v>
          </cell>
          <cell r="Q1635"/>
          <cell r="R1635">
            <v>0</v>
          </cell>
          <cell r="S1635"/>
          <cell r="T1635">
            <v>0</v>
          </cell>
          <cell r="U1635" t="str"/>
          <cell r="V1635" t="str"/>
          <cell r="W1635" t="str"/>
          <cell r="X1635" t="str"/>
          <cell r="Y1635">
            <v>345</v>
          </cell>
          <cell r="Z1635">
            <v>1483.5</v>
          </cell>
          <cell r="AA1635">
            <v>345</v>
          </cell>
          <cell r="AB1635">
            <v>1483.5</v>
          </cell>
          <cell r="AC1635">
            <v>345</v>
          </cell>
          <cell r="AD1635">
            <v>1483.5</v>
          </cell>
          <cell r="AE1635"/>
          <cell r="AF1635"/>
          <cell r="AG1635"/>
          <cell r="AH1635"/>
          <cell r="AI1635"/>
          <cell r="AJ1635"/>
          <cell r="AK1635" t="str">
            <v>OL</v>
          </cell>
          <cell r="AL1635">
            <v>151</v>
          </cell>
          <cell r="AM1635">
            <v>390</v>
          </cell>
          <cell r="AN1635" t="str">
            <v>10 Orangeline</v>
          </cell>
          <cell r="AO1635" t="str">
            <v>North</v>
          </cell>
          <cell r="AP1635" t="str">
            <v>North</v>
          </cell>
          <cell r="AQ1635"/>
          <cell r="AR1635">
            <v>0</v>
          </cell>
          <cell r="AS1635">
            <v>0</v>
          </cell>
        </row>
        <row r="1636">
          <cell r="A1636" t="str">
            <v>13517A</v>
          </cell>
          <cell r="B1636" t="str">
            <v>INA STORE INC</v>
          </cell>
          <cell r="C1636" t="str">
            <v>M11490</v>
          </cell>
          <cell r="D1636" t="str">
            <v>Net 30, no pink card</v>
          </cell>
          <cell r="E1636" t="str">
            <v>2%</v>
          </cell>
          <cell r="F1636" t="str">
            <v>Yes</v>
          </cell>
          <cell r="G1636" t="str">
            <v>OH</v>
          </cell>
          <cell r="H1636">
            <v>5</v>
          </cell>
          <cell r="I1636">
            <v>0.7</v>
          </cell>
          <cell r="J1636" t="str">
            <v>Jimmy L Smith</v>
          </cell>
          <cell r="K1636" t="str">
            <v>TUSTIN</v>
          </cell>
          <cell r="L1636" t="str">
            <v>MI</v>
          </cell>
          <cell r="M1636" t="str">
            <v>800-577-8861</v>
          </cell>
          <cell r="N1636"/>
          <cell r="O1636"/>
          <cell r="P1636">
            <v>0</v>
          </cell>
          <cell r="Q1636"/>
          <cell r="R1636">
            <v>0</v>
          </cell>
          <cell r="S1636"/>
          <cell r="T1636">
            <v>0</v>
          </cell>
          <cell r="U1636" t="str"/>
          <cell r="V1636" t="str"/>
          <cell r="W1636" t="str"/>
          <cell r="X1636" t="str"/>
          <cell r="Y1636">
            <v>455</v>
          </cell>
          <cell r="Z1636">
            <v>1956.5</v>
          </cell>
          <cell r="AA1636">
            <v>455</v>
          </cell>
          <cell r="AB1636">
            <v>1956.5</v>
          </cell>
          <cell r="AC1636">
            <v>455</v>
          </cell>
          <cell r="AD1636">
            <v>1956.5</v>
          </cell>
          <cell r="AE1636"/>
          <cell r="AF1636"/>
          <cell r="AG1636"/>
          <cell r="AH1636"/>
          <cell r="AI1636"/>
          <cell r="AJ1636"/>
          <cell r="AK1636" t="str">
            <v>OL</v>
          </cell>
          <cell r="AL1636">
            <v>151</v>
          </cell>
          <cell r="AM1636">
            <v>446</v>
          </cell>
          <cell r="AN1636" t="str">
            <v>10 Orangeline</v>
          </cell>
          <cell r="AO1636" t="str">
            <v>North</v>
          </cell>
          <cell r="AP1636" t="str">
            <v>North</v>
          </cell>
          <cell r="AQ1636"/>
          <cell r="AR1636">
            <v>0</v>
          </cell>
          <cell r="AS1636">
            <v>0</v>
          </cell>
        </row>
        <row r="1637">
          <cell r="A1637">
            <v>13437</v>
          </cell>
          <cell r="B1637" t="str">
            <v>JONES &amp; HOLLANDS</v>
          </cell>
          <cell r="C1637" t="str">
            <v>M11203</v>
          </cell>
          <cell r="D1637" t="str">
            <v>Net 30, no pink card</v>
          </cell>
          <cell r="E1637" t="str">
            <v>2%</v>
          </cell>
          <cell r="F1637" t="str">
            <v>Yes</v>
          </cell>
          <cell r="G1637" t="str">
            <v>OH</v>
          </cell>
          <cell r="H1637">
            <v>5</v>
          </cell>
          <cell r="I1637">
            <v>0.7</v>
          </cell>
          <cell r="J1637" t="str">
            <v>Jimmy L Smith</v>
          </cell>
          <cell r="K1637" t="str">
            <v>FORT GRATIOT</v>
          </cell>
          <cell r="L1637" t="str">
            <v>MI</v>
          </cell>
          <cell r="M1637" t="str">
            <v>800-577-8879</v>
          </cell>
          <cell r="N1637"/>
          <cell r="O1637"/>
          <cell r="P1637">
            <v>0</v>
          </cell>
          <cell r="Q1637"/>
          <cell r="R1637">
            <v>0</v>
          </cell>
          <cell r="S1637"/>
          <cell r="T1637">
            <v>0</v>
          </cell>
          <cell r="U1637" t="str"/>
          <cell r="V1637" t="str"/>
          <cell r="W1637" t="str"/>
          <cell r="X1637" t="str"/>
          <cell r="Y1637">
            <v>340</v>
          </cell>
          <cell r="Z1637">
            <v>1462</v>
          </cell>
          <cell r="AA1637">
            <v>340</v>
          </cell>
          <cell r="AB1637">
            <v>1462</v>
          </cell>
          <cell r="AC1637">
            <v>340</v>
          </cell>
          <cell r="AD1637">
            <v>1462</v>
          </cell>
          <cell r="AE1637"/>
          <cell r="AF1637"/>
          <cell r="AG1637"/>
          <cell r="AH1637"/>
          <cell r="AI1637"/>
          <cell r="AJ1637"/>
          <cell r="AK1637" t="str">
            <v>OL</v>
          </cell>
          <cell r="AL1637">
            <v>151</v>
          </cell>
          <cell r="AM1637">
            <v>112</v>
          </cell>
          <cell r="AN1637" t="str">
            <v>10 Orangeline</v>
          </cell>
          <cell r="AO1637" t="str">
            <v>North</v>
          </cell>
          <cell r="AP1637" t="str">
            <v>North</v>
          </cell>
          <cell r="AQ1637"/>
          <cell r="AR1637">
            <v>0</v>
          </cell>
          <cell r="AS1637">
            <v>0</v>
          </cell>
        </row>
        <row r="1638">
          <cell r="A1638">
            <v>13438</v>
          </cell>
          <cell r="B1638" t="str">
            <v>KENT POWER</v>
          </cell>
          <cell r="C1638" t="str">
            <v>M11204</v>
          </cell>
          <cell r="D1638" t="str">
            <v>Net 30, no pink card</v>
          </cell>
          <cell r="E1638" t="str">
            <v>2%</v>
          </cell>
          <cell r="F1638" t="str">
            <v>Yes</v>
          </cell>
          <cell r="G1638" t="str">
            <v>OH</v>
          </cell>
          <cell r="H1638">
            <v>5</v>
          </cell>
          <cell r="I1638">
            <v>0.7</v>
          </cell>
          <cell r="J1638" t="str">
            <v>Jimmy L Smith</v>
          </cell>
          <cell r="K1638" t="str">
            <v xml:space="preserve">SPARTA </v>
          </cell>
          <cell r="L1638" t="str">
            <v>MI</v>
          </cell>
          <cell r="M1638" t="str">
            <v>800-577-8880</v>
          </cell>
          <cell r="N1638"/>
          <cell r="O1638"/>
          <cell r="P1638">
            <v>0</v>
          </cell>
          <cell r="Q1638"/>
          <cell r="R1638">
            <v>0</v>
          </cell>
          <cell r="S1638"/>
          <cell r="T1638">
            <v>0</v>
          </cell>
          <cell r="U1638" t="str"/>
          <cell r="V1638" t="str"/>
          <cell r="W1638" t="str"/>
          <cell r="X1638" t="str"/>
          <cell r="Y1638">
            <v>380</v>
          </cell>
          <cell r="Z1638">
            <v>1634</v>
          </cell>
          <cell r="AA1638">
            <v>380</v>
          </cell>
          <cell r="AB1638">
            <v>1634</v>
          </cell>
          <cell r="AC1638">
            <v>380</v>
          </cell>
          <cell r="AD1638">
            <v>1634</v>
          </cell>
          <cell r="AE1638"/>
          <cell r="AF1638"/>
          <cell r="AG1638"/>
          <cell r="AH1638"/>
          <cell r="AI1638"/>
          <cell r="AJ1638"/>
          <cell r="AK1638" t="str">
            <v>OL</v>
          </cell>
          <cell r="AL1638">
            <v>151</v>
          </cell>
          <cell r="AM1638">
            <v>169</v>
          </cell>
          <cell r="AN1638" t="str">
            <v>10 Orangeline</v>
          </cell>
          <cell r="AO1638" t="str">
            <v>North</v>
          </cell>
          <cell r="AP1638" t="str">
            <v>North</v>
          </cell>
          <cell r="AQ1638"/>
          <cell r="AR1638">
            <v>0</v>
          </cell>
          <cell r="AS1638">
            <v>0</v>
          </cell>
        </row>
        <row r="1639">
          <cell r="A1639">
            <v>13458</v>
          </cell>
          <cell r="B1639" t="str">
            <v>KINGS EQUIPMENT</v>
          </cell>
          <cell r="C1639" t="str">
            <v>M11224</v>
          </cell>
          <cell r="D1639" t="str">
            <v>Net 30, no pink card</v>
          </cell>
          <cell r="E1639" t="str">
            <v>2%</v>
          </cell>
          <cell r="F1639" t="str">
            <v>Yes</v>
          </cell>
          <cell r="G1639" t="str">
            <v>OH</v>
          </cell>
          <cell r="H1639">
            <v>5</v>
          </cell>
          <cell r="I1639">
            <v>0.7</v>
          </cell>
          <cell r="J1639" t="str">
            <v>Jimmy L Smith</v>
          </cell>
          <cell r="K1639" t="str">
            <v xml:space="preserve">JACKSON </v>
          </cell>
          <cell r="L1639" t="str">
            <v>MI</v>
          </cell>
          <cell r="M1639" t="str">
            <v>800-577-8900</v>
          </cell>
          <cell r="N1639"/>
          <cell r="O1639"/>
          <cell r="P1639">
            <v>0</v>
          </cell>
          <cell r="Q1639"/>
          <cell r="R1639">
            <v>0</v>
          </cell>
          <cell r="S1639"/>
          <cell r="T1639">
            <v>0</v>
          </cell>
          <cell r="U1639" t="str"/>
          <cell r="V1639" t="str"/>
          <cell r="W1639" t="str"/>
          <cell r="X1639" t="str"/>
          <cell r="Y1639">
            <v>300</v>
          </cell>
          <cell r="Z1639">
            <v>1290</v>
          </cell>
          <cell r="AA1639">
            <v>300</v>
          </cell>
          <cell r="AB1639">
            <v>1290</v>
          </cell>
          <cell r="AC1639">
            <v>300</v>
          </cell>
          <cell r="AD1639">
            <v>1290</v>
          </cell>
          <cell r="AE1639"/>
          <cell r="AF1639"/>
          <cell r="AG1639"/>
          <cell r="AH1639"/>
          <cell r="AI1639"/>
          <cell r="AJ1639"/>
          <cell r="AK1639" t="str">
            <v>OL</v>
          </cell>
          <cell r="AL1639">
            <v>151</v>
          </cell>
          <cell r="AM1639">
            <v>209</v>
          </cell>
          <cell r="AN1639" t="str">
            <v>10 Orangeline</v>
          </cell>
          <cell r="AO1639" t="str">
            <v>North</v>
          </cell>
          <cell r="AP1639" t="str">
            <v>North</v>
          </cell>
          <cell r="AQ1639"/>
          <cell r="AR1639">
            <v>0</v>
          </cell>
          <cell r="AS1639">
            <v>0</v>
          </cell>
        </row>
        <row r="1640">
          <cell r="A1640">
            <v>13440</v>
          </cell>
          <cell r="B1640" t="str">
            <v>KWM ACQUISITION</v>
          </cell>
          <cell r="C1640" t="str">
            <v>M11206</v>
          </cell>
          <cell r="D1640" t="str">
            <v>Net 30, no pink card</v>
          </cell>
          <cell r="E1640" t="str">
            <v>2%</v>
          </cell>
          <cell r="F1640" t="str">
            <v>Yes</v>
          </cell>
          <cell r="G1640" t="str">
            <v>OH</v>
          </cell>
          <cell r="H1640">
            <v>5</v>
          </cell>
          <cell r="I1640">
            <v>0.7</v>
          </cell>
          <cell r="J1640" t="str">
            <v>Jimmy L Smith</v>
          </cell>
          <cell r="K1640" t="str">
            <v>BYRON CENTER</v>
          </cell>
          <cell r="L1640" t="str">
            <v>MI</v>
          </cell>
          <cell r="M1640" t="str">
            <v>800-577-8882</v>
          </cell>
          <cell r="N1640"/>
          <cell r="O1640"/>
          <cell r="P1640">
            <v>0</v>
          </cell>
          <cell r="Q1640"/>
          <cell r="R1640">
            <v>0</v>
          </cell>
          <cell r="S1640"/>
          <cell r="T1640">
            <v>0</v>
          </cell>
          <cell r="U1640" t="str"/>
          <cell r="V1640" t="str"/>
          <cell r="W1640" t="str"/>
          <cell r="X1640" t="str"/>
          <cell r="Y1640">
            <v>360</v>
          </cell>
          <cell r="Z1640">
            <v>1548</v>
          </cell>
          <cell r="AA1640">
            <v>360</v>
          </cell>
          <cell r="AB1640">
            <v>1548</v>
          </cell>
          <cell r="AC1640">
            <v>360</v>
          </cell>
          <cell r="AD1640">
            <v>1548</v>
          </cell>
          <cell r="AE1640"/>
          <cell r="AF1640"/>
          <cell r="AG1640"/>
          <cell r="AH1640"/>
          <cell r="AI1640"/>
          <cell r="AJ1640"/>
          <cell r="AK1640" t="str">
            <v>OL</v>
          </cell>
          <cell r="AL1640">
            <v>151</v>
          </cell>
          <cell r="AM1640">
            <v>169</v>
          </cell>
          <cell r="AN1640" t="str">
            <v>10 Orangeline</v>
          </cell>
          <cell r="AO1640" t="str">
            <v>North</v>
          </cell>
          <cell r="AP1640" t="str">
            <v>North</v>
          </cell>
          <cell r="AQ1640"/>
          <cell r="AR1640">
            <v>0</v>
          </cell>
          <cell r="AS1640">
            <v>0</v>
          </cell>
        </row>
        <row r="1641">
          <cell r="A1641">
            <v>13443</v>
          </cell>
          <cell r="B1641" t="str">
            <v>MARQUETTE POWER</v>
          </cell>
          <cell r="C1641" t="str">
            <v>M11209</v>
          </cell>
          <cell r="D1641" t="str">
            <v>Net 30, no pink card</v>
          </cell>
          <cell r="E1641" t="str">
            <v>01</v>
          </cell>
          <cell r="F1641" t="str">
            <v>Yes</v>
          </cell>
          <cell r="G1641" t="str">
            <v>OH</v>
          </cell>
          <cell r="H1641">
            <v>8</v>
          </cell>
          <cell r="I1641">
            <v>0.7</v>
          </cell>
          <cell r="J1641" t="str">
            <v>Jimmy L Smith</v>
          </cell>
          <cell r="K1641" t="str">
            <v>KINGSFORD</v>
          </cell>
          <cell r="L1641" t="str">
            <v>MI</v>
          </cell>
          <cell r="M1641" t="str">
            <v>800-577-8885</v>
          </cell>
          <cell r="N1641"/>
          <cell r="O1641"/>
          <cell r="P1641">
            <v>0</v>
          </cell>
          <cell r="Q1641"/>
          <cell r="R1641">
            <v>0</v>
          </cell>
          <cell r="S1641"/>
          <cell r="T1641">
            <v>0</v>
          </cell>
          <cell r="U1641" t="str"/>
          <cell r="V1641" t="str"/>
          <cell r="W1641" t="str"/>
          <cell r="X1641" t="str"/>
          <cell r="Y1641">
            <v>630</v>
          </cell>
          <cell r="Z1641">
            <v>2709</v>
          </cell>
          <cell r="AA1641">
            <v>630</v>
          </cell>
          <cell r="AB1641">
            <v>2709</v>
          </cell>
          <cell r="AC1641">
            <v>630</v>
          </cell>
          <cell r="AD1641">
            <v>2709</v>
          </cell>
          <cell r="AE1641"/>
          <cell r="AF1641"/>
          <cell r="AG1641"/>
          <cell r="AH1641"/>
          <cell r="AI1641"/>
          <cell r="AJ1641"/>
          <cell r="AK1641" t="str">
            <v>OL</v>
          </cell>
          <cell r="AL1641">
            <v>151</v>
          </cell>
          <cell r="AM1641">
            <v>206</v>
          </cell>
          <cell r="AN1641" t="str">
            <v>10 Orangeline</v>
          </cell>
          <cell r="AO1641" t="str">
            <v>North</v>
          </cell>
          <cell r="AP1641" t="str">
            <v>North</v>
          </cell>
          <cell r="AQ1641"/>
          <cell r="AR1641">
            <v>63643</v>
          </cell>
          <cell r="AS1641">
            <v>0</v>
          </cell>
        </row>
        <row r="1642">
          <cell r="A1642">
            <v>13450</v>
          </cell>
          <cell r="B1642" t="str">
            <v>PELLS FARM</v>
          </cell>
          <cell r="C1642" t="str">
            <v>M11216</v>
          </cell>
          <cell r="D1642" t="str">
            <v>Net 30, no pink card</v>
          </cell>
          <cell r="E1642" t="str">
            <v>2%</v>
          </cell>
          <cell r="F1642" t="str">
            <v>Yes</v>
          </cell>
          <cell r="G1642" t="str">
            <v>OH</v>
          </cell>
          <cell r="H1642">
            <v>5</v>
          </cell>
          <cell r="I1642">
            <v>0.7</v>
          </cell>
          <cell r="J1642" t="str">
            <v>Jimmy L Smith</v>
          </cell>
          <cell r="K1642" t="str">
            <v xml:space="preserve">FREMONT </v>
          </cell>
          <cell r="L1642" t="str">
            <v>MI</v>
          </cell>
          <cell r="M1642" t="str">
            <v>800-577-8892</v>
          </cell>
          <cell r="N1642"/>
          <cell r="O1642">
            <v>1019</v>
          </cell>
          <cell r="P1642">
            <v>4381.7</v>
          </cell>
          <cell r="Q1642">
            <v>957</v>
          </cell>
          <cell r="R1642">
            <v>4115.0999999999995</v>
          </cell>
          <cell r="S1642"/>
          <cell r="T1642">
            <v>0</v>
          </cell>
          <cell r="U1642" t="str"/>
          <cell r="V1642" t="str"/>
          <cell r="W1642" t="str"/>
          <cell r="X1642" t="str"/>
          <cell r="Y1642">
            <v>410</v>
          </cell>
          <cell r="Z1642">
            <v>1763</v>
          </cell>
          <cell r="AA1642">
            <v>410</v>
          </cell>
          <cell r="AB1642">
            <v>1763</v>
          </cell>
          <cell r="AC1642">
            <v>410</v>
          </cell>
          <cell r="AD1642">
            <v>1763</v>
          </cell>
          <cell r="AE1642"/>
          <cell r="AF1642"/>
          <cell r="AG1642"/>
          <cell r="AH1642"/>
          <cell r="AI1642"/>
          <cell r="AJ1642"/>
          <cell r="AK1642" t="str">
            <v>OL</v>
          </cell>
          <cell r="AL1642">
            <v>151</v>
          </cell>
          <cell r="AM1642">
            <v>169</v>
          </cell>
          <cell r="AN1642" t="str">
            <v>10 Orangeline</v>
          </cell>
          <cell r="AO1642" t="str">
            <v>North</v>
          </cell>
          <cell r="AP1642" t="str">
            <v>North</v>
          </cell>
          <cell r="AQ1642"/>
          <cell r="AR1642">
            <v>0</v>
          </cell>
          <cell r="AS1642">
            <v>0</v>
          </cell>
        </row>
        <row r="1643">
          <cell r="A1643">
            <v>13621</v>
          </cell>
          <cell r="B1643" t="str">
            <v>RICHARDSON EQUIPMENT</v>
          </cell>
          <cell r="C1643" t="str">
            <v>M11600</v>
          </cell>
          <cell r="D1643" t="str">
            <v>Net 30, no pink card</v>
          </cell>
          <cell r="E1643" t="str">
            <v>2%</v>
          </cell>
          <cell r="F1643" t="str">
            <v>Yes</v>
          </cell>
          <cell r="G1643" t="str">
            <v>OH</v>
          </cell>
          <cell r="H1643">
            <v>5</v>
          </cell>
          <cell r="I1643">
            <v>0.7</v>
          </cell>
          <cell r="J1643" t="str">
            <v>Jimmy L Smith</v>
          </cell>
          <cell r="K1643" t="str">
            <v>STANDISH</v>
          </cell>
          <cell r="L1643" t="str">
            <v>MI</v>
          </cell>
          <cell r="M1643" t="str">
            <v>800-577-8892</v>
          </cell>
          <cell r="N1643"/>
          <cell r="O1643">
            <v>1160</v>
          </cell>
          <cell r="P1643">
            <v>4988</v>
          </cell>
          <cell r="Q1643">
            <v>678</v>
          </cell>
          <cell r="R1643">
            <v>2915.4</v>
          </cell>
          <cell r="S1643"/>
          <cell r="T1643">
            <v>0</v>
          </cell>
          <cell r="U1643" t="str"/>
          <cell r="V1643" t="str"/>
          <cell r="W1643" t="str"/>
          <cell r="X1643" t="str"/>
          <cell r="Y1643"/>
          <cell r="Z1643">
            <v>0</v>
          </cell>
          <cell r="AA1643">
            <v>391</v>
          </cell>
          <cell r="AB1643">
            <v>1681.3</v>
          </cell>
          <cell r="AC1643">
            <v>391</v>
          </cell>
          <cell r="AD1643">
            <v>1681.3</v>
          </cell>
          <cell r="AE1643"/>
          <cell r="AF1643"/>
          <cell r="AG1643"/>
          <cell r="AH1643"/>
          <cell r="AI1643"/>
          <cell r="AJ1643"/>
          <cell r="AK1643" t="str">
            <v>OL</v>
          </cell>
          <cell r="AL1643">
            <v>151</v>
          </cell>
          <cell r="AM1643"/>
          <cell r="AN1643" t="str">
            <v>10 Orangeline</v>
          </cell>
          <cell r="AO1643" t="str">
            <v>North</v>
          </cell>
          <cell r="AP1643" t="str">
            <v>North</v>
          </cell>
          <cell r="AQ1643"/>
          <cell r="AR1643">
            <v>0</v>
          </cell>
          <cell r="AS1643">
            <v>0</v>
          </cell>
        </row>
        <row r="1644">
          <cell r="A1644">
            <v>13509</v>
          </cell>
          <cell r="B1644" t="str">
            <v>WILLIAMS FARM</v>
          </cell>
          <cell r="C1644" t="str">
            <v>M11486</v>
          </cell>
          <cell r="D1644" t="str">
            <v>Net 30, no pink card</v>
          </cell>
          <cell r="E1644" t="str">
            <v>2%</v>
          </cell>
          <cell r="F1644" t="str">
            <v>Yes</v>
          </cell>
          <cell r="G1644" t="str">
            <v>OH</v>
          </cell>
          <cell r="H1644">
            <v>5</v>
          </cell>
          <cell r="I1644">
            <v>0.7</v>
          </cell>
          <cell r="J1644" t="str">
            <v>Jimmy L Smith</v>
          </cell>
          <cell r="K1644" t="str">
            <v>CHARLOTTESVILLE</v>
          </cell>
          <cell r="L1644" t="str">
            <v>MI</v>
          </cell>
          <cell r="M1644" t="str">
            <v>800-577-8892</v>
          </cell>
          <cell r="N1644"/>
          <cell r="O1644"/>
          <cell r="P1644">
            <v>0</v>
          </cell>
          <cell r="Q1644"/>
          <cell r="R1644">
            <v>0</v>
          </cell>
          <cell r="S1644"/>
          <cell r="T1644">
            <v>0</v>
          </cell>
          <cell r="U1644" t="str"/>
          <cell r="V1644" t="str"/>
          <cell r="W1644" t="str"/>
          <cell r="X1644" t="str"/>
          <cell r="Y1644">
            <v>310</v>
          </cell>
          <cell r="Z1644">
            <v>1333</v>
          </cell>
          <cell r="AA1644">
            <v>310</v>
          </cell>
          <cell r="AB1644">
            <v>1333</v>
          </cell>
          <cell r="AC1644">
            <v>310</v>
          </cell>
          <cell r="AD1644">
            <v>1333</v>
          </cell>
          <cell r="AE1644"/>
          <cell r="AF1644"/>
          <cell r="AG1644"/>
          <cell r="AH1644"/>
          <cell r="AI1644"/>
          <cell r="AJ1644"/>
          <cell r="AK1644" t="str">
            <v>OL</v>
          </cell>
          <cell r="AL1644">
            <v>151</v>
          </cell>
          <cell r="AM1644">
            <v>241</v>
          </cell>
          <cell r="AN1644" t="str">
            <v>10 Orangeline</v>
          </cell>
          <cell r="AO1644" t="str">
            <v>North</v>
          </cell>
          <cell r="AP1644" t="str">
            <v>North</v>
          </cell>
          <cell r="AQ1644"/>
          <cell r="AR1644">
            <v>0</v>
          </cell>
          <cell r="AS1644">
            <v>0</v>
          </cell>
        </row>
        <row r="1645">
          <cell r="A1645">
            <v>13456</v>
          </cell>
          <cell r="B1645" t="str">
            <v>WOLVERINE RENTAL</v>
          </cell>
          <cell r="C1645" t="str">
            <v>M11222</v>
          </cell>
          <cell r="D1645" t="str">
            <v>Net 30, no pink card</v>
          </cell>
          <cell r="E1645" t="str">
            <v>FP</v>
          </cell>
          <cell r="F1645" t="str">
            <v>Yes</v>
          </cell>
          <cell r="G1645" t="str">
            <v>OH</v>
          </cell>
          <cell r="H1645">
            <v>8</v>
          </cell>
          <cell r="I1645">
            <v>0.7</v>
          </cell>
          <cell r="J1645" t="str">
            <v>Jimmy L Smith</v>
          </cell>
          <cell r="K1645" t="str">
            <v>ANN ARBOR</v>
          </cell>
          <cell r="L1645" t="str">
            <v>MI</v>
          </cell>
          <cell r="M1645" t="str">
            <v>800-577-8898</v>
          </cell>
          <cell r="N1645"/>
          <cell r="O1645"/>
          <cell r="P1645">
            <v>0</v>
          </cell>
          <cell r="Q1645"/>
          <cell r="R1645">
            <v>0</v>
          </cell>
          <cell r="S1645"/>
          <cell r="T1645">
            <v>0</v>
          </cell>
          <cell r="U1645" t="str"/>
          <cell r="V1645" t="str"/>
          <cell r="W1645" t="str"/>
          <cell r="X1645" t="str"/>
          <cell r="Y1645">
            <v>260</v>
          </cell>
          <cell r="Z1645">
            <v>1118</v>
          </cell>
          <cell r="AA1645">
            <v>260</v>
          </cell>
          <cell r="AB1645">
            <v>1118</v>
          </cell>
          <cell r="AC1645">
            <v>260</v>
          </cell>
          <cell r="AD1645">
            <v>1118</v>
          </cell>
          <cell r="AE1645"/>
          <cell r="AF1645"/>
          <cell r="AG1645"/>
          <cell r="AH1645"/>
          <cell r="AI1645"/>
          <cell r="AJ1645"/>
          <cell r="AK1645" t="str">
            <v>OL</v>
          </cell>
          <cell r="AL1645">
            <v>151</v>
          </cell>
          <cell r="AM1645">
            <v>112</v>
          </cell>
          <cell r="AN1645" t="str">
            <v>10 Orangeline</v>
          </cell>
          <cell r="AO1645" t="str">
            <v>North</v>
          </cell>
          <cell r="AP1645" t="str">
            <v>North</v>
          </cell>
          <cell r="AQ1645"/>
          <cell r="AR1645">
            <v>0</v>
          </cell>
          <cell r="AS1645">
            <v>0</v>
          </cell>
        </row>
        <row r="1646">
          <cell r="A1646">
            <v>13449</v>
          </cell>
          <cell r="B1646" t="str">
            <v>NIEBUR TRACTOR</v>
          </cell>
          <cell r="C1646" t="str">
            <v>M11215</v>
          </cell>
          <cell r="D1646" t="str">
            <v>Net 30, no pink card</v>
          </cell>
          <cell r="E1646" t="str">
            <v xml:space="preserve">2% </v>
          </cell>
          <cell r="F1646" t="str">
            <v>Yes</v>
          </cell>
          <cell r="G1646" t="str">
            <v>OH</v>
          </cell>
          <cell r="H1646">
            <v>5</v>
          </cell>
          <cell r="I1646">
            <v>0.7</v>
          </cell>
          <cell r="J1646" t="str">
            <v>Jimmy L Smith</v>
          </cell>
          <cell r="K1646" t="str">
            <v>HASTINGS</v>
          </cell>
          <cell r="L1646" t="str">
            <v>MN</v>
          </cell>
          <cell r="M1646" t="str">
            <v>800-577-8891</v>
          </cell>
          <cell r="N1646"/>
          <cell r="O1646">
            <v>915</v>
          </cell>
          <cell r="P1646">
            <v>3934.5</v>
          </cell>
          <cell r="Q1646"/>
          <cell r="R1646">
            <v>0</v>
          </cell>
          <cell r="S1646"/>
          <cell r="T1646">
            <v>0</v>
          </cell>
          <cell r="U1646" t="str"/>
          <cell r="V1646" t="str"/>
          <cell r="W1646" t="str"/>
          <cell r="X1646" t="str"/>
          <cell r="Y1646">
            <v>725</v>
          </cell>
          <cell r="Z1646">
            <v>3117.5</v>
          </cell>
          <cell r="AA1646">
            <v>725</v>
          </cell>
          <cell r="AB1646">
            <v>3117.5</v>
          </cell>
          <cell r="AC1646">
            <v>725</v>
          </cell>
          <cell r="AD1646">
            <v>3117.5</v>
          </cell>
          <cell r="AE1646"/>
          <cell r="AF1646"/>
          <cell r="AG1646"/>
          <cell r="AH1646"/>
          <cell r="AI1646"/>
          <cell r="AJ1646"/>
          <cell r="AK1646" t="str">
            <v>OL</v>
          </cell>
          <cell r="AL1646">
            <v>151</v>
          </cell>
          <cell r="AM1646">
            <v>298</v>
          </cell>
          <cell r="AN1646" t="str">
            <v>10 Orangeline</v>
          </cell>
          <cell r="AO1646" t="str">
            <v>Midwest</v>
          </cell>
          <cell r="AP1646" t="str">
            <v>North</v>
          </cell>
          <cell r="AQ1646"/>
          <cell r="AR1646">
            <v>0</v>
          </cell>
          <cell r="AS1646">
            <v>0</v>
          </cell>
        </row>
        <row r="1647">
          <cell r="A1647" t="str">
            <v>13469D</v>
          </cell>
          <cell r="B1647" t="str">
            <v>ACME EQUIPMENT</v>
          </cell>
          <cell r="C1647" t="str">
            <v>M11449</v>
          </cell>
          <cell r="D1647" t="str">
            <v>Net 30, no pink card</v>
          </cell>
          <cell r="E1647" t="str">
            <v>FP-Wells</v>
          </cell>
          <cell r="F1647" t="str">
            <v>Yes</v>
          </cell>
          <cell r="G1647" t="str">
            <v>OH</v>
          </cell>
          <cell r="H1647">
            <v>8</v>
          </cell>
          <cell r="I1647">
            <v>0.7</v>
          </cell>
          <cell r="J1647" t="str">
            <v>Jimmy L Smith</v>
          </cell>
          <cell r="K1647" t="str">
            <v>BEMIDJI</v>
          </cell>
          <cell r="L1647" t="str">
            <v>MN</v>
          </cell>
          <cell r="M1647" t="str">
            <v>800-577-8862</v>
          </cell>
          <cell r="N1647"/>
          <cell r="O1647"/>
          <cell r="P1647">
            <v>0</v>
          </cell>
          <cell r="Q1647"/>
          <cell r="R1647">
            <v>0</v>
          </cell>
          <cell r="S1647"/>
          <cell r="T1647">
            <v>0</v>
          </cell>
          <cell r="U1647" t="str"/>
          <cell r="V1647" t="str"/>
          <cell r="W1647" t="str"/>
          <cell r="X1647" t="str"/>
          <cell r="Y1647">
            <v>950</v>
          </cell>
          <cell r="Z1647">
            <v>4085</v>
          </cell>
          <cell r="AA1647">
            <v>950</v>
          </cell>
          <cell r="AB1647">
            <v>4085</v>
          </cell>
          <cell r="AC1647">
            <v>950</v>
          </cell>
          <cell r="AD1647">
            <v>4085</v>
          </cell>
          <cell r="AE1647"/>
          <cell r="AF1647"/>
          <cell r="AG1647"/>
          <cell r="AH1647"/>
          <cell r="AI1647"/>
          <cell r="AJ1647">
            <v>0.04</v>
          </cell>
          <cell r="AK1647" t="str">
            <v>OL</v>
          </cell>
          <cell r="AL1647">
            <v>151</v>
          </cell>
          <cell r="AM1647">
            <v>37</v>
          </cell>
          <cell r="AN1647" t="str">
            <v>10 Orangeline</v>
          </cell>
          <cell r="AO1647" t="str">
            <v>Midwest</v>
          </cell>
          <cell r="AP1647" t="str">
            <v>North</v>
          </cell>
          <cell r="AQ1647"/>
          <cell r="AR1647">
            <v>0</v>
          </cell>
          <cell r="AS1647">
            <v>0</v>
          </cell>
        </row>
        <row r="1648">
          <cell r="A1648">
            <v>13279</v>
          </cell>
          <cell r="B1648" t="str">
            <v>AYRES-DELTA IMPLEMENT</v>
          </cell>
          <cell r="C1648" t="str">
            <v>M11239</v>
          </cell>
          <cell r="D1648" t="str">
            <v>Net 30, no pink card</v>
          </cell>
          <cell r="E1648" t="str">
            <v>2%</v>
          </cell>
          <cell r="F1648" t="str">
            <v>Yes</v>
          </cell>
          <cell r="G1648" t="str">
            <v>TX</v>
          </cell>
          <cell r="H1648">
            <v>5</v>
          </cell>
          <cell r="I1648">
            <v>0.7</v>
          </cell>
          <cell r="J1648" t="str">
            <v>Jimmy L Smith</v>
          </cell>
          <cell r="K1648" t="str">
            <v>LELAND</v>
          </cell>
          <cell r="L1648" t="str">
            <v>MS</v>
          </cell>
          <cell r="M1648" t="str">
            <v>800-577-8858</v>
          </cell>
          <cell r="N1648"/>
          <cell r="O1648">
            <v>280</v>
          </cell>
          <cell r="P1648">
            <v>1204</v>
          </cell>
          <cell r="Q1648">
            <v>490</v>
          </cell>
          <cell r="R1648">
            <v>2107</v>
          </cell>
          <cell r="S1648"/>
          <cell r="T1648">
            <v>0</v>
          </cell>
          <cell r="U1648" t="str"/>
          <cell r="V1648" t="str"/>
          <cell r="W1648" t="str"/>
          <cell r="X1648" t="str"/>
          <cell r="Y1648">
            <v>640</v>
          </cell>
          <cell r="Z1648">
            <v>2752</v>
          </cell>
          <cell r="AA1648">
            <v>640</v>
          </cell>
          <cell r="AB1648">
            <v>2752</v>
          </cell>
          <cell r="AC1648">
            <v>640</v>
          </cell>
          <cell r="AD1648">
            <v>2752</v>
          </cell>
          <cell r="AE1648"/>
          <cell r="AF1648"/>
          <cell r="AG1648"/>
          <cell r="AH1648"/>
          <cell r="AI1648"/>
          <cell r="AJ1648"/>
          <cell r="AK1648" t="str">
            <v>OL</v>
          </cell>
          <cell r="AL1648">
            <v>151</v>
          </cell>
          <cell r="AM1648">
            <v>175</v>
          </cell>
          <cell r="AN1648" t="str">
            <v>10 Orangeline</v>
          </cell>
          <cell r="AO1648" t="str">
            <v>Southeast</v>
          </cell>
          <cell r="AP1648" t="str">
            <v>South</v>
          </cell>
          <cell r="AQ1648"/>
          <cell r="AR1648">
            <v>0</v>
          </cell>
          <cell r="AS1648">
            <v>0</v>
          </cell>
        </row>
        <row r="1649">
          <cell r="A1649" t="str">
            <v>13574B</v>
          </cell>
          <cell r="B1649" t="str">
            <v>COLEMAN EQUIPMENT</v>
          </cell>
          <cell r="C1649" t="str">
            <v>M11548</v>
          </cell>
          <cell r="D1649" t="str">
            <v>Net 30, no pink card</v>
          </cell>
          <cell r="E1649" t="str">
            <v>2%</v>
          </cell>
          <cell r="F1649" t="str">
            <v>Yes</v>
          </cell>
          <cell r="G1649" t="str">
            <v>TX</v>
          </cell>
          <cell r="H1649">
            <v>5</v>
          </cell>
          <cell r="I1649">
            <v>0.7</v>
          </cell>
          <cell r="J1649" t="str">
            <v>Jimmy L Smith</v>
          </cell>
          <cell r="K1649" t="str">
            <v>SMITHVILLE</v>
          </cell>
          <cell r="L1649" t="str">
            <v>MO</v>
          </cell>
          <cell r="M1649" t="str">
            <v>800-577-8858</v>
          </cell>
          <cell r="N1649"/>
          <cell r="O1649">
            <v>505</v>
          </cell>
          <cell r="P1649">
            <v>2171.5</v>
          </cell>
          <cell r="Q1649"/>
          <cell r="R1649">
            <v>0</v>
          </cell>
          <cell r="S1649"/>
          <cell r="T1649">
            <v>0</v>
          </cell>
          <cell r="U1649" t="str"/>
          <cell r="V1649" t="str"/>
          <cell r="W1649" t="str"/>
          <cell r="X1649" t="str"/>
          <cell r="Y1649"/>
          <cell r="Z1649">
            <v>0</v>
          </cell>
          <cell r="AA1649"/>
          <cell r="AB1649">
            <v>0</v>
          </cell>
          <cell r="AC1649"/>
          <cell r="AD1649">
            <v>0</v>
          </cell>
          <cell r="AE1649"/>
          <cell r="AF1649"/>
          <cell r="AG1649"/>
          <cell r="AH1649"/>
          <cell r="AI1649"/>
          <cell r="AJ1649"/>
          <cell r="AK1649" t="str">
            <v>OL</v>
          </cell>
          <cell r="AL1649">
            <v>151</v>
          </cell>
          <cell r="AM1649">
            <v>226</v>
          </cell>
          <cell r="AN1649" t="str">
            <v>10 Orangeline</v>
          </cell>
          <cell r="AO1649" t="str">
            <v>Midwest</v>
          </cell>
          <cell r="AP1649" t="str">
            <v>South</v>
          </cell>
          <cell r="AQ1649"/>
          <cell r="AR1649">
            <v>0</v>
          </cell>
          <cell r="AS1649">
            <v>0</v>
          </cell>
        </row>
        <row r="1650">
          <cell r="A1650" t="str">
            <v>13574C</v>
          </cell>
          <cell r="B1650" t="str">
            <v>COLEMAN EQUIPMENT</v>
          </cell>
          <cell r="C1650" t="str">
            <v>M11548</v>
          </cell>
          <cell r="D1650" t="str">
            <v>Net 30, no pink card</v>
          </cell>
          <cell r="E1650" t="str">
            <v>2%</v>
          </cell>
          <cell r="F1650" t="str">
            <v>Yes</v>
          </cell>
          <cell r="G1650" t="str">
            <v>TX</v>
          </cell>
          <cell r="H1650">
            <v>5</v>
          </cell>
          <cell r="I1650">
            <v>0.7</v>
          </cell>
          <cell r="J1650" t="str">
            <v>Jimmy L Smith</v>
          </cell>
          <cell r="K1650" t="str">
            <v>LEE'S SUMMIT</v>
          </cell>
          <cell r="L1650" t="str">
            <v>MO</v>
          </cell>
          <cell r="M1650" t="str">
            <v>800-577-8858</v>
          </cell>
          <cell r="N1650"/>
          <cell r="O1650">
            <v>484</v>
          </cell>
          <cell r="P1650">
            <v>2081.1999999999998</v>
          </cell>
          <cell r="Q1650"/>
          <cell r="R1650">
            <v>0</v>
          </cell>
          <cell r="S1650"/>
          <cell r="T1650">
            <v>0</v>
          </cell>
          <cell r="U1650" t="str"/>
          <cell r="V1650" t="str"/>
          <cell r="W1650" t="str"/>
          <cell r="X1650" t="str"/>
          <cell r="Y1650"/>
          <cell r="Z1650">
            <v>0</v>
          </cell>
          <cell r="AA1650"/>
          <cell r="AB1650">
            <v>0</v>
          </cell>
          <cell r="AC1650"/>
          <cell r="AD1650">
            <v>0</v>
          </cell>
          <cell r="AE1650"/>
          <cell r="AF1650"/>
          <cell r="AG1650"/>
          <cell r="AH1650"/>
          <cell r="AI1650"/>
          <cell r="AJ1650"/>
          <cell r="AK1650" t="str">
            <v>OL</v>
          </cell>
          <cell r="AL1650">
            <v>151</v>
          </cell>
          <cell r="AM1650">
            <v>226</v>
          </cell>
          <cell r="AN1650" t="str">
            <v>10 Orangeline</v>
          </cell>
          <cell r="AO1650" t="str">
            <v>Midwest</v>
          </cell>
          <cell r="AP1650" t="str">
            <v>South</v>
          </cell>
          <cell r="AQ1650"/>
          <cell r="AR1650">
            <v>0</v>
          </cell>
          <cell r="AS1650">
            <v>0</v>
          </cell>
        </row>
        <row r="1651">
          <cell r="A1651">
            <v>13577</v>
          </cell>
          <cell r="B1651" t="str">
            <v>HEARTLAND TRACTOR</v>
          </cell>
          <cell r="C1651" t="str">
            <v>M11434</v>
          </cell>
          <cell r="D1651" t="str">
            <v>Net 30, no pink card</v>
          </cell>
          <cell r="E1651" t="str">
            <v>2%</v>
          </cell>
          <cell r="F1651" t="str">
            <v>Yes</v>
          </cell>
          <cell r="G1651" t="str">
            <v>TX</v>
          </cell>
          <cell r="H1651">
            <v>5</v>
          </cell>
          <cell r="I1651">
            <v>0.7</v>
          </cell>
          <cell r="J1651" t="str">
            <v>Jimmy L Smith</v>
          </cell>
          <cell r="K1651" t="str">
            <v>HARRISONVILLE</v>
          </cell>
          <cell r="L1651" t="str">
            <v>MO</v>
          </cell>
          <cell r="M1651" t="str">
            <v>800-577-8858</v>
          </cell>
          <cell r="N1651"/>
          <cell r="O1651">
            <v>445</v>
          </cell>
          <cell r="P1651">
            <v>1913.5</v>
          </cell>
          <cell r="Q1651"/>
          <cell r="R1651">
            <v>0</v>
          </cell>
          <cell r="S1651"/>
          <cell r="T1651">
            <v>0</v>
          </cell>
          <cell r="U1651" t="str"/>
          <cell r="V1651" t="str"/>
          <cell r="W1651" t="str"/>
          <cell r="X1651" t="str"/>
          <cell r="Y1651"/>
          <cell r="Z1651">
            <v>0</v>
          </cell>
          <cell r="AA1651"/>
          <cell r="AB1651">
            <v>0</v>
          </cell>
          <cell r="AC1651"/>
          <cell r="AD1651">
            <v>0</v>
          </cell>
          <cell r="AE1651"/>
          <cell r="AF1651"/>
          <cell r="AG1651"/>
          <cell r="AH1651"/>
          <cell r="AI1651"/>
          <cell r="AJ1651"/>
          <cell r="AK1651" t="str">
            <v>OL</v>
          </cell>
          <cell r="AL1651">
            <v>151</v>
          </cell>
          <cell r="AM1651"/>
          <cell r="AN1651" t="str">
            <v>10 Orangeline</v>
          </cell>
          <cell r="AO1651" t="str">
            <v>Midwest</v>
          </cell>
          <cell r="AP1651" t="str">
            <v>South</v>
          </cell>
          <cell r="AQ1651"/>
          <cell r="AR1651">
            <v>0</v>
          </cell>
          <cell r="AS1651">
            <v>0</v>
          </cell>
        </row>
        <row r="1652">
          <cell r="A1652">
            <v>13522</v>
          </cell>
          <cell r="B1652" t="str">
            <v>MARSHALL SERVICE</v>
          </cell>
          <cell r="C1652" t="str">
            <v>M11495</v>
          </cell>
          <cell r="D1652" t="str">
            <v>Net 30, no pink card</v>
          </cell>
          <cell r="E1652" t="str">
            <v>2%</v>
          </cell>
          <cell r="F1652" t="str">
            <v>Yes</v>
          </cell>
          <cell r="G1652" t="str">
            <v>TX</v>
          </cell>
          <cell r="H1652">
            <v>5</v>
          </cell>
          <cell r="I1652">
            <v>0.7</v>
          </cell>
          <cell r="J1652" t="str">
            <v>Jimmy L Smith</v>
          </cell>
          <cell r="K1652" t="str">
            <v>MARSHALL</v>
          </cell>
          <cell r="L1652" t="str">
            <v>MO</v>
          </cell>
          <cell r="M1652" t="str">
            <v>800-577-8892</v>
          </cell>
          <cell r="N1652"/>
          <cell r="O1652">
            <v>520</v>
          </cell>
          <cell r="P1652">
            <v>2236</v>
          </cell>
          <cell r="Q1652"/>
          <cell r="R1652">
            <v>0</v>
          </cell>
          <cell r="S1652"/>
          <cell r="T1652">
            <v>0</v>
          </cell>
          <cell r="U1652" t="str"/>
          <cell r="V1652" t="str"/>
          <cell r="W1652" t="str"/>
          <cell r="X1652" t="str"/>
          <cell r="Y1652">
            <v>560</v>
          </cell>
          <cell r="Z1652">
            <v>2408</v>
          </cell>
          <cell r="AA1652">
            <v>560</v>
          </cell>
          <cell r="AB1652">
            <v>2408</v>
          </cell>
          <cell r="AC1652">
            <v>560</v>
          </cell>
          <cell r="AD1652">
            <v>2408</v>
          </cell>
          <cell r="AE1652"/>
          <cell r="AF1652"/>
          <cell r="AG1652"/>
          <cell r="AH1652"/>
          <cell r="AI1652"/>
          <cell r="AJ1652"/>
          <cell r="AK1652" t="str">
            <v>OL</v>
          </cell>
          <cell r="AL1652">
            <v>151</v>
          </cell>
          <cell r="AM1652">
            <v>226</v>
          </cell>
          <cell r="AN1652" t="str">
            <v>10 Orangeline</v>
          </cell>
          <cell r="AO1652" t="str">
            <v>Midwest</v>
          </cell>
          <cell r="AP1652" t="str">
            <v>Central</v>
          </cell>
          <cell r="AQ1652"/>
          <cell r="AR1652">
            <v>0</v>
          </cell>
          <cell r="AS1652">
            <v>0</v>
          </cell>
        </row>
        <row r="1653">
          <cell r="A1653">
            <v>13497</v>
          </cell>
          <cell r="B1653" t="str">
            <v>MEYER IMPLEMENT</v>
          </cell>
          <cell r="C1653" t="str">
            <v>M11472</v>
          </cell>
          <cell r="D1653" t="str">
            <v>Net 30, no pink card</v>
          </cell>
          <cell r="E1653" t="str">
            <v>2%</v>
          </cell>
          <cell r="F1653" t="str">
            <v>Yes</v>
          </cell>
          <cell r="G1653" t="str">
            <v>TX</v>
          </cell>
          <cell r="H1653">
            <v>5</v>
          </cell>
          <cell r="I1653">
            <v>0.7</v>
          </cell>
          <cell r="J1653" t="str">
            <v>Jimmy L Smith</v>
          </cell>
          <cell r="K1653" t="str">
            <v>BOWLING GREEN</v>
          </cell>
          <cell r="L1653" t="str">
            <v>MO</v>
          </cell>
          <cell r="M1653" t="str">
            <v>800-577-8892</v>
          </cell>
          <cell r="N1653"/>
          <cell r="O1653">
            <v>630</v>
          </cell>
          <cell r="P1653">
            <v>2709</v>
          </cell>
          <cell r="Q1653"/>
          <cell r="R1653">
            <v>0</v>
          </cell>
          <cell r="S1653"/>
          <cell r="T1653">
            <v>0</v>
          </cell>
          <cell r="U1653" t="str"/>
          <cell r="V1653" t="str"/>
          <cell r="W1653" t="str"/>
          <cell r="X1653" t="str"/>
          <cell r="Y1653">
            <v>460</v>
          </cell>
          <cell r="Z1653">
            <v>1978</v>
          </cell>
          <cell r="AA1653">
            <v>460</v>
          </cell>
          <cell r="AB1653">
            <v>1978</v>
          </cell>
          <cell r="AC1653">
            <v>460</v>
          </cell>
          <cell r="AD1653">
            <v>1978</v>
          </cell>
          <cell r="AE1653"/>
          <cell r="AF1653"/>
          <cell r="AG1653"/>
          <cell r="AH1653"/>
          <cell r="AI1653"/>
          <cell r="AJ1653"/>
          <cell r="AK1653" t="str">
            <v>OL</v>
          </cell>
          <cell r="AL1653">
            <v>151</v>
          </cell>
          <cell r="AM1653">
            <v>367</v>
          </cell>
          <cell r="AN1653" t="str">
            <v>10 Orangeline</v>
          </cell>
          <cell r="AO1653" t="str">
            <v>Midwest</v>
          </cell>
          <cell r="AP1653" t="str">
            <v>Central</v>
          </cell>
          <cell r="AQ1653"/>
          <cell r="AR1653">
            <v>0</v>
          </cell>
          <cell r="AS1653">
            <v>0</v>
          </cell>
        </row>
        <row r="1654">
          <cell r="A1654" t="str">
            <v>13497A</v>
          </cell>
          <cell r="B1654" t="str">
            <v>MEYER IMPLEMENT</v>
          </cell>
          <cell r="C1654" t="str">
            <v>M11472</v>
          </cell>
          <cell r="D1654" t="str">
            <v>Net 30, no pink card</v>
          </cell>
          <cell r="E1654" t="str">
            <v>2%</v>
          </cell>
          <cell r="F1654" t="str">
            <v>Yes</v>
          </cell>
          <cell r="G1654" t="str">
            <v>TX</v>
          </cell>
          <cell r="H1654">
            <v>5</v>
          </cell>
          <cell r="I1654">
            <v>0.7</v>
          </cell>
          <cell r="J1654" t="str">
            <v>Jimmy L Smith</v>
          </cell>
          <cell r="K1654" t="str">
            <v>MONROE CITY</v>
          </cell>
          <cell r="L1654" t="str">
            <v>MO</v>
          </cell>
          <cell r="M1654" t="str">
            <v>800-577-8892</v>
          </cell>
          <cell r="N1654"/>
          <cell r="O1654">
            <v>630</v>
          </cell>
          <cell r="P1654">
            <v>2709</v>
          </cell>
          <cell r="Q1654"/>
          <cell r="R1654">
            <v>0</v>
          </cell>
          <cell r="S1654"/>
          <cell r="T1654">
            <v>0</v>
          </cell>
          <cell r="U1654" t="str"/>
          <cell r="V1654" t="str"/>
          <cell r="W1654" t="str"/>
          <cell r="X1654" t="str"/>
          <cell r="Y1654">
            <v>460</v>
          </cell>
          <cell r="Z1654">
            <v>1978</v>
          </cell>
          <cell r="AA1654">
            <v>460</v>
          </cell>
          <cell r="AB1654">
            <v>1978</v>
          </cell>
          <cell r="AC1654">
            <v>460</v>
          </cell>
          <cell r="AD1654">
            <v>1978</v>
          </cell>
          <cell r="AE1654"/>
          <cell r="AF1654"/>
          <cell r="AG1654"/>
          <cell r="AH1654"/>
          <cell r="AI1654"/>
          <cell r="AJ1654"/>
          <cell r="AK1654" t="str">
            <v>OL</v>
          </cell>
          <cell r="AL1654">
            <v>151</v>
          </cell>
          <cell r="AM1654">
            <v>367</v>
          </cell>
          <cell r="AN1654" t="str">
            <v>10 Orangeline</v>
          </cell>
          <cell r="AO1654" t="str">
            <v>Midwest</v>
          </cell>
          <cell r="AP1654" t="str">
            <v>Central</v>
          </cell>
          <cell r="AQ1654"/>
          <cell r="AR1654">
            <v>0</v>
          </cell>
          <cell r="AS1654">
            <v>0</v>
          </cell>
          <cell r="AT1654"/>
        </row>
        <row r="1655">
          <cell r="A1655" t="str">
            <v>13279A</v>
          </cell>
          <cell r="B1655" t="str">
            <v>AYRES-DELTA IMPLEMENT</v>
          </cell>
          <cell r="C1655" t="str">
            <v>M11239</v>
          </cell>
          <cell r="D1655" t="str">
            <v>Net 30, no pink card</v>
          </cell>
          <cell r="E1655" t="str">
            <v>2%</v>
          </cell>
          <cell r="F1655" t="str">
            <v>Yes</v>
          </cell>
          <cell r="G1655" t="str">
            <v>TX</v>
          </cell>
          <cell r="H1655">
            <v>5</v>
          </cell>
          <cell r="I1655">
            <v>0.7</v>
          </cell>
          <cell r="J1655" t="str">
            <v>Jimmy L Smith</v>
          </cell>
          <cell r="K1655" t="str">
            <v>GREENWOOD</v>
          </cell>
          <cell r="L1655" t="str">
            <v>MS</v>
          </cell>
          <cell r="M1655" t="str">
            <v>800-577-8858</v>
          </cell>
          <cell r="N1655"/>
          <cell r="O1655">
            <v>320</v>
          </cell>
          <cell r="P1655">
            <v>1376</v>
          </cell>
          <cell r="Q1655">
            <v>450</v>
          </cell>
          <cell r="R1655">
            <v>1935</v>
          </cell>
          <cell r="S1655"/>
          <cell r="T1655">
            <v>0</v>
          </cell>
          <cell r="U1655" t="str"/>
          <cell r="V1655" t="str"/>
          <cell r="W1655" t="str"/>
          <cell r="X1655" t="str"/>
          <cell r="Y1655"/>
          <cell r="Z1655">
            <v>0</v>
          </cell>
          <cell r="AA1655"/>
          <cell r="AB1655" t="str">
            <v>n/a</v>
          </cell>
          <cell r="AC1655"/>
          <cell r="AD1655" t="str">
            <v>n/a</v>
          </cell>
          <cell r="AE1655"/>
          <cell r="AF1655"/>
          <cell r="AG1655"/>
          <cell r="AH1655"/>
          <cell r="AI1655"/>
          <cell r="AJ1655"/>
          <cell r="AK1655" t="str">
            <v>OL</v>
          </cell>
          <cell r="AL1655">
            <v>151</v>
          </cell>
          <cell r="AM1655">
            <v>175</v>
          </cell>
          <cell r="AN1655" t="str">
            <v>10 Orangeline</v>
          </cell>
          <cell r="AO1655" t="str">
            <v>Southeast</v>
          </cell>
          <cell r="AP1655" t="str">
            <v>South</v>
          </cell>
          <cell r="AQ1655"/>
          <cell r="AR1655">
            <v>0</v>
          </cell>
          <cell r="AS1655">
            <v>0</v>
          </cell>
        </row>
        <row r="1656">
          <cell r="A1656" t="str">
            <v>13279B</v>
          </cell>
          <cell r="B1656" t="str">
            <v>AYRES-DELTA IMPLEMENT</v>
          </cell>
          <cell r="C1656" t="str">
            <v>M11239</v>
          </cell>
          <cell r="D1656" t="str">
            <v>Net 30, no pink card</v>
          </cell>
          <cell r="E1656" t="str">
            <v>2%</v>
          </cell>
          <cell r="F1656" t="str">
            <v>Yes</v>
          </cell>
          <cell r="G1656" t="str">
            <v>TX</v>
          </cell>
          <cell r="H1656">
            <v>5</v>
          </cell>
          <cell r="I1656">
            <v>0.7</v>
          </cell>
          <cell r="J1656" t="str">
            <v>Jimmy L Smith</v>
          </cell>
          <cell r="K1656" t="str">
            <v>BELZONI</v>
          </cell>
          <cell r="L1656" t="str">
            <v>MS</v>
          </cell>
          <cell r="M1656" t="str">
            <v>800-577-8858</v>
          </cell>
          <cell r="N1656"/>
          <cell r="O1656">
            <v>310</v>
          </cell>
          <cell r="P1656">
            <v>1333</v>
          </cell>
          <cell r="Q1656">
            <v>475</v>
          </cell>
          <cell r="R1656">
            <v>2042.5</v>
          </cell>
          <cell r="S1656"/>
          <cell r="T1656">
            <v>0</v>
          </cell>
          <cell r="U1656" t="str"/>
          <cell r="V1656" t="str"/>
          <cell r="W1656" t="str"/>
          <cell r="X1656" t="str"/>
          <cell r="Y1656"/>
          <cell r="Z1656">
            <v>0</v>
          </cell>
          <cell r="AA1656"/>
          <cell r="AB1656" t="str">
            <v>n/a</v>
          </cell>
          <cell r="AC1656"/>
          <cell r="AD1656" t="str">
            <v>n/a</v>
          </cell>
          <cell r="AE1656"/>
          <cell r="AF1656"/>
          <cell r="AG1656"/>
          <cell r="AH1656"/>
          <cell r="AI1656"/>
          <cell r="AJ1656"/>
          <cell r="AK1656" t="str">
            <v>OL</v>
          </cell>
          <cell r="AL1656">
            <v>151</v>
          </cell>
          <cell r="AM1656">
            <v>210</v>
          </cell>
          <cell r="AN1656" t="str">
            <v>10 Orangeline</v>
          </cell>
          <cell r="AO1656" t="str">
            <v>Southeast</v>
          </cell>
          <cell r="AP1656" t="str">
            <v>South</v>
          </cell>
          <cell r="AQ1656"/>
          <cell r="AR1656">
            <v>0</v>
          </cell>
          <cell r="AS1656">
            <v>0</v>
          </cell>
        </row>
        <row r="1657">
          <cell r="A1657" t="str">
            <v>13279C</v>
          </cell>
          <cell r="B1657" t="str">
            <v>AYRES-DELTA IMPLEMENT</v>
          </cell>
          <cell r="C1657" t="str">
            <v>M11239</v>
          </cell>
          <cell r="D1657" t="str">
            <v>Net 30, no pink card</v>
          </cell>
          <cell r="E1657" t="str">
            <v>2%</v>
          </cell>
          <cell r="F1657" t="str">
            <v>Yes</v>
          </cell>
          <cell r="G1657" t="str">
            <v>TX</v>
          </cell>
          <cell r="H1657">
            <v>5</v>
          </cell>
          <cell r="I1657">
            <v>0.7</v>
          </cell>
          <cell r="J1657" t="str">
            <v>Jimmy L Smith</v>
          </cell>
          <cell r="K1657" t="str">
            <v>CLEVELAND</v>
          </cell>
          <cell r="L1657" t="str">
            <v>MS</v>
          </cell>
          <cell r="M1657" t="str">
            <v>800-577-8858</v>
          </cell>
          <cell r="N1657"/>
          <cell r="O1657">
            <v>310</v>
          </cell>
          <cell r="P1657">
            <v>1333</v>
          </cell>
          <cell r="Q1657">
            <v>490</v>
          </cell>
          <cell r="R1657">
            <v>2107</v>
          </cell>
          <cell r="S1657"/>
          <cell r="T1657">
            <v>0</v>
          </cell>
          <cell r="U1657" t="str"/>
          <cell r="V1657" t="str"/>
          <cell r="W1657" t="str"/>
          <cell r="X1657" t="str"/>
          <cell r="Y1657"/>
          <cell r="Z1657">
            <v>0</v>
          </cell>
          <cell r="AA1657"/>
          <cell r="AB1657" t="str">
            <v>n/a</v>
          </cell>
          <cell r="AC1657"/>
          <cell r="AD1657" t="str">
            <v>n/a</v>
          </cell>
          <cell r="AE1657"/>
          <cell r="AF1657"/>
          <cell r="AG1657"/>
          <cell r="AH1657"/>
          <cell r="AI1657"/>
          <cell r="AJ1657"/>
          <cell r="AK1657" t="str">
            <v>OL</v>
          </cell>
          <cell r="AL1657">
            <v>151</v>
          </cell>
          <cell r="AM1657">
            <v>175</v>
          </cell>
          <cell r="AN1657" t="str">
            <v>10 Orangeline</v>
          </cell>
          <cell r="AO1657" t="str">
            <v>Southeast</v>
          </cell>
          <cell r="AP1657" t="str">
            <v>South</v>
          </cell>
          <cell r="AQ1657"/>
          <cell r="AR1657">
            <v>0</v>
          </cell>
          <cell r="AS1657">
            <v>0</v>
          </cell>
        </row>
        <row r="1658">
          <cell r="A1658">
            <v>11780</v>
          </cell>
          <cell r="B1658" t="str">
            <v>CHICKASAW EQUIPMENT COMPANY</v>
          </cell>
          <cell r="C1658" t="str">
            <v>M01933</v>
          </cell>
          <cell r="D1658" t="str">
            <v>Net 30, no pink card</v>
          </cell>
          <cell r="E1658" t="str">
            <v>O1-Northpoint</v>
          </cell>
          <cell r="F1658" t="str">
            <v>Yes</v>
          </cell>
          <cell r="G1658" t="str">
            <v>TX</v>
          </cell>
          <cell r="H1658">
            <v>8</v>
          </cell>
          <cell r="I1658">
            <v>0.7</v>
          </cell>
          <cell r="J1658" t="str">
            <v>Jimmy L Smith</v>
          </cell>
          <cell r="K1658" t="str">
            <v>HOUSTON</v>
          </cell>
          <cell r="L1658" t="str">
            <v>MS</v>
          </cell>
          <cell r="M1658" t="str">
            <v>800-577-8858</v>
          </cell>
          <cell r="N1658"/>
          <cell r="O1658">
            <v>450</v>
          </cell>
          <cell r="P1658">
            <v>1935</v>
          </cell>
          <cell r="Q1658">
            <v>390</v>
          </cell>
          <cell r="R1658">
            <v>1677</v>
          </cell>
          <cell r="S1658"/>
          <cell r="T1658">
            <v>0</v>
          </cell>
          <cell r="U1658" t="str"/>
          <cell r="V1658" t="str"/>
          <cell r="W1658" t="str"/>
          <cell r="X1658" t="str"/>
          <cell r="Y1658"/>
          <cell r="Z1658">
            <v>0</v>
          </cell>
          <cell r="AA1658"/>
          <cell r="AB1658" t="str">
            <v>n/a</v>
          </cell>
          <cell r="AC1658"/>
          <cell r="AD1658" t="str">
            <v>n/a</v>
          </cell>
          <cell r="AE1658"/>
          <cell r="AF1658"/>
          <cell r="AG1658"/>
          <cell r="AH1658"/>
          <cell r="AI1658"/>
          <cell r="AJ1658"/>
          <cell r="AK1658" t="str">
            <v>OL</v>
          </cell>
          <cell r="AL1658">
            <v>151</v>
          </cell>
          <cell r="AM1658" t="str"/>
          <cell r="AN1658" t="str">
            <v>10 Orangeline</v>
          </cell>
          <cell r="AO1658" t="str">
            <v>Southeast</v>
          </cell>
          <cell r="AP1658" t="str">
            <v>South</v>
          </cell>
          <cell r="AQ1658"/>
          <cell r="AR1658">
            <v>0</v>
          </cell>
          <cell r="AS1658">
            <v>0</v>
          </cell>
        </row>
        <row r="1659">
          <cell r="A1659" t="str">
            <v>11780A</v>
          </cell>
          <cell r="B1659" t="str">
            <v>CHICKASAW EQUIPMENT COMPANY</v>
          </cell>
          <cell r="C1659" t="str">
            <v>M01933</v>
          </cell>
          <cell r="D1659" t="str">
            <v>Net 30, no pink card</v>
          </cell>
          <cell r="E1659" t="str">
            <v>O1-Northpoint</v>
          </cell>
          <cell r="F1659" t="str">
            <v>Yes</v>
          </cell>
          <cell r="G1659" t="str">
            <v>TX</v>
          </cell>
          <cell r="H1659">
            <v>8</v>
          </cell>
          <cell r="I1659">
            <v>0.7</v>
          </cell>
          <cell r="J1659" t="str">
            <v>Jimmy L Smith</v>
          </cell>
          <cell r="K1659" t="str">
            <v>TUPELO</v>
          </cell>
          <cell r="L1659" t="str">
            <v>MS</v>
          </cell>
          <cell r="M1659" t="str">
            <v>800-577-8858</v>
          </cell>
          <cell r="N1659"/>
          <cell r="O1659">
            <v>450</v>
          </cell>
          <cell r="P1659">
            <v>1935</v>
          </cell>
          <cell r="Q1659">
            <v>400</v>
          </cell>
          <cell r="R1659">
            <v>1720</v>
          </cell>
          <cell r="S1659"/>
          <cell r="T1659">
            <v>0</v>
          </cell>
          <cell r="U1659" t="str"/>
          <cell r="V1659" t="str"/>
          <cell r="W1659" t="str"/>
          <cell r="X1659" t="str"/>
          <cell r="Y1659"/>
          <cell r="Z1659">
            <v>0</v>
          </cell>
          <cell r="AA1659"/>
          <cell r="AB1659" t="str">
            <v>n/a</v>
          </cell>
          <cell r="AC1659"/>
          <cell r="AD1659" t="str">
            <v>n/a</v>
          </cell>
          <cell r="AE1659"/>
          <cell r="AF1659"/>
          <cell r="AG1659"/>
          <cell r="AH1659"/>
          <cell r="AI1659"/>
          <cell r="AJ1659"/>
          <cell r="AK1659" t="str">
            <v>OL</v>
          </cell>
          <cell r="AL1659">
            <v>151</v>
          </cell>
          <cell r="AM1659" t="str"/>
          <cell r="AN1659" t="str">
            <v>10 Orangeline</v>
          </cell>
          <cell r="AO1659" t="str">
            <v>Southeast</v>
          </cell>
          <cell r="AP1659" t="str">
            <v>South</v>
          </cell>
          <cell r="AQ1659"/>
          <cell r="AR1659">
            <v>0</v>
          </cell>
          <cell r="AS1659">
            <v>0</v>
          </cell>
        </row>
        <row r="1660">
          <cell r="A1660" t="str">
            <v>11780B</v>
          </cell>
          <cell r="B1660" t="str">
            <v>CHICKASAW EQUIPMENT COMPANY</v>
          </cell>
          <cell r="C1660" t="str">
            <v>M01933</v>
          </cell>
          <cell r="D1660" t="str">
            <v>Net 30, no pink card</v>
          </cell>
          <cell r="E1660" t="str">
            <v>O1-Northpoint</v>
          </cell>
          <cell r="F1660" t="str">
            <v>Yes</v>
          </cell>
          <cell r="G1660" t="str">
            <v>TX</v>
          </cell>
          <cell r="H1660">
            <v>8</v>
          </cell>
          <cell r="I1660">
            <v>0.7</v>
          </cell>
          <cell r="J1660" t="str">
            <v>Jimmy L Smith</v>
          </cell>
          <cell r="K1660" t="str">
            <v>RIPLEY</v>
          </cell>
          <cell r="L1660" t="str">
            <v>MS</v>
          </cell>
          <cell r="M1660" t="str">
            <v>800-577-8858</v>
          </cell>
          <cell r="N1660"/>
          <cell r="O1660">
            <v>420</v>
          </cell>
          <cell r="P1660">
            <v>1806</v>
          </cell>
          <cell r="Q1660">
            <v>450</v>
          </cell>
          <cell r="R1660">
            <v>1935</v>
          </cell>
          <cell r="S1660"/>
          <cell r="T1660">
            <v>0</v>
          </cell>
          <cell r="U1660" t="str"/>
          <cell r="V1660" t="str"/>
          <cell r="W1660" t="str"/>
          <cell r="X1660" t="str"/>
          <cell r="Y1660"/>
          <cell r="Z1660">
            <v>0</v>
          </cell>
          <cell r="AA1660"/>
          <cell r="AB1660" t="str">
            <v>n/a</v>
          </cell>
          <cell r="AC1660"/>
          <cell r="AD1660" t="str">
            <v>n/a</v>
          </cell>
          <cell r="AE1660"/>
          <cell r="AF1660"/>
          <cell r="AG1660"/>
          <cell r="AH1660"/>
          <cell r="AI1660"/>
          <cell r="AJ1660"/>
          <cell r="AK1660" t="str">
            <v>OL</v>
          </cell>
          <cell r="AL1660">
            <v>151</v>
          </cell>
          <cell r="AM1660" t="str"/>
          <cell r="AN1660" t="str">
            <v>10 Orangeline</v>
          </cell>
          <cell r="AO1660" t="str">
            <v>Southeast</v>
          </cell>
          <cell r="AP1660" t="str">
            <v>South</v>
          </cell>
          <cell r="AQ1660"/>
          <cell r="AR1660">
            <v>0</v>
          </cell>
          <cell r="AS1660">
            <v>0</v>
          </cell>
        </row>
        <row r="1661">
          <cell r="A1661">
            <v>13374</v>
          </cell>
          <cell r="B1661" t="str">
            <v>DEVINEY RENTAL</v>
          </cell>
          <cell r="C1661" t="str">
            <v>M11339</v>
          </cell>
          <cell r="D1661" t="str">
            <v>Net 30, no pink card</v>
          </cell>
          <cell r="E1661" t="str">
            <v>2%</v>
          </cell>
          <cell r="F1661" t="str">
            <v>Yes</v>
          </cell>
          <cell r="G1661" t="str">
            <v>TX</v>
          </cell>
          <cell r="H1661">
            <v>5</v>
          </cell>
          <cell r="I1661">
            <v>0.7</v>
          </cell>
          <cell r="J1661" t="str">
            <v>Jimmy L Smith</v>
          </cell>
          <cell r="K1661" t="str">
            <v>MADISON</v>
          </cell>
          <cell r="L1661" t="str">
            <v>MS</v>
          </cell>
          <cell r="M1661" t="str">
            <v>800-577-8858</v>
          </cell>
          <cell r="N1661"/>
          <cell r="O1661">
            <v>330</v>
          </cell>
          <cell r="P1661">
            <v>1419</v>
          </cell>
          <cell r="Q1661">
            <v>440</v>
          </cell>
          <cell r="R1661">
            <v>1892</v>
          </cell>
          <cell r="S1661"/>
          <cell r="T1661">
            <v>0</v>
          </cell>
          <cell r="U1661" t="str"/>
          <cell r="V1661" t="str"/>
          <cell r="W1661" t="str"/>
          <cell r="X1661" t="str"/>
          <cell r="Y1661"/>
          <cell r="Z1661">
            <v>0</v>
          </cell>
          <cell r="AA1661"/>
          <cell r="AB1661" t="str">
            <v>n/a</v>
          </cell>
          <cell r="AC1661"/>
          <cell r="AD1661" t="str">
            <v>n/a</v>
          </cell>
          <cell r="AE1661"/>
          <cell r="AF1661"/>
          <cell r="AG1661"/>
          <cell r="AH1661"/>
          <cell r="AI1661"/>
          <cell r="AJ1661"/>
          <cell r="AK1661" t="str">
            <v>OL</v>
          </cell>
          <cell r="AL1661">
            <v>151</v>
          </cell>
          <cell r="AM1661">
            <v>210</v>
          </cell>
          <cell r="AN1661" t="str">
            <v>10 Orangeline</v>
          </cell>
          <cell r="AO1661" t="str">
            <v>Southeast</v>
          </cell>
          <cell r="AP1661" t="str">
            <v>South</v>
          </cell>
          <cell r="AQ1661"/>
          <cell r="AR1661">
            <v>0</v>
          </cell>
          <cell r="AS1661">
            <v>0</v>
          </cell>
        </row>
        <row r="1662">
          <cell r="A1662" t="str">
            <v>13374A</v>
          </cell>
          <cell r="B1662" t="str">
            <v>DEVINEY RENTAL</v>
          </cell>
          <cell r="C1662" t="str">
            <v>M11339</v>
          </cell>
          <cell r="D1662" t="str">
            <v>Net 30, no pink card</v>
          </cell>
          <cell r="E1662" t="str">
            <v>2%</v>
          </cell>
          <cell r="F1662" t="str">
            <v>Yes</v>
          </cell>
          <cell r="G1662" t="str">
            <v>TX</v>
          </cell>
          <cell r="H1662">
            <v>5</v>
          </cell>
          <cell r="I1662">
            <v>0.7</v>
          </cell>
          <cell r="J1662" t="str">
            <v>Jimmy L Smith</v>
          </cell>
          <cell r="K1662" t="str">
            <v>RAYMOND</v>
          </cell>
          <cell r="L1662" t="str">
            <v>MS</v>
          </cell>
          <cell r="M1662" t="str">
            <v>800-577-8858</v>
          </cell>
          <cell r="N1662"/>
          <cell r="O1662">
            <v>310</v>
          </cell>
          <cell r="P1662">
            <v>1333</v>
          </cell>
          <cell r="Q1662">
            <v>440</v>
          </cell>
          <cell r="R1662">
            <v>1892</v>
          </cell>
          <cell r="S1662"/>
          <cell r="T1662">
            <v>0</v>
          </cell>
          <cell r="U1662" t="str"/>
          <cell r="V1662" t="str"/>
          <cell r="W1662" t="str"/>
          <cell r="X1662" t="str"/>
          <cell r="Y1662"/>
          <cell r="Z1662">
            <v>0</v>
          </cell>
          <cell r="AA1662"/>
          <cell r="AB1662" t="str">
            <v>n/a</v>
          </cell>
          <cell r="AC1662"/>
          <cell r="AD1662" t="str">
            <v>n/a</v>
          </cell>
          <cell r="AE1662"/>
          <cell r="AF1662"/>
          <cell r="AG1662"/>
          <cell r="AH1662"/>
          <cell r="AI1662"/>
          <cell r="AJ1662"/>
          <cell r="AK1662" t="str">
            <v>OL</v>
          </cell>
          <cell r="AL1662">
            <v>151</v>
          </cell>
          <cell r="AM1662">
            <v>210</v>
          </cell>
          <cell r="AN1662" t="str">
            <v>10 Orangeline</v>
          </cell>
          <cell r="AO1662" t="str">
            <v>Southeast</v>
          </cell>
          <cell r="AP1662" t="str">
            <v>South</v>
          </cell>
          <cell r="AQ1662"/>
          <cell r="AR1662">
            <v>0</v>
          </cell>
          <cell r="AS1662">
            <v>0</v>
          </cell>
        </row>
        <row r="1663">
          <cell r="A1663" t="str">
            <v>13302E</v>
          </cell>
          <cell r="B1663" t="str">
            <v>H &amp; R AGRI-POWER</v>
          </cell>
          <cell r="C1663" t="str">
            <v>M11258</v>
          </cell>
          <cell r="D1663" t="str">
            <v>Net 30, no pink card</v>
          </cell>
          <cell r="E1663" t="str">
            <v>2%</v>
          </cell>
          <cell r="F1663" t="str">
            <v>Yes</v>
          </cell>
          <cell r="G1663" t="str">
            <v>TX</v>
          </cell>
          <cell r="H1663">
            <v>5</v>
          </cell>
          <cell r="I1663">
            <v>0.7</v>
          </cell>
          <cell r="J1663" t="str">
            <v>Jimmy L Smith</v>
          </cell>
          <cell r="K1663" t="str">
            <v>COLUMBUS</v>
          </cell>
          <cell r="L1663" t="str">
            <v>MS</v>
          </cell>
          <cell r="M1663" t="str">
            <v>800-577-8858</v>
          </cell>
          <cell r="N1663"/>
          <cell r="O1663">
            <v>470</v>
          </cell>
          <cell r="P1663">
            <v>2021</v>
          </cell>
          <cell r="Q1663">
            <v>340</v>
          </cell>
          <cell r="R1663">
            <v>1462</v>
          </cell>
          <cell r="S1663"/>
          <cell r="T1663">
            <v>0</v>
          </cell>
          <cell r="U1663" t="str"/>
          <cell r="V1663" t="str"/>
          <cell r="W1663" t="str"/>
          <cell r="X1663" t="str"/>
          <cell r="Y1663"/>
          <cell r="Z1663">
            <v>0</v>
          </cell>
          <cell r="AA1663"/>
          <cell r="AB1663" t="str">
            <v>n/a</v>
          </cell>
          <cell r="AC1663"/>
          <cell r="AD1663" t="str">
            <v>n/a</v>
          </cell>
          <cell r="AE1663"/>
          <cell r="AF1663"/>
          <cell r="AG1663"/>
          <cell r="AH1663"/>
          <cell r="AI1663"/>
          <cell r="AJ1663"/>
          <cell r="AK1663" t="str">
            <v>OL</v>
          </cell>
          <cell r="AL1663">
            <v>151</v>
          </cell>
          <cell r="AM1663">
            <v>94</v>
          </cell>
          <cell r="AN1663" t="str">
            <v>10 Orangeline</v>
          </cell>
          <cell r="AO1663" t="str">
            <v>Southeast</v>
          </cell>
          <cell r="AP1663" t="str">
            <v>South</v>
          </cell>
          <cell r="AQ1663"/>
          <cell r="AR1663">
            <v>0</v>
          </cell>
          <cell r="AS1663">
            <v>0</v>
          </cell>
        </row>
        <row r="1664">
          <cell r="A1664" t="str">
            <v>13199A</v>
          </cell>
          <cell r="B1664" t="str">
            <v>LEE TRACTOR</v>
          </cell>
          <cell r="C1664" t="str">
            <v>M11139</v>
          </cell>
          <cell r="D1664" t="str">
            <v>Net 30, no pink card</v>
          </cell>
          <cell r="E1664" t="str">
            <v>2%</v>
          </cell>
          <cell r="F1664" t="str">
            <v>Yes</v>
          </cell>
          <cell r="G1664" t="str">
            <v>TX</v>
          </cell>
          <cell r="H1664">
            <v>5</v>
          </cell>
          <cell r="I1664">
            <v>0.7</v>
          </cell>
          <cell r="J1664" t="str">
            <v>Jimmy L Smith</v>
          </cell>
          <cell r="K1664" t="str">
            <v>BILOXI</v>
          </cell>
          <cell r="L1664" t="str">
            <v>MS</v>
          </cell>
          <cell r="M1664" t="str">
            <v>800-577-8858</v>
          </cell>
          <cell r="N1664"/>
          <cell r="O1664">
            <v>480</v>
          </cell>
          <cell r="P1664">
            <v>2064</v>
          </cell>
          <cell r="Q1664">
            <v>380</v>
          </cell>
          <cell r="R1664">
            <v>1634</v>
          </cell>
          <cell r="S1664"/>
          <cell r="T1664">
            <v>0</v>
          </cell>
          <cell r="U1664" t="str"/>
          <cell r="V1664" t="str"/>
          <cell r="W1664" t="str"/>
          <cell r="X1664" t="str"/>
          <cell r="Y1664"/>
          <cell r="Z1664">
            <v>0</v>
          </cell>
          <cell r="AA1664"/>
          <cell r="AB1664" t="str">
            <v>n/a</v>
          </cell>
          <cell r="AC1664"/>
          <cell r="AD1664" t="str">
            <v>n/a</v>
          </cell>
          <cell r="AE1664"/>
          <cell r="AF1664"/>
          <cell r="AG1664"/>
          <cell r="AH1664"/>
          <cell r="AI1664"/>
          <cell r="AJ1664"/>
          <cell r="AK1664" t="str">
            <v>OL</v>
          </cell>
          <cell r="AL1664">
            <v>151</v>
          </cell>
          <cell r="AM1664" t="str"/>
          <cell r="AN1664" t="str">
            <v>10 Orangeline</v>
          </cell>
          <cell r="AO1664" t="str">
            <v>Southeast</v>
          </cell>
          <cell r="AP1664" t="str">
            <v>South</v>
          </cell>
          <cell r="AQ1664"/>
          <cell r="AR1664">
            <v>0</v>
          </cell>
          <cell r="AS1664">
            <v>0</v>
          </cell>
        </row>
        <row r="1665">
          <cell r="A1665" t="str">
            <v>13199B</v>
          </cell>
          <cell r="B1665" t="str">
            <v>LEE TRACTOR</v>
          </cell>
          <cell r="C1665" t="str">
            <v>M11139</v>
          </cell>
          <cell r="D1665" t="str">
            <v>Net 30, no pink card</v>
          </cell>
          <cell r="E1665" t="str">
            <v>2%</v>
          </cell>
          <cell r="F1665" t="str">
            <v>Yes</v>
          </cell>
          <cell r="G1665" t="str">
            <v>TX</v>
          </cell>
          <cell r="H1665">
            <v>5</v>
          </cell>
          <cell r="I1665">
            <v>0.7</v>
          </cell>
          <cell r="J1665" t="str">
            <v>Jimmy L Smith</v>
          </cell>
          <cell r="K1665" t="str">
            <v>PEARL</v>
          </cell>
          <cell r="L1665" t="str">
            <v>MS</v>
          </cell>
          <cell r="M1665" t="str">
            <v>800-577-8858</v>
          </cell>
          <cell r="N1665"/>
          <cell r="O1665">
            <v>325</v>
          </cell>
          <cell r="P1665">
            <v>1397.5</v>
          </cell>
          <cell r="Q1665">
            <v>420</v>
          </cell>
          <cell r="R1665">
            <v>1806</v>
          </cell>
          <cell r="S1665"/>
          <cell r="T1665">
            <v>0</v>
          </cell>
          <cell r="U1665" t="str"/>
          <cell r="V1665" t="str"/>
          <cell r="W1665" t="str"/>
          <cell r="X1665" t="str"/>
          <cell r="Y1665"/>
          <cell r="Z1665">
            <v>0</v>
          </cell>
          <cell r="AA1665"/>
          <cell r="AB1665" t="str">
            <v>n/a</v>
          </cell>
          <cell r="AC1665"/>
          <cell r="AD1665" t="str">
            <v>n/a</v>
          </cell>
          <cell r="AE1665"/>
          <cell r="AF1665"/>
          <cell r="AG1665"/>
          <cell r="AH1665"/>
          <cell r="AI1665"/>
          <cell r="AJ1665"/>
          <cell r="AK1665" t="str">
            <v>OL</v>
          </cell>
          <cell r="AL1665">
            <v>151</v>
          </cell>
          <cell r="AM1665" t="str"/>
          <cell r="AN1665" t="str">
            <v>10 Orangeline</v>
          </cell>
          <cell r="AO1665" t="str">
            <v>Southeast</v>
          </cell>
          <cell r="AP1665" t="str">
            <v>South</v>
          </cell>
          <cell r="AQ1665"/>
          <cell r="AR1665">
            <v>0</v>
          </cell>
          <cell r="AS1665">
            <v>0</v>
          </cell>
        </row>
        <row r="1666">
          <cell r="A1666">
            <v>13324</v>
          </cell>
          <cell r="B1666" t="str">
            <v>R &amp; M TRACTOR</v>
          </cell>
          <cell r="C1666" t="str">
            <v>M11278</v>
          </cell>
          <cell r="D1666" t="str">
            <v>Net 30, no pink card</v>
          </cell>
          <cell r="E1666" t="str">
            <v>O1-Northpoint</v>
          </cell>
          <cell r="F1666" t="str">
            <v>Yes</v>
          </cell>
          <cell r="G1666" t="str">
            <v>GA</v>
          </cell>
          <cell r="H1666">
            <v>8</v>
          </cell>
          <cell r="I1666">
            <v>0.7</v>
          </cell>
          <cell r="J1666" t="str">
            <v>Jimmy L Smith</v>
          </cell>
          <cell r="K1666" t="str">
            <v>MAGEE</v>
          </cell>
          <cell r="L1666" t="str">
            <v>MS</v>
          </cell>
          <cell r="M1666" t="str">
            <v>800-577-8858</v>
          </cell>
          <cell r="N1666"/>
          <cell r="O1666">
            <v>360</v>
          </cell>
          <cell r="P1666">
            <v>1548</v>
          </cell>
          <cell r="Q1666">
            <v>415</v>
          </cell>
          <cell r="R1666">
            <v>1784.5</v>
          </cell>
          <cell r="S1666"/>
          <cell r="T1666">
            <v>0</v>
          </cell>
          <cell r="U1666" t="str"/>
          <cell r="V1666" t="str"/>
          <cell r="W1666" t="str"/>
          <cell r="X1666" t="str"/>
          <cell r="Y1666"/>
          <cell r="Z1666">
            <v>0</v>
          </cell>
          <cell r="AA1666"/>
          <cell r="AB1666" t="str">
            <v>n/a</v>
          </cell>
          <cell r="AC1666"/>
          <cell r="AD1666" t="str">
            <v>n/a</v>
          </cell>
          <cell r="AE1666"/>
          <cell r="AF1666"/>
          <cell r="AG1666"/>
          <cell r="AH1666"/>
          <cell r="AI1666"/>
          <cell r="AJ1666"/>
          <cell r="AK1666" t="str">
            <v>OL</v>
          </cell>
          <cell r="AL1666">
            <v>151</v>
          </cell>
          <cell r="AM1666">
            <v>210</v>
          </cell>
          <cell r="AN1666" t="str">
            <v>10 Orangeline</v>
          </cell>
          <cell r="AO1666" t="str">
            <v>Southeast</v>
          </cell>
          <cell r="AP1666" t="str">
            <v>South</v>
          </cell>
          <cell r="AQ1666"/>
          <cell r="AR1666">
            <v>0</v>
          </cell>
          <cell r="AS1666">
            <v>0</v>
          </cell>
        </row>
        <row r="1667">
          <cell r="A1667">
            <v>13325</v>
          </cell>
          <cell r="B1667" t="str">
            <v>RELIABLE EQUIPMENT</v>
          </cell>
          <cell r="C1667" t="str">
            <v>M11279</v>
          </cell>
          <cell r="D1667" t="str">
            <v>Net 30, no pink card</v>
          </cell>
          <cell r="E1667" t="str">
            <v>2%</v>
          </cell>
          <cell r="F1667" t="str">
            <v>Yes</v>
          </cell>
          <cell r="G1667" t="str">
            <v>GA</v>
          </cell>
          <cell r="H1667">
            <v>5</v>
          </cell>
          <cell r="I1667">
            <v>0.7</v>
          </cell>
          <cell r="J1667" t="str">
            <v>Jimmy L Smith</v>
          </cell>
          <cell r="K1667" t="str">
            <v>HERNANDO</v>
          </cell>
          <cell r="L1667" t="str">
            <v>MS</v>
          </cell>
          <cell r="M1667" t="str">
            <v>800-577-8858</v>
          </cell>
          <cell r="N1667"/>
          <cell r="O1667">
            <v>370</v>
          </cell>
          <cell r="P1667">
            <v>1591</v>
          </cell>
          <cell r="Q1667">
            <v>490</v>
          </cell>
          <cell r="R1667">
            <v>2107</v>
          </cell>
          <cell r="S1667"/>
          <cell r="T1667">
            <v>0</v>
          </cell>
          <cell r="U1667" t="str"/>
          <cell r="V1667" t="str"/>
          <cell r="W1667" t="str"/>
          <cell r="X1667" t="str"/>
          <cell r="Y1667"/>
          <cell r="Z1667">
            <v>0</v>
          </cell>
          <cell r="AA1667"/>
          <cell r="AB1667" t="str">
            <v>n/a</v>
          </cell>
          <cell r="AC1667"/>
          <cell r="AD1667" t="str">
            <v>n/a</v>
          </cell>
          <cell r="AE1667"/>
          <cell r="AF1667"/>
          <cell r="AG1667"/>
          <cell r="AH1667"/>
          <cell r="AI1667"/>
          <cell r="AJ1667"/>
          <cell r="AK1667" t="str">
            <v>OL</v>
          </cell>
          <cell r="AL1667">
            <v>151</v>
          </cell>
          <cell r="AM1667">
            <v>290</v>
          </cell>
          <cell r="AN1667" t="str">
            <v>10 Orangeline</v>
          </cell>
          <cell r="AO1667" t="str">
            <v>Southeast</v>
          </cell>
          <cell r="AP1667" t="str">
            <v>South</v>
          </cell>
          <cell r="AQ1667"/>
          <cell r="AR1667">
            <v>0</v>
          </cell>
          <cell r="AS1667">
            <v>0</v>
          </cell>
        </row>
        <row r="1668">
          <cell r="A1668">
            <v>13331</v>
          </cell>
          <cell r="B1668" t="str">
            <v>SEAL TRACTOR</v>
          </cell>
          <cell r="C1668" t="str">
            <v>M11306</v>
          </cell>
          <cell r="D1668" t="str">
            <v>Net 30, no pink card</v>
          </cell>
          <cell r="E1668">
            <v>0.02</v>
          </cell>
          <cell r="F1668" t="str">
            <v>Yes</v>
          </cell>
          <cell r="G1668" t="str">
            <v>GA</v>
          </cell>
          <cell r="H1668">
            <v>5</v>
          </cell>
          <cell r="I1668">
            <v>0.7</v>
          </cell>
          <cell r="J1668" t="str">
            <v>Jimmy L Smith</v>
          </cell>
          <cell r="K1668" t="str">
            <v xml:space="preserve">WOODVILLE </v>
          </cell>
          <cell r="L1668" t="str">
            <v>MS</v>
          </cell>
          <cell r="M1668" t="str">
            <v>800-577-8858</v>
          </cell>
          <cell r="N1668"/>
          <cell r="O1668">
            <v>330</v>
          </cell>
          <cell r="P1668">
            <v>1419</v>
          </cell>
          <cell r="Q1668">
            <v>565</v>
          </cell>
          <cell r="R1668">
            <v>2429.5</v>
          </cell>
          <cell r="S1668"/>
          <cell r="T1668">
            <v>0</v>
          </cell>
          <cell r="U1668" t="str"/>
          <cell r="V1668" t="str"/>
          <cell r="W1668" t="str"/>
          <cell r="X1668" t="str"/>
          <cell r="Y1668"/>
          <cell r="Z1668">
            <v>0</v>
          </cell>
          <cell r="AA1668"/>
          <cell r="AB1668" t="str">
            <v>n/a</v>
          </cell>
          <cell r="AC1668"/>
          <cell r="AD1668" t="str">
            <v>n/a</v>
          </cell>
          <cell r="AE1668"/>
          <cell r="AF1668"/>
          <cell r="AG1668"/>
          <cell r="AH1668"/>
          <cell r="AI1668"/>
          <cell r="AJ1668"/>
          <cell r="AK1668" t="str">
            <v>OL</v>
          </cell>
          <cell r="AL1668">
            <v>151</v>
          </cell>
          <cell r="AM1668">
            <v>32</v>
          </cell>
          <cell r="AN1668" t="str">
            <v>10 Orangeline</v>
          </cell>
          <cell r="AO1668" t="str">
            <v>Southeast</v>
          </cell>
          <cell r="AP1668" t="str">
            <v>South</v>
          </cell>
          <cell r="AQ1668"/>
          <cell r="AR1668">
            <v>0</v>
          </cell>
          <cell r="AS1668">
            <v>0</v>
          </cell>
        </row>
        <row r="1669">
          <cell r="A1669">
            <v>13344</v>
          </cell>
          <cell r="B1669" t="str">
            <v>WINDHAM TRACTOR</v>
          </cell>
          <cell r="C1669" t="str">
            <v>M11292</v>
          </cell>
          <cell r="D1669" t="str">
            <v>Net 30, no pink card</v>
          </cell>
          <cell r="E1669" t="str">
            <v>O1-Northpoint</v>
          </cell>
          <cell r="F1669" t="str">
            <v>Yes</v>
          </cell>
          <cell r="G1669" t="str">
            <v>GA</v>
          </cell>
          <cell r="H1669">
            <v>8</v>
          </cell>
          <cell r="I1669">
            <v>0.7</v>
          </cell>
          <cell r="J1669" t="str">
            <v>Jimmy L Smith</v>
          </cell>
          <cell r="K1669" t="str">
            <v>PHILADELPHIA</v>
          </cell>
          <cell r="L1669" t="str">
            <v>MS</v>
          </cell>
          <cell r="M1669" t="str">
            <v>800-577-8858</v>
          </cell>
          <cell r="N1669"/>
          <cell r="O1669">
            <v>400</v>
          </cell>
          <cell r="P1669">
            <v>1720</v>
          </cell>
          <cell r="Q1669">
            <v>370</v>
          </cell>
          <cell r="R1669">
            <v>1591</v>
          </cell>
          <cell r="S1669"/>
          <cell r="T1669">
            <v>0</v>
          </cell>
          <cell r="U1669" t="str"/>
          <cell r="V1669" t="str"/>
          <cell r="W1669" t="str"/>
          <cell r="X1669" t="str"/>
          <cell r="Y1669"/>
          <cell r="Z1669">
            <v>0</v>
          </cell>
          <cell r="AA1669"/>
          <cell r="AB1669" t="str">
            <v>n/a</v>
          </cell>
          <cell r="AC1669"/>
          <cell r="AD1669" t="str">
            <v>n/a</v>
          </cell>
          <cell r="AE1669"/>
          <cell r="AF1669"/>
          <cell r="AG1669"/>
          <cell r="AH1669"/>
          <cell r="AI1669"/>
          <cell r="AJ1669"/>
          <cell r="AK1669" t="str">
            <v>OL</v>
          </cell>
          <cell r="AL1669">
            <v>151</v>
          </cell>
          <cell r="AM1669">
            <v>292</v>
          </cell>
          <cell r="AN1669" t="str">
            <v>10 Orangeline</v>
          </cell>
          <cell r="AO1669" t="str">
            <v>Southeast</v>
          </cell>
          <cell r="AP1669" t="str">
            <v>South</v>
          </cell>
          <cell r="AQ1669"/>
          <cell r="AR1669">
            <v>0</v>
          </cell>
          <cell r="AS1669">
            <v>0</v>
          </cell>
        </row>
        <row r="1670">
          <cell r="A1670">
            <v>13345</v>
          </cell>
          <cell r="B1670" t="str">
            <v>WINONA TRACTOR</v>
          </cell>
          <cell r="C1670" t="str">
            <v>M11293</v>
          </cell>
          <cell r="D1670" t="str">
            <v>Net 30, no pink card</v>
          </cell>
          <cell r="E1670" t="str">
            <v>O1-Northpoint</v>
          </cell>
          <cell r="F1670" t="str">
            <v>Yes</v>
          </cell>
          <cell r="G1670" t="str">
            <v>GA</v>
          </cell>
          <cell r="H1670">
            <v>8</v>
          </cell>
          <cell r="I1670">
            <v>0.7</v>
          </cell>
          <cell r="J1670" t="str">
            <v>Jimmy L Smith</v>
          </cell>
          <cell r="K1670" t="str">
            <v>WINONA</v>
          </cell>
          <cell r="L1670" t="str">
            <v>MS</v>
          </cell>
          <cell r="M1670" t="str">
            <v>800-577-8858</v>
          </cell>
          <cell r="N1670"/>
          <cell r="O1670">
            <v>350</v>
          </cell>
          <cell r="P1670">
            <v>1505</v>
          </cell>
          <cell r="Q1670">
            <v>420</v>
          </cell>
          <cell r="R1670">
            <v>1806</v>
          </cell>
          <cell r="S1670"/>
          <cell r="T1670">
            <v>0</v>
          </cell>
          <cell r="U1670" t="str"/>
          <cell r="V1670" t="str"/>
          <cell r="W1670" t="str"/>
          <cell r="X1670" t="str"/>
          <cell r="Y1670"/>
          <cell r="Z1670">
            <v>0</v>
          </cell>
          <cell r="AA1670"/>
          <cell r="AB1670" t="str">
            <v>n/a</v>
          </cell>
          <cell r="AC1670"/>
          <cell r="AD1670" t="str">
            <v>n/a</v>
          </cell>
          <cell r="AE1670"/>
          <cell r="AF1670"/>
          <cell r="AG1670"/>
          <cell r="AH1670"/>
          <cell r="AI1670"/>
          <cell r="AJ1670"/>
          <cell r="AK1670" t="str">
            <v>OL</v>
          </cell>
          <cell r="AL1670">
            <v>151</v>
          </cell>
          <cell r="AM1670">
            <v>234</v>
          </cell>
          <cell r="AN1670" t="str">
            <v>10 Orangeline</v>
          </cell>
          <cell r="AO1670" t="str">
            <v>Southeast</v>
          </cell>
          <cell r="AP1670" t="str">
            <v>South</v>
          </cell>
          <cell r="AQ1670"/>
          <cell r="AR1670">
            <v>0</v>
          </cell>
          <cell r="AS1670">
            <v>0</v>
          </cell>
        </row>
        <row r="1671">
          <cell r="A1671">
            <v>13537</v>
          </cell>
          <cell r="B1671" t="str">
            <v>KALISPELL EQ dba PARSONS</v>
          </cell>
          <cell r="C1671" t="str">
            <v>M11511</v>
          </cell>
          <cell r="D1671" t="str">
            <v>Net 30, no pink card</v>
          </cell>
          <cell r="E1671" t="str">
            <v>2%</v>
          </cell>
          <cell r="F1671" t="str">
            <v>Yes</v>
          </cell>
          <cell r="G1671" t="str">
            <v>GA</v>
          </cell>
          <cell r="H1671">
            <v>5</v>
          </cell>
          <cell r="I1671">
            <v>0.7</v>
          </cell>
          <cell r="J1671" t="str">
            <v>Jimmy L Smith</v>
          </cell>
          <cell r="K1671" t="str">
            <v>KALISPELL</v>
          </cell>
          <cell r="L1671" t="str">
            <v>MT</v>
          </cell>
          <cell r="M1671" t="str">
            <v>800-577-8858</v>
          </cell>
          <cell r="N1671"/>
          <cell r="O1671">
            <v>1920</v>
          </cell>
          <cell r="P1671">
            <v>8256</v>
          </cell>
          <cell r="Q1671"/>
          <cell r="R1671">
            <v>0</v>
          </cell>
          <cell r="S1671"/>
          <cell r="T1671">
            <v>0</v>
          </cell>
          <cell r="U1671" t="str"/>
          <cell r="V1671" t="str"/>
          <cell r="W1671" t="str"/>
          <cell r="X1671" t="str"/>
          <cell r="Y1671"/>
          <cell r="Z1671">
            <v>0</v>
          </cell>
          <cell r="AA1671"/>
          <cell r="AB1671">
            <v>0</v>
          </cell>
          <cell r="AC1671"/>
          <cell r="AD1671">
            <v>0</v>
          </cell>
          <cell r="AE1671"/>
          <cell r="AF1671"/>
          <cell r="AG1671"/>
          <cell r="AH1671"/>
          <cell r="AI1671"/>
          <cell r="AJ1671"/>
          <cell r="AK1671" t="str">
            <v>OL</v>
          </cell>
          <cell r="AL1671">
            <v>151</v>
          </cell>
          <cell r="AM1671">
            <v>224</v>
          </cell>
          <cell r="AN1671" t="str">
            <v>10 Orangeline</v>
          </cell>
          <cell r="AO1671" t="str">
            <v>Northwest</v>
          </cell>
          <cell r="AP1671" t="str">
            <v>West</v>
          </cell>
          <cell r="AQ1671"/>
          <cell r="AR1671">
            <v>0</v>
          </cell>
          <cell r="AS1671">
            <v>0</v>
          </cell>
        </row>
        <row r="1672">
          <cell r="A1672">
            <v>13278</v>
          </cell>
          <cell r="B1672" t="str">
            <v>ASHEBORO KUBOTA</v>
          </cell>
          <cell r="C1672" t="str">
            <v>M11272</v>
          </cell>
          <cell r="D1672" t="str">
            <v>Net 30, no pink card</v>
          </cell>
          <cell r="E1672" t="str">
            <v>O1-Northpoint</v>
          </cell>
          <cell r="F1672" t="str">
            <v>Yes</v>
          </cell>
          <cell r="G1672" t="str">
            <v>GA</v>
          </cell>
          <cell r="H1672">
            <v>8</v>
          </cell>
          <cell r="I1672">
            <v>0.7</v>
          </cell>
          <cell r="J1672" t="str">
            <v>Jimmy L Smith</v>
          </cell>
          <cell r="K1672" t="str">
            <v>FRANKLINVILLE</v>
          </cell>
          <cell r="L1672" t="str">
            <v>NC</v>
          </cell>
          <cell r="M1672" t="str">
            <v>800-577-8858</v>
          </cell>
          <cell r="N1672"/>
          <cell r="O1672"/>
          <cell r="P1672">
            <v>0</v>
          </cell>
          <cell r="Q1672">
            <v>440</v>
          </cell>
          <cell r="R1672">
            <v>1892</v>
          </cell>
          <cell r="S1672"/>
          <cell r="T1672">
            <v>0</v>
          </cell>
          <cell r="U1672" t="str"/>
          <cell r="V1672" t="str"/>
          <cell r="W1672" t="str"/>
          <cell r="X1672" t="str"/>
          <cell r="Y1672">
            <v>450</v>
          </cell>
          <cell r="Z1672">
            <v>1935</v>
          </cell>
          <cell r="AA1672">
            <v>450</v>
          </cell>
          <cell r="AB1672">
            <v>1935</v>
          </cell>
          <cell r="AC1672">
            <v>450</v>
          </cell>
          <cell r="AD1672">
            <v>1935</v>
          </cell>
          <cell r="AE1672"/>
          <cell r="AF1672"/>
          <cell r="AG1672"/>
          <cell r="AH1672"/>
          <cell r="AI1672"/>
          <cell r="AJ1672"/>
          <cell r="AK1672" t="str">
            <v>OL</v>
          </cell>
          <cell r="AL1672">
            <v>151</v>
          </cell>
          <cell r="AM1672">
            <v>174</v>
          </cell>
          <cell r="AN1672" t="str">
            <v>10 Orangeline</v>
          </cell>
          <cell r="AO1672" t="str">
            <v>Southeast</v>
          </cell>
          <cell r="AP1672" t="str">
            <v>South</v>
          </cell>
          <cell r="AQ1672"/>
          <cell r="AR1672">
            <v>0</v>
          </cell>
          <cell r="AS1672">
            <v>0</v>
          </cell>
        </row>
        <row r="1673">
          <cell r="A1673">
            <v>13280</v>
          </cell>
          <cell r="B1673" t="str">
            <v>BARNES EQUIPMENT</v>
          </cell>
          <cell r="C1673" t="str">
            <v>M11240</v>
          </cell>
          <cell r="D1673" t="str">
            <v>Net 30, no pink card</v>
          </cell>
          <cell r="E1673" t="str">
            <v>2%</v>
          </cell>
          <cell r="F1673" t="str">
            <v>Yes</v>
          </cell>
          <cell r="G1673" t="str">
            <v>GA</v>
          </cell>
          <cell r="H1673">
            <v>5</v>
          </cell>
          <cell r="I1673">
            <v>0.7</v>
          </cell>
          <cell r="J1673" t="str">
            <v>Jimmy L Smith</v>
          </cell>
          <cell r="K1673" t="str">
            <v>WILSON</v>
          </cell>
          <cell r="L1673" t="str">
            <v>NC</v>
          </cell>
          <cell r="M1673" t="str">
            <v>800-577-8858</v>
          </cell>
          <cell r="N1673"/>
          <cell r="O1673"/>
          <cell r="P1673">
            <v>0</v>
          </cell>
          <cell r="Q1673">
            <v>515</v>
          </cell>
          <cell r="R1673">
            <v>2214.5</v>
          </cell>
          <cell r="S1673"/>
          <cell r="T1673">
            <v>0</v>
          </cell>
          <cell r="U1673" t="str"/>
          <cell r="V1673" t="str"/>
          <cell r="W1673" t="str"/>
          <cell r="X1673" t="str"/>
          <cell r="Y1673">
            <v>555</v>
          </cell>
          <cell r="Z1673">
            <v>2386.5</v>
          </cell>
          <cell r="AA1673">
            <v>555</v>
          </cell>
          <cell r="AB1673">
            <v>2386.5</v>
          </cell>
          <cell r="AC1673">
            <v>555</v>
          </cell>
          <cell r="AD1673">
            <v>2386.5</v>
          </cell>
          <cell r="AE1673"/>
          <cell r="AF1673"/>
          <cell r="AG1673"/>
          <cell r="AH1673"/>
          <cell r="AI1673"/>
          <cell r="AJ1673"/>
          <cell r="AK1673" t="str">
            <v>OL</v>
          </cell>
          <cell r="AL1673">
            <v>151</v>
          </cell>
          <cell r="AM1673">
            <v>382</v>
          </cell>
          <cell r="AN1673" t="str">
            <v>10 Orangeline</v>
          </cell>
          <cell r="AO1673" t="str">
            <v>Southeast</v>
          </cell>
          <cell r="AP1673" t="str">
            <v>South</v>
          </cell>
          <cell r="AQ1673"/>
          <cell r="AR1673">
            <v>0</v>
          </cell>
          <cell r="AS1673">
            <v>0</v>
          </cell>
        </row>
        <row r="1674">
          <cell r="A1674">
            <v>13282</v>
          </cell>
          <cell r="B1674" t="str">
            <v>BLUE RIDGE TRACTOR</v>
          </cell>
          <cell r="C1674" t="str">
            <v>M11305</v>
          </cell>
          <cell r="D1674" t="str">
            <v>Net 30, no pink card</v>
          </cell>
          <cell r="E1674" t="str">
            <v>2%</v>
          </cell>
          <cell r="F1674" t="str">
            <v>Yes</v>
          </cell>
          <cell r="G1674" t="str">
            <v>GA</v>
          </cell>
          <cell r="H1674">
            <v>5</v>
          </cell>
          <cell r="I1674">
            <v>0.7</v>
          </cell>
          <cell r="J1674" t="str">
            <v>Jimmy L Smith</v>
          </cell>
          <cell r="K1674" t="str">
            <v>WILKESBORO</v>
          </cell>
          <cell r="L1674" t="str">
            <v>NC</v>
          </cell>
          <cell r="M1674" t="str">
            <v>800-577-8858</v>
          </cell>
          <cell r="N1674"/>
          <cell r="O1674"/>
          <cell r="P1674">
            <v>0</v>
          </cell>
          <cell r="Q1674">
            <v>435</v>
          </cell>
          <cell r="R1674">
            <v>1870.5</v>
          </cell>
          <cell r="S1674"/>
          <cell r="T1674">
            <v>0</v>
          </cell>
          <cell r="U1674" t="str"/>
          <cell r="V1674" t="str"/>
          <cell r="W1674" t="str"/>
          <cell r="X1674" t="str"/>
          <cell r="Y1674">
            <v>410</v>
          </cell>
          <cell r="Z1674">
            <v>1763</v>
          </cell>
          <cell r="AA1674">
            <v>410</v>
          </cell>
          <cell r="AB1674">
            <v>1763</v>
          </cell>
          <cell r="AC1674">
            <v>410</v>
          </cell>
          <cell r="AD1674">
            <v>1763</v>
          </cell>
          <cell r="AE1674"/>
          <cell r="AF1674"/>
          <cell r="AG1674"/>
          <cell r="AH1674"/>
          <cell r="AI1674"/>
          <cell r="AJ1674"/>
          <cell r="AK1674" t="str">
            <v>OL</v>
          </cell>
          <cell r="AL1674">
            <v>151</v>
          </cell>
          <cell r="AM1674">
            <v>174</v>
          </cell>
          <cell r="AN1674" t="str">
            <v>10 Orangeline</v>
          </cell>
          <cell r="AO1674" t="str">
            <v>Southeast</v>
          </cell>
          <cell r="AP1674" t="str">
            <v>South</v>
          </cell>
          <cell r="AQ1674"/>
          <cell r="AR1674">
            <v>0</v>
          </cell>
          <cell r="AS1674">
            <v>0</v>
          </cell>
          <cell r="AT1674"/>
        </row>
        <row r="1675">
          <cell r="A1675">
            <v>13285</v>
          </cell>
          <cell r="B1675" t="str">
            <v>BROOKS SALES</v>
          </cell>
          <cell r="C1675" t="str">
            <v>M11244</v>
          </cell>
          <cell r="D1675" t="str">
            <v>Net 30, no pink card</v>
          </cell>
          <cell r="E1675" t="str">
            <v>2%</v>
          </cell>
          <cell r="F1675" t="str">
            <v>Yes</v>
          </cell>
          <cell r="G1675" t="str">
            <v>GA</v>
          </cell>
          <cell r="H1675">
            <v>5</v>
          </cell>
          <cell r="I1675">
            <v>0.7</v>
          </cell>
          <cell r="J1675" t="str">
            <v>Jimmy L Smith</v>
          </cell>
          <cell r="K1675" t="str">
            <v>MONROE</v>
          </cell>
          <cell r="L1675" t="str">
            <v>NC</v>
          </cell>
          <cell r="M1675" t="str">
            <v>800-577-8858</v>
          </cell>
          <cell r="N1675"/>
          <cell r="O1675"/>
          <cell r="P1675">
            <v>0</v>
          </cell>
          <cell r="Q1675">
            <v>345</v>
          </cell>
          <cell r="R1675">
            <v>1483.5</v>
          </cell>
          <cell r="S1675"/>
          <cell r="T1675">
            <v>0</v>
          </cell>
          <cell r="U1675" t="str"/>
          <cell r="V1675" t="str"/>
          <cell r="W1675" t="str"/>
          <cell r="X1675" t="str"/>
          <cell r="Y1675">
            <v>485</v>
          </cell>
          <cell r="Z1675">
            <v>2085.5</v>
          </cell>
          <cell r="AA1675">
            <v>485</v>
          </cell>
          <cell r="AB1675">
            <v>2085.5</v>
          </cell>
          <cell r="AC1675">
            <v>485</v>
          </cell>
          <cell r="AD1675">
            <v>2085.5</v>
          </cell>
          <cell r="AE1675"/>
          <cell r="AF1675"/>
          <cell r="AG1675"/>
          <cell r="AH1675"/>
          <cell r="AI1675"/>
          <cell r="AJ1675"/>
          <cell r="AK1675" t="str">
            <v>OL</v>
          </cell>
          <cell r="AL1675">
            <v>151</v>
          </cell>
          <cell r="AM1675">
            <v>74</v>
          </cell>
          <cell r="AN1675" t="str">
            <v>10 Orangeline</v>
          </cell>
          <cell r="AO1675" t="str">
            <v>Southeast</v>
          </cell>
          <cell r="AP1675" t="str">
            <v>South</v>
          </cell>
          <cell r="AQ1675"/>
          <cell r="AR1675">
            <v>0</v>
          </cell>
          <cell r="AS1675">
            <v>0</v>
          </cell>
        </row>
        <row r="1676">
          <cell r="A1676">
            <v>13405</v>
          </cell>
          <cell r="B1676" t="str">
            <v>CENTRAL CAROLINA POWER</v>
          </cell>
          <cell r="C1676" t="str">
            <v>M11247</v>
          </cell>
          <cell r="D1676" t="str">
            <v>Net 30, no pink card</v>
          </cell>
          <cell r="E1676" t="str">
            <v>2%</v>
          </cell>
          <cell r="F1676" t="str">
            <v>Yes</v>
          </cell>
          <cell r="G1676" t="str">
            <v>GA</v>
          </cell>
          <cell r="H1676">
            <v>5</v>
          </cell>
          <cell r="I1676">
            <v>0.7</v>
          </cell>
          <cell r="J1676" t="str">
            <v>Jimmy L Smith</v>
          </cell>
          <cell r="K1676" t="str">
            <v>SANFORD</v>
          </cell>
          <cell r="L1676" t="str">
            <v>NC</v>
          </cell>
          <cell r="M1676" t="str">
            <v>800-577-8858</v>
          </cell>
          <cell r="N1676"/>
          <cell r="O1676"/>
          <cell r="P1676">
            <v>0</v>
          </cell>
          <cell r="Q1676">
            <v>420</v>
          </cell>
          <cell r="R1676">
            <v>1806</v>
          </cell>
          <cell r="S1676"/>
          <cell r="T1676">
            <v>0</v>
          </cell>
          <cell r="U1676" t="str"/>
          <cell r="V1676" t="str"/>
          <cell r="W1676" t="str"/>
          <cell r="X1676" t="str"/>
          <cell r="Y1676">
            <v>487</v>
          </cell>
          <cell r="Z1676">
            <v>2094.1</v>
          </cell>
          <cell r="AA1676">
            <v>487</v>
          </cell>
          <cell r="AB1676">
            <v>2094.1</v>
          </cell>
          <cell r="AC1676">
            <v>487</v>
          </cell>
          <cell r="AD1676">
            <v>2094.1</v>
          </cell>
          <cell r="AE1676"/>
          <cell r="AF1676"/>
          <cell r="AG1676"/>
          <cell r="AH1676"/>
          <cell r="AI1676"/>
          <cell r="AJ1676"/>
          <cell r="AK1676" t="str">
            <v>OL</v>
          </cell>
          <cell r="AL1676">
            <v>151</v>
          </cell>
          <cell r="AM1676">
            <v>368</v>
          </cell>
          <cell r="AN1676" t="str">
            <v>10 Orangeline</v>
          </cell>
          <cell r="AO1676" t="str">
            <v>Southeast</v>
          </cell>
          <cell r="AP1676" t="str">
            <v>South</v>
          </cell>
          <cell r="AQ1676"/>
          <cell r="AR1676">
            <v>0</v>
          </cell>
          <cell r="AS1676">
            <v>0</v>
          </cell>
        </row>
        <row r="1677">
          <cell r="A1677">
            <v>13667</v>
          </cell>
          <cell r="B1677" t="str">
            <v>CUMBERLAND TRACTOR</v>
          </cell>
          <cell r="C1677" t="str">
            <v>M11332</v>
          </cell>
          <cell r="D1677" t="str">
            <v>Net 30, no pink card</v>
          </cell>
          <cell r="E1677" t="str">
            <v>O1-Northpoint</v>
          </cell>
          <cell r="F1677" t="str">
            <v>Yes</v>
          </cell>
          <cell r="G1677" t="str">
            <v>GA</v>
          </cell>
          <cell r="H1677">
            <v>8</v>
          </cell>
          <cell r="I1677">
            <v>0.7</v>
          </cell>
          <cell r="J1677" t="str">
            <v>Jimmy L Smith</v>
          </cell>
          <cell r="K1677" t="str">
            <v>FAYETTEVILLE</v>
          </cell>
          <cell r="L1677" t="str">
            <v>NC</v>
          </cell>
          <cell r="M1677" t="str">
            <v>800-577-8858</v>
          </cell>
          <cell r="N1677"/>
          <cell r="O1677"/>
          <cell r="P1677">
            <v>0</v>
          </cell>
          <cell r="Q1677">
            <v>450</v>
          </cell>
          <cell r="R1677">
            <v>1935</v>
          </cell>
          <cell r="S1677"/>
          <cell r="T1677">
            <v>0</v>
          </cell>
          <cell r="U1677" t="str"/>
          <cell r="V1677" t="str"/>
          <cell r="W1677" t="str"/>
          <cell r="X1677" t="str"/>
          <cell r="Y1677">
            <v>435</v>
          </cell>
          <cell r="Z1677">
            <v>1870.5</v>
          </cell>
          <cell r="AA1677">
            <v>435</v>
          </cell>
          <cell r="AB1677">
            <v>1870.5</v>
          </cell>
          <cell r="AC1677">
            <v>435</v>
          </cell>
          <cell r="AD1677">
            <v>1870.5</v>
          </cell>
          <cell r="AE1677"/>
          <cell r="AF1677"/>
          <cell r="AG1677"/>
          <cell r="AH1677"/>
          <cell r="AI1677"/>
          <cell r="AJ1677"/>
          <cell r="AK1677" t="str">
            <v>OL</v>
          </cell>
          <cell r="AL1677">
            <v>151</v>
          </cell>
          <cell r="AM1677">
            <v>141</v>
          </cell>
          <cell r="AN1677" t="str">
            <v>10 Orangeline</v>
          </cell>
          <cell r="AO1677" t="str">
            <v>Southeast</v>
          </cell>
          <cell r="AP1677" t="str">
            <v>South</v>
          </cell>
          <cell r="AQ1677"/>
          <cell r="AR1677">
            <v>0</v>
          </cell>
          <cell r="AS1677">
            <v>0</v>
          </cell>
        </row>
        <row r="1678">
          <cell r="A1678">
            <v>13297</v>
          </cell>
          <cell r="B1678" t="str">
            <v>EDENTON TRACTOR</v>
          </cell>
          <cell r="C1678" t="str">
            <v>M11254</v>
          </cell>
          <cell r="D1678" t="str">
            <v>Net 30, no pink card</v>
          </cell>
          <cell r="E1678" t="str">
            <v>2%</v>
          </cell>
          <cell r="F1678" t="str">
            <v>Yes</v>
          </cell>
          <cell r="G1678" t="str">
            <v>GA</v>
          </cell>
          <cell r="H1678">
            <v>5</v>
          </cell>
          <cell r="I1678">
            <v>0.7</v>
          </cell>
          <cell r="J1678" t="str">
            <v>Jimmy L Smith</v>
          </cell>
          <cell r="K1678" t="str">
            <v>EDENTON</v>
          </cell>
          <cell r="L1678" t="str">
            <v>NC</v>
          </cell>
          <cell r="M1678" t="str">
            <v>800-577-8858</v>
          </cell>
          <cell r="N1678"/>
          <cell r="O1678"/>
          <cell r="P1678">
            <v>0</v>
          </cell>
          <cell r="Q1678">
            <v>615</v>
          </cell>
          <cell r="R1678">
            <v>2644.5</v>
          </cell>
          <cell r="S1678"/>
          <cell r="T1678">
            <v>0</v>
          </cell>
          <cell r="U1678" t="str"/>
          <cell r="V1678" t="str"/>
          <cell r="W1678" t="str"/>
          <cell r="X1678" t="str"/>
          <cell r="Y1678">
            <v>640</v>
          </cell>
          <cell r="Z1678">
            <v>2752</v>
          </cell>
          <cell r="AA1678">
            <v>640</v>
          </cell>
          <cell r="AB1678">
            <v>2752</v>
          </cell>
          <cell r="AC1678">
            <v>640</v>
          </cell>
          <cell r="AD1678">
            <v>2752</v>
          </cell>
          <cell r="AE1678"/>
          <cell r="AF1678"/>
          <cell r="AG1678"/>
          <cell r="AH1678"/>
          <cell r="AI1678"/>
          <cell r="AJ1678"/>
          <cell r="AK1678" t="str">
            <v>OL</v>
          </cell>
          <cell r="AL1678">
            <v>151</v>
          </cell>
          <cell r="AM1678">
            <v>324</v>
          </cell>
          <cell r="AN1678" t="str">
            <v>10 Orangeline</v>
          </cell>
          <cell r="AO1678" t="str">
            <v>Southeast</v>
          </cell>
          <cell r="AP1678" t="str">
            <v>South</v>
          </cell>
          <cell r="AQ1678"/>
          <cell r="AR1678">
            <v>0</v>
          </cell>
          <cell r="AS1678">
            <v>0</v>
          </cell>
        </row>
        <row r="1679">
          <cell r="A1679" t="str">
            <v>13353B</v>
          </cell>
          <cell r="B1679" t="str">
            <v>JOHNSON CITY KUBOTA</v>
          </cell>
          <cell r="C1679" t="str">
            <v>M11316</v>
          </cell>
          <cell r="D1679" t="str">
            <v>Net 30, no pink card</v>
          </cell>
          <cell r="E1679" t="str">
            <v>2%</v>
          </cell>
          <cell r="F1679" t="str">
            <v>Yes</v>
          </cell>
          <cell r="G1679" t="str">
            <v>GA</v>
          </cell>
          <cell r="H1679">
            <v>5</v>
          </cell>
          <cell r="I1679">
            <v>0.7</v>
          </cell>
          <cell r="J1679" t="str">
            <v>Jimmy L Smith</v>
          </cell>
          <cell r="K1679" t="str">
            <v>DEEP GAP</v>
          </cell>
          <cell r="L1679" t="str">
            <v>NC</v>
          </cell>
          <cell r="M1679" t="str">
            <v>800-577-8858</v>
          </cell>
          <cell r="N1679"/>
          <cell r="O1679"/>
          <cell r="P1679">
            <v>0</v>
          </cell>
          <cell r="Q1679">
            <v>460</v>
          </cell>
          <cell r="R1679">
            <v>1978</v>
          </cell>
          <cell r="S1679"/>
          <cell r="T1679">
            <v>0</v>
          </cell>
          <cell r="U1679" t="str"/>
          <cell r="V1679" t="str"/>
          <cell r="W1679" t="str"/>
          <cell r="X1679" t="str"/>
          <cell r="Y1679">
            <v>390</v>
          </cell>
          <cell r="Z1679">
            <v>1677</v>
          </cell>
          <cell r="AA1679">
            <v>390</v>
          </cell>
          <cell r="AB1679">
            <v>1677</v>
          </cell>
          <cell r="AC1679">
            <v>390</v>
          </cell>
          <cell r="AD1679">
            <v>1677</v>
          </cell>
          <cell r="AE1679"/>
          <cell r="AF1679"/>
          <cell r="AG1679"/>
          <cell r="AH1679"/>
          <cell r="AI1679"/>
          <cell r="AJ1679"/>
          <cell r="AK1679" t="str">
            <v>OL</v>
          </cell>
          <cell r="AL1679">
            <v>151</v>
          </cell>
          <cell r="AM1679">
            <v>174</v>
          </cell>
          <cell r="AN1679" t="str">
            <v>10 Orangeline</v>
          </cell>
          <cell r="AO1679" t="str">
            <v>Southeast</v>
          </cell>
          <cell r="AP1679" t="str">
            <v>South</v>
          </cell>
          <cell r="AQ1679"/>
          <cell r="AR1679">
            <v>0</v>
          </cell>
          <cell r="AS1679">
            <v>0</v>
          </cell>
        </row>
        <row r="1680">
          <cell r="A1680">
            <v>13308</v>
          </cell>
          <cell r="B1680" t="str">
            <v>JOHNSON EQUIPMENT</v>
          </cell>
          <cell r="C1680" t="str">
            <v>M11255</v>
          </cell>
          <cell r="D1680" t="str">
            <v>Net 30, no pink card</v>
          </cell>
          <cell r="E1680" t="str">
            <v>O1-Northpoint</v>
          </cell>
          <cell r="F1680" t="str">
            <v>Yes</v>
          </cell>
          <cell r="G1680" t="str">
            <v>GA</v>
          </cell>
          <cell r="H1680">
            <v>8</v>
          </cell>
          <cell r="I1680">
            <v>0.7</v>
          </cell>
          <cell r="J1680" t="str">
            <v>Jimmy L Smith</v>
          </cell>
          <cell r="K1680" t="str">
            <v>BRUNSWICK</v>
          </cell>
          <cell r="L1680" t="str">
            <v>NC</v>
          </cell>
          <cell r="M1680" t="str">
            <v>800-577-8858</v>
          </cell>
          <cell r="N1680"/>
          <cell r="O1680"/>
          <cell r="P1680">
            <v>0</v>
          </cell>
          <cell r="Q1680">
            <v>440</v>
          </cell>
          <cell r="R1680">
            <v>1892</v>
          </cell>
          <cell r="S1680"/>
          <cell r="T1680">
            <v>0</v>
          </cell>
          <cell r="U1680" t="str"/>
          <cell r="V1680" t="str"/>
          <cell r="W1680" t="str"/>
          <cell r="X1680" t="str"/>
          <cell r="Y1680">
            <v>590</v>
          </cell>
          <cell r="Z1680">
            <v>2537</v>
          </cell>
          <cell r="AA1680">
            <v>590</v>
          </cell>
          <cell r="AB1680">
            <v>2537</v>
          </cell>
          <cell r="AC1680">
            <v>590</v>
          </cell>
          <cell r="AD1680">
            <v>2537</v>
          </cell>
          <cell r="AE1680"/>
          <cell r="AF1680"/>
          <cell r="AG1680"/>
          <cell r="AH1680"/>
          <cell r="AI1680"/>
          <cell r="AJ1680"/>
          <cell r="AK1680" t="str">
            <v>OL</v>
          </cell>
          <cell r="AL1680">
            <v>151</v>
          </cell>
          <cell r="AM1680">
            <v>478</v>
          </cell>
          <cell r="AN1680" t="str">
            <v>10 Orangeline</v>
          </cell>
          <cell r="AO1680" t="str">
            <v>Southeast</v>
          </cell>
          <cell r="AP1680" t="str">
            <v>South</v>
          </cell>
          <cell r="AQ1680"/>
          <cell r="AR1680">
            <v>0</v>
          </cell>
          <cell r="AS1680">
            <v>0</v>
          </cell>
        </row>
        <row r="1681">
          <cell r="A1681">
            <v>13347</v>
          </cell>
          <cell r="B1681" t="str">
            <v>KENANSVILLE EQUIPMENT</v>
          </cell>
          <cell r="C1681" t="str">
            <v>M11234</v>
          </cell>
          <cell r="D1681" t="str">
            <v>Net 30, no pink card</v>
          </cell>
          <cell r="E1681" t="str">
            <v>2%</v>
          </cell>
          <cell r="F1681" t="str">
            <v>Yes</v>
          </cell>
          <cell r="G1681" t="str">
            <v>GA</v>
          </cell>
          <cell r="H1681">
            <v>5</v>
          </cell>
          <cell r="I1681">
            <v>0.7</v>
          </cell>
          <cell r="J1681" t="str">
            <v>Jimmy L Smith</v>
          </cell>
          <cell r="K1681" t="str">
            <v>KENANSVILLE</v>
          </cell>
          <cell r="L1681" t="str">
            <v>NC</v>
          </cell>
          <cell r="M1681" t="str">
            <v>800-577-8858</v>
          </cell>
          <cell r="N1681"/>
          <cell r="O1681"/>
          <cell r="P1681">
            <v>0</v>
          </cell>
          <cell r="Q1681">
            <v>485</v>
          </cell>
          <cell r="R1681">
            <v>2085.5</v>
          </cell>
          <cell r="S1681"/>
          <cell r="T1681">
            <v>0</v>
          </cell>
          <cell r="U1681" t="str"/>
          <cell r="V1681" t="str"/>
          <cell r="W1681" t="str"/>
          <cell r="X1681" t="str"/>
          <cell r="Y1681">
            <v>585</v>
          </cell>
          <cell r="Z1681">
            <v>2515.5</v>
          </cell>
          <cell r="AA1681">
            <v>585</v>
          </cell>
          <cell r="AB1681">
            <v>2515.5</v>
          </cell>
          <cell r="AC1681">
            <v>585</v>
          </cell>
          <cell r="AD1681">
            <v>2515.5</v>
          </cell>
          <cell r="AE1681"/>
          <cell r="AF1681"/>
          <cell r="AG1681"/>
          <cell r="AH1681"/>
          <cell r="AI1681"/>
          <cell r="AJ1681"/>
          <cell r="AK1681" t="str">
            <v>OL</v>
          </cell>
          <cell r="AL1681">
            <v>151</v>
          </cell>
          <cell r="AM1681">
            <v>165</v>
          </cell>
          <cell r="AN1681" t="str">
            <v>10 Orangeline</v>
          </cell>
          <cell r="AO1681" t="str">
            <v>Southeast</v>
          </cell>
          <cell r="AP1681" t="str">
            <v>South</v>
          </cell>
          <cell r="AQ1681"/>
          <cell r="AR1681">
            <v>0</v>
          </cell>
          <cell r="AS1681">
            <v>0</v>
          </cell>
        </row>
        <row r="1682">
          <cell r="A1682">
            <v>13312</v>
          </cell>
          <cell r="B1682" t="str">
            <v>KUBOTA TRACTORS OF FRANKLIN</v>
          </cell>
          <cell r="C1682" t="str">
            <v>M11275</v>
          </cell>
          <cell r="D1682" t="str">
            <v>Net 30, no pink card</v>
          </cell>
          <cell r="E1682" t="str">
            <v>2%</v>
          </cell>
          <cell r="F1682" t="str">
            <v>Yes</v>
          </cell>
          <cell r="G1682" t="str">
            <v>GA</v>
          </cell>
          <cell r="H1682">
            <v>5</v>
          </cell>
          <cell r="I1682">
            <v>0.7</v>
          </cell>
          <cell r="J1682" t="str">
            <v>Jimmy L Smith</v>
          </cell>
          <cell r="K1682" t="str">
            <v>FRANKLIN</v>
          </cell>
          <cell r="L1682" t="str">
            <v>NC</v>
          </cell>
          <cell r="M1682" t="str">
            <v>800-577-8858</v>
          </cell>
          <cell r="N1682"/>
          <cell r="O1682"/>
          <cell r="P1682">
            <v>0</v>
          </cell>
          <cell r="Q1682">
            <v>270</v>
          </cell>
          <cell r="R1682">
            <v>1161</v>
          </cell>
          <cell r="S1682"/>
          <cell r="T1682">
            <v>0</v>
          </cell>
          <cell r="U1682" t="str"/>
          <cell r="V1682" t="str"/>
          <cell r="W1682" t="str"/>
          <cell r="X1682" t="str"/>
          <cell r="Y1682">
            <v>410</v>
          </cell>
          <cell r="Z1682">
            <v>1763</v>
          </cell>
          <cell r="AA1682">
            <v>410</v>
          </cell>
          <cell r="AB1682">
            <v>1763</v>
          </cell>
          <cell r="AC1682">
            <v>410</v>
          </cell>
          <cell r="AD1682">
            <v>1763</v>
          </cell>
          <cell r="AE1682"/>
          <cell r="AF1682"/>
          <cell r="AG1682"/>
          <cell r="AH1682"/>
          <cell r="AI1682"/>
          <cell r="AJ1682"/>
          <cell r="AK1682" t="str">
            <v>OL</v>
          </cell>
          <cell r="AL1682">
            <v>151</v>
          </cell>
          <cell r="AM1682">
            <v>20</v>
          </cell>
          <cell r="AN1682" t="str">
            <v>10 Orangeline</v>
          </cell>
          <cell r="AO1682" t="str">
            <v>Southeast</v>
          </cell>
          <cell r="AP1682" t="str">
            <v>South</v>
          </cell>
          <cell r="AQ1682"/>
          <cell r="AR1682">
            <v>0</v>
          </cell>
          <cell r="AS1682">
            <v>0</v>
          </cell>
        </row>
        <row r="1683">
          <cell r="A1683" t="str">
            <v>13314B</v>
          </cell>
          <cell r="B1683" t="str">
            <v>LINDER TURF &amp; TRACTOR</v>
          </cell>
          <cell r="C1683" t="str">
            <v>M11268</v>
          </cell>
          <cell r="D1683" t="str">
            <v>Net 30, no pink card</v>
          </cell>
          <cell r="E1683" t="str">
            <v>2%</v>
          </cell>
          <cell r="F1683" t="str">
            <v>Yes</v>
          </cell>
          <cell r="G1683" t="str">
            <v>GA</v>
          </cell>
          <cell r="H1683">
            <v>5</v>
          </cell>
          <cell r="I1683">
            <v>0.7</v>
          </cell>
          <cell r="J1683" t="str">
            <v>Jimmy L Smith</v>
          </cell>
          <cell r="K1683" t="str">
            <v>BURLINGTON</v>
          </cell>
          <cell r="L1683" t="str">
            <v>NC</v>
          </cell>
          <cell r="M1683" t="str">
            <v>800-577-8858</v>
          </cell>
          <cell r="N1683"/>
          <cell r="O1683"/>
          <cell r="P1683">
            <v>0</v>
          </cell>
          <cell r="Q1683">
            <v>455</v>
          </cell>
          <cell r="R1683">
            <v>1956.5</v>
          </cell>
          <cell r="S1683"/>
          <cell r="T1683">
            <v>0</v>
          </cell>
          <cell r="U1683" t="str"/>
          <cell r="V1683" t="str"/>
          <cell r="W1683" t="str"/>
          <cell r="X1683" t="str"/>
          <cell r="Y1683">
            <v>440</v>
          </cell>
          <cell r="Z1683">
            <v>1892</v>
          </cell>
          <cell r="AA1683">
            <v>440</v>
          </cell>
          <cell r="AB1683">
            <v>1892</v>
          </cell>
          <cell r="AC1683">
            <v>440</v>
          </cell>
          <cell r="AD1683">
            <v>1892</v>
          </cell>
          <cell r="AE1683"/>
          <cell r="AF1683"/>
          <cell r="AG1683"/>
          <cell r="AH1683"/>
          <cell r="AI1683"/>
          <cell r="AJ1683"/>
          <cell r="AK1683" t="str">
            <v>OL</v>
          </cell>
          <cell r="AL1683">
            <v>151</v>
          </cell>
          <cell r="AM1683">
            <v>62</v>
          </cell>
          <cell r="AN1683" t="str">
            <v>10 Orangeline</v>
          </cell>
          <cell r="AO1683" t="str">
            <v>Southeast</v>
          </cell>
          <cell r="AP1683" t="str">
            <v>South</v>
          </cell>
          <cell r="AQ1683"/>
          <cell r="AR1683">
            <v>0</v>
          </cell>
          <cell r="AS1683">
            <v>0</v>
          </cell>
        </row>
        <row r="1684">
          <cell r="A1684" t="str">
            <v>13314C</v>
          </cell>
          <cell r="B1684" t="str">
            <v>LINDER TURF &amp; TRACTOR</v>
          </cell>
          <cell r="C1684" t="str">
            <v>M11268</v>
          </cell>
          <cell r="D1684" t="str">
            <v>Net 30, no pink card</v>
          </cell>
          <cell r="E1684" t="str">
            <v>2%</v>
          </cell>
          <cell r="F1684" t="str">
            <v>Yes</v>
          </cell>
          <cell r="G1684" t="str">
            <v>GA</v>
          </cell>
          <cell r="H1684">
            <v>5</v>
          </cell>
          <cell r="I1684">
            <v>0.7</v>
          </cell>
          <cell r="J1684" t="str">
            <v>Jimmy L Smith</v>
          </cell>
          <cell r="K1684" t="str">
            <v>GREENVILLE</v>
          </cell>
          <cell r="L1684" t="str">
            <v>NC</v>
          </cell>
          <cell r="M1684" t="str">
            <v>800-577-8858</v>
          </cell>
          <cell r="N1684"/>
          <cell r="O1684"/>
          <cell r="P1684">
            <v>0</v>
          </cell>
          <cell r="Q1684">
            <v>550</v>
          </cell>
          <cell r="R1684">
            <v>2365</v>
          </cell>
          <cell r="S1684"/>
          <cell r="T1684">
            <v>0</v>
          </cell>
          <cell r="U1684" t="str"/>
          <cell r="V1684" t="str"/>
          <cell r="W1684" t="str"/>
          <cell r="X1684" t="str"/>
          <cell r="Y1684">
            <v>590</v>
          </cell>
          <cell r="Z1684">
            <v>2537</v>
          </cell>
          <cell r="AA1684">
            <v>590</v>
          </cell>
          <cell r="AB1684">
            <v>2537</v>
          </cell>
          <cell r="AC1684">
            <v>590</v>
          </cell>
          <cell r="AD1684">
            <v>2537</v>
          </cell>
          <cell r="AE1684"/>
          <cell r="AF1684"/>
          <cell r="AG1684"/>
          <cell r="AH1684"/>
          <cell r="AI1684"/>
          <cell r="AJ1684"/>
          <cell r="AK1684" t="str">
            <v>OL</v>
          </cell>
          <cell r="AL1684">
            <v>151</v>
          </cell>
          <cell r="AM1684">
            <v>176</v>
          </cell>
          <cell r="AN1684" t="str">
            <v>10 Orangeline</v>
          </cell>
          <cell r="AO1684" t="str">
            <v>Southeast</v>
          </cell>
          <cell r="AP1684" t="str">
            <v>South</v>
          </cell>
          <cell r="AQ1684"/>
          <cell r="AR1684">
            <v>0</v>
          </cell>
          <cell r="AS1684">
            <v>0</v>
          </cell>
        </row>
        <row r="1685">
          <cell r="A1685" t="str">
            <v>13314D</v>
          </cell>
          <cell r="B1685" t="str">
            <v>LINDER TURF &amp; TRACTOR</v>
          </cell>
          <cell r="C1685" t="str">
            <v>M11268</v>
          </cell>
          <cell r="D1685" t="str">
            <v>Net 30, no pink card</v>
          </cell>
          <cell r="E1685" t="str">
            <v>2%</v>
          </cell>
          <cell r="F1685" t="str">
            <v>Yes</v>
          </cell>
          <cell r="G1685" t="str">
            <v>GA</v>
          </cell>
          <cell r="H1685">
            <v>5</v>
          </cell>
          <cell r="I1685">
            <v>0.7</v>
          </cell>
          <cell r="J1685" t="str">
            <v>Jimmy L Smith</v>
          </cell>
          <cell r="K1685" t="str">
            <v>FAYETTEVILLE</v>
          </cell>
          <cell r="L1685" t="str">
            <v>NC</v>
          </cell>
          <cell r="M1685" t="str">
            <v>800-577-8858</v>
          </cell>
          <cell r="N1685"/>
          <cell r="O1685"/>
          <cell r="P1685">
            <v>0</v>
          </cell>
          <cell r="Q1685">
            <v>397</v>
          </cell>
          <cell r="R1685">
            <v>1707.1</v>
          </cell>
          <cell r="S1685"/>
          <cell r="T1685">
            <v>0</v>
          </cell>
          <cell r="U1685">
            <v>1242</v>
          </cell>
          <cell r="V1685">
            <v>5340.5999999999995</v>
          </cell>
          <cell r="W1685" t="str"/>
          <cell r="X1685" t="str"/>
          <cell r="Y1685">
            <v>510</v>
          </cell>
          <cell r="Z1685">
            <v>2193</v>
          </cell>
          <cell r="AA1685">
            <v>510</v>
          </cell>
          <cell r="AB1685">
            <v>2193</v>
          </cell>
          <cell r="AC1685">
            <v>510</v>
          </cell>
          <cell r="AD1685">
            <v>2193</v>
          </cell>
          <cell r="AE1685"/>
          <cell r="AF1685"/>
          <cell r="AG1685"/>
          <cell r="AH1685"/>
          <cell r="AI1685"/>
          <cell r="AJ1685"/>
          <cell r="AK1685" t="str">
            <v>OL</v>
          </cell>
          <cell r="AL1685">
            <v>151</v>
          </cell>
          <cell r="AM1685">
            <v>408</v>
          </cell>
          <cell r="AN1685" t="str">
            <v>10 Orangeline</v>
          </cell>
          <cell r="AO1685" t="str">
            <v>Southeast</v>
          </cell>
          <cell r="AP1685" t="str">
            <v>South</v>
          </cell>
          <cell r="AQ1685"/>
          <cell r="AR1685">
            <v>0</v>
          </cell>
          <cell r="AS1685">
            <v>0</v>
          </cell>
        </row>
        <row r="1686">
          <cell r="A1686">
            <v>13368</v>
          </cell>
          <cell r="B1686" t="str">
            <v>MITCHELL TRACTOR &amp; EQUIP. CO.</v>
          </cell>
          <cell r="C1686" t="str">
            <v>M11345</v>
          </cell>
          <cell r="D1686" t="str">
            <v>Net 30, no pink card</v>
          </cell>
          <cell r="E1686" t="str">
            <v>2%</v>
          </cell>
          <cell r="F1686" t="str">
            <v>Yes</v>
          </cell>
          <cell r="G1686" t="str">
            <v>GA</v>
          </cell>
          <cell r="H1686">
            <v>5</v>
          </cell>
          <cell r="I1686">
            <v>0.7</v>
          </cell>
          <cell r="J1686" t="str">
            <v>Jimmy L Smith</v>
          </cell>
          <cell r="K1686" t="str">
            <v>WASHINGTON</v>
          </cell>
          <cell r="L1686" t="str">
            <v>NC</v>
          </cell>
          <cell r="M1686" t="str">
            <v>800-577-8858</v>
          </cell>
          <cell r="N1686"/>
          <cell r="O1686"/>
          <cell r="P1686">
            <v>0</v>
          </cell>
          <cell r="Q1686">
            <v>570</v>
          </cell>
          <cell r="R1686">
            <v>2451</v>
          </cell>
          <cell r="S1686"/>
          <cell r="T1686">
            <v>0</v>
          </cell>
          <cell r="U1686" t="str"/>
          <cell r="V1686" t="str"/>
          <cell r="W1686" t="str"/>
          <cell r="X1686" t="str"/>
          <cell r="Y1686">
            <v>610</v>
          </cell>
          <cell r="Z1686">
            <v>2623</v>
          </cell>
          <cell r="AA1686">
            <v>610</v>
          </cell>
          <cell r="AB1686">
            <v>2623</v>
          </cell>
          <cell r="AC1686">
            <v>610</v>
          </cell>
          <cell r="AD1686">
            <v>2623</v>
          </cell>
          <cell r="AE1686"/>
          <cell r="AF1686"/>
          <cell r="AG1686"/>
          <cell r="AH1686"/>
          <cell r="AI1686"/>
          <cell r="AJ1686"/>
          <cell r="AK1686" t="str">
            <v>OL</v>
          </cell>
          <cell r="AL1686">
            <v>151</v>
          </cell>
          <cell r="AM1686">
            <v>176</v>
          </cell>
          <cell r="AN1686" t="str">
            <v>10 Orangeline</v>
          </cell>
          <cell r="AO1686" t="str">
            <v>Southeast</v>
          </cell>
          <cell r="AP1686" t="str">
            <v>South</v>
          </cell>
          <cell r="AQ1686"/>
          <cell r="AR1686">
            <v>0</v>
          </cell>
          <cell r="AS1686">
            <v>0</v>
          </cell>
        </row>
        <row r="1687">
          <cell r="A1687">
            <v>13390</v>
          </cell>
          <cell r="B1687" t="str">
            <v>MUSGRAVE EQUIPMENT CO.</v>
          </cell>
          <cell r="C1687" t="str">
            <v>M10294</v>
          </cell>
          <cell r="D1687" t="str">
            <v>Net 30, no pink card</v>
          </cell>
          <cell r="E1687" t="str">
            <v>2%</v>
          </cell>
          <cell r="F1687" t="str">
            <v>Yes</v>
          </cell>
          <cell r="G1687" t="str">
            <v>GA</v>
          </cell>
          <cell r="H1687">
            <v>5</v>
          </cell>
          <cell r="I1687">
            <v>0.7</v>
          </cell>
          <cell r="J1687" t="str">
            <v>Jimmy L Smith</v>
          </cell>
          <cell r="K1687" t="str">
            <v>GOLDSBORO</v>
          </cell>
          <cell r="L1687" t="str">
            <v>NC</v>
          </cell>
          <cell r="M1687" t="str">
            <v>800-577-8858</v>
          </cell>
          <cell r="N1687"/>
          <cell r="O1687"/>
          <cell r="P1687">
            <v>0</v>
          </cell>
          <cell r="Q1687">
            <v>500</v>
          </cell>
          <cell r="R1687">
            <v>2150</v>
          </cell>
          <cell r="S1687"/>
          <cell r="T1687">
            <v>0</v>
          </cell>
          <cell r="U1687" t="str"/>
          <cell r="V1687" t="str"/>
          <cell r="W1687" t="str"/>
          <cell r="X1687" t="str"/>
          <cell r="Y1687">
            <v>555</v>
          </cell>
          <cell r="Z1687">
            <v>2386.5</v>
          </cell>
          <cell r="AA1687">
            <v>555</v>
          </cell>
          <cell r="AB1687">
            <v>2386.5</v>
          </cell>
          <cell r="AC1687">
            <v>555</v>
          </cell>
          <cell r="AD1687">
            <v>2386.5</v>
          </cell>
          <cell r="AE1687"/>
          <cell r="AF1687"/>
          <cell r="AG1687"/>
          <cell r="AH1687"/>
          <cell r="AI1687"/>
          <cell r="AJ1687"/>
          <cell r="AK1687" t="str">
            <v>OL</v>
          </cell>
          <cell r="AL1687">
            <v>151</v>
          </cell>
          <cell r="AM1687">
            <v>165</v>
          </cell>
          <cell r="AN1687" t="str">
            <v>10 Orangeline</v>
          </cell>
          <cell r="AO1687" t="str">
            <v>Southeast</v>
          </cell>
          <cell r="AP1687" t="str">
            <v>South</v>
          </cell>
          <cell r="AQ1687"/>
          <cell r="AR1687">
            <v>0</v>
          </cell>
          <cell r="AS1687">
            <v>0</v>
          </cell>
        </row>
        <row r="1688">
          <cell r="A1688">
            <v>13319</v>
          </cell>
          <cell r="B1688" t="str">
            <v>NASH EQUIPMENT</v>
          </cell>
          <cell r="C1688" t="str">
            <v>M11273</v>
          </cell>
          <cell r="D1688" t="str">
            <v>Net 30, no pink card</v>
          </cell>
          <cell r="E1688" t="str">
            <v>2%</v>
          </cell>
          <cell r="F1688" t="str">
            <v>Yes</v>
          </cell>
          <cell r="G1688" t="str">
            <v>GA</v>
          </cell>
          <cell r="H1688">
            <v>5</v>
          </cell>
          <cell r="I1688">
            <v>0.7</v>
          </cell>
          <cell r="J1688" t="str">
            <v>Jimmy L Smith</v>
          </cell>
          <cell r="K1688" t="str">
            <v>BURGAW</v>
          </cell>
          <cell r="L1688" t="str">
            <v>NC</v>
          </cell>
          <cell r="M1688" t="str">
            <v>800-577-8858</v>
          </cell>
          <cell r="N1688"/>
          <cell r="O1688"/>
          <cell r="P1688">
            <v>0</v>
          </cell>
          <cell r="Q1688">
            <v>500</v>
          </cell>
          <cell r="R1688">
            <v>2150</v>
          </cell>
          <cell r="S1688"/>
          <cell r="T1688">
            <v>0</v>
          </cell>
          <cell r="U1688" t="str"/>
          <cell r="V1688" t="str"/>
          <cell r="W1688" t="str"/>
          <cell r="X1688" t="str"/>
          <cell r="Y1688">
            <v>680</v>
          </cell>
          <cell r="Z1688">
            <v>2924</v>
          </cell>
          <cell r="AA1688">
            <v>680</v>
          </cell>
          <cell r="AB1688">
            <v>2924</v>
          </cell>
          <cell r="AC1688">
            <v>680</v>
          </cell>
          <cell r="AD1688">
            <v>2924</v>
          </cell>
          <cell r="AE1688"/>
          <cell r="AF1688"/>
          <cell r="AG1688"/>
          <cell r="AH1688"/>
          <cell r="AI1688"/>
          <cell r="AJ1688"/>
          <cell r="AK1688" t="str">
            <v>OL</v>
          </cell>
          <cell r="AL1688">
            <v>151</v>
          </cell>
          <cell r="AM1688">
            <v>478</v>
          </cell>
          <cell r="AN1688" t="str">
            <v>10 Orangeline</v>
          </cell>
          <cell r="AO1688" t="str">
            <v>Southeast</v>
          </cell>
          <cell r="AP1688" t="str">
            <v>South</v>
          </cell>
          <cell r="AQ1688"/>
          <cell r="AR1688">
            <v>0</v>
          </cell>
          <cell r="AS1688">
            <v>0</v>
          </cell>
        </row>
        <row r="1689">
          <cell r="A1689">
            <v>13350</v>
          </cell>
          <cell r="B1689" t="str">
            <v>NEW SOUTH TRACTOR</v>
          </cell>
          <cell r="C1689" t="str">
            <v>M11313</v>
          </cell>
          <cell r="D1689" t="str">
            <v>Net 30, no pink card</v>
          </cell>
          <cell r="E1689" t="str">
            <v>O1-Northpoint</v>
          </cell>
          <cell r="F1689" t="str">
            <v>Yes</v>
          </cell>
          <cell r="G1689" t="str">
            <v>GA</v>
          </cell>
          <cell r="H1689">
            <v>8</v>
          </cell>
          <cell r="I1689">
            <v>0.7</v>
          </cell>
          <cell r="J1689" t="str">
            <v>Jimmy L Smith</v>
          </cell>
          <cell r="K1689" t="str">
            <v>NEWTON</v>
          </cell>
          <cell r="L1689" t="str">
            <v>NC</v>
          </cell>
          <cell r="M1689" t="str">
            <v>800-577-8858</v>
          </cell>
          <cell r="N1689"/>
          <cell r="O1689"/>
          <cell r="P1689">
            <v>0</v>
          </cell>
          <cell r="Q1689">
            <v>360</v>
          </cell>
          <cell r="R1689">
            <v>1548</v>
          </cell>
          <cell r="S1689"/>
          <cell r="T1689">
            <v>0</v>
          </cell>
          <cell r="U1689" t="str"/>
          <cell r="V1689" t="str"/>
          <cell r="W1689" t="str"/>
          <cell r="X1689" t="str"/>
          <cell r="Y1689">
            <v>430</v>
          </cell>
          <cell r="Z1689">
            <v>1849</v>
          </cell>
          <cell r="AA1689">
            <v>430</v>
          </cell>
          <cell r="AB1689">
            <v>1849</v>
          </cell>
          <cell r="AC1689">
            <v>430</v>
          </cell>
          <cell r="AD1689">
            <v>1849</v>
          </cell>
          <cell r="AE1689"/>
          <cell r="AF1689"/>
          <cell r="AG1689"/>
          <cell r="AH1689"/>
          <cell r="AI1689"/>
          <cell r="AJ1689"/>
          <cell r="AK1689" t="str">
            <v>OL</v>
          </cell>
          <cell r="AL1689">
            <v>151</v>
          </cell>
          <cell r="AM1689">
            <v>189</v>
          </cell>
          <cell r="AN1689" t="str">
            <v>10 Orangeline</v>
          </cell>
          <cell r="AO1689" t="str">
            <v>Southeast</v>
          </cell>
          <cell r="AP1689" t="str">
            <v>South</v>
          </cell>
          <cell r="AQ1689"/>
          <cell r="AR1689">
            <v>0</v>
          </cell>
          <cell r="AS1689">
            <v>0</v>
          </cell>
        </row>
        <row r="1690">
          <cell r="A1690">
            <v>13326</v>
          </cell>
          <cell r="B1690" t="str">
            <v>RIDDLE FARM EQUIP</v>
          </cell>
          <cell r="C1690" t="str">
            <v>M11281</v>
          </cell>
          <cell r="D1690" t="str">
            <v>Net 30, no pink card</v>
          </cell>
          <cell r="E1690" t="str">
            <v>O1-Northpoint</v>
          </cell>
          <cell r="F1690" t="str">
            <v>Yes</v>
          </cell>
          <cell r="G1690" t="str">
            <v>GA</v>
          </cell>
          <cell r="H1690">
            <v>8</v>
          </cell>
          <cell r="I1690">
            <v>0.7</v>
          </cell>
          <cell r="J1690" t="str">
            <v>Jimmy L Smith</v>
          </cell>
          <cell r="K1690" t="str">
            <v>WINSTON SALEM</v>
          </cell>
          <cell r="L1690" t="str">
            <v>NC</v>
          </cell>
          <cell r="M1690" t="str">
            <v>800-577-8858</v>
          </cell>
          <cell r="N1690"/>
          <cell r="O1690"/>
          <cell r="P1690">
            <v>0</v>
          </cell>
          <cell r="Q1690">
            <v>430</v>
          </cell>
          <cell r="R1690">
            <v>1849</v>
          </cell>
          <cell r="S1690"/>
          <cell r="T1690">
            <v>0</v>
          </cell>
          <cell r="U1690" t="str"/>
          <cell r="V1690" t="str"/>
          <cell r="W1690" t="str"/>
          <cell r="X1690" t="str"/>
          <cell r="Y1690">
            <v>400</v>
          </cell>
          <cell r="Z1690">
            <v>1720</v>
          </cell>
          <cell r="AA1690">
            <v>400</v>
          </cell>
          <cell r="AB1690">
            <v>1720</v>
          </cell>
          <cell r="AC1690">
            <v>400</v>
          </cell>
          <cell r="AD1690">
            <v>1720</v>
          </cell>
          <cell r="AE1690"/>
          <cell r="AF1690"/>
          <cell r="AG1690"/>
          <cell r="AH1690"/>
          <cell r="AI1690"/>
          <cell r="AJ1690"/>
          <cell r="AK1690" t="str">
            <v>OL</v>
          </cell>
          <cell r="AL1690">
            <v>151</v>
          </cell>
          <cell r="AM1690">
            <v>174</v>
          </cell>
          <cell r="AN1690" t="str">
            <v>10 Orangeline</v>
          </cell>
          <cell r="AO1690" t="str">
            <v>Southeast</v>
          </cell>
          <cell r="AP1690" t="str">
            <v>South</v>
          </cell>
          <cell r="AQ1690"/>
          <cell r="AR1690">
            <v>0</v>
          </cell>
          <cell r="AS1690">
            <v>0</v>
          </cell>
        </row>
        <row r="1691">
          <cell r="A1691">
            <v>13333</v>
          </cell>
          <cell r="B1691" t="str">
            <v>SINK FARM EQUIP</v>
          </cell>
          <cell r="C1691" t="str">
            <v>M11283</v>
          </cell>
          <cell r="D1691" t="str">
            <v>Net 30, no pink card</v>
          </cell>
          <cell r="E1691" t="str">
            <v>2%</v>
          </cell>
          <cell r="F1691" t="str">
            <v>Yes</v>
          </cell>
          <cell r="G1691" t="str">
            <v>GA</v>
          </cell>
          <cell r="H1691">
            <v>5</v>
          </cell>
          <cell r="I1691">
            <v>0.7</v>
          </cell>
          <cell r="J1691" t="str">
            <v>Jimmy L Smith</v>
          </cell>
          <cell r="K1691" t="str">
            <v>LEXINGTON</v>
          </cell>
          <cell r="L1691" t="str">
            <v>NC</v>
          </cell>
          <cell r="M1691" t="str">
            <v>800-577-8858</v>
          </cell>
          <cell r="N1691"/>
          <cell r="O1691"/>
          <cell r="P1691">
            <v>0</v>
          </cell>
          <cell r="Q1691">
            <v>410</v>
          </cell>
          <cell r="R1691">
            <v>1763</v>
          </cell>
          <cell r="S1691"/>
          <cell r="T1691">
            <v>0</v>
          </cell>
          <cell r="U1691" t="str"/>
          <cell r="V1691" t="str"/>
          <cell r="W1691" t="str"/>
          <cell r="X1691" t="str"/>
          <cell r="Y1691">
            <v>420</v>
          </cell>
          <cell r="Z1691">
            <v>1806</v>
          </cell>
          <cell r="AA1691">
            <v>420</v>
          </cell>
          <cell r="AB1691">
            <v>1806</v>
          </cell>
          <cell r="AC1691">
            <v>420</v>
          </cell>
          <cell r="AD1691">
            <v>1806</v>
          </cell>
          <cell r="AE1691"/>
          <cell r="AF1691"/>
          <cell r="AG1691"/>
          <cell r="AH1691"/>
          <cell r="AI1691"/>
          <cell r="AJ1691"/>
          <cell r="AK1691" t="str">
            <v>OL</v>
          </cell>
          <cell r="AL1691">
            <v>151</v>
          </cell>
          <cell r="AM1691">
            <v>174</v>
          </cell>
          <cell r="AN1691" t="str">
            <v>10 Orangeline</v>
          </cell>
          <cell r="AO1691" t="str">
            <v>Southeast</v>
          </cell>
          <cell r="AP1691" t="str">
            <v>South</v>
          </cell>
          <cell r="AQ1691"/>
          <cell r="AR1691">
            <v>0</v>
          </cell>
          <cell r="AS1691">
            <v>0</v>
          </cell>
        </row>
        <row r="1692">
          <cell r="A1692">
            <v>13336</v>
          </cell>
          <cell r="B1692" t="str">
            <v>STATESVILLE AG</v>
          </cell>
          <cell r="C1692" t="str">
            <v>M11307</v>
          </cell>
          <cell r="D1692" t="str">
            <v>Net 30, no pink card</v>
          </cell>
          <cell r="E1692" t="str">
            <v>FP-Wells</v>
          </cell>
          <cell r="F1692" t="str">
            <v>Yes</v>
          </cell>
          <cell r="G1692" t="str">
            <v>GA</v>
          </cell>
          <cell r="H1692">
            <v>8</v>
          </cell>
          <cell r="I1692">
            <v>0.7</v>
          </cell>
          <cell r="J1692" t="str">
            <v>Jimmy L Smith</v>
          </cell>
          <cell r="K1692" t="str">
            <v>STATESVILLE</v>
          </cell>
          <cell r="L1692" t="str">
            <v>NC</v>
          </cell>
          <cell r="M1692" t="str">
            <v>800-577-8858</v>
          </cell>
          <cell r="N1692"/>
          <cell r="O1692"/>
          <cell r="P1692">
            <v>0</v>
          </cell>
          <cell r="Q1692">
            <v>390</v>
          </cell>
          <cell r="R1692">
            <v>1677</v>
          </cell>
          <cell r="S1692"/>
          <cell r="T1692">
            <v>0</v>
          </cell>
          <cell r="U1692" t="str"/>
          <cell r="V1692" t="str"/>
          <cell r="W1692" t="str"/>
          <cell r="X1692" t="str"/>
          <cell r="Y1692">
            <v>410</v>
          </cell>
          <cell r="Z1692">
            <v>1763</v>
          </cell>
          <cell r="AA1692">
            <v>410</v>
          </cell>
          <cell r="AB1692">
            <v>1763</v>
          </cell>
          <cell r="AC1692">
            <v>410</v>
          </cell>
          <cell r="AD1692">
            <v>1763</v>
          </cell>
          <cell r="AE1692"/>
          <cell r="AF1692"/>
          <cell r="AG1692"/>
          <cell r="AH1692"/>
          <cell r="AI1692"/>
          <cell r="AJ1692"/>
          <cell r="AK1692" t="str">
            <v>OL</v>
          </cell>
          <cell r="AL1692">
            <v>151</v>
          </cell>
          <cell r="AM1692">
            <v>74</v>
          </cell>
          <cell r="AN1692" t="str">
            <v>10 Orangeline</v>
          </cell>
          <cell r="AO1692" t="str">
            <v>Southeast</v>
          </cell>
          <cell r="AP1692" t="str">
            <v>South</v>
          </cell>
          <cell r="AQ1692"/>
          <cell r="AR1692">
            <v>0</v>
          </cell>
          <cell r="AS1692">
            <v>0</v>
          </cell>
        </row>
        <row r="1693">
          <cell r="A1693">
            <v>13420</v>
          </cell>
          <cell r="B1693" t="str">
            <v>ANDERSON BROTHERS</v>
          </cell>
          <cell r="C1693" t="str">
            <v>M11186</v>
          </cell>
          <cell r="D1693" t="str">
            <v>Net 30, no pink card</v>
          </cell>
          <cell r="E1693" t="str">
            <v>2%</v>
          </cell>
          <cell r="F1693" t="str">
            <v>Yes</v>
          </cell>
          <cell r="G1693" t="str">
            <v>OH</v>
          </cell>
          <cell r="H1693">
            <v>5</v>
          </cell>
          <cell r="I1693">
            <v>0.7</v>
          </cell>
          <cell r="J1693" t="str">
            <v>Jimmy L Smith</v>
          </cell>
          <cell r="K1693" t="str">
            <v>EDGELEY</v>
          </cell>
          <cell r="L1693" t="str">
            <v>ND</v>
          </cell>
          <cell r="M1693" t="str">
            <v>800-577-8862</v>
          </cell>
          <cell r="N1693"/>
          <cell r="O1693">
            <v>1075</v>
          </cell>
          <cell r="P1693">
            <v>4622.5</v>
          </cell>
          <cell r="Q1693"/>
          <cell r="R1693">
            <v>0</v>
          </cell>
          <cell r="S1693"/>
          <cell r="T1693">
            <v>0</v>
          </cell>
          <cell r="U1693" t="str"/>
          <cell r="V1693" t="str"/>
          <cell r="W1693" t="str"/>
          <cell r="X1693" t="str"/>
          <cell r="Y1693">
            <v>1050</v>
          </cell>
          <cell r="Z1693">
            <v>4515</v>
          </cell>
          <cell r="AA1693">
            <v>1050</v>
          </cell>
          <cell r="AB1693">
            <v>4515</v>
          </cell>
          <cell r="AC1693">
            <v>1050</v>
          </cell>
          <cell r="AD1693">
            <v>4515</v>
          </cell>
          <cell r="AE1693"/>
          <cell r="AF1693"/>
          <cell r="AG1693"/>
          <cell r="AH1693"/>
          <cell r="AI1693"/>
          <cell r="AJ1693"/>
          <cell r="AK1693" t="str">
            <v>OL</v>
          </cell>
          <cell r="AL1693">
            <v>151</v>
          </cell>
          <cell r="AM1693">
            <v>138</v>
          </cell>
          <cell r="AN1693" t="str">
            <v>10 Orangeline</v>
          </cell>
          <cell r="AO1693" t="str">
            <v>Midwest</v>
          </cell>
          <cell r="AP1693" t="str">
            <v>Central</v>
          </cell>
          <cell r="AQ1693"/>
          <cell r="AR1693">
            <v>0</v>
          </cell>
          <cell r="AS1693">
            <v>0</v>
          </cell>
        </row>
        <row r="1694">
          <cell r="A1694">
            <v>13469</v>
          </cell>
          <cell r="B1694" t="str">
            <v>ACME EQUIPMENT</v>
          </cell>
          <cell r="C1694" t="str">
            <v>M11449</v>
          </cell>
          <cell r="D1694" t="str">
            <v>Net 30, no pink card</v>
          </cell>
          <cell r="E1694" t="str">
            <v>FP-Wells</v>
          </cell>
          <cell r="F1694" t="str">
            <v>Yes</v>
          </cell>
          <cell r="G1694" t="str">
            <v>OH</v>
          </cell>
          <cell r="H1694">
            <v>8</v>
          </cell>
          <cell r="I1694">
            <v>0.7</v>
          </cell>
          <cell r="J1694" t="str">
            <v>Jimmy L Smith</v>
          </cell>
          <cell r="K1694" t="str">
            <v>GRAND FORKS</v>
          </cell>
          <cell r="L1694" t="str">
            <v>ND</v>
          </cell>
          <cell r="M1694" t="str">
            <v>800-577-8862</v>
          </cell>
          <cell r="N1694"/>
          <cell r="O1694">
            <v>1125</v>
          </cell>
          <cell r="P1694">
            <v>4837.5</v>
          </cell>
          <cell r="Q1694"/>
          <cell r="R1694">
            <v>0</v>
          </cell>
          <cell r="S1694"/>
          <cell r="T1694">
            <v>0</v>
          </cell>
          <cell r="U1694" t="str"/>
          <cell r="V1694" t="str"/>
          <cell r="W1694" t="str"/>
          <cell r="X1694" t="str"/>
          <cell r="Y1694">
            <v>1050</v>
          </cell>
          <cell r="Z1694">
            <v>4515</v>
          </cell>
          <cell r="AA1694">
            <v>1050</v>
          </cell>
          <cell r="AB1694">
            <v>4515</v>
          </cell>
          <cell r="AC1694">
            <v>1050</v>
          </cell>
          <cell r="AD1694">
            <v>4515</v>
          </cell>
          <cell r="AE1694"/>
          <cell r="AF1694"/>
          <cell r="AG1694"/>
          <cell r="AH1694"/>
          <cell r="AI1694"/>
          <cell r="AJ1694">
            <v>0.04</v>
          </cell>
          <cell r="AK1694" t="str">
            <v>OL</v>
          </cell>
          <cell r="AL1694">
            <v>151</v>
          </cell>
          <cell r="AM1694">
            <v>166</v>
          </cell>
          <cell r="AN1694" t="str">
            <v>10 Orangeline</v>
          </cell>
          <cell r="AO1694" t="str">
            <v>Midwest</v>
          </cell>
          <cell r="AP1694" t="str">
            <v>Central</v>
          </cell>
          <cell r="AQ1694"/>
          <cell r="AR1694">
            <v>0</v>
          </cell>
          <cell r="AS1694">
            <v>0</v>
          </cell>
        </row>
        <row r="1695">
          <cell r="A1695" t="str">
            <v>13469A</v>
          </cell>
          <cell r="B1695" t="str">
            <v>ACME EQUIPMENT</v>
          </cell>
          <cell r="C1695" t="str">
            <v>M11449</v>
          </cell>
          <cell r="D1695" t="str">
            <v>Net 30, no pink card</v>
          </cell>
          <cell r="E1695" t="str">
            <v>FP-Wells</v>
          </cell>
          <cell r="F1695" t="str">
            <v>Yes</v>
          </cell>
          <cell r="G1695" t="str">
            <v>OH</v>
          </cell>
          <cell r="H1695">
            <v>8</v>
          </cell>
          <cell r="I1695">
            <v>0.7</v>
          </cell>
          <cell r="J1695" t="str">
            <v>Jimmy L Smith</v>
          </cell>
          <cell r="K1695" t="str">
            <v>GRAND FORKS</v>
          </cell>
          <cell r="L1695" t="str">
            <v>ND</v>
          </cell>
          <cell r="M1695" t="str">
            <v>800-577-8862</v>
          </cell>
          <cell r="N1695"/>
          <cell r="O1695">
            <v>1125</v>
          </cell>
          <cell r="P1695">
            <v>4837.5</v>
          </cell>
          <cell r="Q1695"/>
          <cell r="R1695">
            <v>0</v>
          </cell>
          <cell r="S1695"/>
          <cell r="T1695">
            <v>0</v>
          </cell>
          <cell r="U1695" t="str"/>
          <cell r="V1695" t="str"/>
          <cell r="W1695" t="str"/>
          <cell r="X1695" t="str"/>
          <cell r="Y1695">
            <v>1050</v>
          </cell>
          <cell r="Z1695">
            <v>4515</v>
          </cell>
          <cell r="AA1695">
            <v>1050</v>
          </cell>
          <cell r="AB1695">
            <v>4515</v>
          </cell>
          <cell r="AC1695">
            <v>1050</v>
          </cell>
          <cell r="AD1695">
            <v>4515</v>
          </cell>
          <cell r="AE1695"/>
          <cell r="AF1695"/>
          <cell r="AG1695"/>
          <cell r="AH1695"/>
          <cell r="AI1695"/>
          <cell r="AJ1695">
            <v>0.04</v>
          </cell>
          <cell r="AK1695" t="str">
            <v>OL</v>
          </cell>
          <cell r="AL1695">
            <v>151</v>
          </cell>
          <cell r="AM1695">
            <v>166</v>
          </cell>
          <cell r="AN1695" t="str">
            <v>10 Orangeline</v>
          </cell>
          <cell r="AO1695" t="str">
            <v>Midwest</v>
          </cell>
          <cell r="AP1695" t="str">
            <v>Central</v>
          </cell>
          <cell r="AQ1695"/>
          <cell r="AR1695">
            <v>0</v>
          </cell>
          <cell r="AS1695">
            <v>0</v>
          </cell>
        </row>
        <row r="1696">
          <cell r="A1696" t="str">
            <v>13469B</v>
          </cell>
          <cell r="B1696" t="str">
            <v>ACME EQUIPMENT</v>
          </cell>
          <cell r="C1696" t="str">
            <v>M11449</v>
          </cell>
          <cell r="D1696" t="str">
            <v>Net 30, no pink card</v>
          </cell>
          <cell r="E1696" t="str">
            <v>FP-Wells</v>
          </cell>
          <cell r="F1696" t="str">
            <v>Yes</v>
          </cell>
          <cell r="G1696" t="str">
            <v>OH</v>
          </cell>
          <cell r="H1696">
            <v>8</v>
          </cell>
          <cell r="I1696">
            <v>0.7</v>
          </cell>
          <cell r="J1696" t="str">
            <v>Jimmy L Smith</v>
          </cell>
          <cell r="K1696" t="str">
            <v>MINOT</v>
          </cell>
          <cell r="L1696" t="str">
            <v>ND</v>
          </cell>
          <cell r="M1696" t="str">
            <v>800-577-8862</v>
          </cell>
          <cell r="N1696"/>
          <cell r="O1696">
            <v>1350</v>
          </cell>
          <cell r="P1696">
            <v>5805</v>
          </cell>
          <cell r="Q1696"/>
          <cell r="R1696">
            <v>0</v>
          </cell>
          <cell r="S1696"/>
          <cell r="T1696">
            <v>0</v>
          </cell>
          <cell r="U1696" t="str"/>
          <cell r="V1696" t="str"/>
          <cell r="W1696" t="str"/>
          <cell r="X1696" t="str"/>
          <cell r="Y1696">
            <v>1230</v>
          </cell>
          <cell r="Z1696">
            <v>5289</v>
          </cell>
          <cell r="AA1696">
            <v>1230</v>
          </cell>
          <cell r="AB1696">
            <v>5289</v>
          </cell>
          <cell r="AC1696">
            <v>1230</v>
          </cell>
          <cell r="AD1696">
            <v>5289</v>
          </cell>
          <cell r="AE1696"/>
          <cell r="AF1696"/>
          <cell r="AG1696"/>
          <cell r="AH1696"/>
          <cell r="AI1696"/>
          <cell r="AJ1696">
            <v>0.04</v>
          </cell>
          <cell r="AK1696" t="str">
            <v>OL</v>
          </cell>
          <cell r="AL1696">
            <v>151</v>
          </cell>
          <cell r="AM1696">
            <v>299</v>
          </cell>
          <cell r="AN1696" t="str">
            <v>10 Orangeline</v>
          </cell>
          <cell r="AO1696" t="str">
            <v>Midwest</v>
          </cell>
          <cell r="AP1696" t="str">
            <v>Central</v>
          </cell>
          <cell r="AQ1696"/>
          <cell r="AR1696">
            <v>0</v>
          </cell>
          <cell r="AS1696">
            <v>0</v>
          </cell>
        </row>
        <row r="1697">
          <cell r="A1697" t="str">
            <v>13469C</v>
          </cell>
          <cell r="B1697" t="str">
            <v>ACME EQUIPMENT</v>
          </cell>
          <cell r="C1697" t="str">
            <v>M11449</v>
          </cell>
          <cell r="D1697" t="str">
            <v>Net 30, no pink card</v>
          </cell>
          <cell r="E1697" t="str">
            <v>FP-Wells</v>
          </cell>
          <cell r="F1697" t="str">
            <v>Yes</v>
          </cell>
          <cell r="G1697" t="str">
            <v>OH</v>
          </cell>
          <cell r="H1697">
            <v>8</v>
          </cell>
          <cell r="I1697">
            <v>0.7</v>
          </cell>
          <cell r="J1697" t="str">
            <v>Jimmy L Smith</v>
          </cell>
          <cell r="K1697" t="str">
            <v>WILLISTON</v>
          </cell>
          <cell r="L1697" t="str">
            <v>ND</v>
          </cell>
          <cell r="M1697" t="str">
            <v>800-577-8862</v>
          </cell>
          <cell r="N1697"/>
          <cell r="O1697">
            <v>1400</v>
          </cell>
          <cell r="P1697">
            <v>6020</v>
          </cell>
          <cell r="Q1697"/>
          <cell r="R1697">
            <v>0</v>
          </cell>
          <cell r="S1697"/>
          <cell r="T1697">
            <v>0</v>
          </cell>
          <cell r="U1697" t="str"/>
          <cell r="V1697" t="str"/>
          <cell r="W1697" t="str"/>
          <cell r="X1697" t="str"/>
          <cell r="Y1697">
            <v>1350</v>
          </cell>
          <cell r="Z1697">
            <v>5805</v>
          </cell>
          <cell r="AA1697">
            <v>1350</v>
          </cell>
          <cell r="AB1697">
            <v>5805</v>
          </cell>
          <cell r="AC1697">
            <v>1350</v>
          </cell>
          <cell r="AD1697">
            <v>5805</v>
          </cell>
          <cell r="AE1697"/>
          <cell r="AF1697"/>
          <cell r="AG1697"/>
          <cell r="AH1697"/>
          <cell r="AI1697"/>
          <cell r="AJ1697">
            <v>0.04</v>
          </cell>
          <cell r="AK1697" t="str">
            <v>OL</v>
          </cell>
          <cell r="AL1697">
            <v>151</v>
          </cell>
          <cell r="AM1697">
            <v>476</v>
          </cell>
          <cell r="AN1697" t="str">
            <v>10 Orangeline</v>
          </cell>
          <cell r="AO1697" t="str">
            <v>Midwest</v>
          </cell>
          <cell r="AP1697" t="str">
            <v>Central</v>
          </cell>
          <cell r="AQ1697"/>
          <cell r="AR1697">
            <v>0</v>
          </cell>
          <cell r="AS1697">
            <v>0</v>
          </cell>
        </row>
        <row r="1698">
          <cell r="A1698" t="str">
            <v>13469E</v>
          </cell>
          <cell r="B1698" t="str">
            <v>ACME EQUIPMENT</v>
          </cell>
          <cell r="C1698" t="str">
            <v>M11449</v>
          </cell>
          <cell r="D1698" t="str">
            <v>Net 30, no pink card</v>
          </cell>
          <cell r="E1698" t="str">
            <v>FP-Wells</v>
          </cell>
          <cell r="F1698" t="str">
            <v>Yes</v>
          </cell>
          <cell r="G1698" t="str">
            <v>OH</v>
          </cell>
          <cell r="H1698">
            <v>8</v>
          </cell>
          <cell r="I1698">
            <v>0.7</v>
          </cell>
          <cell r="J1698" t="str">
            <v>Jimmy L Smith</v>
          </cell>
          <cell r="K1698" t="str">
            <v>FARGO</v>
          </cell>
          <cell r="L1698" t="str">
            <v>ND</v>
          </cell>
          <cell r="M1698" t="str">
            <v>800-577-8862</v>
          </cell>
          <cell r="N1698"/>
          <cell r="O1698">
            <v>1050</v>
          </cell>
          <cell r="P1698">
            <v>4515</v>
          </cell>
          <cell r="Q1698"/>
          <cell r="R1698">
            <v>0</v>
          </cell>
          <cell r="S1698"/>
          <cell r="T1698">
            <v>0</v>
          </cell>
          <cell r="U1698" t="str"/>
          <cell r="V1698" t="str"/>
          <cell r="W1698" t="str"/>
          <cell r="X1698" t="str"/>
          <cell r="Y1698">
            <v>975</v>
          </cell>
          <cell r="Z1698">
            <v>4192.5</v>
          </cell>
          <cell r="AA1698">
            <v>975</v>
          </cell>
          <cell r="AB1698">
            <v>4192.5</v>
          </cell>
          <cell r="AC1698">
            <v>975</v>
          </cell>
          <cell r="AD1698">
            <v>4192.5</v>
          </cell>
          <cell r="AE1698"/>
          <cell r="AF1698"/>
          <cell r="AG1698"/>
          <cell r="AH1698"/>
          <cell r="AI1698"/>
          <cell r="AJ1698">
            <v>0.04</v>
          </cell>
          <cell r="AK1698" t="str">
            <v>OL</v>
          </cell>
          <cell r="AL1698">
            <v>151</v>
          </cell>
          <cell r="AM1698">
            <v>476</v>
          </cell>
          <cell r="AN1698" t="str">
            <v>10 Orangeline</v>
          </cell>
          <cell r="AO1698" t="str">
            <v>Midwest</v>
          </cell>
          <cell r="AP1698" t="str">
            <v>Central</v>
          </cell>
          <cell r="AQ1698"/>
          <cell r="AR1698">
            <v>0</v>
          </cell>
          <cell r="AS1698">
            <v>0</v>
          </cell>
        </row>
        <row r="1699">
          <cell r="A1699">
            <v>13487</v>
          </cell>
          <cell r="B1699" t="str">
            <v>ACME EQUIPMENT</v>
          </cell>
          <cell r="C1699" t="str">
            <v>M11449</v>
          </cell>
          <cell r="D1699" t="str">
            <v>Net 30, no pink card</v>
          </cell>
          <cell r="E1699">
            <v>0.02</v>
          </cell>
          <cell r="F1699" t="str">
            <v>Yes</v>
          </cell>
          <cell r="G1699" t="str">
            <v>OH</v>
          </cell>
          <cell r="H1699">
            <v>5</v>
          </cell>
          <cell r="I1699">
            <v>0.7</v>
          </cell>
          <cell r="J1699" t="str">
            <v>Jimmy L Smith</v>
          </cell>
          <cell r="K1699" t="str">
            <v>GRAND FORKS</v>
          </cell>
          <cell r="L1699" t="str">
            <v>ND</v>
          </cell>
          <cell r="M1699" t="str">
            <v>800-577-8862</v>
          </cell>
          <cell r="N1699"/>
          <cell r="O1699">
            <v>1125</v>
          </cell>
          <cell r="P1699">
            <v>4837.5</v>
          </cell>
          <cell r="Q1699"/>
          <cell r="R1699">
            <v>0</v>
          </cell>
          <cell r="S1699"/>
          <cell r="T1699">
            <v>0</v>
          </cell>
          <cell r="U1699" t="str"/>
          <cell r="V1699" t="str"/>
          <cell r="W1699" t="str"/>
          <cell r="X1699" t="str"/>
          <cell r="Y1699">
            <v>1050</v>
          </cell>
          <cell r="Z1699">
            <v>4515</v>
          </cell>
          <cell r="AA1699">
            <v>1050</v>
          </cell>
          <cell r="AB1699">
            <v>4515</v>
          </cell>
          <cell r="AC1699">
            <v>1050</v>
          </cell>
          <cell r="AD1699">
            <v>4515</v>
          </cell>
          <cell r="AE1699"/>
          <cell r="AF1699"/>
          <cell r="AG1699"/>
          <cell r="AH1699"/>
          <cell r="AI1699"/>
          <cell r="AJ1699">
            <v>0.04</v>
          </cell>
          <cell r="AK1699" t="str">
            <v>OL</v>
          </cell>
          <cell r="AL1699">
            <v>151</v>
          </cell>
          <cell r="AM1699">
            <v>166</v>
          </cell>
          <cell r="AN1699" t="str">
            <v>10 Orangeline</v>
          </cell>
          <cell r="AO1699" t="str">
            <v>Midwest</v>
          </cell>
          <cell r="AP1699" t="str">
            <v>Central</v>
          </cell>
          <cell r="AQ1699"/>
          <cell r="AR1699">
            <v>0</v>
          </cell>
          <cell r="AS1699">
            <v>0</v>
          </cell>
        </row>
        <row r="1700">
          <cell r="A1700" t="str">
            <v>13487B</v>
          </cell>
          <cell r="B1700" t="str">
            <v>ACME EQUIPMENT</v>
          </cell>
          <cell r="C1700" t="str">
            <v>M11449</v>
          </cell>
          <cell r="D1700" t="str">
            <v>Net 30, no pink card</v>
          </cell>
          <cell r="E1700">
            <v>0.02</v>
          </cell>
          <cell r="F1700" t="str">
            <v>Yes</v>
          </cell>
          <cell r="G1700" t="str">
            <v>OH</v>
          </cell>
          <cell r="H1700">
            <v>5</v>
          </cell>
          <cell r="I1700">
            <v>0.7</v>
          </cell>
          <cell r="J1700" t="str">
            <v>Jimmy L Smith</v>
          </cell>
          <cell r="K1700" t="str">
            <v>MINOT</v>
          </cell>
          <cell r="L1700" t="str">
            <v>ND</v>
          </cell>
          <cell r="M1700" t="str">
            <v>800-577-8862</v>
          </cell>
          <cell r="N1700"/>
          <cell r="O1700">
            <v>1350</v>
          </cell>
          <cell r="P1700">
            <v>5805</v>
          </cell>
          <cell r="Q1700"/>
          <cell r="R1700">
            <v>0</v>
          </cell>
          <cell r="S1700"/>
          <cell r="T1700">
            <v>0</v>
          </cell>
          <cell r="U1700" t="str"/>
          <cell r="V1700" t="str"/>
          <cell r="W1700" t="str"/>
          <cell r="X1700" t="str"/>
          <cell r="Y1700">
            <v>1230</v>
          </cell>
          <cell r="Z1700">
            <v>5289</v>
          </cell>
          <cell r="AA1700">
            <v>1230</v>
          </cell>
          <cell r="AB1700">
            <v>5289</v>
          </cell>
          <cell r="AC1700">
            <v>1230</v>
          </cell>
          <cell r="AD1700">
            <v>5289</v>
          </cell>
          <cell r="AE1700"/>
          <cell r="AF1700"/>
          <cell r="AG1700"/>
          <cell r="AH1700"/>
          <cell r="AI1700"/>
          <cell r="AJ1700">
            <v>0.04</v>
          </cell>
          <cell r="AK1700" t="str">
            <v>OL</v>
          </cell>
          <cell r="AL1700">
            <v>151</v>
          </cell>
          <cell r="AM1700">
            <v>299</v>
          </cell>
          <cell r="AN1700" t="str">
            <v>10 Orangeline</v>
          </cell>
          <cell r="AO1700" t="str">
            <v>Midwest</v>
          </cell>
          <cell r="AP1700" t="str">
            <v>Central</v>
          </cell>
          <cell r="AQ1700"/>
          <cell r="AR1700">
            <v>0</v>
          </cell>
          <cell r="AS1700">
            <v>0</v>
          </cell>
        </row>
        <row r="1701">
          <cell r="A1701" t="str">
            <v>13487C</v>
          </cell>
          <cell r="B1701" t="str">
            <v>ACME EQUIPMENT</v>
          </cell>
          <cell r="C1701" t="str">
            <v>M11449</v>
          </cell>
          <cell r="D1701" t="str">
            <v>Net 30, no pink card</v>
          </cell>
          <cell r="E1701">
            <v>0.02</v>
          </cell>
          <cell r="F1701" t="str">
            <v>Yes</v>
          </cell>
          <cell r="G1701" t="str">
            <v>OH</v>
          </cell>
          <cell r="H1701">
            <v>5</v>
          </cell>
          <cell r="I1701">
            <v>0.7</v>
          </cell>
          <cell r="J1701" t="str">
            <v>Jimmy L Smith</v>
          </cell>
          <cell r="K1701" t="str">
            <v>WILLISTON</v>
          </cell>
          <cell r="L1701" t="str">
            <v>ND</v>
          </cell>
          <cell r="M1701" t="str">
            <v>800-577-8862</v>
          </cell>
          <cell r="N1701"/>
          <cell r="O1701">
            <v>1400</v>
          </cell>
          <cell r="P1701">
            <v>6020</v>
          </cell>
          <cell r="Q1701"/>
          <cell r="R1701">
            <v>0</v>
          </cell>
          <cell r="S1701"/>
          <cell r="T1701">
            <v>0</v>
          </cell>
          <cell r="U1701" t="str"/>
          <cell r="V1701" t="str"/>
          <cell r="W1701" t="str"/>
          <cell r="X1701" t="str"/>
          <cell r="Y1701">
            <v>1350</v>
          </cell>
          <cell r="Z1701">
            <v>5805</v>
          </cell>
          <cell r="AA1701">
            <v>1350</v>
          </cell>
          <cell r="AB1701">
            <v>5805</v>
          </cell>
          <cell r="AC1701">
            <v>1350</v>
          </cell>
          <cell r="AD1701">
            <v>5805</v>
          </cell>
          <cell r="AE1701"/>
          <cell r="AF1701"/>
          <cell r="AG1701"/>
          <cell r="AH1701"/>
          <cell r="AI1701"/>
          <cell r="AJ1701">
            <v>0.04</v>
          </cell>
          <cell r="AK1701" t="str">
            <v>OL</v>
          </cell>
          <cell r="AL1701">
            <v>151</v>
          </cell>
          <cell r="AM1701">
            <v>476</v>
          </cell>
          <cell r="AN1701" t="str">
            <v>10 Orangeline</v>
          </cell>
          <cell r="AO1701" t="str">
            <v>Midwest</v>
          </cell>
          <cell r="AP1701" t="str">
            <v>Central</v>
          </cell>
          <cell r="AQ1701"/>
          <cell r="AR1701">
            <v>0</v>
          </cell>
          <cell r="AS1701">
            <v>0</v>
          </cell>
        </row>
        <row r="1702">
          <cell r="A1702" t="str">
            <v>13487D</v>
          </cell>
          <cell r="B1702" t="str">
            <v>ACME EQUIPMENT</v>
          </cell>
          <cell r="C1702" t="str">
            <v>M11449</v>
          </cell>
          <cell r="D1702" t="str">
            <v>Net 30, no pink card</v>
          </cell>
          <cell r="E1702">
            <v>0.02</v>
          </cell>
          <cell r="F1702" t="str">
            <v>Yes</v>
          </cell>
          <cell r="G1702" t="str">
            <v>OH</v>
          </cell>
          <cell r="H1702">
            <v>5</v>
          </cell>
          <cell r="I1702">
            <v>0.7</v>
          </cell>
          <cell r="J1702" t="str">
            <v>Jimmy L Smith</v>
          </cell>
          <cell r="K1702" t="str">
            <v>BEMIDJI</v>
          </cell>
          <cell r="L1702" t="str">
            <v>MN</v>
          </cell>
          <cell r="M1702" t="str">
            <v>800-577-8862</v>
          </cell>
          <cell r="N1702"/>
          <cell r="O1702">
            <v>1135</v>
          </cell>
          <cell r="P1702">
            <v>4880.5</v>
          </cell>
          <cell r="Q1702"/>
          <cell r="R1702">
            <v>0</v>
          </cell>
          <cell r="S1702"/>
          <cell r="T1702">
            <v>0</v>
          </cell>
          <cell r="U1702" t="str"/>
          <cell r="V1702" t="str"/>
          <cell r="W1702" t="str"/>
          <cell r="X1702" t="str"/>
          <cell r="Y1702">
            <v>1015</v>
          </cell>
          <cell r="Z1702">
            <v>4364.5</v>
          </cell>
          <cell r="AA1702">
            <v>1015</v>
          </cell>
          <cell r="AB1702">
            <v>4364.5</v>
          </cell>
          <cell r="AC1702">
            <v>1015</v>
          </cell>
          <cell r="AD1702">
            <v>4364.5</v>
          </cell>
          <cell r="AE1702"/>
          <cell r="AF1702"/>
          <cell r="AG1702"/>
          <cell r="AH1702"/>
          <cell r="AI1702"/>
          <cell r="AJ1702">
            <v>0.04</v>
          </cell>
          <cell r="AK1702" t="str">
            <v>OL</v>
          </cell>
          <cell r="AL1702">
            <v>151</v>
          </cell>
          <cell r="AM1702">
            <v>37</v>
          </cell>
          <cell r="AN1702" t="str">
            <v>10 Orangeline</v>
          </cell>
          <cell r="AO1702" t="str">
            <v>Midwest</v>
          </cell>
          <cell r="AP1702" t="str">
            <v>Central</v>
          </cell>
          <cell r="AQ1702"/>
          <cell r="AR1702">
            <v>0</v>
          </cell>
          <cell r="AS1702">
            <v>0</v>
          </cell>
        </row>
        <row r="1703">
          <cell r="A1703" t="str">
            <v>13487E</v>
          </cell>
          <cell r="B1703" t="str">
            <v>ACME EQUIPMENT</v>
          </cell>
          <cell r="C1703" t="str">
            <v>M11449</v>
          </cell>
          <cell r="D1703" t="str">
            <v>Net 30, no pink card</v>
          </cell>
          <cell r="E1703">
            <v>0.02</v>
          </cell>
          <cell r="F1703" t="str">
            <v>Yes</v>
          </cell>
          <cell r="G1703" t="str">
            <v>OH</v>
          </cell>
          <cell r="H1703">
            <v>5</v>
          </cell>
          <cell r="I1703">
            <v>0.7</v>
          </cell>
          <cell r="J1703" t="str">
            <v>Jimmy L Smith</v>
          </cell>
          <cell r="K1703" t="str">
            <v>FARGO</v>
          </cell>
          <cell r="L1703" t="str">
            <v>ND</v>
          </cell>
          <cell r="M1703" t="str">
            <v>800-577-8862</v>
          </cell>
          <cell r="N1703"/>
          <cell r="O1703">
            <v>1050</v>
          </cell>
          <cell r="P1703">
            <v>4515</v>
          </cell>
          <cell r="Q1703"/>
          <cell r="R1703">
            <v>0</v>
          </cell>
          <cell r="S1703"/>
          <cell r="T1703">
            <v>0</v>
          </cell>
          <cell r="U1703" t="str"/>
          <cell r="V1703" t="str"/>
          <cell r="W1703" t="str"/>
          <cell r="X1703" t="str"/>
          <cell r="Y1703">
            <v>975</v>
          </cell>
          <cell r="Z1703">
            <v>4192.5</v>
          </cell>
          <cell r="AA1703">
            <v>975</v>
          </cell>
          <cell r="AB1703">
            <v>4192.5</v>
          </cell>
          <cell r="AC1703">
            <v>975</v>
          </cell>
          <cell r="AD1703">
            <v>4192.5</v>
          </cell>
          <cell r="AE1703"/>
          <cell r="AF1703"/>
          <cell r="AG1703"/>
          <cell r="AH1703"/>
          <cell r="AI1703"/>
          <cell r="AJ1703">
            <v>0.04</v>
          </cell>
          <cell r="AK1703" t="str">
            <v>OL</v>
          </cell>
          <cell r="AL1703">
            <v>151</v>
          </cell>
          <cell r="AM1703">
            <v>138</v>
          </cell>
          <cell r="AN1703" t="str">
            <v>10 Orangeline</v>
          </cell>
          <cell r="AO1703" t="str">
            <v>Midwest</v>
          </cell>
          <cell r="AP1703" t="str">
            <v>Central</v>
          </cell>
          <cell r="AQ1703"/>
          <cell r="AR1703">
            <v>0</v>
          </cell>
          <cell r="AS1703">
            <v>0</v>
          </cell>
        </row>
        <row r="1704">
          <cell r="A1704">
            <v>13429</v>
          </cell>
          <cell r="B1704" t="str">
            <v>CUSTOM RENTAL</v>
          </cell>
          <cell r="C1704" t="str">
            <v>M11195</v>
          </cell>
          <cell r="D1704" t="str">
            <v>Net 30, no pink card</v>
          </cell>
          <cell r="E1704" t="str">
            <v>2%</v>
          </cell>
          <cell r="F1704" t="str">
            <v>Yes</v>
          </cell>
          <cell r="G1704" t="str">
            <v>OH</v>
          </cell>
          <cell r="H1704">
            <v>5</v>
          </cell>
          <cell r="I1704">
            <v>0.7</v>
          </cell>
          <cell r="J1704" t="str">
            <v>Jimmy L Smith</v>
          </cell>
          <cell r="K1704" t="str">
            <v>GRAND ISLAND</v>
          </cell>
          <cell r="L1704" t="str">
            <v>NE</v>
          </cell>
          <cell r="M1704" t="str">
            <v>800-577-8871</v>
          </cell>
          <cell r="N1704"/>
          <cell r="O1704">
            <v>685</v>
          </cell>
          <cell r="P1704">
            <v>2945.5</v>
          </cell>
          <cell r="Q1704"/>
          <cell r="R1704">
            <v>0</v>
          </cell>
          <cell r="S1704"/>
          <cell r="T1704">
            <v>0</v>
          </cell>
          <cell r="U1704" t="str"/>
          <cell r="V1704" t="str"/>
          <cell r="W1704" t="str"/>
          <cell r="X1704" t="str"/>
          <cell r="Y1704"/>
          <cell r="Z1704">
            <v>0</v>
          </cell>
          <cell r="AA1704"/>
          <cell r="AB1704" t="str">
            <v>n/a</v>
          </cell>
          <cell r="AC1704"/>
          <cell r="AD1704" t="str">
            <v>n/a</v>
          </cell>
          <cell r="AE1704"/>
          <cell r="AF1704"/>
          <cell r="AG1704"/>
          <cell r="AH1704"/>
          <cell r="AI1704"/>
          <cell r="AJ1704"/>
          <cell r="AK1704" t="str">
            <v>OL</v>
          </cell>
          <cell r="AL1704">
            <v>151</v>
          </cell>
          <cell r="AM1704">
            <v>167</v>
          </cell>
          <cell r="AN1704" t="str">
            <v>10 Orangeline</v>
          </cell>
          <cell r="AO1704" t="str">
            <v>Midwest</v>
          </cell>
          <cell r="AP1704" t="str">
            <v>North</v>
          </cell>
          <cell r="AQ1704"/>
          <cell r="AR1704">
            <v>0</v>
          </cell>
          <cell r="AS1704">
            <v>0</v>
          </cell>
        </row>
        <row r="1705">
          <cell r="A1705">
            <v>13448</v>
          </cell>
          <cell r="B1705" t="str">
            <v>NEBRASKA EQUIP</v>
          </cell>
          <cell r="C1705" t="str">
            <v>M11214</v>
          </cell>
          <cell r="D1705" t="str">
            <v>Net 30, no pink card</v>
          </cell>
          <cell r="E1705" t="str">
            <v>2%</v>
          </cell>
          <cell r="F1705" t="str">
            <v>Yes</v>
          </cell>
          <cell r="G1705" t="str">
            <v>OH</v>
          </cell>
          <cell r="H1705">
            <v>5</v>
          </cell>
          <cell r="I1705">
            <v>0.7</v>
          </cell>
          <cell r="J1705" t="str">
            <v>Jimmy L Smith</v>
          </cell>
          <cell r="K1705" t="str">
            <v>SEWARD</v>
          </cell>
          <cell r="L1705" t="str">
            <v>NE</v>
          </cell>
          <cell r="M1705" t="str">
            <v>800-577-8890</v>
          </cell>
          <cell r="N1705"/>
          <cell r="O1705">
            <v>670</v>
          </cell>
          <cell r="P1705">
            <v>2881</v>
          </cell>
          <cell r="Q1705"/>
          <cell r="R1705">
            <v>0</v>
          </cell>
          <cell r="S1705"/>
          <cell r="T1705">
            <v>0</v>
          </cell>
          <cell r="U1705" t="str"/>
          <cell r="V1705" t="str"/>
          <cell r="W1705" t="str"/>
          <cell r="X1705" t="str"/>
          <cell r="Y1705"/>
          <cell r="Z1705">
            <v>0</v>
          </cell>
          <cell r="AA1705"/>
          <cell r="AB1705" t="str">
            <v>n/a</v>
          </cell>
          <cell r="AC1705"/>
          <cell r="AD1705" t="str">
            <v>n/a</v>
          </cell>
          <cell r="AE1705"/>
          <cell r="AF1705"/>
          <cell r="AG1705"/>
          <cell r="AH1705"/>
          <cell r="AI1705"/>
          <cell r="AJ1705"/>
          <cell r="AK1705" t="str">
            <v>OL</v>
          </cell>
          <cell r="AL1705">
            <v>151</v>
          </cell>
          <cell r="AM1705">
            <v>256</v>
          </cell>
          <cell r="AN1705" t="str">
            <v>10 Orangeline</v>
          </cell>
          <cell r="AO1705" t="str">
            <v>Midwest</v>
          </cell>
          <cell r="AP1705" t="str">
            <v>North</v>
          </cell>
          <cell r="AQ1705"/>
          <cell r="AR1705">
            <v>0</v>
          </cell>
          <cell r="AS1705">
            <v>0</v>
          </cell>
        </row>
        <row r="1706">
          <cell r="A1706">
            <v>13427</v>
          </cell>
          <cell r="B1706" t="str">
            <v>CHERRY VALLEY</v>
          </cell>
          <cell r="C1706" t="str">
            <v>M11193</v>
          </cell>
          <cell r="D1706" t="str">
            <v>Net 30, no pink card</v>
          </cell>
          <cell r="E1706" t="str">
            <v>2%</v>
          </cell>
          <cell r="F1706" t="str">
            <v>Yes</v>
          </cell>
          <cell r="G1706" t="str">
            <v>OH</v>
          </cell>
          <cell r="H1706">
            <v>5</v>
          </cell>
          <cell r="I1706">
            <v>0.7</v>
          </cell>
          <cell r="J1706" t="str">
            <v>Jimmy L Smith</v>
          </cell>
          <cell r="K1706" t="str">
            <v xml:space="preserve">MARLTON </v>
          </cell>
          <cell r="L1706" t="str">
            <v>NJ</v>
          </cell>
          <cell r="M1706" t="str">
            <v>800-577-8869</v>
          </cell>
          <cell r="N1706"/>
          <cell r="O1706"/>
          <cell r="P1706">
            <v>0</v>
          </cell>
          <cell r="Q1706"/>
          <cell r="R1706">
            <v>0</v>
          </cell>
          <cell r="S1706"/>
          <cell r="T1706">
            <v>0</v>
          </cell>
          <cell r="U1706" t="str"/>
          <cell r="V1706" t="str"/>
          <cell r="W1706" t="str"/>
          <cell r="X1706" t="str"/>
          <cell r="Y1706">
            <v>600</v>
          </cell>
          <cell r="Z1706">
            <v>2580</v>
          </cell>
          <cell r="AA1706">
            <v>600</v>
          </cell>
          <cell r="AB1706">
            <v>2580</v>
          </cell>
          <cell r="AC1706">
            <v>600</v>
          </cell>
          <cell r="AD1706">
            <v>2580</v>
          </cell>
          <cell r="AE1706"/>
          <cell r="AF1706"/>
          <cell r="AG1706"/>
          <cell r="AH1706"/>
          <cell r="AI1706"/>
          <cell r="AJ1706"/>
          <cell r="AK1706" t="str">
            <v>OL</v>
          </cell>
          <cell r="AL1706">
            <v>151</v>
          </cell>
          <cell r="AM1706">
            <v>346</v>
          </cell>
          <cell r="AN1706" t="str">
            <v>10 Orangeline</v>
          </cell>
          <cell r="AO1706" t="str">
            <v>North</v>
          </cell>
          <cell r="AP1706" t="str">
            <v>North</v>
          </cell>
          <cell r="AQ1706"/>
          <cell r="AR1706">
            <v>0</v>
          </cell>
          <cell r="AS1706">
            <v>0</v>
          </cell>
        </row>
        <row r="1707">
          <cell r="A1707">
            <v>13468</v>
          </cell>
          <cell r="B1707" t="str">
            <v>HIGHWAY EQUIPMENT</v>
          </cell>
          <cell r="C1707" t="str">
            <v>M11228</v>
          </cell>
          <cell r="D1707" t="str">
            <v>Net 30, no pink card</v>
          </cell>
          <cell r="E1707">
            <v>0.02</v>
          </cell>
          <cell r="F1707" t="str">
            <v>Yes</v>
          </cell>
          <cell r="G1707" t="str">
            <v>OH</v>
          </cell>
          <cell r="H1707">
            <v>5</v>
          </cell>
          <cell r="I1707">
            <v>0.7</v>
          </cell>
          <cell r="J1707" t="str">
            <v>Jimmy L Smith</v>
          </cell>
          <cell r="K1707" t="str">
            <v>MILLSTONE</v>
          </cell>
          <cell r="L1707" t="str">
            <v>NJ</v>
          </cell>
          <cell r="M1707" t="str">
            <v>800-577-8869</v>
          </cell>
          <cell r="N1707"/>
          <cell r="O1707"/>
          <cell r="P1707">
            <v>0</v>
          </cell>
          <cell r="Q1707"/>
          <cell r="R1707">
            <v>0</v>
          </cell>
          <cell r="S1707"/>
          <cell r="T1707">
            <v>0</v>
          </cell>
          <cell r="U1707" t="str"/>
          <cell r="V1707" t="str"/>
          <cell r="W1707" t="str"/>
          <cell r="X1707" t="str"/>
          <cell r="Y1707">
            <v>620</v>
          </cell>
          <cell r="Z1707">
            <v>2666</v>
          </cell>
          <cell r="AA1707">
            <v>620</v>
          </cell>
          <cell r="AB1707">
            <v>2666</v>
          </cell>
          <cell r="AC1707">
            <v>620</v>
          </cell>
          <cell r="AD1707">
            <v>2666</v>
          </cell>
          <cell r="AE1707"/>
          <cell r="AF1707"/>
          <cell r="AG1707"/>
          <cell r="AH1707"/>
          <cell r="AI1707"/>
          <cell r="AJ1707"/>
          <cell r="AK1707" t="str">
            <v>OL</v>
          </cell>
          <cell r="AL1707">
            <v>151</v>
          </cell>
          <cell r="AM1707">
            <v>321</v>
          </cell>
          <cell r="AN1707" t="str">
            <v>10 Orangeline</v>
          </cell>
          <cell r="AO1707" t="str">
            <v>North</v>
          </cell>
          <cell r="AP1707" t="str">
            <v>North</v>
          </cell>
          <cell r="AQ1707"/>
          <cell r="AR1707">
            <v>0</v>
          </cell>
          <cell r="AS1707">
            <v>0</v>
          </cell>
        </row>
        <row r="1708">
          <cell r="A1708">
            <v>13445</v>
          </cell>
          <cell r="B1708" t="str">
            <v>MID-STATEEQUIPMENT</v>
          </cell>
          <cell r="C1708" t="str">
            <v>M11211</v>
          </cell>
          <cell r="D1708" t="str">
            <v>Net 30, no pink card</v>
          </cell>
          <cell r="E1708" t="str">
            <v>2%</v>
          </cell>
          <cell r="F1708" t="str">
            <v>Yes</v>
          </cell>
          <cell r="G1708" t="str">
            <v>OH</v>
          </cell>
          <cell r="H1708">
            <v>5</v>
          </cell>
          <cell r="I1708">
            <v>0.7</v>
          </cell>
          <cell r="J1708" t="str">
            <v>Jimmy L Smith</v>
          </cell>
          <cell r="K1708" t="str">
            <v>PENNINGTON</v>
          </cell>
          <cell r="L1708" t="str">
            <v>NJ</v>
          </cell>
          <cell r="M1708" t="str">
            <v>800-577-8887</v>
          </cell>
          <cell r="N1708"/>
          <cell r="O1708"/>
          <cell r="P1708">
            <v>0</v>
          </cell>
          <cell r="Q1708"/>
          <cell r="R1708">
            <v>0</v>
          </cell>
          <cell r="S1708"/>
          <cell r="T1708">
            <v>0</v>
          </cell>
          <cell r="U1708" t="str"/>
          <cell r="V1708" t="str"/>
          <cell r="W1708" t="str"/>
          <cell r="X1708" t="str"/>
          <cell r="Y1708">
            <v>610</v>
          </cell>
          <cell r="Z1708">
            <v>2623</v>
          </cell>
          <cell r="AA1708">
            <v>610</v>
          </cell>
          <cell r="AB1708">
            <v>2623</v>
          </cell>
          <cell r="AC1708">
            <v>610</v>
          </cell>
          <cell r="AD1708">
            <v>2623</v>
          </cell>
          <cell r="AE1708"/>
          <cell r="AF1708"/>
          <cell r="AG1708"/>
          <cell r="AH1708"/>
          <cell r="AI1708"/>
          <cell r="AJ1708"/>
          <cell r="AK1708" t="str">
            <v>OL</v>
          </cell>
          <cell r="AL1708">
            <v>151</v>
          </cell>
          <cell r="AM1708">
            <v>346</v>
          </cell>
          <cell r="AN1708" t="str">
            <v>10 Orangeline</v>
          </cell>
          <cell r="AO1708" t="str">
            <v>North</v>
          </cell>
          <cell r="AP1708" t="str">
            <v>North</v>
          </cell>
          <cell r="AQ1708"/>
          <cell r="AR1708">
            <v>0</v>
          </cell>
          <cell r="AS1708">
            <v>0</v>
          </cell>
        </row>
        <row r="1709">
          <cell r="A1709">
            <v>13261</v>
          </cell>
          <cell r="B1709" t="str">
            <v>AMIGO MACHINERY</v>
          </cell>
          <cell r="C1709" t="str">
            <v>M11208</v>
          </cell>
          <cell r="D1709" t="str">
            <v>Net 30, no pink card</v>
          </cell>
          <cell r="E1709" t="str">
            <v>2%</v>
          </cell>
          <cell r="F1709" t="str">
            <v>Yes</v>
          </cell>
          <cell r="G1709" t="str">
            <v>TX</v>
          </cell>
          <cell r="H1709">
            <v>5</v>
          </cell>
          <cell r="I1709">
            <v>0.7</v>
          </cell>
          <cell r="J1709" t="str">
            <v>Jimmy L Smith</v>
          </cell>
          <cell r="K1709" t="str">
            <v>ROSWELL</v>
          </cell>
          <cell r="L1709" t="str">
            <v>NM</v>
          </cell>
          <cell r="M1709" t="str">
            <v>800-577-8858</v>
          </cell>
          <cell r="N1709"/>
          <cell r="O1709">
            <v>610</v>
          </cell>
          <cell r="P1709">
            <v>2623</v>
          </cell>
          <cell r="Q1709"/>
          <cell r="R1709">
            <v>0</v>
          </cell>
          <cell r="S1709"/>
          <cell r="T1709">
            <v>0</v>
          </cell>
          <cell r="U1709" t="str"/>
          <cell r="V1709" t="str"/>
          <cell r="W1709" t="str"/>
          <cell r="X1709" t="str"/>
          <cell r="Y1709"/>
          <cell r="Z1709">
            <v>0</v>
          </cell>
          <cell r="AA1709"/>
          <cell r="AB1709" t="str">
            <v>n/a</v>
          </cell>
          <cell r="AC1709"/>
          <cell r="AD1709" t="str">
            <v>n/a</v>
          </cell>
          <cell r="AE1709"/>
          <cell r="AF1709"/>
          <cell r="AG1709"/>
          <cell r="AH1709"/>
          <cell r="AI1709"/>
          <cell r="AJ1709"/>
          <cell r="AK1709" t="str">
            <v>OL</v>
          </cell>
          <cell r="AL1709">
            <v>151</v>
          </cell>
          <cell r="AM1709">
            <v>386</v>
          </cell>
          <cell r="AN1709" t="str">
            <v>10 Orangeline</v>
          </cell>
          <cell r="AO1709" t="str">
            <v>Central</v>
          </cell>
          <cell r="AP1709" t="str">
            <v>West</v>
          </cell>
          <cell r="AQ1709"/>
          <cell r="AR1709">
            <v>0</v>
          </cell>
          <cell r="AS1709">
            <v>0</v>
          </cell>
        </row>
        <row r="1710">
          <cell r="A1710" t="str">
            <v>13237B</v>
          </cell>
          <cell r="B1710" t="str">
            <v>FMH KUBOTA - LAS CRUCES</v>
          </cell>
          <cell r="C1710" t="str">
            <v>M11178</v>
          </cell>
          <cell r="D1710" t="str">
            <v>Net 30, no pink card</v>
          </cell>
          <cell r="E1710" t="str">
            <v>2%</v>
          </cell>
          <cell r="F1710" t="str">
            <v>Yes</v>
          </cell>
          <cell r="G1710" t="str">
            <v>TX</v>
          </cell>
          <cell r="H1710">
            <v>5</v>
          </cell>
          <cell r="I1710">
            <v>0.7</v>
          </cell>
          <cell r="J1710" t="str">
            <v>Jimmy L Smith</v>
          </cell>
          <cell r="K1710" t="str">
            <v>LAS CRUCES</v>
          </cell>
          <cell r="L1710" t="str">
            <v>NM</v>
          </cell>
          <cell r="M1710" t="str">
            <v>800-577-8858</v>
          </cell>
          <cell r="N1710"/>
          <cell r="O1710">
            <v>800</v>
          </cell>
          <cell r="P1710">
            <v>3440</v>
          </cell>
          <cell r="Q1710"/>
          <cell r="R1710">
            <v>0</v>
          </cell>
          <cell r="S1710"/>
          <cell r="T1710">
            <v>0</v>
          </cell>
          <cell r="U1710" t="str"/>
          <cell r="V1710" t="str"/>
          <cell r="W1710" t="str"/>
          <cell r="X1710" t="str"/>
          <cell r="Y1710"/>
          <cell r="Z1710">
            <v>0</v>
          </cell>
          <cell r="AA1710"/>
          <cell r="AB1710" t="str">
            <v>n/a</v>
          </cell>
          <cell r="AC1710"/>
          <cell r="AD1710" t="str">
            <v>n/a</v>
          </cell>
          <cell r="AE1710"/>
          <cell r="AF1710"/>
          <cell r="AG1710"/>
          <cell r="AH1710"/>
          <cell r="AI1710"/>
          <cell r="AJ1710"/>
          <cell r="AK1710" t="str">
            <v>OL</v>
          </cell>
          <cell r="AL1710">
            <v>151</v>
          </cell>
          <cell r="AM1710">
            <v>244</v>
          </cell>
          <cell r="AN1710" t="str">
            <v>10 Orangeline</v>
          </cell>
          <cell r="AO1710" t="str">
            <v>Central</v>
          </cell>
          <cell r="AP1710" t="str">
            <v>West</v>
          </cell>
          <cell r="AQ1710"/>
          <cell r="AR1710">
            <v>0</v>
          </cell>
          <cell r="AS1710">
            <v>0</v>
          </cell>
        </row>
        <row r="1711">
          <cell r="A1711">
            <v>13329</v>
          </cell>
          <cell r="B1711" t="str">
            <v>SANTA FE MOTOR SPORTS</v>
          </cell>
          <cell r="C1711" t="str">
            <v>M11300</v>
          </cell>
          <cell r="D1711" t="str">
            <v>Net 30, no pink card</v>
          </cell>
          <cell r="E1711" t="str">
            <v>O1-Northpoint</v>
          </cell>
          <cell r="F1711" t="str">
            <v>Yes</v>
          </cell>
          <cell r="G1711" t="str">
            <v>TX</v>
          </cell>
          <cell r="H1711">
            <v>8</v>
          </cell>
          <cell r="I1711">
            <v>0.7</v>
          </cell>
          <cell r="J1711" t="str">
            <v>Jimmy L Smith</v>
          </cell>
          <cell r="K1711" t="str">
            <v>SANTA FE</v>
          </cell>
          <cell r="L1711" t="str">
            <v>NM</v>
          </cell>
          <cell r="M1711" t="str">
            <v>800-577-8858</v>
          </cell>
          <cell r="N1711"/>
          <cell r="O1711">
            <v>735</v>
          </cell>
          <cell r="P1711">
            <v>3160.5</v>
          </cell>
          <cell r="Q1711"/>
          <cell r="R1711">
            <v>0</v>
          </cell>
          <cell r="S1711"/>
          <cell r="T1711">
            <v>0</v>
          </cell>
          <cell r="U1711" t="str"/>
          <cell r="V1711" t="str"/>
          <cell r="W1711" t="str"/>
          <cell r="X1711" t="str"/>
          <cell r="Y1711"/>
          <cell r="Z1711">
            <v>0</v>
          </cell>
          <cell r="AA1711"/>
          <cell r="AB1711" t="str">
            <v>n/a</v>
          </cell>
          <cell r="AC1711"/>
          <cell r="AD1711" t="str">
            <v>n/a</v>
          </cell>
          <cell r="AE1711"/>
          <cell r="AF1711"/>
          <cell r="AG1711"/>
          <cell r="AH1711"/>
          <cell r="AI1711"/>
          <cell r="AJ1711"/>
          <cell r="AK1711" t="str">
            <v>OL</v>
          </cell>
          <cell r="AL1711">
            <v>151</v>
          </cell>
          <cell r="AM1711">
            <v>407</v>
          </cell>
          <cell r="AN1711" t="str">
            <v>10 Orangeline</v>
          </cell>
          <cell r="AO1711" t="str">
            <v>Central</v>
          </cell>
          <cell r="AP1711" t="str">
            <v>West</v>
          </cell>
          <cell r="AQ1711"/>
          <cell r="AR1711">
            <v>0</v>
          </cell>
          <cell r="AS1711">
            <v>0</v>
          </cell>
        </row>
        <row r="1712">
          <cell r="A1712">
            <v>13444</v>
          </cell>
          <cell r="B1712" t="str">
            <v>MARSHALL MACHINERY INC</v>
          </cell>
          <cell r="C1712" t="str">
            <v>M11210</v>
          </cell>
          <cell r="D1712" t="str">
            <v>Net 30, no pink card</v>
          </cell>
          <cell r="E1712">
            <v>0.02</v>
          </cell>
          <cell r="F1712" t="str">
            <v>Yes</v>
          </cell>
          <cell r="G1712" t="str">
            <v>OH</v>
          </cell>
          <cell r="H1712">
            <v>5</v>
          </cell>
          <cell r="I1712">
            <v>0.7</v>
          </cell>
          <cell r="J1712" t="str">
            <v>Jimmy L Smith</v>
          </cell>
          <cell r="K1712" t="str">
            <v>HONESDALE</v>
          </cell>
          <cell r="L1712" t="str">
            <v>PA</v>
          </cell>
          <cell r="M1712" t="str">
            <v>800-577-8886</v>
          </cell>
          <cell r="N1712"/>
          <cell r="O1712"/>
          <cell r="P1712">
            <v>0</v>
          </cell>
          <cell r="Q1712"/>
          <cell r="R1712">
            <v>0</v>
          </cell>
          <cell r="S1712"/>
          <cell r="T1712">
            <v>0</v>
          </cell>
          <cell r="U1712" t="str"/>
          <cell r="V1712" t="str"/>
          <cell r="W1712" t="str"/>
          <cell r="X1712" t="str"/>
          <cell r="Y1712">
            <v>620</v>
          </cell>
          <cell r="Z1712">
            <v>2666</v>
          </cell>
          <cell r="AA1712">
            <v>620</v>
          </cell>
          <cell r="AB1712">
            <v>2666</v>
          </cell>
          <cell r="AC1712">
            <v>620</v>
          </cell>
          <cell r="AD1712">
            <v>2666</v>
          </cell>
          <cell r="AE1712"/>
          <cell r="AF1712"/>
          <cell r="AG1712"/>
          <cell r="AH1712"/>
          <cell r="AI1712"/>
          <cell r="AJ1712"/>
          <cell r="AK1712" t="str">
            <v>OL</v>
          </cell>
          <cell r="AL1712">
            <v>151</v>
          </cell>
          <cell r="AM1712">
            <v>412</v>
          </cell>
          <cell r="AN1712" t="str">
            <v>10 Orangeline</v>
          </cell>
          <cell r="AO1712" t="str">
            <v>North</v>
          </cell>
          <cell r="AP1712" t="str">
            <v>North</v>
          </cell>
          <cell r="AQ1712"/>
          <cell r="AR1712">
            <v>0</v>
          </cell>
          <cell r="AS1712">
            <v>0</v>
          </cell>
        </row>
        <row r="1713">
          <cell r="A1713" t="str">
            <v>13444A</v>
          </cell>
          <cell r="B1713" t="str">
            <v>MARSHALL MACHINERY INC</v>
          </cell>
          <cell r="C1713" t="str">
            <v>M11210</v>
          </cell>
          <cell r="D1713" t="str">
            <v>Net 30, no pink card</v>
          </cell>
          <cell r="E1713">
            <v>0.02</v>
          </cell>
          <cell r="F1713" t="str">
            <v>Yes</v>
          </cell>
          <cell r="G1713" t="str">
            <v>OH</v>
          </cell>
          <cell r="H1713">
            <v>5</v>
          </cell>
          <cell r="I1713">
            <v>0.7</v>
          </cell>
          <cell r="J1713" t="str">
            <v>Jimmy L Smith</v>
          </cell>
          <cell r="K1713" t="str">
            <v>JOHNSON CITY</v>
          </cell>
          <cell r="L1713" t="str">
            <v>NY</v>
          </cell>
          <cell r="M1713" t="str">
            <v>800-577-8886</v>
          </cell>
          <cell r="N1713"/>
          <cell r="O1713"/>
          <cell r="P1713">
            <v>0</v>
          </cell>
          <cell r="Q1713"/>
          <cell r="R1713">
            <v>0</v>
          </cell>
          <cell r="S1713"/>
          <cell r="T1713">
            <v>0</v>
          </cell>
          <cell r="U1713" t="str"/>
          <cell r="V1713" t="str"/>
          <cell r="W1713" t="str"/>
          <cell r="X1713" t="str"/>
          <cell r="Y1713">
            <v>610</v>
          </cell>
          <cell r="Z1713">
            <v>2623</v>
          </cell>
          <cell r="AA1713">
            <v>610</v>
          </cell>
          <cell r="AB1713">
            <v>2623</v>
          </cell>
          <cell r="AC1713">
            <v>610</v>
          </cell>
          <cell r="AD1713">
            <v>2623</v>
          </cell>
          <cell r="AE1713"/>
          <cell r="AF1713"/>
          <cell r="AG1713"/>
          <cell r="AH1713"/>
          <cell r="AI1713"/>
          <cell r="AJ1713"/>
          <cell r="AK1713" t="str">
            <v>OL</v>
          </cell>
          <cell r="AL1713">
            <v>151</v>
          </cell>
          <cell r="AM1713">
            <v>43</v>
          </cell>
          <cell r="AN1713" t="str">
            <v>10 Orangeline</v>
          </cell>
          <cell r="AO1713" t="str">
            <v>North</v>
          </cell>
          <cell r="AP1713" t="str">
            <v>North</v>
          </cell>
          <cell r="AQ1713"/>
          <cell r="AR1713">
            <v>0</v>
          </cell>
          <cell r="AS1713">
            <v>0</v>
          </cell>
        </row>
        <row r="1714">
          <cell r="A1714" t="str">
            <v>13444B</v>
          </cell>
          <cell r="B1714" t="str">
            <v>MARSHALL MACHINERY INC</v>
          </cell>
          <cell r="C1714" t="str">
            <v>M11210</v>
          </cell>
          <cell r="D1714" t="str">
            <v>Net 30, no pink card</v>
          </cell>
          <cell r="E1714">
            <v>0.02</v>
          </cell>
          <cell r="F1714" t="str">
            <v>Yes</v>
          </cell>
          <cell r="G1714" t="str">
            <v>OH</v>
          </cell>
          <cell r="H1714">
            <v>5</v>
          </cell>
          <cell r="I1714">
            <v>0.7</v>
          </cell>
          <cell r="J1714" t="str">
            <v>Jimmy L Smith</v>
          </cell>
          <cell r="K1714" t="str">
            <v>MIDDLETOWN</v>
          </cell>
          <cell r="L1714" t="str">
            <v>NY</v>
          </cell>
          <cell r="M1714" t="str">
            <v>800-577-8886</v>
          </cell>
          <cell r="N1714"/>
          <cell r="O1714">
            <v>1459</v>
          </cell>
          <cell r="P1714">
            <v>6273.7</v>
          </cell>
          <cell r="Q1714">
            <v>990</v>
          </cell>
          <cell r="R1714">
            <v>4257</v>
          </cell>
          <cell r="S1714">
            <v>0</v>
          </cell>
          <cell r="T1714">
            <v>0</v>
          </cell>
          <cell r="U1714">
            <v>1532</v>
          </cell>
          <cell r="V1714">
            <v>6587.5999999999995</v>
          </cell>
          <cell r="W1714">
            <v>1539</v>
          </cell>
          <cell r="X1714">
            <v>6617.7</v>
          </cell>
          <cell r="Y1714">
            <v>638</v>
          </cell>
          <cell r="Z1714">
            <v>2743.4</v>
          </cell>
          <cell r="AA1714">
            <v>642</v>
          </cell>
          <cell r="AB1714">
            <v>2760.6</v>
          </cell>
          <cell r="AC1714">
            <v>642</v>
          </cell>
          <cell r="AD1714">
            <v>2760.6</v>
          </cell>
          <cell r="AE1714"/>
          <cell r="AF1714"/>
          <cell r="AG1714"/>
          <cell r="AH1714"/>
          <cell r="AI1714"/>
          <cell r="AJ1714"/>
          <cell r="AK1714" t="str">
            <v>OL</v>
          </cell>
          <cell r="AL1714">
            <v>151</v>
          </cell>
          <cell r="AM1714">
            <v>321</v>
          </cell>
          <cell r="AN1714" t="str">
            <v>10 Orangeline</v>
          </cell>
          <cell r="AO1714" t="str">
            <v>North</v>
          </cell>
          <cell r="AP1714" t="str">
            <v>North</v>
          </cell>
          <cell r="AQ1714"/>
          <cell r="AR1714">
            <v>0</v>
          </cell>
          <cell r="AS1714">
            <v>0</v>
          </cell>
        </row>
        <row r="1715">
          <cell r="A1715">
            <v>13454</v>
          </cell>
          <cell r="B1715" t="str">
            <v>SALEM FARM SUPPLY</v>
          </cell>
          <cell r="C1715" t="str">
            <v>M11220</v>
          </cell>
          <cell r="D1715" t="str">
            <v>Net 30, no pink card</v>
          </cell>
          <cell r="E1715" t="str">
            <v>2%</v>
          </cell>
          <cell r="F1715" t="str">
            <v>Yes</v>
          </cell>
          <cell r="G1715" t="str">
            <v>OH</v>
          </cell>
          <cell r="H1715">
            <v>5</v>
          </cell>
          <cell r="I1715">
            <v>0.7</v>
          </cell>
          <cell r="J1715" t="str">
            <v>Jimmy L Smith</v>
          </cell>
          <cell r="K1715" t="str">
            <v>SALEM</v>
          </cell>
          <cell r="L1715" t="str">
            <v>NY</v>
          </cell>
          <cell r="M1715" t="str">
            <v>800-577-8896</v>
          </cell>
          <cell r="N1715"/>
          <cell r="O1715"/>
          <cell r="P1715">
            <v>0</v>
          </cell>
          <cell r="Q1715"/>
          <cell r="R1715">
            <v>0</v>
          </cell>
          <cell r="S1715"/>
          <cell r="T1715">
            <v>0</v>
          </cell>
          <cell r="U1715" t="str"/>
          <cell r="V1715" t="str"/>
          <cell r="W1715" t="str"/>
          <cell r="X1715" t="str"/>
          <cell r="Y1715">
            <v>750</v>
          </cell>
          <cell r="Z1715">
            <v>3225</v>
          </cell>
          <cell r="AA1715">
            <v>750</v>
          </cell>
          <cell r="AB1715">
            <v>3225</v>
          </cell>
          <cell r="AC1715">
            <v>750</v>
          </cell>
          <cell r="AD1715">
            <v>3225</v>
          </cell>
          <cell r="AE1715"/>
          <cell r="AF1715"/>
          <cell r="AG1715"/>
          <cell r="AH1715"/>
          <cell r="AI1715"/>
          <cell r="AJ1715"/>
          <cell r="AK1715" t="str">
            <v>OL</v>
          </cell>
          <cell r="AL1715">
            <v>151</v>
          </cell>
          <cell r="AM1715">
            <v>164</v>
          </cell>
          <cell r="AN1715" t="str">
            <v>10 Orangeline</v>
          </cell>
          <cell r="AO1715" t="str">
            <v>North</v>
          </cell>
          <cell r="AP1715" t="str">
            <v>North</v>
          </cell>
          <cell r="AQ1715"/>
          <cell r="AR1715">
            <v>0</v>
          </cell>
          <cell r="AS1715">
            <v>0</v>
          </cell>
        </row>
        <row r="1716">
          <cell r="A1716">
            <v>13422</v>
          </cell>
          <cell r="B1716" t="str">
            <v>BAXLA TRACTOR</v>
          </cell>
          <cell r="C1716" t="str">
            <v>M11188</v>
          </cell>
          <cell r="D1716" t="str">
            <v>Net 30, no pink card</v>
          </cell>
          <cell r="E1716" t="str">
            <v>2%</v>
          </cell>
          <cell r="F1716" t="str">
            <v>Yes</v>
          </cell>
          <cell r="G1716" t="str">
            <v>OH</v>
          </cell>
          <cell r="H1716">
            <v>5</v>
          </cell>
          <cell r="I1716">
            <v>0.7</v>
          </cell>
          <cell r="J1716" t="str">
            <v>Jimmy L Smith</v>
          </cell>
          <cell r="K1716" t="str">
            <v>SEAMAN</v>
          </cell>
          <cell r="L1716" t="str">
            <v>OH</v>
          </cell>
          <cell r="M1716" t="str">
            <v>800-577-8864</v>
          </cell>
          <cell r="N1716"/>
          <cell r="O1716"/>
          <cell r="P1716">
            <v>0</v>
          </cell>
          <cell r="Q1716"/>
          <cell r="R1716">
            <v>0</v>
          </cell>
          <cell r="S1716"/>
          <cell r="T1716">
            <v>0</v>
          </cell>
          <cell r="U1716" t="str"/>
          <cell r="V1716" t="str"/>
          <cell r="W1716" t="str"/>
          <cell r="X1716" t="str"/>
          <cell r="Y1716">
            <v>40</v>
          </cell>
          <cell r="Z1716">
            <v>172</v>
          </cell>
          <cell r="AA1716">
            <v>40</v>
          </cell>
          <cell r="AB1716">
            <v>172</v>
          </cell>
          <cell r="AC1716">
            <v>40</v>
          </cell>
          <cell r="AD1716">
            <v>172</v>
          </cell>
          <cell r="AE1716"/>
          <cell r="AF1716"/>
          <cell r="AG1716"/>
          <cell r="AH1716"/>
          <cell r="AI1716"/>
          <cell r="AJ1716"/>
          <cell r="AK1716" t="str">
            <v>OL</v>
          </cell>
          <cell r="AL1716">
            <v>151</v>
          </cell>
          <cell r="AM1716">
            <v>81</v>
          </cell>
          <cell r="AN1716" t="str">
            <v>10 Orangeline</v>
          </cell>
          <cell r="AO1716" t="str">
            <v>North</v>
          </cell>
          <cell r="AP1716" t="str">
            <v>North</v>
          </cell>
          <cell r="AQ1716"/>
          <cell r="AR1716">
            <v>0</v>
          </cell>
          <cell r="AS1716">
            <v>0</v>
          </cell>
        </row>
        <row r="1717">
          <cell r="A1717" t="str">
            <v>13422A</v>
          </cell>
          <cell r="B1717" t="str">
            <v>BAXLA TRACTOR</v>
          </cell>
          <cell r="C1717" t="str">
            <v>M11188</v>
          </cell>
          <cell r="D1717" t="str">
            <v>Net 30, no pink card</v>
          </cell>
          <cell r="E1717" t="str">
            <v>2%</v>
          </cell>
          <cell r="F1717" t="str">
            <v>Yes</v>
          </cell>
          <cell r="G1717" t="str">
            <v>OH</v>
          </cell>
          <cell r="H1717">
            <v>5</v>
          </cell>
          <cell r="I1717">
            <v>0.7</v>
          </cell>
          <cell r="J1717" t="str">
            <v>Jimmy L Smith</v>
          </cell>
          <cell r="K1717" t="str">
            <v>BATAVIA</v>
          </cell>
          <cell r="L1717" t="str">
            <v>OH</v>
          </cell>
          <cell r="M1717" t="str">
            <v>800-577-8864</v>
          </cell>
          <cell r="N1717"/>
          <cell r="O1717">
            <v>836</v>
          </cell>
          <cell r="P1717">
            <v>3594.7999999999997</v>
          </cell>
          <cell r="Q1717">
            <v>917</v>
          </cell>
          <cell r="R1717">
            <v>3943.1</v>
          </cell>
          <cell r="S1717"/>
          <cell r="T1717">
            <v>0</v>
          </cell>
          <cell r="U1717">
            <v>948</v>
          </cell>
          <cell r="V1717">
            <v>4076.3999999999996</v>
          </cell>
          <cell r="W1717">
            <v>917</v>
          </cell>
          <cell r="X1717">
            <v>3943.1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/>
          <cell r="AF1717"/>
          <cell r="AG1717"/>
          <cell r="AH1717"/>
          <cell r="AI1717"/>
          <cell r="AJ1717"/>
          <cell r="AK1717" t="str">
            <v>OL</v>
          </cell>
          <cell r="AL1717">
            <v>151</v>
          </cell>
          <cell r="AM1717">
            <v>81</v>
          </cell>
          <cell r="AN1717" t="str">
            <v>10 Orangeline</v>
          </cell>
          <cell r="AO1717" t="str">
            <v>North</v>
          </cell>
          <cell r="AP1717" t="str">
            <v>North</v>
          </cell>
          <cell r="AQ1717"/>
          <cell r="AR1717">
            <v>0</v>
          </cell>
          <cell r="AS1717">
            <v>0</v>
          </cell>
        </row>
        <row r="1718">
          <cell r="A1718">
            <v>13635</v>
          </cell>
          <cell r="B1718" t="str">
            <v>CEC TURF AND TRACTOR</v>
          </cell>
          <cell r="C1718" t="str">
            <v>M11615</v>
          </cell>
          <cell r="D1718" t="str">
            <v>Net 30, no pink card</v>
          </cell>
          <cell r="E1718" t="str">
            <v>2%</v>
          </cell>
          <cell r="F1718" t="str">
            <v>Yes</v>
          </cell>
          <cell r="G1718" t="str">
            <v>OH</v>
          </cell>
          <cell r="H1718">
            <v>5</v>
          </cell>
          <cell r="I1718">
            <v>0.7</v>
          </cell>
          <cell r="J1718" t="str">
            <v>Jimmy L Smith</v>
          </cell>
          <cell r="K1718" t="str">
            <v>CANAL WINCHESTER</v>
          </cell>
          <cell r="L1718" t="str">
            <v>OH</v>
          </cell>
          <cell r="M1718" t="str">
            <v>800-577-8870</v>
          </cell>
          <cell r="N1718"/>
          <cell r="O1718">
            <v>935</v>
          </cell>
          <cell r="P1718">
            <v>4020.5</v>
          </cell>
          <cell r="Q1718">
            <v>721</v>
          </cell>
          <cell r="R1718">
            <v>3100.2999999999997</v>
          </cell>
          <cell r="S1718"/>
          <cell r="T1718">
            <v>0</v>
          </cell>
          <cell r="U1718" t="str"/>
          <cell r="V1718" t="str"/>
          <cell r="W1718" t="str"/>
          <cell r="X1718" t="str"/>
          <cell r="Y1718"/>
          <cell r="Z1718">
            <v>0</v>
          </cell>
          <cell r="AA1718">
            <v>110</v>
          </cell>
          <cell r="AB1718">
            <v>473</v>
          </cell>
          <cell r="AC1718">
            <v>110</v>
          </cell>
          <cell r="AD1718">
            <v>473</v>
          </cell>
          <cell r="AE1718"/>
          <cell r="AF1718"/>
          <cell r="AG1718"/>
          <cell r="AH1718"/>
          <cell r="AI1718"/>
          <cell r="AJ1718"/>
          <cell r="AK1718" t="str">
            <v>OL</v>
          </cell>
          <cell r="AL1718">
            <v>151</v>
          </cell>
          <cell r="AM1718">
            <v>95</v>
          </cell>
          <cell r="AN1718" t="str">
            <v>10 Orangeline</v>
          </cell>
          <cell r="AO1718" t="str">
            <v>North</v>
          </cell>
          <cell r="AP1718" t="str">
            <v>North</v>
          </cell>
          <cell r="AQ1718"/>
          <cell r="AR1718">
            <v>0</v>
          </cell>
          <cell r="AS1718">
            <v>0</v>
          </cell>
        </row>
        <row r="1719">
          <cell r="A1719">
            <v>13428</v>
          </cell>
          <cell r="B1719" t="str">
            <v>COLUMBUS EQUIP</v>
          </cell>
          <cell r="C1719" t="str">
            <v>M11194</v>
          </cell>
          <cell r="D1719" t="str">
            <v>Net 30, no pink card</v>
          </cell>
          <cell r="E1719" t="str">
            <v>2%</v>
          </cell>
          <cell r="F1719" t="str">
            <v>Yes</v>
          </cell>
          <cell r="G1719" t="str">
            <v>OH</v>
          </cell>
          <cell r="H1719">
            <v>5</v>
          </cell>
          <cell r="I1719">
            <v>0.7</v>
          </cell>
          <cell r="J1719" t="str">
            <v>Jimmy L Smith</v>
          </cell>
          <cell r="K1719" t="str">
            <v xml:space="preserve">COLUMBUS </v>
          </cell>
          <cell r="L1719" t="str">
            <v>OH</v>
          </cell>
          <cell r="M1719" t="str">
            <v>800-577-8870</v>
          </cell>
          <cell r="N1719"/>
          <cell r="O1719"/>
          <cell r="P1719">
            <v>0</v>
          </cell>
          <cell r="Q1719"/>
          <cell r="R1719">
            <v>0</v>
          </cell>
          <cell r="S1719"/>
          <cell r="T1719">
            <v>0</v>
          </cell>
          <cell r="U1719" t="str"/>
          <cell r="V1719" t="str"/>
          <cell r="W1719" t="str"/>
          <cell r="X1719" t="str"/>
          <cell r="Y1719">
            <v>110</v>
          </cell>
          <cell r="Z1719">
            <v>473</v>
          </cell>
          <cell r="AA1719">
            <v>110</v>
          </cell>
          <cell r="AB1719">
            <v>473</v>
          </cell>
          <cell r="AC1719">
            <v>110</v>
          </cell>
          <cell r="AD1719">
            <v>473</v>
          </cell>
          <cell r="AE1719"/>
          <cell r="AF1719"/>
          <cell r="AG1719"/>
          <cell r="AH1719"/>
          <cell r="AI1719"/>
          <cell r="AJ1719"/>
          <cell r="AK1719" t="str">
            <v>OL</v>
          </cell>
          <cell r="AL1719">
            <v>151</v>
          </cell>
          <cell r="AM1719">
            <v>95</v>
          </cell>
          <cell r="AN1719" t="str">
            <v>10 Orangeline</v>
          </cell>
          <cell r="AO1719" t="str">
            <v>North</v>
          </cell>
          <cell r="AP1719" t="str">
            <v>North</v>
          </cell>
          <cell r="AQ1719"/>
          <cell r="AR1719">
            <v>7710</v>
          </cell>
          <cell r="AS1719">
            <v>0</v>
          </cell>
        </row>
        <row r="1720">
          <cell r="A1720">
            <v>13430</v>
          </cell>
          <cell r="B1720" t="str">
            <v>DAYWALT MGMT</v>
          </cell>
          <cell r="C1720" t="str">
            <v>M11196</v>
          </cell>
          <cell r="D1720" t="str">
            <v>Net 30, no pink card</v>
          </cell>
          <cell r="E1720" t="str">
            <v>2%</v>
          </cell>
          <cell r="F1720" t="str">
            <v>Yes</v>
          </cell>
          <cell r="G1720" t="str">
            <v>OH</v>
          </cell>
          <cell r="H1720">
            <v>5</v>
          </cell>
          <cell r="I1720">
            <v>0.7</v>
          </cell>
          <cell r="J1720" t="str">
            <v>Jimmy L Smith</v>
          </cell>
          <cell r="K1720" t="str">
            <v>RAVENNA</v>
          </cell>
          <cell r="L1720" t="str">
            <v>OH</v>
          </cell>
          <cell r="M1720" t="str">
            <v>800-577-8872</v>
          </cell>
          <cell r="N1720"/>
          <cell r="O1720"/>
          <cell r="P1720">
            <v>0</v>
          </cell>
          <cell r="Q1720"/>
          <cell r="R1720">
            <v>0</v>
          </cell>
          <cell r="S1720"/>
          <cell r="T1720">
            <v>0</v>
          </cell>
          <cell r="U1720" t="str"/>
          <cell r="V1720" t="str"/>
          <cell r="W1720" t="str"/>
          <cell r="X1720" t="str"/>
          <cell r="Y1720">
            <v>260</v>
          </cell>
          <cell r="Z1720">
            <v>1118</v>
          </cell>
          <cell r="AA1720">
            <v>260</v>
          </cell>
          <cell r="AB1720">
            <v>1118</v>
          </cell>
          <cell r="AC1720">
            <v>260</v>
          </cell>
          <cell r="AD1720">
            <v>1118</v>
          </cell>
          <cell r="AE1720"/>
          <cell r="AF1720"/>
          <cell r="AG1720"/>
          <cell r="AH1720"/>
          <cell r="AI1720"/>
          <cell r="AJ1720"/>
          <cell r="AK1720" t="str">
            <v>OL</v>
          </cell>
          <cell r="AL1720">
            <v>151</v>
          </cell>
          <cell r="AM1720">
            <v>84</v>
          </cell>
          <cell r="AN1720" t="str">
            <v>10 Orangeline</v>
          </cell>
          <cell r="AO1720" t="str">
            <v>North</v>
          </cell>
          <cell r="AP1720" t="str">
            <v>North</v>
          </cell>
          <cell r="AQ1720"/>
          <cell r="AR1720">
            <v>0</v>
          </cell>
          <cell r="AS1720">
            <v>0</v>
          </cell>
        </row>
        <row r="1721">
          <cell r="A1721">
            <v>13435</v>
          </cell>
          <cell r="B1721" t="str">
            <v>GREEN &amp; SONS</v>
          </cell>
          <cell r="C1721" t="str">
            <v>M11201</v>
          </cell>
          <cell r="D1721" t="str">
            <v>Net 30, no pink card</v>
          </cell>
          <cell r="E1721" t="str">
            <v xml:space="preserve">2% </v>
          </cell>
          <cell r="F1721" t="str">
            <v>Yes</v>
          </cell>
          <cell r="G1721" t="str">
            <v>OH</v>
          </cell>
          <cell r="H1721">
            <v>5</v>
          </cell>
          <cell r="I1721">
            <v>0.7</v>
          </cell>
          <cell r="J1721" t="str">
            <v>Jimmy L Smith</v>
          </cell>
          <cell r="K1721" t="str">
            <v>MOUNT STERLING</v>
          </cell>
          <cell r="L1721" t="str">
            <v>OH</v>
          </cell>
          <cell r="M1721" t="str">
            <v>800-577-8877</v>
          </cell>
          <cell r="N1721"/>
          <cell r="O1721"/>
          <cell r="P1721">
            <v>0</v>
          </cell>
          <cell r="Q1721"/>
          <cell r="R1721">
            <v>0</v>
          </cell>
          <cell r="S1721"/>
          <cell r="T1721">
            <v>0</v>
          </cell>
          <cell r="U1721" t="str"/>
          <cell r="V1721" t="str"/>
          <cell r="W1721" t="str"/>
          <cell r="X1721" t="str"/>
          <cell r="Y1721">
            <v>90</v>
          </cell>
          <cell r="Z1721">
            <v>387</v>
          </cell>
          <cell r="AA1721">
            <v>90</v>
          </cell>
          <cell r="AB1721">
            <v>387</v>
          </cell>
          <cell r="AC1721">
            <v>90</v>
          </cell>
          <cell r="AD1721">
            <v>387</v>
          </cell>
          <cell r="AE1721"/>
          <cell r="AF1721"/>
          <cell r="AG1721"/>
          <cell r="AH1721"/>
          <cell r="AI1721"/>
          <cell r="AJ1721"/>
          <cell r="AK1721" t="str">
            <v>OL</v>
          </cell>
          <cell r="AL1721">
            <v>151</v>
          </cell>
          <cell r="AM1721">
            <v>95</v>
          </cell>
          <cell r="AN1721" t="str">
            <v>10 Orangeline</v>
          </cell>
          <cell r="AO1721" t="str">
            <v>North</v>
          </cell>
          <cell r="AP1721" t="str">
            <v>North</v>
          </cell>
          <cell r="AQ1721"/>
          <cell r="AR1721">
            <v>0</v>
          </cell>
          <cell r="AS1721">
            <v>0</v>
          </cell>
        </row>
        <row r="1722">
          <cell r="A1722">
            <v>13459</v>
          </cell>
          <cell r="B1722" t="str">
            <v>JIVIDENS FARM</v>
          </cell>
          <cell r="C1722" t="str">
            <v>M11225</v>
          </cell>
          <cell r="D1722" t="str">
            <v>Net 30, no pink card</v>
          </cell>
          <cell r="E1722" t="str">
            <v>2%</v>
          </cell>
          <cell r="F1722" t="str">
            <v>Yes</v>
          </cell>
          <cell r="G1722" t="str">
            <v>OH</v>
          </cell>
          <cell r="H1722">
            <v>5</v>
          </cell>
          <cell r="I1722">
            <v>0.7</v>
          </cell>
          <cell r="J1722" t="str">
            <v>Jimmy L Smith</v>
          </cell>
          <cell r="K1722" t="str">
            <v>GALLIPOLIS</v>
          </cell>
          <cell r="L1722" t="str">
            <v>OH</v>
          </cell>
          <cell r="M1722" t="str">
            <v>800-577-8901</v>
          </cell>
          <cell r="N1722"/>
          <cell r="O1722"/>
          <cell r="P1722">
            <v>0</v>
          </cell>
          <cell r="Q1722"/>
          <cell r="R1722">
            <v>0</v>
          </cell>
          <cell r="S1722"/>
          <cell r="T1722">
            <v>0</v>
          </cell>
          <cell r="U1722" t="str"/>
          <cell r="V1722" t="str"/>
          <cell r="W1722" t="str"/>
          <cell r="X1722" t="str"/>
          <cell r="Y1722">
            <v>130</v>
          </cell>
          <cell r="Z1722">
            <v>559</v>
          </cell>
          <cell r="AA1722">
            <v>130</v>
          </cell>
          <cell r="AB1722">
            <v>559</v>
          </cell>
          <cell r="AC1722">
            <v>130</v>
          </cell>
          <cell r="AD1722">
            <v>559</v>
          </cell>
          <cell r="AE1722"/>
          <cell r="AF1722"/>
          <cell r="AG1722"/>
          <cell r="AH1722"/>
          <cell r="AI1722"/>
          <cell r="AJ1722"/>
          <cell r="AK1722" t="str">
            <v>OL</v>
          </cell>
          <cell r="AL1722">
            <v>151</v>
          </cell>
          <cell r="AM1722">
            <v>197</v>
          </cell>
          <cell r="AN1722" t="str">
            <v>10 Orangeline</v>
          </cell>
          <cell r="AO1722" t="str">
            <v>North</v>
          </cell>
          <cell r="AP1722" t="str">
            <v>North</v>
          </cell>
          <cell r="AQ1722"/>
          <cell r="AR1722">
            <v>0</v>
          </cell>
          <cell r="AS1722">
            <v>0</v>
          </cell>
        </row>
        <row r="1723">
          <cell r="A1723">
            <v>13439</v>
          </cell>
          <cell r="B1723" t="str">
            <v>KTS EQUIP</v>
          </cell>
          <cell r="C1723" t="str">
            <v>M11205</v>
          </cell>
          <cell r="D1723" t="str">
            <v>Net 30, no pink card</v>
          </cell>
          <cell r="E1723" t="str">
            <v>FP</v>
          </cell>
          <cell r="F1723" t="str">
            <v>Yes</v>
          </cell>
          <cell r="G1723" t="str">
            <v>OH</v>
          </cell>
          <cell r="H1723">
            <v>8</v>
          </cell>
          <cell r="I1723">
            <v>0.7</v>
          </cell>
          <cell r="J1723" t="str">
            <v>Jimmy L Smith</v>
          </cell>
          <cell r="K1723" t="str">
            <v xml:space="preserve">WELLINGTON </v>
          </cell>
          <cell r="L1723" t="str">
            <v>OH</v>
          </cell>
          <cell r="M1723" t="str">
            <v>800-577-8881</v>
          </cell>
          <cell r="N1723"/>
          <cell r="O1723"/>
          <cell r="P1723">
            <v>0</v>
          </cell>
          <cell r="Q1723"/>
          <cell r="R1723">
            <v>0</v>
          </cell>
          <cell r="S1723"/>
          <cell r="T1723">
            <v>0</v>
          </cell>
          <cell r="U1723" t="str"/>
          <cell r="V1723" t="str"/>
          <cell r="W1723" t="str"/>
          <cell r="X1723" t="str"/>
          <cell r="Y1723">
            <v>220</v>
          </cell>
          <cell r="Z1723">
            <v>946</v>
          </cell>
          <cell r="AA1723">
            <v>220</v>
          </cell>
          <cell r="AB1723">
            <v>946</v>
          </cell>
          <cell r="AC1723">
            <v>220</v>
          </cell>
          <cell r="AD1723">
            <v>946</v>
          </cell>
          <cell r="AE1723"/>
          <cell r="AF1723"/>
          <cell r="AG1723"/>
          <cell r="AH1723"/>
          <cell r="AI1723"/>
          <cell r="AJ1723"/>
          <cell r="AK1723" t="str">
            <v>OL</v>
          </cell>
          <cell r="AL1723">
            <v>151</v>
          </cell>
          <cell r="AM1723">
            <v>84</v>
          </cell>
          <cell r="AN1723" t="str">
            <v>10 Orangeline</v>
          </cell>
          <cell r="AO1723" t="str">
            <v>North</v>
          </cell>
          <cell r="AP1723" t="str">
            <v>North</v>
          </cell>
          <cell r="AQ1723"/>
          <cell r="AR1723">
            <v>0</v>
          </cell>
          <cell r="AS1723">
            <v>0</v>
          </cell>
        </row>
        <row r="1724">
          <cell r="A1724">
            <v>13462</v>
          </cell>
          <cell r="B1724" t="str">
            <v>LASHLEY TRACTOR</v>
          </cell>
          <cell r="C1724" t="str">
            <v>M11445</v>
          </cell>
          <cell r="D1724" t="str">
            <v>Net 30, no pink card</v>
          </cell>
          <cell r="E1724">
            <v>0.02</v>
          </cell>
          <cell r="F1724" t="str">
            <v>Yes</v>
          </cell>
          <cell r="G1724" t="str">
            <v>OH</v>
          </cell>
          <cell r="H1724">
            <v>5</v>
          </cell>
          <cell r="I1724">
            <v>0.7</v>
          </cell>
          <cell r="J1724" t="str">
            <v>Jimmy L Smith</v>
          </cell>
          <cell r="K1724" t="str">
            <v>QUAKER CITY</v>
          </cell>
          <cell r="L1724" t="str">
            <v>OH</v>
          </cell>
          <cell r="M1724" t="str">
            <v>800-577-8881</v>
          </cell>
          <cell r="N1724"/>
          <cell r="O1724"/>
          <cell r="P1724">
            <v>0</v>
          </cell>
          <cell r="Q1724"/>
          <cell r="R1724">
            <v>0</v>
          </cell>
          <cell r="S1724"/>
          <cell r="T1724">
            <v>0</v>
          </cell>
          <cell r="U1724" t="str"/>
          <cell r="V1724" t="str"/>
          <cell r="W1724" t="str"/>
          <cell r="X1724" t="str"/>
          <cell r="Y1724">
            <v>210</v>
          </cell>
          <cell r="Z1724">
            <v>903</v>
          </cell>
          <cell r="AA1724">
            <v>210</v>
          </cell>
          <cell r="AB1724">
            <v>903</v>
          </cell>
          <cell r="AC1724">
            <v>210</v>
          </cell>
          <cell r="AD1724">
            <v>903</v>
          </cell>
          <cell r="AE1724"/>
          <cell r="AF1724"/>
          <cell r="AG1724"/>
          <cell r="AH1724"/>
          <cell r="AI1724"/>
          <cell r="AJ1724"/>
          <cell r="AK1724" t="str">
            <v>OL</v>
          </cell>
          <cell r="AL1724">
            <v>151</v>
          </cell>
          <cell r="AM1724">
            <v>487</v>
          </cell>
          <cell r="AN1724" t="str">
            <v>10 Orangeline</v>
          </cell>
          <cell r="AO1724" t="str">
            <v>North</v>
          </cell>
          <cell r="AP1724" t="str">
            <v>North</v>
          </cell>
          <cell r="AQ1724"/>
          <cell r="AR1724">
            <v>0</v>
          </cell>
          <cell r="AS1724">
            <v>0</v>
          </cell>
        </row>
        <row r="1725">
          <cell r="A1725">
            <v>13472</v>
          </cell>
          <cell r="B1725" t="str">
            <v>RICER EQUIPMENT</v>
          </cell>
          <cell r="C1725" t="str">
            <v>M11231</v>
          </cell>
          <cell r="D1725" t="str">
            <v>Net 30, no pink card</v>
          </cell>
          <cell r="E1725">
            <v>0.02</v>
          </cell>
          <cell r="F1725" t="str">
            <v>Yes</v>
          </cell>
          <cell r="G1725" t="str">
            <v>OH</v>
          </cell>
          <cell r="H1725">
            <v>5</v>
          </cell>
          <cell r="I1725">
            <v>0.7</v>
          </cell>
          <cell r="J1725" t="str">
            <v>Jimmy L Smith</v>
          </cell>
          <cell r="K1725" t="str">
            <v>LUCASVILLE</v>
          </cell>
          <cell r="L1725" t="str">
            <v>OH</v>
          </cell>
          <cell r="M1725" t="str">
            <v>800-577-8881</v>
          </cell>
          <cell r="N1725"/>
          <cell r="O1725"/>
          <cell r="P1725">
            <v>0</v>
          </cell>
          <cell r="Q1725"/>
          <cell r="R1725">
            <v>0</v>
          </cell>
          <cell r="S1725"/>
          <cell r="T1725">
            <v>0</v>
          </cell>
          <cell r="U1725" t="str"/>
          <cell r="V1725" t="str"/>
          <cell r="W1725" t="str"/>
          <cell r="X1725" t="str"/>
          <cell r="Y1725">
            <v>80</v>
          </cell>
          <cell r="Z1725">
            <v>344</v>
          </cell>
          <cell r="AA1725">
            <v>80</v>
          </cell>
          <cell r="AB1725">
            <v>344</v>
          </cell>
          <cell r="AC1725">
            <v>80</v>
          </cell>
          <cell r="AD1725">
            <v>344</v>
          </cell>
          <cell r="AE1725"/>
          <cell r="AF1725"/>
          <cell r="AG1725"/>
          <cell r="AH1725"/>
          <cell r="AI1725"/>
          <cell r="AJ1725"/>
          <cell r="AK1725" t="str">
            <v>OL</v>
          </cell>
          <cell r="AL1725">
            <v>151</v>
          </cell>
          <cell r="AM1725">
            <v>359</v>
          </cell>
          <cell r="AN1725" t="str">
            <v>10 Orangeline</v>
          </cell>
          <cell r="AO1725" t="str">
            <v>North</v>
          </cell>
          <cell r="AP1725" t="str">
            <v>North</v>
          </cell>
          <cell r="AQ1725"/>
          <cell r="AR1725">
            <v>0</v>
          </cell>
          <cell r="AS1725">
            <v>0</v>
          </cell>
        </row>
        <row r="1726">
          <cell r="A1726" t="str">
            <v>13472A</v>
          </cell>
          <cell r="B1726" t="str">
            <v>RICER EQUIPMENT</v>
          </cell>
          <cell r="C1726" t="str">
            <v>M11231</v>
          </cell>
          <cell r="D1726" t="str">
            <v>Net 30, no pink card</v>
          </cell>
          <cell r="E1726">
            <v>0.02</v>
          </cell>
          <cell r="F1726" t="str">
            <v>Yes</v>
          </cell>
          <cell r="G1726" t="str">
            <v>OH</v>
          </cell>
          <cell r="H1726">
            <v>5</v>
          </cell>
          <cell r="I1726">
            <v>0.7</v>
          </cell>
          <cell r="J1726" t="str">
            <v>Jimmy L Smith</v>
          </cell>
          <cell r="K1726" t="str">
            <v>JACKSON</v>
          </cell>
          <cell r="L1726" t="str">
            <v>OH</v>
          </cell>
          <cell r="M1726" t="str">
            <v>800-577-8881</v>
          </cell>
          <cell r="N1726"/>
          <cell r="O1726"/>
          <cell r="P1726">
            <v>0</v>
          </cell>
          <cell r="Q1726"/>
          <cell r="R1726">
            <v>0</v>
          </cell>
          <cell r="S1726"/>
          <cell r="T1726">
            <v>0</v>
          </cell>
          <cell r="U1726" t="str"/>
          <cell r="V1726" t="str"/>
          <cell r="W1726" t="str"/>
          <cell r="X1726" t="str"/>
          <cell r="Y1726">
            <v>98</v>
          </cell>
          <cell r="Z1726">
            <v>421.4</v>
          </cell>
          <cell r="AA1726">
            <v>98</v>
          </cell>
          <cell r="AB1726">
            <v>421.4</v>
          </cell>
          <cell r="AC1726">
            <v>98</v>
          </cell>
          <cell r="AD1726">
            <v>421.4</v>
          </cell>
          <cell r="AE1726"/>
          <cell r="AF1726"/>
          <cell r="AG1726"/>
          <cell r="AH1726"/>
          <cell r="AI1726"/>
          <cell r="AJ1726"/>
          <cell r="AK1726" t="str">
            <v>OL</v>
          </cell>
          <cell r="AL1726">
            <v>151</v>
          </cell>
          <cell r="AM1726">
            <v>359</v>
          </cell>
          <cell r="AN1726" t="str">
            <v>10 Orangeline</v>
          </cell>
          <cell r="AO1726" t="str">
            <v>North</v>
          </cell>
          <cell r="AP1726" t="str">
            <v>North</v>
          </cell>
          <cell r="AQ1726"/>
          <cell r="AR1726">
            <v>0</v>
          </cell>
          <cell r="AS1726">
            <v>0</v>
          </cell>
        </row>
        <row r="1727">
          <cell r="A1727">
            <v>13569</v>
          </cell>
          <cell r="B1727" t="str">
            <v>STERLING FARM</v>
          </cell>
          <cell r="C1727" t="str">
            <v>M11546</v>
          </cell>
          <cell r="D1727" t="str">
            <v>Net 30, no pink card</v>
          </cell>
          <cell r="E1727" t="str">
            <v>2%</v>
          </cell>
          <cell r="F1727" t="str">
            <v>Yes</v>
          </cell>
          <cell r="G1727" t="str">
            <v>OH</v>
          </cell>
          <cell r="H1727">
            <v>5</v>
          </cell>
          <cell r="I1727">
            <v>0.7</v>
          </cell>
          <cell r="J1727" t="str">
            <v>Jimmy L Smith</v>
          </cell>
          <cell r="K1727" t="str">
            <v>WOOSTER</v>
          </cell>
          <cell r="L1727" t="str">
            <v>OH</v>
          </cell>
          <cell r="M1727" t="str">
            <v>800-577-8897</v>
          </cell>
          <cell r="N1727"/>
          <cell r="O1727">
            <v>1013</v>
          </cell>
          <cell r="P1727">
            <v>4355.8999999999996</v>
          </cell>
          <cell r="Q1727">
            <v>799</v>
          </cell>
          <cell r="R1727">
            <v>3435.7</v>
          </cell>
          <cell r="S1727"/>
          <cell r="T1727">
            <v>0</v>
          </cell>
          <cell r="U1727" t="str"/>
          <cell r="V1727" t="str"/>
          <cell r="W1727" t="str"/>
          <cell r="X1727" t="str"/>
          <cell r="Y1727">
            <v>188</v>
          </cell>
          <cell r="Z1727">
            <v>808.4</v>
          </cell>
          <cell r="AA1727">
            <v>188</v>
          </cell>
          <cell r="AB1727">
            <v>808.4</v>
          </cell>
          <cell r="AC1727">
            <v>188</v>
          </cell>
          <cell r="AD1727">
            <v>808.4</v>
          </cell>
          <cell r="AE1727"/>
          <cell r="AF1727"/>
          <cell r="AG1727"/>
          <cell r="AH1727"/>
          <cell r="AI1727"/>
          <cell r="AJ1727"/>
          <cell r="AK1727" t="str">
            <v>OL</v>
          </cell>
          <cell r="AL1727">
            <v>151</v>
          </cell>
          <cell r="AM1727">
            <v>84</v>
          </cell>
          <cell r="AN1727" t="str">
            <v>10 Orangeline</v>
          </cell>
          <cell r="AO1727" t="str">
            <v>North</v>
          </cell>
          <cell r="AP1727" t="str">
            <v>North</v>
          </cell>
          <cell r="AQ1727"/>
          <cell r="AR1727">
            <v>0</v>
          </cell>
          <cell r="AS1727">
            <v>0</v>
          </cell>
        </row>
        <row r="1728">
          <cell r="A1728">
            <v>13455</v>
          </cell>
          <cell r="B1728" t="str">
            <v>STREACKER TRACTOR</v>
          </cell>
          <cell r="C1728" t="str">
            <v>M11221</v>
          </cell>
          <cell r="D1728" t="str">
            <v>Net 30, no pink card</v>
          </cell>
          <cell r="E1728" t="str">
            <v>2%</v>
          </cell>
          <cell r="F1728" t="str">
            <v>Yes</v>
          </cell>
          <cell r="G1728" t="str">
            <v>OH</v>
          </cell>
          <cell r="H1728">
            <v>5</v>
          </cell>
          <cell r="I1728">
            <v>0.7</v>
          </cell>
          <cell r="J1728" t="str">
            <v>Jimmy L Smith</v>
          </cell>
          <cell r="K1728" t="str">
            <v>FERMONT</v>
          </cell>
          <cell r="L1728" t="str">
            <v>OH</v>
          </cell>
          <cell r="M1728" t="str">
            <v>800-577-8897</v>
          </cell>
          <cell r="N1728"/>
          <cell r="O1728"/>
          <cell r="P1728">
            <v>0</v>
          </cell>
          <cell r="Q1728"/>
          <cell r="R1728">
            <v>0</v>
          </cell>
          <cell r="S1728"/>
          <cell r="T1728">
            <v>0</v>
          </cell>
          <cell r="U1728" t="str"/>
          <cell r="V1728" t="str"/>
          <cell r="W1728" t="str"/>
          <cell r="X1728" t="str"/>
          <cell r="Y1728">
            <v>220</v>
          </cell>
          <cell r="Z1728">
            <v>946</v>
          </cell>
          <cell r="AA1728">
            <v>220</v>
          </cell>
          <cell r="AB1728">
            <v>946</v>
          </cell>
          <cell r="AC1728">
            <v>220</v>
          </cell>
          <cell r="AD1728">
            <v>946</v>
          </cell>
          <cell r="AE1728"/>
          <cell r="AF1728"/>
          <cell r="AG1728"/>
          <cell r="AH1728"/>
          <cell r="AI1728"/>
          <cell r="AJ1728"/>
          <cell r="AK1728" t="str">
            <v>OL</v>
          </cell>
          <cell r="AL1728">
            <v>151</v>
          </cell>
          <cell r="AM1728">
            <v>444</v>
          </cell>
          <cell r="AN1728" t="str">
            <v>10 Orangeline</v>
          </cell>
          <cell r="AO1728" t="str">
            <v>North</v>
          </cell>
          <cell r="AP1728" t="str">
            <v>North</v>
          </cell>
          <cell r="AQ1728"/>
          <cell r="AR1728">
            <v>10220</v>
          </cell>
          <cell r="AS1728">
            <v>0</v>
          </cell>
        </row>
        <row r="1729">
          <cell r="A1729">
            <v>13486</v>
          </cell>
          <cell r="B1729" t="str">
            <v>FARMERS EQUIPMENT, INC</v>
          </cell>
          <cell r="C1729" t="str">
            <v>M11462</v>
          </cell>
          <cell r="D1729" t="str">
            <v>Net 30, no pink card</v>
          </cell>
          <cell r="E1729" t="str">
            <v>O1-Northpoint</v>
          </cell>
          <cell r="F1729" t="str">
            <v>Yes</v>
          </cell>
          <cell r="G1729" t="str">
            <v>OH</v>
          </cell>
          <cell r="H1729">
            <v>8</v>
          </cell>
          <cell r="I1729">
            <v>0.7</v>
          </cell>
          <cell r="J1729" t="str">
            <v>Jimmy L Smith</v>
          </cell>
          <cell r="K1729" t="str">
            <v>URBANA</v>
          </cell>
          <cell r="L1729" t="str">
            <v>OH</v>
          </cell>
          <cell r="M1729" t="str">
            <v>800-577-8897</v>
          </cell>
          <cell r="N1729"/>
          <cell r="O1729">
            <v>910</v>
          </cell>
          <cell r="P1729">
            <v>3913</v>
          </cell>
          <cell r="Q1729">
            <v>695</v>
          </cell>
          <cell r="R1729">
            <v>2988.5</v>
          </cell>
          <cell r="S1729"/>
          <cell r="T1729">
            <v>0</v>
          </cell>
          <cell r="U1729">
            <v>960</v>
          </cell>
          <cell r="V1729">
            <v>4128</v>
          </cell>
          <cell r="W1729">
            <v>990</v>
          </cell>
          <cell r="X1729">
            <v>4257</v>
          </cell>
          <cell r="Y1729">
            <v>100</v>
          </cell>
          <cell r="Z1729">
            <v>430</v>
          </cell>
          <cell r="AA1729">
            <v>100</v>
          </cell>
          <cell r="AB1729">
            <v>430</v>
          </cell>
          <cell r="AC1729">
            <v>100</v>
          </cell>
          <cell r="AD1729">
            <v>430</v>
          </cell>
          <cell r="AE1729"/>
          <cell r="AF1729"/>
          <cell r="AG1729"/>
          <cell r="AH1729"/>
          <cell r="AI1729"/>
          <cell r="AJ1729"/>
          <cell r="AK1729" t="str">
            <v>OL</v>
          </cell>
          <cell r="AL1729">
            <v>151</v>
          </cell>
          <cell r="AM1729">
            <v>106</v>
          </cell>
          <cell r="AN1729" t="str">
            <v>10 Orangeline</v>
          </cell>
          <cell r="AO1729" t="str">
            <v>North</v>
          </cell>
          <cell r="AP1729" t="str">
            <v>North</v>
          </cell>
          <cell r="AQ1729"/>
          <cell r="AR1729">
            <v>0</v>
          </cell>
          <cell r="AS1729">
            <v>0</v>
          </cell>
        </row>
        <row r="1730">
          <cell r="A1730">
            <v>13175</v>
          </cell>
          <cell r="B1730" t="str">
            <v>A+A EQUIPMENT</v>
          </cell>
          <cell r="C1730" t="str">
            <v>M11113</v>
          </cell>
          <cell r="D1730" t="str">
            <v>Net 30, no pink card</v>
          </cell>
          <cell r="E1730" t="str">
            <v>2%</v>
          </cell>
          <cell r="F1730" t="str">
            <v>Yes</v>
          </cell>
          <cell r="G1730" t="str">
            <v>TX</v>
          </cell>
          <cell r="H1730">
            <v>5</v>
          </cell>
          <cell r="I1730">
            <v>0.7</v>
          </cell>
          <cell r="J1730" t="str">
            <v>Jimmy L Smith</v>
          </cell>
          <cell r="K1730" t="str">
            <v xml:space="preserve">ARDMORE </v>
          </cell>
          <cell r="L1730" t="str">
            <v>OK</v>
          </cell>
          <cell r="M1730" t="str">
            <v>800-577-8858</v>
          </cell>
          <cell r="N1730"/>
          <cell r="O1730">
            <v>190</v>
          </cell>
          <cell r="P1730">
            <v>817</v>
          </cell>
          <cell r="Q1730"/>
          <cell r="R1730">
            <v>0</v>
          </cell>
          <cell r="S1730"/>
          <cell r="T1730">
            <v>0</v>
          </cell>
          <cell r="U1730" t="str"/>
          <cell r="V1730" t="str"/>
          <cell r="W1730" t="str"/>
          <cell r="X1730" t="str"/>
          <cell r="Y1730"/>
          <cell r="Z1730">
            <v>0</v>
          </cell>
          <cell r="AA1730"/>
          <cell r="AB1730" t="str">
            <v>n/a</v>
          </cell>
          <cell r="AC1730"/>
          <cell r="AD1730" t="str">
            <v>n/a</v>
          </cell>
          <cell r="AE1730" t="str"/>
          <cell r="AF1730"/>
          <cell r="AG1730" t="str"/>
          <cell r="AH1730" t="str"/>
          <cell r="AI1730" t="str"/>
          <cell r="AJ1730"/>
          <cell r="AK1730" t="str">
            <v>OL</v>
          </cell>
          <cell r="AL1730">
            <v>151</v>
          </cell>
          <cell r="AM1730">
            <v>19</v>
          </cell>
          <cell r="AN1730" t="str">
            <v>10 Orangeline</v>
          </cell>
          <cell r="AO1730" t="str">
            <v>Central</v>
          </cell>
          <cell r="AP1730" t="str">
            <v>Central</v>
          </cell>
          <cell r="AQ1730"/>
          <cell r="AR1730">
            <v>0</v>
          </cell>
          <cell r="AS1730">
            <v>0</v>
          </cell>
        </row>
        <row r="1731">
          <cell r="A1731">
            <v>13184</v>
          </cell>
          <cell r="B1731" t="str">
            <v>COUNTRY EQUIPMENT</v>
          </cell>
          <cell r="C1731" t="str">
            <v>M11123</v>
          </cell>
          <cell r="D1731" t="str">
            <v>Net 30, no pink card</v>
          </cell>
          <cell r="E1731" t="str">
            <v>2%</v>
          </cell>
          <cell r="F1731" t="str">
            <v>Yes</v>
          </cell>
          <cell r="G1731" t="str">
            <v>TX</v>
          </cell>
          <cell r="H1731">
            <v>5</v>
          </cell>
          <cell r="I1731">
            <v>0.7</v>
          </cell>
          <cell r="J1731" t="str">
            <v>Jimmy L Smith</v>
          </cell>
          <cell r="K1731" t="str">
            <v>OKLAHOMA CITY</v>
          </cell>
          <cell r="L1731" t="str">
            <v>OK</v>
          </cell>
          <cell r="M1731" t="str">
            <v>800-577-8858</v>
          </cell>
          <cell r="N1731"/>
          <cell r="O1731">
            <v>280</v>
          </cell>
          <cell r="P1731">
            <v>1204</v>
          </cell>
          <cell r="Q1731"/>
          <cell r="R1731">
            <v>0</v>
          </cell>
          <cell r="S1731"/>
          <cell r="T1731">
            <v>0</v>
          </cell>
          <cell r="U1731" t="str"/>
          <cell r="V1731" t="str"/>
          <cell r="W1731" t="str"/>
          <cell r="X1731" t="str"/>
          <cell r="Y1731"/>
          <cell r="Z1731">
            <v>0</v>
          </cell>
          <cell r="AA1731"/>
          <cell r="AB1731" t="str">
            <v>n/a</v>
          </cell>
          <cell r="AC1731"/>
          <cell r="AD1731" t="str">
            <v>n/a</v>
          </cell>
          <cell r="AE1731"/>
          <cell r="AF1731"/>
          <cell r="AG1731"/>
          <cell r="AH1731"/>
          <cell r="AI1731"/>
          <cell r="AJ1731"/>
          <cell r="AK1731" t="str">
            <v>OL</v>
          </cell>
          <cell r="AL1731">
            <v>151</v>
          </cell>
          <cell r="AM1731">
            <v>329</v>
          </cell>
          <cell r="AN1731" t="str">
            <v>10 Orangeline</v>
          </cell>
          <cell r="AO1731" t="str">
            <v>Central</v>
          </cell>
          <cell r="AP1731" t="str">
            <v>Central</v>
          </cell>
          <cell r="AQ1731"/>
          <cell r="AR1731">
            <v>0</v>
          </cell>
          <cell r="AS1731">
            <v>0</v>
          </cell>
        </row>
        <row r="1732">
          <cell r="A1732" t="str">
            <v>13184A</v>
          </cell>
          <cell r="B1732" t="str">
            <v>COUNTRY EQUIPMENT</v>
          </cell>
          <cell r="C1732" t="str">
            <v>M11123</v>
          </cell>
          <cell r="D1732" t="str">
            <v>Net 30, no pink card</v>
          </cell>
          <cell r="E1732" t="str">
            <v>2%</v>
          </cell>
          <cell r="F1732" t="str">
            <v>Yes</v>
          </cell>
          <cell r="G1732" t="str">
            <v>TX</v>
          </cell>
          <cell r="H1732">
            <v>5</v>
          </cell>
          <cell r="I1732">
            <v>0.7</v>
          </cell>
          <cell r="J1732" t="str">
            <v>Jimmy L Smith</v>
          </cell>
          <cell r="K1732" t="str">
            <v>TUTTLE</v>
          </cell>
          <cell r="L1732" t="str">
            <v>OK</v>
          </cell>
          <cell r="M1732" t="str">
            <v>800-577-8858</v>
          </cell>
          <cell r="N1732"/>
          <cell r="O1732">
            <v>290</v>
          </cell>
          <cell r="P1732">
            <v>1247</v>
          </cell>
          <cell r="Q1732"/>
          <cell r="R1732">
            <v>0</v>
          </cell>
          <cell r="S1732"/>
          <cell r="T1732">
            <v>0</v>
          </cell>
          <cell r="U1732" t="str"/>
          <cell r="V1732" t="str"/>
          <cell r="W1732" t="str"/>
          <cell r="X1732" t="str"/>
          <cell r="Y1732"/>
          <cell r="Z1732">
            <v>0</v>
          </cell>
          <cell r="AA1732"/>
          <cell r="AB1732" t="str">
            <v>n/a</v>
          </cell>
          <cell r="AC1732"/>
          <cell r="AD1732" t="str">
            <v>n/a</v>
          </cell>
          <cell r="AE1732"/>
          <cell r="AF1732"/>
          <cell r="AG1732"/>
          <cell r="AH1732"/>
          <cell r="AI1732"/>
          <cell r="AJ1732"/>
          <cell r="AK1732" t="str">
            <v>OL</v>
          </cell>
          <cell r="AL1732">
            <v>151</v>
          </cell>
          <cell r="AM1732">
            <v>329</v>
          </cell>
          <cell r="AN1732" t="str">
            <v>10 Orangeline</v>
          </cell>
          <cell r="AO1732" t="str">
            <v>Central</v>
          </cell>
          <cell r="AP1732" t="str">
            <v>Central</v>
          </cell>
          <cell r="AQ1732"/>
          <cell r="AR1732">
            <v>0</v>
          </cell>
          <cell r="AS1732">
            <v>0</v>
          </cell>
        </row>
        <row r="1733">
          <cell r="A1733" t="str">
            <v>13184B</v>
          </cell>
          <cell r="B1733" t="str">
            <v>COUNTRY EQUIPMENT</v>
          </cell>
          <cell r="C1733" t="str">
            <v>M11123</v>
          </cell>
          <cell r="D1733" t="str">
            <v>Net 30, no pink card</v>
          </cell>
          <cell r="E1733" t="str">
            <v>2%</v>
          </cell>
          <cell r="F1733" t="str">
            <v>Yes</v>
          </cell>
          <cell r="G1733" t="str">
            <v>TX</v>
          </cell>
          <cell r="H1733">
            <v>5</v>
          </cell>
          <cell r="I1733">
            <v>0.7</v>
          </cell>
          <cell r="J1733" t="str">
            <v>Jimmy L Smith</v>
          </cell>
          <cell r="K1733" t="str">
            <v>MUSTANG</v>
          </cell>
          <cell r="L1733" t="str">
            <v>OK</v>
          </cell>
          <cell r="M1733" t="str">
            <v>800-577-8858</v>
          </cell>
          <cell r="N1733"/>
          <cell r="O1733">
            <v>290</v>
          </cell>
          <cell r="P1733">
            <v>1247</v>
          </cell>
          <cell r="Q1733"/>
          <cell r="R1733">
            <v>0</v>
          </cell>
          <cell r="S1733"/>
          <cell r="T1733">
            <v>0</v>
          </cell>
          <cell r="U1733" t="str"/>
          <cell r="V1733" t="str"/>
          <cell r="W1733" t="str"/>
          <cell r="X1733" t="str"/>
          <cell r="Y1733"/>
          <cell r="Z1733">
            <v>0</v>
          </cell>
          <cell r="AA1733"/>
          <cell r="AB1733" t="str">
            <v>n/a</v>
          </cell>
          <cell r="AC1733"/>
          <cell r="AD1733" t="str">
            <v>n/a</v>
          </cell>
          <cell r="AE1733"/>
          <cell r="AF1733"/>
          <cell r="AG1733"/>
          <cell r="AH1733"/>
          <cell r="AI1733"/>
          <cell r="AJ1733"/>
          <cell r="AK1733" t="str">
            <v>OL</v>
          </cell>
          <cell r="AL1733">
            <v>151</v>
          </cell>
          <cell r="AM1733">
            <v>329</v>
          </cell>
          <cell r="AN1733" t="str">
            <v>10 Orangeline</v>
          </cell>
          <cell r="AO1733" t="str">
            <v>Central</v>
          </cell>
          <cell r="AP1733" t="str">
            <v>Central</v>
          </cell>
          <cell r="AQ1733"/>
          <cell r="AR1733">
            <v>0</v>
          </cell>
          <cell r="AS1733">
            <v>0</v>
          </cell>
        </row>
        <row r="1734">
          <cell r="A1734">
            <v>13235</v>
          </cell>
          <cell r="B1734" t="str">
            <v>ENID NEW HOLLAND</v>
          </cell>
          <cell r="C1734" t="str">
            <v>M11176</v>
          </cell>
          <cell r="D1734" t="str">
            <v>Net 30, no pink card</v>
          </cell>
          <cell r="E1734" t="str">
            <v>2%</v>
          </cell>
          <cell r="F1734" t="str">
            <v>Yes</v>
          </cell>
          <cell r="G1734" t="str">
            <v>TX</v>
          </cell>
          <cell r="H1734">
            <v>5</v>
          </cell>
          <cell r="I1734">
            <v>0.7</v>
          </cell>
          <cell r="J1734" t="str">
            <v>Jimmy L Smith</v>
          </cell>
          <cell r="K1734" t="str">
            <v>ENID</v>
          </cell>
          <cell r="L1734" t="str">
            <v>OK</v>
          </cell>
          <cell r="M1734" t="str">
            <v>800-577-8858</v>
          </cell>
          <cell r="N1734"/>
          <cell r="O1734">
            <v>355</v>
          </cell>
          <cell r="P1734">
            <v>1526.5</v>
          </cell>
          <cell r="Q1734"/>
          <cell r="R1734">
            <v>0</v>
          </cell>
          <cell r="S1734"/>
          <cell r="T1734">
            <v>0</v>
          </cell>
          <cell r="U1734" t="str"/>
          <cell r="V1734" t="str"/>
          <cell r="W1734" t="str"/>
          <cell r="X1734" t="str"/>
          <cell r="Y1734"/>
          <cell r="Z1734">
            <v>0</v>
          </cell>
          <cell r="AA1734"/>
          <cell r="AB1734" t="str">
            <v>n/a</v>
          </cell>
          <cell r="AC1734"/>
          <cell r="AD1734" t="str">
            <v>n/a</v>
          </cell>
          <cell r="AE1734"/>
          <cell r="AF1734"/>
          <cell r="AG1734"/>
          <cell r="AH1734"/>
          <cell r="AI1734"/>
          <cell r="AJ1734"/>
          <cell r="AK1734" t="str">
            <v>OL</v>
          </cell>
          <cell r="AL1734">
            <v>151</v>
          </cell>
          <cell r="AM1734">
            <v>130</v>
          </cell>
          <cell r="AN1734" t="str">
            <v>10 Orangeline</v>
          </cell>
          <cell r="AO1734" t="str">
            <v>Central</v>
          </cell>
          <cell r="AP1734" t="str">
            <v>Central</v>
          </cell>
          <cell r="AQ1734"/>
          <cell r="AR1734">
            <v>0</v>
          </cell>
          <cell r="AS1734">
            <v>0</v>
          </cell>
        </row>
        <row r="1735">
          <cell r="A1735" t="str">
            <v>13235A</v>
          </cell>
          <cell r="B1735" t="str">
            <v>ENID NEW HOLLAND</v>
          </cell>
          <cell r="C1735" t="str">
            <v>M11176</v>
          </cell>
          <cell r="D1735" t="str">
            <v>Net 30, no pink card</v>
          </cell>
          <cell r="E1735" t="str">
            <v>2%</v>
          </cell>
          <cell r="F1735" t="str">
            <v>Yes</v>
          </cell>
          <cell r="G1735" t="str">
            <v>TX</v>
          </cell>
          <cell r="H1735">
            <v>5</v>
          </cell>
          <cell r="I1735">
            <v>0.7</v>
          </cell>
          <cell r="J1735" t="str">
            <v>Jimmy L Smith</v>
          </cell>
          <cell r="K1735" t="str">
            <v>ARNETT</v>
          </cell>
          <cell r="L1735" t="str">
            <v>OK</v>
          </cell>
          <cell r="M1735" t="str">
            <v>800-577-8858</v>
          </cell>
          <cell r="N1735"/>
          <cell r="O1735">
            <v>430</v>
          </cell>
          <cell r="P1735">
            <v>1849</v>
          </cell>
          <cell r="Q1735"/>
          <cell r="R1735">
            <v>0</v>
          </cell>
          <cell r="S1735"/>
          <cell r="T1735">
            <v>0</v>
          </cell>
          <cell r="U1735" t="str"/>
          <cell r="V1735" t="str"/>
          <cell r="W1735" t="str"/>
          <cell r="X1735" t="str"/>
          <cell r="Y1735"/>
          <cell r="Z1735">
            <v>0</v>
          </cell>
          <cell r="AA1735"/>
          <cell r="AB1735" t="str">
            <v>n/a</v>
          </cell>
          <cell r="AC1735"/>
          <cell r="AD1735" t="str">
            <v>n/a</v>
          </cell>
          <cell r="AE1735"/>
          <cell r="AF1735"/>
          <cell r="AG1735"/>
          <cell r="AH1735"/>
          <cell r="AI1735"/>
          <cell r="AJ1735"/>
          <cell r="AK1735" t="str">
            <v>OL</v>
          </cell>
          <cell r="AL1735">
            <v>151</v>
          </cell>
          <cell r="AM1735">
            <v>329</v>
          </cell>
          <cell r="AN1735" t="str">
            <v>10 Orangeline</v>
          </cell>
          <cell r="AO1735" t="str">
            <v>Central</v>
          </cell>
          <cell r="AP1735" t="str">
            <v>Central</v>
          </cell>
          <cell r="AQ1735"/>
          <cell r="AR1735">
            <v>0</v>
          </cell>
          <cell r="AS1735">
            <v>0</v>
          </cell>
        </row>
        <row r="1736">
          <cell r="A1736">
            <v>13251</v>
          </cell>
          <cell r="B1736" t="str">
            <v>GRAY BROTHERS EQUIPMENT</v>
          </cell>
          <cell r="C1736" t="str">
            <v>M11199</v>
          </cell>
          <cell r="D1736" t="str">
            <v>Net 30, no pink card</v>
          </cell>
          <cell r="E1736" t="str">
            <v>2%</v>
          </cell>
          <cell r="F1736" t="str">
            <v>Yes</v>
          </cell>
          <cell r="G1736" t="str">
            <v>TX</v>
          </cell>
          <cell r="H1736">
            <v>5</v>
          </cell>
          <cell r="I1736">
            <v>0.7</v>
          </cell>
          <cell r="J1736" t="str">
            <v>Jimmy L Smith</v>
          </cell>
          <cell r="K1736" t="str">
            <v>POTEAU</v>
          </cell>
          <cell r="L1736" t="str">
            <v>OK</v>
          </cell>
          <cell r="M1736" t="str">
            <v>800-577-8858</v>
          </cell>
          <cell r="N1736"/>
          <cell r="O1736">
            <v>181</v>
          </cell>
          <cell r="P1736">
            <v>778.3</v>
          </cell>
          <cell r="Q1736"/>
          <cell r="R1736">
            <v>0</v>
          </cell>
          <cell r="S1736"/>
          <cell r="T1736">
            <v>0</v>
          </cell>
          <cell r="U1736" t="str"/>
          <cell r="V1736" t="str"/>
          <cell r="W1736" t="str"/>
          <cell r="X1736" t="str"/>
          <cell r="Y1736"/>
          <cell r="Z1736">
            <v>0</v>
          </cell>
          <cell r="AA1736"/>
          <cell r="AB1736" t="str">
            <v>n/a</v>
          </cell>
          <cell r="AC1736"/>
          <cell r="AD1736" t="str">
            <v>n/a</v>
          </cell>
          <cell r="AE1736"/>
          <cell r="AF1736"/>
          <cell r="AG1736"/>
          <cell r="AH1736"/>
          <cell r="AI1736"/>
          <cell r="AJ1736"/>
          <cell r="AK1736" t="str">
            <v>OL</v>
          </cell>
          <cell r="AL1736">
            <v>151</v>
          </cell>
          <cell r="AM1736">
            <v>153</v>
          </cell>
          <cell r="AN1736" t="str">
            <v>10 Orangeline</v>
          </cell>
          <cell r="AO1736" t="str">
            <v>Central</v>
          </cell>
          <cell r="AP1736" t="str">
            <v>Central</v>
          </cell>
          <cell r="AQ1736"/>
          <cell r="AR1736">
            <v>0</v>
          </cell>
          <cell r="AS1736">
            <v>0</v>
          </cell>
        </row>
        <row r="1737">
          <cell r="A1737">
            <v>13626</v>
          </cell>
          <cell r="B1737" t="str">
            <v>GREAT PLAINS II, LLC</v>
          </cell>
          <cell r="C1737" t="str">
            <v>M11129</v>
          </cell>
          <cell r="D1737" t="str">
            <v>Net 30, no pink card</v>
          </cell>
          <cell r="E1737" t="str">
            <v>O1-Northpoint</v>
          </cell>
          <cell r="F1737" t="str">
            <v>Yes</v>
          </cell>
          <cell r="G1737" t="str">
            <v>TX</v>
          </cell>
          <cell r="H1737">
            <v>5</v>
          </cell>
          <cell r="I1737">
            <v>0.7</v>
          </cell>
          <cell r="J1737" t="str">
            <v>Jimmy L Smith</v>
          </cell>
          <cell r="K1737" t="str">
            <v>NORMAN</v>
          </cell>
          <cell r="L1737" t="str">
            <v>OK</v>
          </cell>
          <cell r="M1737" t="str">
            <v>800-577-8858</v>
          </cell>
          <cell r="N1737" t="str">
            <v>MSO's must read Norman. Fedex to 1280 Lamar
Norman, OK 73069, attn: R&amp;I Team</v>
          </cell>
          <cell r="O1737">
            <v>278</v>
          </cell>
          <cell r="P1737">
            <v>1195.3999999999999</v>
          </cell>
          <cell r="Q1737"/>
          <cell r="R1737">
            <v>0</v>
          </cell>
          <cell r="S1737">
            <v>1522</v>
          </cell>
          <cell r="T1737">
            <v>6544.5999999999995</v>
          </cell>
          <cell r="U1737">
            <v>105</v>
          </cell>
          <cell r="V1737">
            <v>451.5</v>
          </cell>
          <cell r="W1737">
            <v>234</v>
          </cell>
          <cell r="X1737">
            <v>1006.1999999999999</v>
          </cell>
          <cell r="Y1737"/>
          <cell r="Z1737">
            <v>0</v>
          </cell>
          <cell r="AA1737"/>
          <cell r="AB1737" t="str">
            <v>n/a</v>
          </cell>
          <cell r="AC1737"/>
          <cell r="AD1737" t="str">
            <v>n/a</v>
          </cell>
          <cell r="AE1737"/>
          <cell r="AF1737"/>
          <cell r="AG1737"/>
          <cell r="AH1737"/>
          <cell r="AI1737"/>
          <cell r="AJ1737">
            <v>0.04</v>
          </cell>
          <cell r="AK1737" t="str">
            <v>OL</v>
          </cell>
          <cell r="AL1737">
            <v>151</v>
          </cell>
          <cell r="AM1737">
            <v>329</v>
          </cell>
          <cell r="AN1737" t="str">
            <v>10 Orangeline</v>
          </cell>
          <cell r="AO1737" t="str">
            <v>Central</v>
          </cell>
          <cell r="AP1737" t="str">
            <v>Central</v>
          </cell>
          <cell r="AQ1737"/>
          <cell r="AR1737">
            <v>37064</v>
          </cell>
          <cell r="AS1737">
            <v>58013</v>
          </cell>
        </row>
        <row r="1738">
          <cell r="A1738" t="str">
            <v>13626A</v>
          </cell>
          <cell r="B1738" t="str">
            <v>GREAT PLAINS</v>
          </cell>
          <cell r="C1738" t="str">
            <v>M11129</v>
          </cell>
          <cell r="D1738" t="str">
            <v>Net 30, no pink card</v>
          </cell>
          <cell r="E1738" t="str">
            <v>O1-Northpoint</v>
          </cell>
          <cell r="F1738" t="str">
            <v>Yes</v>
          </cell>
          <cell r="G1738" t="str">
            <v>TX</v>
          </cell>
          <cell r="H1738">
            <v>8</v>
          </cell>
          <cell r="I1738">
            <v>0.7</v>
          </cell>
          <cell r="J1738" t="str">
            <v>Jimmy L Smith</v>
          </cell>
          <cell r="K1738" t="str">
            <v>STILLWATER</v>
          </cell>
          <cell r="L1738" t="str">
            <v>OK</v>
          </cell>
          <cell r="M1738" t="str">
            <v>800-577-8858</v>
          </cell>
          <cell r="N1738" t="str">
            <v>MSO's must read Norman. Fedex to 1280 Lamar
Norman, OK 73069, attn: R&amp;I Team</v>
          </cell>
          <cell r="O1738">
            <v>300</v>
          </cell>
          <cell r="P1738">
            <v>1290</v>
          </cell>
          <cell r="Q1738"/>
          <cell r="R1738">
            <v>0</v>
          </cell>
          <cell r="S1738"/>
          <cell r="T1738">
            <v>0</v>
          </cell>
          <cell r="U1738">
            <v>185</v>
          </cell>
          <cell r="V1738">
            <v>795.5</v>
          </cell>
          <cell r="W1738">
            <v>314</v>
          </cell>
          <cell r="X1738">
            <v>1350.2</v>
          </cell>
          <cell r="Y1738"/>
          <cell r="Z1738">
            <v>0</v>
          </cell>
          <cell r="AA1738"/>
          <cell r="AB1738" t="str">
            <v>n/a</v>
          </cell>
          <cell r="AC1738"/>
          <cell r="AD1738" t="str">
            <v>n/a</v>
          </cell>
          <cell r="AE1738"/>
          <cell r="AF1738"/>
          <cell r="AG1738"/>
          <cell r="AH1738"/>
          <cell r="AI1738"/>
          <cell r="AJ1738">
            <v>0.04</v>
          </cell>
          <cell r="AK1738" t="str">
            <v>OL</v>
          </cell>
          <cell r="AL1738">
            <v>151</v>
          </cell>
          <cell r="AM1738">
            <v>433</v>
          </cell>
          <cell r="AN1738" t="str">
            <v>10 Orangeline</v>
          </cell>
          <cell r="AO1738" t="str">
            <v>Central</v>
          </cell>
          <cell r="AP1738" t="str">
            <v>Central</v>
          </cell>
          <cell r="AQ1738"/>
          <cell r="AR1738">
            <v>0</v>
          </cell>
          <cell r="AS1738">
            <v>0</v>
          </cell>
        </row>
        <row r="1739">
          <cell r="A1739" t="str">
            <v>13626B</v>
          </cell>
          <cell r="B1739" t="str">
            <v>GREAT PLAINS II, LLC</v>
          </cell>
          <cell r="C1739" t="str">
            <v>M11129</v>
          </cell>
          <cell r="D1739" t="str">
            <v>Net 30, no pink card</v>
          </cell>
          <cell r="E1739" t="str">
            <v>O1-Northpoint</v>
          </cell>
          <cell r="F1739" t="str">
            <v>Yes</v>
          </cell>
          <cell r="G1739" t="str">
            <v>TX</v>
          </cell>
          <cell r="H1739">
            <v>5</v>
          </cell>
          <cell r="I1739">
            <v>0.66500000000000004</v>
          </cell>
          <cell r="J1739" t="str">
            <v>Jimmy L Smith</v>
          </cell>
          <cell r="K1739" t="str">
            <v>ADA</v>
          </cell>
          <cell r="L1739" t="str">
            <v>OK</v>
          </cell>
          <cell r="M1739" t="str">
            <v>800-577-8858</v>
          </cell>
          <cell r="N1739" t="str">
            <v>MSO's must read Norman. Fedex to 1280 Lamar
Norman, OK 73069, attn: R&amp;I Team</v>
          </cell>
          <cell r="O1739">
            <v>175</v>
          </cell>
          <cell r="P1739">
            <v>752.5</v>
          </cell>
          <cell r="Q1739"/>
          <cell r="R1739">
            <v>0</v>
          </cell>
          <cell r="S1739"/>
          <cell r="T1739">
            <v>0</v>
          </cell>
          <cell r="U1739">
            <v>59</v>
          </cell>
          <cell r="V1739">
            <v>253.7</v>
          </cell>
          <cell r="W1739">
            <v>178</v>
          </cell>
          <cell r="X1739">
            <v>765.4</v>
          </cell>
          <cell r="Y1739"/>
          <cell r="Z1739">
            <v>0</v>
          </cell>
          <cell r="AA1739"/>
          <cell r="AB1739">
            <v>0</v>
          </cell>
          <cell r="AC1739"/>
          <cell r="AD1739">
            <v>0</v>
          </cell>
          <cell r="AE1739"/>
          <cell r="AF1739"/>
          <cell r="AG1739"/>
          <cell r="AH1739"/>
          <cell r="AI1739"/>
          <cell r="AJ1739">
            <v>0.04</v>
          </cell>
          <cell r="AK1739" t="str">
            <v>3P</v>
          </cell>
          <cell r="AL1739">
            <v>151</v>
          </cell>
          <cell r="AM1739">
            <v>4</v>
          </cell>
          <cell r="AN1739" t="str">
            <v>10 Orangeline</v>
          </cell>
          <cell r="AO1739" t="str">
            <v>Central</v>
          </cell>
          <cell r="AP1739" t="str">
            <v>Central</v>
          </cell>
          <cell r="AQ1739"/>
          <cell r="AR1739">
            <v>0</v>
          </cell>
          <cell r="AS1739">
            <v>0</v>
          </cell>
        </row>
        <row r="1740">
          <cell r="A1740" t="str">
            <v>13626C</v>
          </cell>
          <cell r="B1740" t="str">
            <v>GREAT PLAINS II, LLC</v>
          </cell>
          <cell r="C1740" t="str">
            <v>M11129</v>
          </cell>
          <cell r="D1740" t="str">
            <v>Net 30, no pink card</v>
          </cell>
          <cell r="E1740" t="str">
            <v>O1-Northpoint</v>
          </cell>
          <cell r="F1740" t="str">
            <v>Yes</v>
          </cell>
          <cell r="G1740" t="str">
            <v>TX</v>
          </cell>
          <cell r="H1740">
            <v>5</v>
          </cell>
          <cell r="I1740">
            <v>0.66500000000000004</v>
          </cell>
          <cell r="J1740" t="str">
            <v>Jimmy L Smith</v>
          </cell>
          <cell r="K1740" t="str">
            <v>CLINTON</v>
          </cell>
          <cell r="L1740" t="str">
            <v>OK</v>
          </cell>
          <cell r="M1740" t="str">
            <v>800-577-8858</v>
          </cell>
          <cell r="N1740" t="str">
            <v>MSO's must read Norman. Fedex to 1280 Lamar
Norman, OK 73069, attn: R&amp;I Team</v>
          </cell>
          <cell r="O1740">
            <v>357</v>
          </cell>
          <cell r="P1740">
            <v>1535.1</v>
          </cell>
          <cell r="Q1740"/>
          <cell r="R1740">
            <v>0</v>
          </cell>
          <cell r="S1740"/>
          <cell r="T1740">
            <v>0</v>
          </cell>
          <cell r="U1740">
            <v>206</v>
          </cell>
          <cell r="V1740">
            <v>885.8</v>
          </cell>
          <cell r="W1740">
            <v>258</v>
          </cell>
          <cell r="X1740">
            <v>1109.3999999999999</v>
          </cell>
          <cell r="Y1740"/>
          <cell r="Z1740">
            <v>0</v>
          </cell>
          <cell r="AA1740"/>
          <cell r="AB1740">
            <v>0</v>
          </cell>
          <cell r="AC1740"/>
          <cell r="AD1740">
            <v>0</v>
          </cell>
          <cell r="AE1740"/>
          <cell r="AF1740"/>
          <cell r="AG1740"/>
          <cell r="AH1740"/>
          <cell r="AI1740"/>
          <cell r="AJ1740">
            <v>0.04</v>
          </cell>
          <cell r="AK1740" t="str">
            <v>3P</v>
          </cell>
          <cell r="AL1740">
            <v>151</v>
          </cell>
          <cell r="AM1740"/>
          <cell r="AN1740" t="str">
            <v>10 Orangeline</v>
          </cell>
          <cell r="AO1740" t="str">
            <v>Central</v>
          </cell>
          <cell r="AP1740" t="str">
            <v>Central</v>
          </cell>
          <cell r="AQ1740"/>
          <cell r="AR1740">
            <v>0</v>
          </cell>
          <cell r="AS1740">
            <v>0</v>
          </cell>
        </row>
        <row r="1741">
          <cell r="A1741" t="str">
            <v>13626D</v>
          </cell>
          <cell r="B1741" t="str">
            <v>GREAT PLAINS II, LLC</v>
          </cell>
          <cell r="C1741" t="str">
            <v>M11129</v>
          </cell>
          <cell r="D1741" t="str">
            <v>Net 30, no pink card</v>
          </cell>
          <cell r="E1741" t="str">
            <v>O1-Northpoint</v>
          </cell>
          <cell r="F1741" t="str">
            <v>Yes</v>
          </cell>
          <cell r="G1741" t="str">
            <v>TX</v>
          </cell>
          <cell r="H1741">
            <v>5</v>
          </cell>
          <cell r="I1741">
            <v>0.66500000000000004</v>
          </cell>
          <cell r="J1741" t="str">
            <v>Jimmy L Smith</v>
          </cell>
          <cell r="K1741" t="str">
            <v>DUNCAN</v>
          </cell>
          <cell r="L1741" t="str">
            <v>OK</v>
          </cell>
          <cell r="M1741" t="str">
            <v>800-577-8858</v>
          </cell>
          <cell r="N1741" t="str">
            <v>MSO's must read Norman. Fedex to 1280 Lamar
Norman, OK 73069, attn: R&amp;I Team</v>
          </cell>
          <cell r="O1741">
            <v>250</v>
          </cell>
          <cell r="P1741">
            <v>1075</v>
          </cell>
          <cell r="Q1741"/>
          <cell r="R1741">
            <v>0</v>
          </cell>
          <cell r="S1741"/>
          <cell r="T1741">
            <v>0</v>
          </cell>
          <cell r="U1741">
            <v>92</v>
          </cell>
          <cell r="V1741">
            <v>395.59999999999997</v>
          </cell>
          <cell r="W1741">
            <v>168</v>
          </cell>
          <cell r="X1741">
            <v>722.4</v>
          </cell>
          <cell r="Y1741"/>
          <cell r="Z1741">
            <v>0</v>
          </cell>
          <cell r="AA1741"/>
          <cell r="AB1741">
            <v>0</v>
          </cell>
          <cell r="AC1741"/>
          <cell r="AD1741">
            <v>0</v>
          </cell>
          <cell r="AE1741"/>
          <cell r="AF1741"/>
          <cell r="AG1741"/>
          <cell r="AH1741"/>
          <cell r="AI1741"/>
          <cell r="AJ1741">
            <v>0.04</v>
          </cell>
          <cell r="AK1741" t="str">
            <v>3P</v>
          </cell>
          <cell r="AL1741">
            <v>151</v>
          </cell>
          <cell r="AM1741">
            <v>248</v>
          </cell>
          <cell r="AN1741" t="str">
            <v>10 Orangeline</v>
          </cell>
          <cell r="AO1741" t="str">
            <v>Central</v>
          </cell>
          <cell r="AP1741" t="str">
            <v>Central</v>
          </cell>
          <cell r="AQ1741"/>
          <cell r="AR1741">
            <v>0</v>
          </cell>
          <cell r="AS1741">
            <v>0</v>
          </cell>
        </row>
        <row r="1742">
          <cell r="A1742" t="str">
            <v>13626E</v>
          </cell>
          <cell r="B1742" t="str">
            <v>GREAT PLAINS II, LLC</v>
          </cell>
          <cell r="C1742" t="str">
            <v>M11129</v>
          </cell>
          <cell r="D1742" t="str">
            <v>Net 30, no pink card</v>
          </cell>
          <cell r="E1742" t="str">
            <v>O1-Northpoint</v>
          </cell>
          <cell r="F1742" t="str">
            <v>Yes</v>
          </cell>
          <cell r="G1742" t="str">
            <v>TX</v>
          </cell>
          <cell r="H1742">
            <v>5</v>
          </cell>
          <cell r="I1742">
            <v>0.66500000000000004</v>
          </cell>
          <cell r="J1742" t="str">
            <v>Jimmy L Smith</v>
          </cell>
          <cell r="K1742" t="str">
            <v>EDMOND</v>
          </cell>
          <cell r="L1742" t="str">
            <v>OK</v>
          </cell>
          <cell r="M1742" t="str">
            <v>800-577-8858</v>
          </cell>
          <cell r="N1742" t="str">
            <v>MSO's must read Norman. Fedex to 1280 Lamar
Norman, OK 73069, attn: R&amp;I Team</v>
          </cell>
          <cell r="O1742">
            <v>286</v>
          </cell>
          <cell r="P1742">
            <v>1229.8</v>
          </cell>
          <cell r="Q1742"/>
          <cell r="R1742">
            <v>0</v>
          </cell>
          <cell r="S1742"/>
          <cell r="T1742">
            <v>0</v>
          </cell>
          <cell r="U1742">
            <v>139</v>
          </cell>
          <cell r="V1742">
            <v>597.69999999999993</v>
          </cell>
          <cell r="W1742">
            <v>222</v>
          </cell>
          <cell r="X1742">
            <v>954.59999999999991</v>
          </cell>
          <cell r="Y1742"/>
          <cell r="Z1742">
            <v>0</v>
          </cell>
          <cell r="AA1742"/>
          <cell r="AB1742">
            <v>0</v>
          </cell>
          <cell r="AC1742"/>
          <cell r="AD1742">
            <v>0</v>
          </cell>
          <cell r="AE1742"/>
          <cell r="AF1742"/>
          <cell r="AG1742"/>
          <cell r="AH1742"/>
          <cell r="AI1742"/>
          <cell r="AJ1742">
            <v>0.04</v>
          </cell>
          <cell r="AK1742" t="str">
            <v>3P</v>
          </cell>
          <cell r="AL1742">
            <v>151</v>
          </cell>
          <cell r="AM1742">
            <v>329</v>
          </cell>
          <cell r="AN1742" t="str">
            <v>10 Orangeline</v>
          </cell>
          <cell r="AO1742" t="str">
            <v>Central</v>
          </cell>
          <cell r="AP1742" t="str">
            <v>Central</v>
          </cell>
          <cell r="AQ1742"/>
          <cell r="AR1742">
            <v>0</v>
          </cell>
          <cell r="AS1742">
            <v>0</v>
          </cell>
        </row>
        <row r="1743">
          <cell r="A1743" t="str">
            <v>13626F</v>
          </cell>
          <cell r="B1743" t="str">
            <v>GREAT PLAINS II, LLC</v>
          </cell>
          <cell r="C1743" t="str">
            <v>M11129</v>
          </cell>
          <cell r="D1743" t="str">
            <v>Net 30, no pink card</v>
          </cell>
          <cell r="E1743" t="str">
            <v>O1-Northpoint</v>
          </cell>
          <cell r="F1743" t="str">
            <v>Yes</v>
          </cell>
          <cell r="G1743" t="str">
            <v>TX</v>
          </cell>
          <cell r="H1743">
            <v>5</v>
          </cell>
          <cell r="I1743">
            <v>0.66500000000000004</v>
          </cell>
          <cell r="J1743" t="str">
            <v>Jimmy L Smith</v>
          </cell>
          <cell r="K1743" t="str">
            <v>SHAWNEE</v>
          </cell>
          <cell r="L1743" t="str">
            <v>OK</v>
          </cell>
          <cell r="M1743" t="str">
            <v>800-577-8858</v>
          </cell>
          <cell r="N1743" t="str">
            <v>MSO's must read Norman. Fedex to 1280 Lamar
Norman, OK 73069, attn: R&amp;I Team</v>
          </cell>
          <cell r="O1743">
            <v>237</v>
          </cell>
          <cell r="P1743">
            <v>1019.0999999999999</v>
          </cell>
          <cell r="Q1743"/>
          <cell r="R1743">
            <v>0</v>
          </cell>
          <cell r="S1743"/>
          <cell r="T1743">
            <v>0</v>
          </cell>
          <cell r="U1743">
            <v>103</v>
          </cell>
          <cell r="V1743">
            <v>442.9</v>
          </cell>
          <cell r="W1743">
            <v>192</v>
          </cell>
          <cell r="X1743">
            <v>825.59999999999991</v>
          </cell>
          <cell r="Y1743"/>
          <cell r="Z1743">
            <v>0</v>
          </cell>
          <cell r="AA1743"/>
          <cell r="AB1743">
            <v>0</v>
          </cell>
          <cell r="AC1743"/>
          <cell r="AD1743">
            <v>0</v>
          </cell>
          <cell r="AE1743"/>
          <cell r="AF1743"/>
          <cell r="AG1743"/>
          <cell r="AH1743"/>
          <cell r="AI1743"/>
          <cell r="AJ1743">
            <v>0.04</v>
          </cell>
          <cell r="AK1743" t="str">
            <v>3P</v>
          </cell>
          <cell r="AL1743">
            <v>151</v>
          </cell>
          <cell r="AM1743">
            <v>329</v>
          </cell>
          <cell r="AN1743" t="str">
            <v>10 Orangeline</v>
          </cell>
          <cell r="AO1743" t="str">
            <v>Central</v>
          </cell>
          <cell r="AP1743" t="str">
            <v>Central</v>
          </cell>
          <cell r="AQ1743"/>
          <cell r="AR1743">
            <v>0</v>
          </cell>
          <cell r="AS1743">
            <v>0</v>
          </cell>
        </row>
        <row r="1744">
          <cell r="A1744" t="str">
            <v>13626G</v>
          </cell>
          <cell r="B1744" t="str">
            <v>GREAT PLAINS II, LLC</v>
          </cell>
          <cell r="C1744" t="str">
            <v>M11129</v>
          </cell>
          <cell r="D1744" t="str">
            <v>Net 30, no pink card</v>
          </cell>
          <cell r="E1744" t="str">
            <v>O1-Northpoint</v>
          </cell>
          <cell r="F1744" t="str">
            <v>Yes</v>
          </cell>
          <cell r="G1744" t="str">
            <v>TX</v>
          </cell>
          <cell r="H1744">
            <v>5</v>
          </cell>
          <cell r="I1744">
            <v>0.66500000000000004</v>
          </cell>
          <cell r="J1744" t="str">
            <v>Jimmy L Smith</v>
          </cell>
          <cell r="K1744" t="str">
            <v>ARDMORE</v>
          </cell>
          <cell r="L1744" t="str">
            <v>OK</v>
          </cell>
          <cell r="M1744" t="str">
            <v>800-577-8858</v>
          </cell>
          <cell r="N1744" t="str">
            <v>MSO's must read Norman. Fedex to 1280 Lamar
Norman, OK 73069, attn: R&amp;I Team</v>
          </cell>
          <cell r="O1744">
            <v>185</v>
          </cell>
          <cell r="P1744">
            <v>795.5</v>
          </cell>
          <cell r="Q1744"/>
          <cell r="R1744">
            <v>0</v>
          </cell>
          <cell r="S1744"/>
          <cell r="T1744">
            <v>0</v>
          </cell>
          <cell r="U1744">
            <v>24</v>
          </cell>
          <cell r="V1744">
            <v>103.19999999999999</v>
          </cell>
          <cell r="W1744">
            <v>157</v>
          </cell>
          <cell r="X1744">
            <v>675.1</v>
          </cell>
          <cell r="Y1744"/>
          <cell r="Z1744">
            <v>0</v>
          </cell>
          <cell r="AA1744"/>
          <cell r="AB1744">
            <v>0</v>
          </cell>
          <cell r="AC1744"/>
          <cell r="AD1744">
            <v>0</v>
          </cell>
          <cell r="AE1744"/>
          <cell r="AF1744"/>
          <cell r="AG1744"/>
          <cell r="AH1744"/>
          <cell r="AI1744"/>
          <cell r="AJ1744">
            <v>0.04</v>
          </cell>
          <cell r="AK1744" t="str">
            <v>3P</v>
          </cell>
          <cell r="AL1744">
            <v>151</v>
          </cell>
          <cell r="AM1744"/>
          <cell r="AN1744" t="str">
            <v>10 Orangeline</v>
          </cell>
          <cell r="AO1744" t="str">
            <v>Central</v>
          </cell>
          <cell r="AP1744" t="str">
            <v>Central</v>
          </cell>
          <cell r="AQ1744"/>
          <cell r="AR1744">
            <v>0</v>
          </cell>
          <cell r="AS1744">
            <v>0</v>
          </cell>
        </row>
        <row r="1745">
          <cell r="A1745" t="str">
            <v>13626H</v>
          </cell>
          <cell r="B1745" t="str">
            <v>GREAT PLAINS II, LLC</v>
          </cell>
          <cell r="C1745" t="str">
            <v>M11129</v>
          </cell>
          <cell r="D1745" t="str">
            <v>Net 30, no pink card</v>
          </cell>
          <cell r="E1745" t="str">
            <v>O1-Northpoint</v>
          </cell>
          <cell r="F1745" t="str">
            <v>Yes</v>
          </cell>
          <cell r="G1745" t="str">
            <v>TX</v>
          </cell>
          <cell r="H1745">
            <v>5</v>
          </cell>
          <cell r="I1745">
            <v>0.66500000000000004</v>
          </cell>
          <cell r="J1745" t="str">
            <v>Jimmy L Smith</v>
          </cell>
          <cell r="K1745" t="str">
            <v>ENID</v>
          </cell>
          <cell r="L1745" t="str">
            <v>OK</v>
          </cell>
          <cell r="M1745" t="str">
            <v>800-577-8858</v>
          </cell>
          <cell r="N1745" t="str">
            <v>MSO's must read Norman. Fedex to 1280 Lamar
Norman, OK 73069, attn: R&amp;I Team</v>
          </cell>
          <cell r="O1745">
            <v>279</v>
          </cell>
          <cell r="P1745">
            <v>1199.7</v>
          </cell>
          <cell r="Q1745"/>
          <cell r="R1745">
            <v>0</v>
          </cell>
          <cell r="S1745"/>
          <cell r="T1745">
            <v>0</v>
          </cell>
          <cell r="U1745">
            <v>222</v>
          </cell>
          <cell r="V1745">
            <v>954.59999999999991</v>
          </cell>
          <cell r="W1745">
            <v>278</v>
          </cell>
          <cell r="X1745">
            <v>1195.3999999999999</v>
          </cell>
          <cell r="Y1745"/>
          <cell r="Z1745">
            <v>0</v>
          </cell>
          <cell r="AA1745"/>
          <cell r="AB1745">
            <v>0</v>
          </cell>
          <cell r="AC1745"/>
          <cell r="AD1745">
            <v>0</v>
          </cell>
          <cell r="AE1745"/>
          <cell r="AF1745"/>
          <cell r="AG1745"/>
          <cell r="AH1745"/>
          <cell r="AI1745"/>
          <cell r="AJ1745">
            <v>0.04</v>
          </cell>
          <cell r="AK1745" t="str">
            <v>3P</v>
          </cell>
          <cell r="AL1745">
            <v>151</v>
          </cell>
          <cell r="AM1745"/>
          <cell r="AN1745" t="str">
            <v>10 Orangeline</v>
          </cell>
          <cell r="AO1745" t="str">
            <v>Central</v>
          </cell>
          <cell r="AP1745" t="str">
            <v>Central</v>
          </cell>
          <cell r="AQ1745"/>
          <cell r="AR1745">
            <v>0</v>
          </cell>
          <cell r="AS1745">
            <v>0</v>
          </cell>
        </row>
        <row r="1746">
          <cell r="A1746" t="str">
            <v>13626J</v>
          </cell>
          <cell r="B1746" t="str">
            <v>GREAT PLAINS II, LLC</v>
          </cell>
          <cell r="C1746" t="str">
            <v>M11129</v>
          </cell>
          <cell r="D1746" t="str">
            <v>Net 30, no pink card</v>
          </cell>
          <cell r="E1746" t="str">
            <v>O1-Northpoint</v>
          </cell>
          <cell r="F1746" t="str">
            <v>Yes</v>
          </cell>
          <cell r="G1746" t="str">
            <v>TX</v>
          </cell>
          <cell r="H1746">
            <v>5</v>
          </cell>
          <cell r="I1746">
            <v>0.66500000000000004</v>
          </cell>
          <cell r="J1746" t="str">
            <v>Jimmy L Smith</v>
          </cell>
          <cell r="K1746" t="str">
            <v>ARNETT</v>
          </cell>
          <cell r="L1746" t="str">
            <v>OK</v>
          </cell>
          <cell r="M1746" t="str">
            <v>800-577-8858</v>
          </cell>
          <cell r="N1746" t="str">
            <v>MSO's must read Norman. Fedex to 1280 Lamar
Norman, OK 73069, attn: R&amp;I Team</v>
          </cell>
          <cell r="O1746">
            <v>341</v>
          </cell>
          <cell r="P1746">
            <v>1466.3</v>
          </cell>
          <cell r="Q1746"/>
          <cell r="R1746">
            <v>0</v>
          </cell>
          <cell r="S1746"/>
          <cell r="T1746">
            <v>0</v>
          </cell>
          <cell r="U1746">
            <v>274</v>
          </cell>
          <cell r="V1746">
            <v>1178.2</v>
          </cell>
          <cell r="W1746">
            <v>320</v>
          </cell>
          <cell r="X1746">
            <v>1376</v>
          </cell>
          <cell r="Y1746"/>
          <cell r="Z1746">
            <v>0</v>
          </cell>
          <cell r="AA1746"/>
          <cell r="AB1746">
            <v>0</v>
          </cell>
          <cell r="AC1746"/>
          <cell r="AD1746">
            <v>0</v>
          </cell>
          <cell r="AE1746"/>
          <cell r="AF1746"/>
          <cell r="AG1746"/>
          <cell r="AH1746"/>
          <cell r="AI1746"/>
          <cell r="AJ1746">
            <v>0.04</v>
          </cell>
          <cell r="AK1746" t="str">
            <v>3P</v>
          </cell>
          <cell r="AL1746">
            <v>151</v>
          </cell>
          <cell r="AM1746"/>
          <cell r="AN1746" t="str">
            <v>10 Orangeline</v>
          </cell>
          <cell r="AO1746" t="str">
            <v>Central</v>
          </cell>
          <cell r="AP1746" t="str">
            <v>Central</v>
          </cell>
          <cell r="AQ1746"/>
          <cell r="AR1746">
            <v>0</v>
          </cell>
          <cell r="AS1746">
            <v>0</v>
          </cell>
        </row>
        <row r="1747">
          <cell r="A1747">
            <v>12010</v>
          </cell>
          <cell r="B1747" t="str">
            <v>GREAT PLAINS</v>
          </cell>
          <cell r="C1747" t="str">
            <v>M11129</v>
          </cell>
          <cell r="D1747" t="str">
            <v>Net 30, no pink card</v>
          </cell>
          <cell r="E1747" t="str">
            <v>O1-Northpoint</v>
          </cell>
          <cell r="F1747" t="str">
            <v>Yes</v>
          </cell>
          <cell r="G1747" t="str">
            <v>TX</v>
          </cell>
          <cell r="H1747">
            <v>8</v>
          </cell>
          <cell r="I1747">
            <v>0.7</v>
          </cell>
          <cell r="J1747" t="str">
            <v>Jimmy L Smith</v>
          </cell>
          <cell r="K1747" t="str">
            <v>ADA</v>
          </cell>
          <cell r="L1747" t="str">
            <v>OK</v>
          </cell>
          <cell r="M1747" t="str">
            <v>800-577-8858</v>
          </cell>
          <cell r="N1747" t="str">
            <v>MSO's must read Norman. Fedex to 1280 Lamar
Norman, OK 73069, attn: R&amp;I Team</v>
          </cell>
          <cell r="O1747">
            <v>180</v>
          </cell>
          <cell r="P1747">
            <v>774</v>
          </cell>
          <cell r="Q1747"/>
          <cell r="R1747">
            <v>0</v>
          </cell>
          <cell r="S1747"/>
          <cell r="T1747">
            <v>0</v>
          </cell>
          <cell r="U1747" t="str"/>
          <cell r="V1747" t="str"/>
          <cell r="W1747" t="str"/>
          <cell r="X1747" t="str"/>
          <cell r="Y1747"/>
          <cell r="Z1747">
            <v>0</v>
          </cell>
          <cell r="AA1747"/>
          <cell r="AB1747" t="str">
            <v>n/a</v>
          </cell>
          <cell r="AC1747"/>
          <cell r="AD1747" t="str">
            <v>n/a</v>
          </cell>
          <cell r="AE1747"/>
          <cell r="AF1747"/>
          <cell r="AG1747"/>
          <cell r="AH1747"/>
          <cell r="AI1747"/>
          <cell r="AJ1747">
            <v>0.04</v>
          </cell>
          <cell r="AK1747" t="str">
            <v>OL</v>
          </cell>
          <cell r="AL1747">
            <v>151</v>
          </cell>
          <cell r="AM1747">
            <v>4</v>
          </cell>
          <cell r="AN1747" t="str">
            <v>10 Orangeline</v>
          </cell>
          <cell r="AO1747" t="str">
            <v>Central</v>
          </cell>
          <cell r="AP1747" t="str">
            <v>Central</v>
          </cell>
          <cell r="AQ1747"/>
          <cell r="AR1747">
            <v>0</v>
          </cell>
          <cell r="AS1747">
            <v>0</v>
          </cell>
        </row>
        <row r="1748">
          <cell r="A1748">
            <v>13189</v>
          </cell>
          <cell r="B1748" t="str">
            <v>GREAT PLAINS</v>
          </cell>
          <cell r="C1748" t="str">
            <v>M11129</v>
          </cell>
          <cell r="D1748" t="str">
            <v>Net 30, no pink card</v>
          </cell>
          <cell r="E1748" t="str">
            <v>2%</v>
          </cell>
          <cell r="F1748" t="str">
            <v>Yes</v>
          </cell>
          <cell r="G1748" t="str">
            <v>TX</v>
          </cell>
          <cell r="H1748">
            <v>5</v>
          </cell>
          <cell r="I1748">
            <v>0.7</v>
          </cell>
          <cell r="J1748" t="str">
            <v>Jimmy L Smith</v>
          </cell>
          <cell r="K1748" t="str">
            <v>ADA</v>
          </cell>
          <cell r="L1748" t="str">
            <v>OK</v>
          </cell>
          <cell r="M1748" t="str">
            <v>800-577-8858</v>
          </cell>
          <cell r="N1748" t="str">
            <v>MSO's must read Norman. Fedex to 1280 Lamar
Norman, OK 73069, attn: R&amp;I Team</v>
          </cell>
          <cell r="O1748">
            <v>180</v>
          </cell>
          <cell r="P1748">
            <v>774</v>
          </cell>
          <cell r="Q1748"/>
          <cell r="R1748">
            <v>0</v>
          </cell>
          <cell r="S1748"/>
          <cell r="T1748">
            <v>0</v>
          </cell>
          <cell r="U1748" t="str"/>
          <cell r="V1748" t="str"/>
          <cell r="W1748" t="str"/>
          <cell r="X1748" t="str"/>
          <cell r="Y1748"/>
          <cell r="Z1748">
            <v>0</v>
          </cell>
          <cell r="AA1748"/>
          <cell r="AB1748" t="str">
            <v>n/a</v>
          </cell>
          <cell r="AC1748"/>
          <cell r="AD1748" t="str">
            <v>n/a</v>
          </cell>
          <cell r="AE1748"/>
          <cell r="AF1748"/>
          <cell r="AG1748"/>
          <cell r="AH1748"/>
          <cell r="AI1748"/>
          <cell r="AJ1748">
            <v>0.04</v>
          </cell>
          <cell r="AK1748" t="str">
            <v>OL</v>
          </cell>
          <cell r="AL1748">
            <v>151</v>
          </cell>
          <cell r="AM1748">
            <v>4</v>
          </cell>
          <cell r="AN1748" t="str">
            <v>10 Orangeline</v>
          </cell>
          <cell r="AO1748" t="str">
            <v>Central</v>
          </cell>
          <cell r="AP1748" t="str">
            <v>Central</v>
          </cell>
          <cell r="AQ1748"/>
          <cell r="AR1748">
            <v>0</v>
          </cell>
          <cell r="AS1748">
            <v>0</v>
          </cell>
        </row>
        <row r="1749">
          <cell r="A1749" t="str">
            <v>12010A</v>
          </cell>
          <cell r="B1749" t="str">
            <v>GREAT PLAINS</v>
          </cell>
          <cell r="C1749" t="str">
            <v>M11129</v>
          </cell>
          <cell r="D1749" t="str">
            <v>Net 30, no pink card</v>
          </cell>
          <cell r="E1749" t="str">
            <v>O1-Northpoint</v>
          </cell>
          <cell r="F1749" t="str">
            <v>Yes</v>
          </cell>
          <cell r="G1749" t="str">
            <v>TX</v>
          </cell>
          <cell r="H1749">
            <v>8</v>
          </cell>
          <cell r="I1749">
            <v>0.7</v>
          </cell>
          <cell r="J1749" t="str">
            <v>Jimmy L Smith</v>
          </cell>
          <cell r="K1749" t="str">
            <v>DUNCAN</v>
          </cell>
          <cell r="L1749" t="str">
            <v>OK</v>
          </cell>
          <cell r="M1749" t="str">
            <v>800-577-8858</v>
          </cell>
          <cell r="N1749" t="str">
            <v>MSO's must read Norman. Fedex to 1280 Lamar
Norman, OK 73069, attn: R&amp;I Team</v>
          </cell>
          <cell r="O1749">
            <v>255</v>
          </cell>
          <cell r="P1749">
            <v>1096.5</v>
          </cell>
          <cell r="Q1749"/>
          <cell r="R1749">
            <v>0</v>
          </cell>
          <cell r="S1749"/>
          <cell r="T1749">
            <v>0</v>
          </cell>
          <cell r="U1749" t="str"/>
          <cell r="V1749" t="str"/>
          <cell r="W1749" t="str"/>
          <cell r="X1749" t="str"/>
          <cell r="Y1749"/>
          <cell r="Z1749">
            <v>0</v>
          </cell>
          <cell r="AA1749"/>
          <cell r="AB1749" t="str">
            <v>n/a</v>
          </cell>
          <cell r="AC1749"/>
          <cell r="AD1749" t="str">
            <v>n/a</v>
          </cell>
          <cell r="AE1749"/>
          <cell r="AF1749"/>
          <cell r="AG1749"/>
          <cell r="AH1749"/>
          <cell r="AI1749"/>
          <cell r="AJ1749">
            <v>0.04</v>
          </cell>
          <cell r="AK1749" t="str">
            <v>OL</v>
          </cell>
          <cell r="AL1749">
            <v>151</v>
          </cell>
          <cell r="AM1749">
            <v>248</v>
          </cell>
          <cell r="AN1749" t="str">
            <v>10 Orangeline</v>
          </cell>
          <cell r="AO1749" t="str">
            <v>Central</v>
          </cell>
          <cell r="AP1749" t="str">
            <v>Central</v>
          </cell>
          <cell r="AQ1749"/>
          <cell r="AR1749">
            <v>0</v>
          </cell>
          <cell r="AS1749">
            <v>0</v>
          </cell>
        </row>
        <row r="1750">
          <cell r="A1750" t="str">
            <v>12010B</v>
          </cell>
          <cell r="B1750" t="str">
            <v>GREAT PLAINS</v>
          </cell>
          <cell r="C1750" t="str">
            <v>M11129</v>
          </cell>
          <cell r="D1750" t="str">
            <v>Net 30, no pink card</v>
          </cell>
          <cell r="E1750" t="str">
            <v>O1-Northpoint</v>
          </cell>
          <cell r="F1750" t="str">
            <v>Yes</v>
          </cell>
          <cell r="G1750" t="str">
            <v>TX</v>
          </cell>
          <cell r="H1750">
            <v>8</v>
          </cell>
          <cell r="I1750">
            <v>0.7</v>
          </cell>
          <cell r="J1750" t="str">
            <v>Jimmy L Smith</v>
          </cell>
          <cell r="K1750" t="str">
            <v>SHAWNEE</v>
          </cell>
          <cell r="L1750" t="str">
            <v>OK</v>
          </cell>
          <cell r="M1750" t="str">
            <v>800-577-8858</v>
          </cell>
          <cell r="N1750" t="str">
            <v>MSO's must read Norman. Fedex to 1280 Lamar
Norman, OK 73069, attn: R&amp;I Team</v>
          </cell>
          <cell r="O1750">
            <v>230</v>
          </cell>
          <cell r="P1750">
            <v>989</v>
          </cell>
          <cell r="Q1750"/>
          <cell r="R1750">
            <v>0</v>
          </cell>
          <cell r="S1750"/>
          <cell r="T1750">
            <v>0</v>
          </cell>
          <cell r="U1750" t="str"/>
          <cell r="V1750" t="str"/>
          <cell r="W1750" t="str"/>
          <cell r="X1750" t="str"/>
          <cell r="Y1750"/>
          <cell r="Z1750">
            <v>0</v>
          </cell>
          <cell r="AA1750"/>
          <cell r="AB1750" t="str">
            <v>n/a</v>
          </cell>
          <cell r="AC1750"/>
          <cell r="AD1750" t="str">
            <v>n/a</v>
          </cell>
          <cell r="AE1750"/>
          <cell r="AF1750"/>
          <cell r="AG1750"/>
          <cell r="AH1750"/>
          <cell r="AI1750"/>
          <cell r="AJ1750">
            <v>0.04</v>
          </cell>
          <cell r="AK1750" t="str">
            <v>OL</v>
          </cell>
          <cell r="AL1750">
            <v>151</v>
          </cell>
          <cell r="AM1750">
            <v>329</v>
          </cell>
          <cell r="AN1750" t="str">
            <v>10 Orangeline</v>
          </cell>
          <cell r="AO1750" t="str">
            <v>Central</v>
          </cell>
          <cell r="AP1750" t="str">
            <v>Central</v>
          </cell>
          <cell r="AQ1750"/>
          <cell r="AR1750">
            <v>0</v>
          </cell>
          <cell r="AS1750">
            <v>0</v>
          </cell>
        </row>
        <row r="1751">
          <cell r="A1751" t="str">
            <v>12010C</v>
          </cell>
          <cell r="B1751" t="str">
            <v>GREAT PLAINS</v>
          </cell>
          <cell r="C1751" t="str">
            <v>M11129</v>
          </cell>
          <cell r="D1751" t="str">
            <v>Net 30, no pink card</v>
          </cell>
          <cell r="E1751" t="str">
            <v>O1-Northpoint</v>
          </cell>
          <cell r="F1751" t="str">
            <v>Yes</v>
          </cell>
          <cell r="G1751" t="str">
            <v>TX</v>
          </cell>
          <cell r="H1751">
            <v>8</v>
          </cell>
          <cell r="I1751">
            <v>0.7</v>
          </cell>
          <cell r="J1751" t="str">
            <v>Jimmy L Smith</v>
          </cell>
          <cell r="K1751" t="str">
            <v>EDMOND</v>
          </cell>
          <cell r="L1751" t="str">
            <v>OK</v>
          </cell>
          <cell r="M1751" t="str">
            <v>800-577-8858</v>
          </cell>
          <cell r="N1751" t="str">
            <v>MSO's must read Norman. Fedex to 1280 Lamar
Norman, OK 73069, attn: R&amp;I Team</v>
          </cell>
          <cell r="O1751">
            <v>290</v>
          </cell>
          <cell r="P1751">
            <v>1247</v>
          </cell>
          <cell r="Q1751"/>
          <cell r="R1751">
            <v>0</v>
          </cell>
          <cell r="S1751"/>
          <cell r="T1751">
            <v>0</v>
          </cell>
          <cell r="U1751" t="str"/>
          <cell r="V1751" t="str"/>
          <cell r="W1751" t="str"/>
          <cell r="X1751" t="str"/>
          <cell r="Y1751"/>
          <cell r="Z1751">
            <v>0</v>
          </cell>
          <cell r="AA1751"/>
          <cell r="AB1751" t="str">
            <v>n/a</v>
          </cell>
          <cell r="AC1751"/>
          <cell r="AD1751" t="str">
            <v>n/a</v>
          </cell>
          <cell r="AE1751"/>
          <cell r="AF1751"/>
          <cell r="AG1751"/>
          <cell r="AH1751"/>
          <cell r="AI1751"/>
          <cell r="AJ1751">
            <v>0.04</v>
          </cell>
          <cell r="AK1751" t="str">
            <v>OL</v>
          </cell>
          <cell r="AL1751">
            <v>151</v>
          </cell>
          <cell r="AM1751">
            <v>329</v>
          </cell>
          <cell r="AN1751" t="str">
            <v>10 Orangeline</v>
          </cell>
          <cell r="AO1751" t="str">
            <v>Central</v>
          </cell>
          <cell r="AP1751" t="str">
            <v>Central</v>
          </cell>
          <cell r="AQ1751"/>
          <cell r="AR1751">
            <v>0</v>
          </cell>
          <cell r="AS1751">
            <v>0</v>
          </cell>
        </row>
        <row r="1752">
          <cell r="A1752" t="str">
            <v>12010D</v>
          </cell>
          <cell r="B1752" t="str">
            <v>GREAT PLAINS</v>
          </cell>
          <cell r="C1752" t="str">
            <v>M11129</v>
          </cell>
          <cell r="D1752" t="str">
            <v>Net 30, no pink card</v>
          </cell>
          <cell r="E1752" t="str">
            <v>O1-Northpoint</v>
          </cell>
          <cell r="F1752" t="str">
            <v>Yes</v>
          </cell>
          <cell r="G1752" t="str">
            <v>TX</v>
          </cell>
          <cell r="H1752">
            <v>8</v>
          </cell>
          <cell r="I1752">
            <v>0.7</v>
          </cell>
          <cell r="J1752" t="str">
            <v>Jimmy L Smith</v>
          </cell>
          <cell r="K1752" t="str">
            <v>NORMAN</v>
          </cell>
          <cell r="L1752" t="str">
            <v>OK</v>
          </cell>
          <cell r="M1752" t="str">
            <v>800-577-8858</v>
          </cell>
          <cell r="N1752" t="str">
            <v>MSO's must read Norman. Fedex to 1280 Lamar
Norman, OK 73069, attn: R&amp;I Team</v>
          </cell>
          <cell r="O1752">
            <v>270</v>
          </cell>
          <cell r="P1752">
            <v>1161</v>
          </cell>
          <cell r="Q1752"/>
          <cell r="R1752">
            <v>0</v>
          </cell>
          <cell r="S1752">
            <v>1522</v>
          </cell>
          <cell r="T1752">
            <v>6544.5999999999995</v>
          </cell>
          <cell r="U1752">
            <v>105</v>
          </cell>
          <cell r="V1752">
            <v>451.5</v>
          </cell>
          <cell r="W1752">
            <v>234</v>
          </cell>
          <cell r="X1752">
            <v>1006.1999999999999</v>
          </cell>
          <cell r="Y1752"/>
          <cell r="Z1752">
            <v>0</v>
          </cell>
          <cell r="AA1752"/>
          <cell r="AB1752" t="str">
            <v>n/a</v>
          </cell>
          <cell r="AC1752"/>
          <cell r="AD1752" t="str">
            <v>n/a</v>
          </cell>
          <cell r="AE1752"/>
          <cell r="AF1752"/>
          <cell r="AG1752"/>
          <cell r="AH1752"/>
          <cell r="AI1752"/>
          <cell r="AJ1752">
            <v>0.04</v>
          </cell>
          <cell r="AK1752" t="str">
            <v>OL</v>
          </cell>
          <cell r="AL1752">
            <v>151</v>
          </cell>
          <cell r="AM1752">
            <v>329</v>
          </cell>
          <cell r="AN1752" t="str">
            <v>10 Orangeline</v>
          </cell>
          <cell r="AO1752" t="str">
            <v>Central</v>
          </cell>
          <cell r="AP1752" t="str">
            <v>Central</v>
          </cell>
          <cell r="AQ1752"/>
          <cell r="AR1752">
            <v>0</v>
          </cell>
          <cell r="AS1752">
            <v>0</v>
          </cell>
        </row>
        <row r="1753">
          <cell r="A1753" t="str">
            <v>12010E</v>
          </cell>
          <cell r="B1753" t="str">
            <v>GREAT PLAINS</v>
          </cell>
          <cell r="C1753" t="str">
            <v>M11129</v>
          </cell>
          <cell r="D1753" t="str">
            <v>Net 30, no pink card</v>
          </cell>
          <cell r="E1753" t="str">
            <v>O1-Northpoint</v>
          </cell>
          <cell r="F1753" t="str">
            <v>Yes</v>
          </cell>
          <cell r="G1753" t="str">
            <v>TX</v>
          </cell>
          <cell r="H1753">
            <v>8</v>
          </cell>
          <cell r="I1753">
            <v>0.7</v>
          </cell>
          <cell r="J1753" t="str">
            <v>Jimmy L Smith</v>
          </cell>
          <cell r="K1753" t="str">
            <v>STILLWATER</v>
          </cell>
          <cell r="L1753" t="str">
            <v>OK</v>
          </cell>
          <cell r="M1753" t="str">
            <v>800-577-8858</v>
          </cell>
          <cell r="N1753" t="str">
            <v>MSO's must read Norman. Fedex to 1280 Lamar
Norman, OK 73069, attn: R&amp;I Team</v>
          </cell>
          <cell r="O1753">
            <v>300</v>
          </cell>
          <cell r="P1753">
            <v>1290</v>
          </cell>
          <cell r="Q1753"/>
          <cell r="R1753">
            <v>0</v>
          </cell>
          <cell r="S1753"/>
          <cell r="T1753">
            <v>0</v>
          </cell>
          <cell r="U1753" t="str"/>
          <cell r="V1753" t="str"/>
          <cell r="W1753" t="str"/>
          <cell r="X1753" t="str"/>
          <cell r="Y1753"/>
          <cell r="Z1753">
            <v>0</v>
          </cell>
          <cell r="AA1753"/>
          <cell r="AB1753" t="str">
            <v>n/a</v>
          </cell>
          <cell r="AC1753"/>
          <cell r="AD1753" t="str">
            <v>n/a</v>
          </cell>
          <cell r="AE1753"/>
          <cell r="AF1753"/>
          <cell r="AG1753"/>
          <cell r="AH1753"/>
          <cell r="AI1753"/>
          <cell r="AJ1753">
            <v>0.04</v>
          </cell>
          <cell r="AK1753" t="str">
            <v>OL</v>
          </cell>
          <cell r="AL1753">
            <v>151</v>
          </cell>
          <cell r="AM1753">
            <v>433</v>
          </cell>
          <cell r="AN1753" t="str">
            <v>10 Orangeline</v>
          </cell>
          <cell r="AO1753" t="str">
            <v>Central</v>
          </cell>
          <cell r="AP1753" t="str">
            <v>Central</v>
          </cell>
          <cell r="AQ1753"/>
          <cell r="AR1753">
            <v>0</v>
          </cell>
          <cell r="AS1753">
            <v>0</v>
          </cell>
        </row>
        <row r="1754">
          <cell r="A1754" t="str">
            <v>12010F</v>
          </cell>
          <cell r="B1754" t="str">
            <v>GREAT PLAINS</v>
          </cell>
          <cell r="C1754" t="str">
            <v>M11129</v>
          </cell>
          <cell r="D1754" t="str">
            <v>Net 30, no pink card</v>
          </cell>
          <cell r="E1754" t="str">
            <v>O1-Northpoint</v>
          </cell>
          <cell r="F1754" t="str">
            <v>Yes</v>
          </cell>
          <cell r="G1754" t="str">
            <v>TX</v>
          </cell>
          <cell r="H1754">
            <v>8</v>
          </cell>
          <cell r="I1754">
            <v>0.7</v>
          </cell>
          <cell r="J1754" t="str">
            <v>Jimmy L Smith</v>
          </cell>
          <cell r="K1754" t="str">
            <v>CLINTON</v>
          </cell>
          <cell r="L1754" t="str">
            <v>OK</v>
          </cell>
          <cell r="M1754" t="str">
            <v>800-577-8858</v>
          </cell>
          <cell r="N1754" t="str">
            <v>MSO's must read Norman. Fedex to 1280 Lamar
Norman, OK 73069, attn: R&amp;I Team</v>
          </cell>
          <cell r="O1754">
            <v>340</v>
          </cell>
          <cell r="P1754">
            <v>1462</v>
          </cell>
          <cell r="Q1754"/>
          <cell r="R1754">
            <v>0</v>
          </cell>
          <cell r="S1754">
            <v>1386</v>
          </cell>
          <cell r="T1754">
            <v>5959.8</v>
          </cell>
          <cell r="U1754" t="str"/>
          <cell r="V1754" t="str"/>
          <cell r="W1754" t="str"/>
          <cell r="X1754" t="str"/>
          <cell r="Y1754"/>
          <cell r="Z1754">
            <v>0</v>
          </cell>
          <cell r="AA1754"/>
          <cell r="AB1754" t="str">
            <v>n/a</v>
          </cell>
          <cell r="AC1754"/>
          <cell r="AD1754" t="str">
            <v>n/a</v>
          </cell>
          <cell r="AE1754"/>
          <cell r="AF1754"/>
          <cell r="AG1754"/>
          <cell r="AH1754"/>
          <cell r="AI1754"/>
          <cell r="AJ1754">
            <v>0.04</v>
          </cell>
          <cell r="AK1754" t="str">
            <v>OL</v>
          </cell>
          <cell r="AL1754">
            <v>151</v>
          </cell>
          <cell r="AM1754"/>
          <cell r="AN1754" t="str">
            <v>10 Orangeline</v>
          </cell>
          <cell r="AO1754" t="str">
            <v>Central</v>
          </cell>
          <cell r="AP1754" t="str">
            <v>Central</v>
          </cell>
          <cell r="AQ1754"/>
          <cell r="AR1754">
            <v>0</v>
          </cell>
          <cell r="AS1754">
            <v>0</v>
          </cell>
        </row>
        <row r="1755">
          <cell r="A1755" t="str">
            <v>13189A</v>
          </cell>
          <cell r="B1755" t="str">
            <v>GREAT PLAINS</v>
          </cell>
          <cell r="C1755" t="str">
            <v>M11129</v>
          </cell>
          <cell r="D1755" t="str">
            <v>Net 30, no pink card</v>
          </cell>
          <cell r="E1755" t="str">
            <v>2%</v>
          </cell>
          <cell r="F1755" t="str">
            <v>Yes</v>
          </cell>
          <cell r="G1755" t="str">
            <v>TX</v>
          </cell>
          <cell r="H1755">
            <v>5</v>
          </cell>
          <cell r="I1755">
            <v>0.7</v>
          </cell>
          <cell r="J1755" t="str">
            <v>Jimmy L Smith</v>
          </cell>
          <cell r="K1755" t="str">
            <v>DUNCAN</v>
          </cell>
          <cell r="L1755" t="str">
            <v>OK</v>
          </cell>
          <cell r="M1755" t="str">
            <v>800-577-8858</v>
          </cell>
          <cell r="N1755" t="str">
            <v>MSO's must read Norman. Fedex to 1280 Lamar
Norman, OK 73069, attn: R&amp;I Team</v>
          </cell>
          <cell r="O1755">
            <v>255</v>
          </cell>
          <cell r="P1755">
            <v>1096.5</v>
          </cell>
          <cell r="Q1755"/>
          <cell r="R1755">
            <v>0</v>
          </cell>
          <cell r="S1755"/>
          <cell r="T1755">
            <v>0</v>
          </cell>
          <cell r="U1755" t="str"/>
          <cell r="V1755" t="str"/>
          <cell r="W1755" t="str"/>
          <cell r="X1755" t="str"/>
          <cell r="Y1755"/>
          <cell r="Z1755">
            <v>0</v>
          </cell>
          <cell r="AA1755"/>
          <cell r="AB1755" t="str">
            <v>n/a</v>
          </cell>
          <cell r="AC1755"/>
          <cell r="AD1755" t="str">
            <v>n/a</v>
          </cell>
          <cell r="AE1755"/>
          <cell r="AF1755"/>
          <cell r="AG1755"/>
          <cell r="AH1755"/>
          <cell r="AI1755"/>
          <cell r="AJ1755">
            <v>0.04</v>
          </cell>
          <cell r="AK1755" t="str">
            <v>OL</v>
          </cell>
          <cell r="AL1755">
            <v>151</v>
          </cell>
          <cell r="AM1755">
            <v>248</v>
          </cell>
          <cell r="AN1755" t="str">
            <v>10 Orangeline</v>
          </cell>
          <cell r="AO1755" t="str">
            <v>Central</v>
          </cell>
          <cell r="AP1755" t="str">
            <v>Central</v>
          </cell>
          <cell r="AQ1755"/>
          <cell r="AR1755">
            <v>0</v>
          </cell>
          <cell r="AS1755">
            <v>0</v>
          </cell>
        </row>
        <row r="1756">
          <cell r="A1756" t="str">
            <v>13189B</v>
          </cell>
          <cell r="B1756" t="str">
            <v>GREAT PLAINS</v>
          </cell>
          <cell r="C1756" t="str">
            <v>M11129</v>
          </cell>
          <cell r="D1756" t="str">
            <v>Net 30, no pink card</v>
          </cell>
          <cell r="E1756" t="str">
            <v>2%</v>
          </cell>
          <cell r="F1756" t="str">
            <v>Yes</v>
          </cell>
          <cell r="G1756" t="str">
            <v>TX</v>
          </cell>
          <cell r="H1756">
            <v>5</v>
          </cell>
          <cell r="I1756">
            <v>0.7</v>
          </cell>
          <cell r="J1756" t="str">
            <v>Jimmy L Smith</v>
          </cell>
          <cell r="K1756" t="str">
            <v>SHAWNEE</v>
          </cell>
          <cell r="L1756" t="str">
            <v>OK</v>
          </cell>
          <cell r="M1756" t="str">
            <v>800-577-8858</v>
          </cell>
          <cell r="N1756" t="str">
            <v>MSO's must read Norman. Fedex to 1280 Lamar
Norman, OK 73069, attn: R&amp;I Team</v>
          </cell>
          <cell r="O1756">
            <v>230</v>
          </cell>
          <cell r="P1756">
            <v>989</v>
          </cell>
          <cell r="Q1756"/>
          <cell r="R1756">
            <v>0</v>
          </cell>
          <cell r="S1756"/>
          <cell r="T1756">
            <v>0</v>
          </cell>
          <cell r="U1756" t="str"/>
          <cell r="V1756" t="str"/>
          <cell r="W1756" t="str"/>
          <cell r="X1756" t="str"/>
          <cell r="Y1756"/>
          <cell r="Z1756">
            <v>0</v>
          </cell>
          <cell r="AA1756"/>
          <cell r="AB1756" t="str">
            <v>n/a</v>
          </cell>
          <cell r="AC1756"/>
          <cell r="AD1756" t="str">
            <v>n/a</v>
          </cell>
          <cell r="AE1756"/>
          <cell r="AF1756"/>
          <cell r="AG1756"/>
          <cell r="AH1756"/>
          <cell r="AI1756"/>
          <cell r="AJ1756">
            <v>0.04</v>
          </cell>
          <cell r="AK1756" t="str">
            <v>OL</v>
          </cell>
          <cell r="AL1756">
            <v>151</v>
          </cell>
          <cell r="AM1756">
            <v>329</v>
          </cell>
          <cell r="AN1756" t="str">
            <v>10 Orangeline</v>
          </cell>
          <cell r="AO1756" t="str">
            <v>Central</v>
          </cell>
          <cell r="AP1756" t="str">
            <v>Central</v>
          </cell>
          <cell r="AQ1756"/>
          <cell r="AR1756">
            <v>0</v>
          </cell>
          <cell r="AS1756">
            <v>0</v>
          </cell>
        </row>
        <row r="1757">
          <cell r="A1757" t="str">
            <v>13189C</v>
          </cell>
          <cell r="B1757" t="str">
            <v>GREAT PLAINS</v>
          </cell>
          <cell r="C1757" t="str">
            <v>M11129</v>
          </cell>
          <cell r="D1757" t="str">
            <v>Net 30, no pink card</v>
          </cell>
          <cell r="E1757" t="str">
            <v>2%</v>
          </cell>
          <cell r="F1757" t="str">
            <v>Yes</v>
          </cell>
          <cell r="G1757" t="str">
            <v>TX</v>
          </cell>
          <cell r="H1757">
            <v>5</v>
          </cell>
          <cell r="I1757">
            <v>0.7</v>
          </cell>
          <cell r="J1757" t="str">
            <v>Jimmy L Smith</v>
          </cell>
          <cell r="K1757" t="str">
            <v>EDMOND</v>
          </cell>
          <cell r="L1757" t="str">
            <v>OK</v>
          </cell>
          <cell r="M1757" t="str">
            <v>800-577-8858</v>
          </cell>
          <cell r="N1757" t="str">
            <v>MSO's must read Norman. Fedex to 1280 Lamar
Norman, OK 73069, attn: R&amp;I Team</v>
          </cell>
          <cell r="O1757">
            <v>290</v>
          </cell>
          <cell r="P1757">
            <v>1247</v>
          </cell>
          <cell r="Q1757"/>
          <cell r="R1757">
            <v>0</v>
          </cell>
          <cell r="S1757"/>
          <cell r="T1757">
            <v>0</v>
          </cell>
          <cell r="U1757" t="str"/>
          <cell r="V1757" t="str"/>
          <cell r="W1757" t="str"/>
          <cell r="X1757" t="str"/>
          <cell r="Y1757"/>
          <cell r="Z1757">
            <v>0</v>
          </cell>
          <cell r="AA1757"/>
          <cell r="AB1757" t="str">
            <v>n/a</v>
          </cell>
          <cell r="AC1757"/>
          <cell r="AD1757" t="str">
            <v>n/a</v>
          </cell>
          <cell r="AE1757"/>
          <cell r="AF1757"/>
          <cell r="AG1757"/>
          <cell r="AH1757"/>
          <cell r="AI1757"/>
          <cell r="AJ1757">
            <v>0.04</v>
          </cell>
          <cell r="AK1757" t="str">
            <v>OL</v>
          </cell>
          <cell r="AL1757">
            <v>151</v>
          </cell>
          <cell r="AM1757">
            <v>329</v>
          </cell>
          <cell r="AN1757" t="str">
            <v>10 Orangeline</v>
          </cell>
          <cell r="AO1757" t="str">
            <v>Central</v>
          </cell>
          <cell r="AP1757" t="str">
            <v>Central</v>
          </cell>
          <cell r="AQ1757"/>
          <cell r="AR1757">
            <v>0</v>
          </cell>
          <cell r="AS1757">
            <v>0</v>
          </cell>
        </row>
        <row r="1758">
          <cell r="A1758" t="str">
            <v>13189D</v>
          </cell>
          <cell r="B1758" t="str">
            <v>GREAT PLAINS</v>
          </cell>
          <cell r="C1758" t="str">
            <v>M11129</v>
          </cell>
          <cell r="D1758" t="str">
            <v>Net 30, no pink card</v>
          </cell>
          <cell r="E1758" t="str">
            <v>2%</v>
          </cell>
          <cell r="F1758" t="str">
            <v>Yes</v>
          </cell>
          <cell r="G1758" t="str">
            <v>TX</v>
          </cell>
          <cell r="H1758">
            <v>5</v>
          </cell>
          <cell r="I1758">
            <v>0.7</v>
          </cell>
          <cell r="J1758" t="str">
            <v>Jimmy L Smith</v>
          </cell>
          <cell r="K1758" t="str">
            <v>NORMAN</v>
          </cell>
          <cell r="L1758" t="str">
            <v>OK</v>
          </cell>
          <cell r="M1758" t="str">
            <v>800-577-8858</v>
          </cell>
          <cell r="N1758" t="str">
            <v>MSO's must read Norman. Fedex to 1280 Lamar
Norman, OK 73069, attn: R&amp;I Team</v>
          </cell>
          <cell r="O1758">
            <v>270</v>
          </cell>
          <cell r="P1758">
            <v>1161</v>
          </cell>
          <cell r="Q1758"/>
          <cell r="R1758">
            <v>0</v>
          </cell>
          <cell r="S1758"/>
          <cell r="T1758">
            <v>0</v>
          </cell>
          <cell r="U1758">
            <v>105</v>
          </cell>
          <cell r="V1758">
            <v>451.5</v>
          </cell>
          <cell r="W1758">
            <v>234</v>
          </cell>
          <cell r="X1758">
            <v>1006.1999999999999</v>
          </cell>
          <cell r="Y1758"/>
          <cell r="Z1758">
            <v>0</v>
          </cell>
          <cell r="AA1758"/>
          <cell r="AB1758" t="str">
            <v>n/a</v>
          </cell>
          <cell r="AC1758"/>
          <cell r="AD1758" t="str">
            <v>n/a</v>
          </cell>
          <cell r="AE1758"/>
          <cell r="AF1758"/>
          <cell r="AG1758"/>
          <cell r="AH1758"/>
          <cell r="AI1758"/>
          <cell r="AJ1758">
            <v>0.04</v>
          </cell>
          <cell r="AK1758" t="str">
            <v>OL</v>
          </cell>
          <cell r="AL1758">
            <v>151</v>
          </cell>
          <cell r="AM1758">
            <v>329</v>
          </cell>
          <cell r="AN1758" t="str">
            <v>10 Orangeline</v>
          </cell>
          <cell r="AO1758" t="str">
            <v>Central</v>
          </cell>
          <cell r="AP1758" t="str">
            <v>Central</v>
          </cell>
          <cell r="AQ1758"/>
          <cell r="AR1758">
            <v>0</v>
          </cell>
          <cell r="AS1758">
            <v>0</v>
          </cell>
        </row>
        <row r="1759">
          <cell r="A1759" t="str">
            <v>13189E</v>
          </cell>
          <cell r="B1759" t="str">
            <v>GREAT PLAINS</v>
          </cell>
          <cell r="C1759" t="str">
            <v>M11129</v>
          </cell>
          <cell r="D1759" t="str">
            <v>Net 30, no pink card</v>
          </cell>
          <cell r="E1759" t="str">
            <v>2%</v>
          </cell>
          <cell r="F1759" t="str">
            <v>Yes</v>
          </cell>
          <cell r="G1759" t="str">
            <v>TX</v>
          </cell>
          <cell r="H1759">
            <v>5</v>
          </cell>
          <cell r="I1759">
            <v>0.7</v>
          </cell>
          <cell r="J1759" t="str">
            <v>Jimmy L Smith</v>
          </cell>
          <cell r="K1759" t="str">
            <v>STILLWATER</v>
          </cell>
          <cell r="L1759" t="str">
            <v>OK</v>
          </cell>
          <cell r="M1759" t="str">
            <v>800-577-8858</v>
          </cell>
          <cell r="N1759" t="str">
            <v>MSO's must read Norman. Fedex to 1280 Lamar
Norman, OK 73069, attn: R&amp;I Team</v>
          </cell>
          <cell r="O1759">
            <v>300</v>
          </cell>
          <cell r="P1759">
            <v>1290</v>
          </cell>
          <cell r="Q1759"/>
          <cell r="R1759">
            <v>0</v>
          </cell>
          <cell r="S1759"/>
          <cell r="T1759">
            <v>0</v>
          </cell>
          <cell r="U1759" t="str"/>
          <cell r="V1759" t="str"/>
          <cell r="W1759" t="str"/>
          <cell r="X1759" t="str"/>
          <cell r="Y1759"/>
          <cell r="Z1759">
            <v>0</v>
          </cell>
          <cell r="AA1759"/>
          <cell r="AB1759" t="str">
            <v>n/a</v>
          </cell>
          <cell r="AC1759"/>
          <cell r="AD1759" t="str">
            <v>n/a</v>
          </cell>
          <cell r="AE1759"/>
          <cell r="AF1759"/>
          <cell r="AG1759"/>
          <cell r="AH1759"/>
          <cell r="AI1759"/>
          <cell r="AJ1759">
            <v>0.04</v>
          </cell>
          <cell r="AK1759" t="str">
            <v>OL</v>
          </cell>
          <cell r="AL1759">
            <v>151</v>
          </cell>
          <cell r="AM1759">
            <v>433</v>
          </cell>
          <cell r="AN1759" t="str">
            <v>10 Orangeline</v>
          </cell>
          <cell r="AO1759" t="str">
            <v>Central</v>
          </cell>
          <cell r="AP1759" t="str">
            <v>Central</v>
          </cell>
          <cell r="AQ1759"/>
          <cell r="AR1759">
            <v>0</v>
          </cell>
          <cell r="AS1759">
            <v>0</v>
          </cell>
        </row>
        <row r="1760">
          <cell r="A1760">
            <v>13194</v>
          </cell>
          <cell r="B1760" t="str">
            <v>JOHNSONS OF KINGFISHER</v>
          </cell>
          <cell r="C1760" t="str">
            <v>M11134</v>
          </cell>
          <cell r="D1760" t="str">
            <v>Net 30, no pink card</v>
          </cell>
          <cell r="E1760" t="str">
            <v>2%</v>
          </cell>
          <cell r="F1760" t="str">
            <v>Yes</v>
          </cell>
          <cell r="G1760" t="str">
            <v>TX</v>
          </cell>
          <cell r="H1760">
            <v>5</v>
          </cell>
          <cell r="I1760">
            <v>0.7</v>
          </cell>
          <cell r="J1760" t="str">
            <v>Jimmy L Smith</v>
          </cell>
          <cell r="K1760" t="str">
            <v>KINGFISHER</v>
          </cell>
          <cell r="L1760" t="str">
            <v>OK</v>
          </cell>
          <cell r="M1760" t="str">
            <v>800-577-8858</v>
          </cell>
          <cell r="N1760"/>
          <cell r="O1760">
            <v>330</v>
          </cell>
          <cell r="P1760">
            <v>1419</v>
          </cell>
          <cell r="Q1760"/>
          <cell r="R1760">
            <v>0</v>
          </cell>
          <cell r="S1760"/>
          <cell r="T1760">
            <v>0</v>
          </cell>
          <cell r="U1760" t="str"/>
          <cell r="V1760" t="str"/>
          <cell r="W1760" t="str"/>
          <cell r="X1760" t="str"/>
          <cell r="Y1760"/>
          <cell r="Z1760">
            <v>0</v>
          </cell>
          <cell r="AA1760"/>
          <cell r="AB1760" t="str">
            <v>n/a</v>
          </cell>
          <cell r="AC1760"/>
          <cell r="AD1760" t="str">
            <v>n/a</v>
          </cell>
          <cell r="AE1760"/>
          <cell r="AF1760"/>
          <cell r="AG1760"/>
          <cell r="AH1760"/>
          <cell r="AI1760"/>
          <cell r="AJ1760"/>
          <cell r="AK1760" t="str">
            <v>OL</v>
          </cell>
          <cell r="AL1760">
            <v>151</v>
          </cell>
          <cell r="AM1760">
            <v>329</v>
          </cell>
          <cell r="AN1760" t="str">
            <v>10 Orangeline</v>
          </cell>
          <cell r="AO1760" t="str">
            <v>Central</v>
          </cell>
          <cell r="AP1760" t="str">
            <v>Central</v>
          </cell>
          <cell r="AQ1760"/>
          <cell r="AR1760">
            <v>0</v>
          </cell>
          <cell r="AS1760">
            <v>0</v>
          </cell>
        </row>
        <row r="1761">
          <cell r="A1761">
            <v>13200</v>
          </cell>
          <cell r="B1761" t="str">
            <v>LINDLEY FARM EQUIPMENT</v>
          </cell>
          <cell r="C1761" t="str">
            <v>M11140</v>
          </cell>
          <cell r="D1761" t="str">
            <v>Net 30, no pink card</v>
          </cell>
          <cell r="E1761" t="str">
            <v>2%</v>
          </cell>
          <cell r="F1761" t="str">
            <v>Yes</v>
          </cell>
          <cell r="G1761" t="str">
            <v>TX</v>
          </cell>
          <cell r="H1761">
            <v>5</v>
          </cell>
          <cell r="I1761">
            <v>0.7</v>
          </cell>
          <cell r="J1761" t="str">
            <v>Jimmy L Smith</v>
          </cell>
          <cell r="K1761" t="str">
            <v>CORDELL</v>
          </cell>
          <cell r="L1761" t="str">
            <v>OK</v>
          </cell>
          <cell r="M1761" t="str">
            <v>800-577-8858</v>
          </cell>
          <cell r="N1761"/>
          <cell r="O1761">
            <v>380</v>
          </cell>
          <cell r="P1761">
            <v>1634</v>
          </cell>
          <cell r="Q1761"/>
          <cell r="R1761">
            <v>0</v>
          </cell>
          <cell r="S1761"/>
          <cell r="T1761">
            <v>0</v>
          </cell>
          <cell r="U1761" t="str"/>
          <cell r="V1761" t="str"/>
          <cell r="W1761" t="str"/>
          <cell r="X1761" t="str"/>
          <cell r="Y1761"/>
          <cell r="Z1761">
            <v>0</v>
          </cell>
          <cell r="AA1761"/>
          <cell r="AB1761" t="str">
            <v>n/a</v>
          </cell>
          <cell r="AC1761"/>
          <cell r="AD1761" t="str">
            <v>n/a</v>
          </cell>
          <cell r="AE1761" t="str"/>
          <cell r="AF1761"/>
          <cell r="AG1761" t="str"/>
          <cell r="AH1761" t="str"/>
          <cell r="AI1761" t="str"/>
          <cell r="AJ1761"/>
          <cell r="AK1761" t="str">
            <v>OL</v>
          </cell>
          <cell r="AL1761">
            <v>151</v>
          </cell>
          <cell r="AM1761">
            <v>329</v>
          </cell>
          <cell r="AN1761" t="str">
            <v>10 Orangeline</v>
          </cell>
          <cell r="AO1761" t="str">
            <v>Central</v>
          </cell>
          <cell r="AP1761" t="str">
            <v>Central</v>
          </cell>
          <cell r="AQ1761"/>
          <cell r="AR1761">
            <v>0</v>
          </cell>
          <cell r="AS1761">
            <v>0</v>
          </cell>
        </row>
        <row r="1762">
          <cell r="A1762">
            <v>13204</v>
          </cell>
          <cell r="B1762" t="str">
            <v>MOYER EQUIPMENT</v>
          </cell>
          <cell r="C1762" t="str">
            <v>M11143</v>
          </cell>
          <cell r="D1762" t="str">
            <v>Net 30, no pink card</v>
          </cell>
          <cell r="E1762" t="str">
            <v>2%</v>
          </cell>
          <cell r="F1762" t="str">
            <v>Yes</v>
          </cell>
          <cell r="G1762" t="str">
            <v>TX</v>
          </cell>
          <cell r="H1762">
            <v>5</v>
          </cell>
          <cell r="I1762">
            <v>0.7</v>
          </cell>
          <cell r="J1762" t="str">
            <v>Jimmy L Smith</v>
          </cell>
          <cell r="K1762" t="str">
            <v xml:space="preserve">IDABEL </v>
          </cell>
          <cell r="L1762" t="str">
            <v>OK</v>
          </cell>
          <cell r="M1762" t="str">
            <v>800-577-8858</v>
          </cell>
          <cell r="N1762"/>
          <cell r="O1762">
            <v>80</v>
          </cell>
          <cell r="P1762">
            <v>344</v>
          </cell>
          <cell r="Q1762"/>
          <cell r="R1762">
            <v>0</v>
          </cell>
          <cell r="S1762"/>
          <cell r="T1762">
            <v>0</v>
          </cell>
          <cell r="U1762" t="str"/>
          <cell r="V1762" t="str"/>
          <cell r="W1762" t="str"/>
          <cell r="X1762" t="str"/>
          <cell r="Y1762"/>
          <cell r="Z1762">
            <v>0</v>
          </cell>
          <cell r="AA1762"/>
          <cell r="AB1762" t="str">
            <v>n/a</v>
          </cell>
          <cell r="AC1762"/>
          <cell r="AD1762" t="str">
            <v>n/a</v>
          </cell>
          <cell r="AE1762"/>
          <cell r="AF1762"/>
          <cell r="AG1762"/>
          <cell r="AH1762"/>
          <cell r="AI1762"/>
          <cell r="AJ1762"/>
          <cell r="AK1762" t="str">
            <v>OL</v>
          </cell>
          <cell r="AL1762">
            <v>151</v>
          </cell>
          <cell r="AM1762">
            <v>443</v>
          </cell>
          <cell r="AN1762" t="str">
            <v>10 Orangeline</v>
          </cell>
          <cell r="AO1762" t="str">
            <v>Central</v>
          </cell>
          <cell r="AP1762" t="str">
            <v>Central</v>
          </cell>
          <cell r="AQ1762"/>
          <cell r="AR1762">
            <v>0</v>
          </cell>
          <cell r="AS1762">
            <v>0</v>
          </cell>
        </row>
        <row r="1763">
          <cell r="A1763" t="str">
            <v>13205B</v>
          </cell>
          <cell r="B1763" t="str">
            <v>NEWTON / KUBOTA CONST - TULSA</v>
          </cell>
          <cell r="C1763" t="str">
            <v>M11144</v>
          </cell>
          <cell r="D1763" t="str">
            <v>Net 30, no pink card</v>
          </cell>
          <cell r="E1763" t="str">
            <v>2%</v>
          </cell>
          <cell r="F1763" t="str">
            <v>Yes</v>
          </cell>
          <cell r="G1763" t="str">
            <v>TX</v>
          </cell>
          <cell r="H1763">
            <v>5</v>
          </cell>
          <cell r="I1763">
            <v>0.7</v>
          </cell>
          <cell r="J1763" t="str">
            <v>Jimmy L Smith</v>
          </cell>
          <cell r="K1763" t="str">
            <v>TULSA</v>
          </cell>
          <cell r="L1763" t="str">
            <v>OK</v>
          </cell>
          <cell r="M1763" t="str">
            <v>800-577-8858</v>
          </cell>
          <cell r="N1763"/>
          <cell r="O1763">
            <v>240</v>
          </cell>
          <cell r="P1763">
            <v>1032</v>
          </cell>
          <cell r="Q1763"/>
          <cell r="R1763">
            <v>0</v>
          </cell>
          <cell r="S1763"/>
          <cell r="T1763">
            <v>0</v>
          </cell>
          <cell r="U1763" t="str"/>
          <cell r="V1763" t="str"/>
          <cell r="W1763" t="str"/>
          <cell r="X1763" t="str"/>
          <cell r="Y1763"/>
          <cell r="Z1763">
            <v>0</v>
          </cell>
          <cell r="AA1763"/>
          <cell r="AB1763" t="str">
            <v>n/a</v>
          </cell>
          <cell r="AC1763"/>
          <cell r="AD1763" t="str">
            <v>n/a</v>
          </cell>
          <cell r="AE1763"/>
          <cell r="AF1763"/>
          <cell r="AG1763"/>
          <cell r="AH1763"/>
          <cell r="AI1763"/>
          <cell r="AJ1763"/>
          <cell r="AK1763" t="str">
            <v>OL</v>
          </cell>
          <cell r="AL1763">
            <v>151</v>
          </cell>
          <cell r="AM1763">
            <v>448</v>
          </cell>
          <cell r="AN1763" t="str">
            <v>10 Orangeline</v>
          </cell>
          <cell r="AO1763" t="str">
            <v>Central</v>
          </cell>
          <cell r="AP1763" t="str">
            <v>Central</v>
          </cell>
          <cell r="AQ1763"/>
          <cell r="AR1763">
            <v>0</v>
          </cell>
          <cell r="AS1763">
            <v>0</v>
          </cell>
        </row>
        <row r="1764">
          <cell r="A1764">
            <v>13205</v>
          </cell>
          <cell r="B1764" t="str">
            <v>NEWTON / STEWART MARTIN EQUIP</v>
          </cell>
          <cell r="C1764" t="str">
            <v>M11144</v>
          </cell>
          <cell r="D1764" t="str">
            <v>Net 30, no pink card</v>
          </cell>
          <cell r="E1764" t="str">
            <v>2%</v>
          </cell>
          <cell r="F1764" t="str">
            <v>Yes</v>
          </cell>
          <cell r="G1764" t="str">
            <v>TX</v>
          </cell>
          <cell r="H1764">
            <v>5</v>
          </cell>
          <cell r="I1764">
            <v>0.7</v>
          </cell>
          <cell r="J1764" t="str">
            <v>Jimmy L Smith</v>
          </cell>
          <cell r="K1764" t="str">
            <v>OKMULGEE</v>
          </cell>
          <cell r="L1764" t="str">
            <v>OK</v>
          </cell>
          <cell r="M1764" t="str">
            <v>800-577-8858</v>
          </cell>
          <cell r="N1764"/>
          <cell r="O1764">
            <v>200</v>
          </cell>
          <cell r="P1764">
            <v>860</v>
          </cell>
          <cell r="Q1764"/>
          <cell r="R1764">
            <v>0</v>
          </cell>
          <cell r="S1764"/>
          <cell r="T1764">
            <v>0</v>
          </cell>
          <cell r="U1764" t="str"/>
          <cell r="V1764" t="str"/>
          <cell r="W1764" t="str"/>
          <cell r="X1764" t="str"/>
          <cell r="Y1764"/>
          <cell r="Z1764">
            <v>0</v>
          </cell>
          <cell r="AA1764"/>
          <cell r="AB1764" t="str">
            <v>n/a</v>
          </cell>
          <cell r="AC1764"/>
          <cell r="AD1764" t="str">
            <v>n/a</v>
          </cell>
          <cell r="AE1764"/>
          <cell r="AF1764"/>
          <cell r="AG1764"/>
          <cell r="AH1764"/>
          <cell r="AI1764"/>
          <cell r="AJ1764"/>
          <cell r="AK1764" t="str">
            <v>OL</v>
          </cell>
          <cell r="AL1764">
            <v>151</v>
          </cell>
          <cell r="AM1764">
            <v>448</v>
          </cell>
          <cell r="AN1764" t="str">
            <v>10 Orangeline</v>
          </cell>
          <cell r="AO1764" t="str">
            <v>Central</v>
          </cell>
          <cell r="AP1764" t="str">
            <v>Central</v>
          </cell>
          <cell r="AQ1764"/>
          <cell r="AR1764">
            <v>0</v>
          </cell>
          <cell r="AS1764">
            <v>0</v>
          </cell>
        </row>
        <row r="1765">
          <cell r="A1765" t="str">
            <v>13205A</v>
          </cell>
          <cell r="B1765" t="str">
            <v>NEWTON / STEWART MARTIN EQUIP</v>
          </cell>
          <cell r="C1765" t="str">
            <v>M11144</v>
          </cell>
          <cell r="D1765" t="str">
            <v>Net 30, no pink card</v>
          </cell>
          <cell r="E1765" t="str">
            <v>2%</v>
          </cell>
          <cell r="F1765" t="str">
            <v>Yes</v>
          </cell>
          <cell r="G1765" t="str">
            <v>TX</v>
          </cell>
          <cell r="H1765">
            <v>5</v>
          </cell>
          <cell r="I1765">
            <v>0.7</v>
          </cell>
          <cell r="J1765" t="str">
            <v>Jimmy L Smith</v>
          </cell>
          <cell r="K1765" t="str">
            <v>MUSKOGEE</v>
          </cell>
          <cell r="L1765" t="str">
            <v>OK</v>
          </cell>
          <cell r="M1765" t="str">
            <v>800-577-8858</v>
          </cell>
          <cell r="N1765"/>
          <cell r="O1765">
            <v>220</v>
          </cell>
          <cell r="P1765">
            <v>946</v>
          </cell>
          <cell r="Q1765"/>
          <cell r="R1765">
            <v>0</v>
          </cell>
          <cell r="S1765"/>
          <cell r="T1765">
            <v>0</v>
          </cell>
          <cell r="U1765" t="str"/>
          <cell r="V1765" t="str"/>
          <cell r="W1765" t="str"/>
          <cell r="X1765" t="str"/>
          <cell r="Y1765"/>
          <cell r="Z1765">
            <v>0</v>
          </cell>
          <cell r="AA1765"/>
          <cell r="AB1765" t="str">
            <v>n/a</v>
          </cell>
          <cell r="AC1765"/>
          <cell r="AD1765" t="str">
            <v>n/a</v>
          </cell>
          <cell r="AE1765"/>
          <cell r="AF1765"/>
          <cell r="AG1765"/>
          <cell r="AH1765"/>
          <cell r="AI1765"/>
          <cell r="AJ1765"/>
          <cell r="AK1765" t="str">
            <v>OL</v>
          </cell>
          <cell r="AL1765">
            <v>151</v>
          </cell>
          <cell r="AM1765">
            <v>311</v>
          </cell>
          <cell r="AN1765" t="str">
            <v>10 Orangeline</v>
          </cell>
          <cell r="AO1765" t="str">
            <v>Central</v>
          </cell>
          <cell r="AP1765" t="str">
            <v>Central</v>
          </cell>
          <cell r="AQ1765"/>
          <cell r="AR1765">
            <v>0</v>
          </cell>
          <cell r="AS1765">
            <v>0</v>
          </cell>
        </row>
        <row r="1766">
          <cell r="A1766">
            <v>13209</v>
          </cell>
          <cell r="B1766" t="str">
            <v xml:space="preserve">PAYNE COUNTY IMPLEMENT </v>
          </cell>
          <cell r="C1766" t="str">
            <v>M11148</v>
          </cell>
          <cell r="D1766" t="str">
            <v>Net 30, no pink card</v>
          </cell>
          <cell r="E1766" t="str">
            <v>2%</v>
          </cell>
          <cell r="F1766" t="str">
            <v>Yes</v>
          </cell>
          <cell r="G1766" t="str">
            <v>TX</v>
          </cell>
          <cell r="H1766">
            <v>5</v>
          </cell>
          <cell r="I1766">
            <v>0.7</v>
          </cell>
          <cell r="J1766" t="str">
            <v>Jimmy L Smith</v>
          </cell>
          <cell r="K1766" t="str">
            <v>STILLWATER</v>
          </cell>
          <cell r="L1766" t="str">
            <v>OK</v>
          </cell>
          <cell r="M1766" t="str">
            <v>800-577-8858</v>
          </cell>
          <cell r="N1766"/>
          <cell r="O1766">
            <v>300</v>
          </cell>
          <cell r="P1766">
            <v>1290</v>
          </cell>
          <cell r="Q1766"/>
          <cell r="R1766">
            <v>0</v>
          </cell>
          <cell r="S1766"/>
          <cell r="T1766">
            <v>0</v>
          </cell>
          <cell r="U1766" t="str"/>
          <cell r="V1766" t="str"/>
          <cell r="W1766" t="str"/>
          <cell r="X1766" t="str"/>
          <cell r="Y1766"/>
          <cell r="Z1766">
            <v>0</v>
          </cell>
          <cell r="AA1766"/>
          <cell r="AB1766" t="str">
            <v>n/a</v>
          </cell>
          <cell r="AC1766"/>
          <cell r="AD1766" t="str">
            <v>n/a</v>
          </cell>
          <cell r="AE1766"/>
          <cell r="AF1766"/>
          <cell r="AG1766"/>
          <cell r="AH1766"/>
          <cell r="AI1766"/>
          <cell r="AJ1766"/>
          <cell r="AK1766" t="str">
            <v>OL</v>
          </cell>
          <cell r="AL1766">
            <v>151</v>
          </cell>
          <cell r="AM1766">
            <v>433</v>
          </cell>
          <cell r="AN1766" t="str">
            <v>10 Orangeline</v>
          </cell>
          <cell r="AO1766" t="str">
            <v>Central</v>
          </cell>
          <cell r="AP1766" t="str">
            <v>Central</v>
          </cell>
          <cell r="AQ1766"/>
          <cell r="AR1766">
            <v>0</v>
          </cell>
          <cell r="AS1766">
            <v>0</v>
          </cell>
        </row>
        <row r="1767">
          <cell r="A1767" t="str">
            <v>13253A</v>
          </cell>
          <cell r="B1767" t="str">
            <v>ROMANS OUTDOOR POWER</v>
          </cell>
          <cell r="C1767" t="str">
            <v>M11198</v>
          </cell>
          <cell r="D1767" t="str">
            <v>Net 30, no pink card</v>
          </cell>
          <cell r="E1767" t="str">
            <v>2%</v>
          </cell>
          <cell r="F1767" t="str">
            <v>Yes</v>
          </cell>
          <cell r="G1767" t="str">
            <v>TX</v>
          </cell>
          <cell r="H1767">
            <v>5</v>
          </cell>
          <cell r="I1767">
            <v>0.7</v>
          </cell>
          <cell r="J1767" t="str">
            <v>Jimmy L Smith</v>
          </cell>
          <cell r="K1767" t="str">
            <v>BARTLESVILLE</v>
          </cell>
          <cell r="L1767" t="str">
            <v>OK</v>
          </cell>
          <cell r="M1767" t="str">
            <v>800-577-8858</v>
          </cell>
          <cell r="N1767"/>
          <cell r="O1767">
            <v>290</v>
          </cell>
          <cell r="P1767">
            <v>1247</v>
          </cell>
          <cell r="Q1767"/>
          <cell r="R1767">
            <v>0</v>
          </cell>
          <cell r="S1767"/>
          <cell r="T1767">
            <v>0</v>
          </cell>
          <cell r="U1767" t="str"/>
          <cell r="V1767" t="str"/>
          <cell r="W1767" t="str"/>
          <cell r="X1767" t="str"/>
          <cell r="Y1767"/>
          <cell r="Z1767">
            <v>0</v>
          </cell>
          <cell r="AA1767"/>
          <cell r="AB1767" t="str">
            <v>n/a</v>
          </cell>
          <cell r="AC1767"/>
          <cell r="AD1767" t="str">
            <v>n/a</v>
          </cell>
          <cell r="AE1767"/>
          <cell r="AF1767"/>
          <cell r="AG1767"/>
          <cell r="AH1767"/>
          <cell r="AI1767"/>
          <cell r="AJ1767"/>
          <cell r="AK1767" t="str">
            <v>OL</v>
          </cell>
          <cell r="AL1767">
            <v>151</v>
          </cell>
          <cell r="AM1767">
            <v>31</v>
          </cell>
          <cell r="AN1767" t="str">
            <v>10 Orangeline</v>
          </cell>
          <cell r="AO1767" t="str">
            <v>Central</v>
          </cell>
          <cell r="AP1767" t="str">
            <v>Central</v>
          </cell>
          <cell r="AQ1767"/>
          <cell r="AR1767">
            <v>0</v>
          </cell>
          <cell r="AS1767">
            <v>0</v>
          </cell>
        </row>
        <row r="1768">
          <cell r="A1768">
            <v>13644</v>
          </cell>
          <cell r="B1768" t="str">
            <v>SMITH EQUIPMENT</v>
          </cell>
          <cell r="C1768" t="str">
            <v>M11627</v>
          </cell>
          <cell r="D1768" t="str">
            <v>Net 30, no pink card</v>
          </cell>
          <cell r="E1768" t="str">
            <v>2%</v>
          </cell>
          <cell r="F1768" t="str">
            <v>Yes</v>
          </cell>
          <cell r="G1768" t="str">
            <v>TX</v>
          </cell>
          <cell r="H1768">
            <v>5</v>
          </cell>
          <cell r="I1768">
            <v>0.7</v>
          </cell>
          <cell r="J1768" t="str">
            <v>Jimmy L Smith</v>
          </cell>
          <cell r="K1768" t="str">
            <v xml:space="preserve">IDABEL </v>
          </cell>
          <cell r="L1768" t="str">
            <v>OK</v>
          </cell>
          <cell r="M1768" t="str">
            <v>800-577-8858</v>
          </cell>
          <cell r="N1768"/>
          <cell r="O1768">
            <v>80</v>
          </cell>
          <cell r="P1768">
            <v>344</v>
          </cell>
          <cell r="Q1768"/>
          <cell r="R1768">
            <v>0</v>
          </cell>
          <cell r="S1768"/>
          <cell r="T1768">
            <v>0</v>
          </cell>
          <cell r="U1768" t="str"/>
          <cell r="V1768" t="str"/>
          <cell r="W1768" t="str"/>
          <cell r="X1768" t="str"/>
          <cell r="Y1768"/>
          <cell r="Z1768">
            <v>0</v>
          </cell>
          <cell r="AA1768"/>
          <cell r="AB1768" t="str">
            <v>n/a</v>
          </cell>
          <cell r="AC1768"/>
          <cell r="AD1768" t="str">
            <v>n/a</v>
          </cell>
          <cell r="AE1768"/>
          <cell r="AF1768"/>
          <cell r="AG1768"/>
          <cell r="AH1768"/>
          <cell r="AI1768"/>
          <cell r="AJ1768"/>
          <cell r="AK1768" t="str">
            <v>OL</v>
          </cell>
          <cell r="AL1768">
            <v>151</v>
          </cell>
          <cell r="AM1768">
            <v>443</v>
          </cell>
          <cell r="AN1768" t="str">
            <v>10 Orangeline</v>
          </cell>
          <cell r="AO1768" t="str">
            <v>Central</v>
          </cell>
          <cell r="AP1768" t="str">
            <v>Central</v>
          </cell>
          <cell r="AQ1768"/>
          <cell r="AR1768">
            <v>0</v>
          </cell>
          <cell r="AS1768">
            <v>0</v>
          </cell>
        </row>
        <row r="1769">
          <cell r="A1769" t="str">
            <v>13197A</v>
          </cell>
          <cell r="B1769" t="str">
            <v>SPRINGDALE TRACTOR</v>
          </cell>
          <cell r="C1769" t="str">
            <v>M11137</v>
          </cell>
          <cell r="D1769" t="str">
            <v>Net 30, no pink card</v>
          </cell>
          <cell r="E1769" t="str">
            <v>2%</v>
          </cell>
          <cell r="F1769" t="str">
            <v>Yes</v>
          </cell>
          <cell r="G1769" t="str">
            <v>TX</v>
          </cell>
          <cell r="H1769">
            <v>5</v>
          </cell>
          <cell r="I1769">
            <v>0.7</v>
          </cell>
          <cell r="J1769" t="str">
            <v>Jimmy L Smith</v>
          </cell>
          <cell r="K1769" t="str">
            <v>TULSA</v>
          </cell>
          <cell r="L1769" t="str">
            <v>OK</v>
          </cell>
          <cell r="M1769" t="str">
            <v>800-577-8858</v>
          </cell>
          <cell r="N1769"/>
          <cell r="O1769">
            <v>240</v>
          </cell>
          <cell r="P1769">
            <v>1032</v>
          </cell>
          <cell r="Q1769"/>
          <cell r="R1769">
            <v>0</v>
          </cell>
          <cell r="S1769"/>
          <cell r="T1769">
            <v>0</v>
          </cell>
          <cell r="U1769" t="str"/>
          <cell r="V1769" t="str"/>
          <cell r="W1769" t="str"/>
          <cell r="X1769" t="str"/>
          <cell r="Y1769"/>
          <cell r="Z1769">
            <v>0</v>
          </cell>
          <cell r="AA1769"/>
          <cell r="AB1769" t="str">
            <v>n/a</v>
          </cell>
          <cell r="AC1769"/>
          <cell r="AD1769" t="str">
            <v>n/a</v>
          </cell>
          <cell r="AE1769"/>
          <cell r="AF1769"/>
          <cell r="AG1769"/>
          <cell r="AH1769"/>
          <cell r="AI1769"/>
          <cell r="AJ1769"/>
          <cell r="AK1769" t="str">
            <v>OL</v>
          </cell>
          <cell r="AL1769">
            <v>151</v>
          </cell>
          <cell r="AM1769">
            <v>140</v>
          </cell>
          <cell r="AN1769" t="str">
            <v>10 Orangeline</v>
          </cell>
          <cell r="AO1769" t="str">
            <v>Central</v>
          </cell>
          <cell r="AP1769" t="str">
            <v>Central</v>
          </cell>
          <cell r="AQ1769"/>
          <cell r="AR1769">
            <v>0</v>
          </cell>
          <cell r="AS1769">
            <v>0</v>
          </cell>
        </row>
        <row r="1770">
          <cell r="A1770">
            <v>13218</v>
          </cell>
          <cell r="B1770" t="str">
            <v>TEXOMA UTILITY EQUIP</v>
          </cell>
          <cell r="C1770" t="str">
            <v>M11160</v>
          </cell>
          <cell r="D1770" t="str">
            <v>Net 30, no pink card</v>
          </cell>
          <cell r="E1770" t="str">
            <v>2%</v>
          </cell>
          <cell r="F1770" t="str">
            <v>Yes</v>
          </cell>
          <cell r="G1770" t="str">
            <v>TX</v>
          </cell>
          <cell r="H1770">
            <v>5</v>
          </cell>
          <cell r="I1770">
            <v>0.7</v>
          </cell>
          <cell r="J1770" t="str">
            <v>Jimmy L Smith</v>
          </cell>
          <cell r="K1770" t="str">
            <v>DURANT</v>
          </cell>
          <cell r="L1770" t="str">
            <v>OK</v>
          </cell>
          <cell r="M1770" t="str">
            <v>800-577-8858</v>
          </cell>
          <cell r="N1770"/>
          <cell r="O1770">
            <v>130</v>
          </cell>
          <cell r="P1770">
            <v>559</v>
          </cell>
          <cell r="Q1770"/>
          <cell r="R1770">
            <v>0</v>
          </cell>
          <cell r="S1770"/>
          <cell r="T1770">
            <v>0</v>
          </cell>
          <cell r="U1770" t="str"/>
          <cell r="V1770" t="str"/>
          <cell r="W1770" t="str"/>
          <cell r="X1770" t="str"/>
          <cell r="Y1770"/>
          <cell r="Z1770">
            <v>0</v>
          </cell>
          <cell r="AA1770"/>
          <cell r="AB1770" t="str">
            <v>n/a</v>
          </cell>
          <cell r="AC1770"/>
          <cell r="AD1770" t="str">
            <v>n/a</v>
          </cell>
          <cell r="AE1770"/>
          <cell r="AF1770"/>
          <cell r="AG1770"/>
          <cell r="AH1770"/>
          <cell r="AI1770"/>
          <cell r="AJ1770"/>
          <cell r="AK1770" t="str">
            <v>OL</v>
          </cell>
          <cell r="AL1770">
            <v>151</v>
          </cell>
          <cell r="AM1770">
            <v>418</v>
          </cell>
          <cell r="AN1770" t="str">
            <v>10 Orangeline</v>
          </cell>
          <cell r="AO1770" t="str">
            <v>Central</v>
          </cell>
          <cell r="AP1770" t="str">
            <v>Central</v>
          </cell>
          <cell r="AQ1770"/>
          <cell r="AR1770">
            <v>18020</v>
          </cell>
          <cell r="AS1770">
            <v>5088</v>
          </cell>
        </row>
        <row r="1771">
          <cell r="A1771">
            <v>13363</v>
          </cell>
          <cell r="B1771" t="str">
            <v>TEXOMA UTILITY EQUIP</v>
          </cell>
          <cell r="C1771" t="str">
            <v>M11160</v>
          </cell>
          <cell r="D1771" t="str">
            <v>Net 30, no pink card</v>
          </cell>
          <cell r="E1771" t="str">
            <v>O1-Northpoint</v>
          </cell>
          <cell r="F1771" t="str">
            <v>Yes</v>
          </cell>
          <cell r="G1771" t="str">
            <v>TX</v>
          </cell>
          <cell r="H1771">
            <v>8</v>
          </cell>
          <cell r="I1771">
            <v>0.7</v>
          </cell>
          <cell r="J1771" t="str">
            <v>Jimmy L Smith</v>
          </cell>
          <cell r="K1771" t="str">
            <v>DURANT</v>
          </cell>
          <cell r="L1771" t="str">
            <v>OK</v>
          </cell>
          <cell r="M1771" t="str">
            <v>800-577-8858</v>
          </cell>
          <cell r="N1771"/>
          <cell r="O1771">
            <v>130</v>
          </cell>
          <cell r="P1771">
            <v>559</v>
          </cell>
          <cell r="Q1771"/>
          <cell r="R1771">
            <v>0</v>
          </cell>
          <cell r="S1771"/>
          <cell r="T1771">
            <v>0</v>
          </cell>
          <cell r="U1771" t="str"/>
          <cell r="V1771" t="str"/>
          <cell r="W1771" t="str"/>
          <cell r="X1771" t="str"/>
          <cell r="Y1771"/>
          <cell r="Z1771">
            <v>0</v>
          </cell>
          <cell r="AA1771"/>
          <cell r="AB1771" t="str">
            <v>n/a</v>
          </cell>
          <cell r="AC1771"/>
          <cell r="AD1771" t="str">
            <v>n/a</v>
          </cell>
          <cell r="AE1771"/>
          <cell r="AF1771"/>
          <cell r="AG1771"/>
          <cell r="AH1771"/>
          <cell r="AI1771"/>
          <cell r="AJ1771"/>
          <cell r="AK1771" t="str">
            <v>OL</v>
          </cell>
          <cell r="AL1771">
            <v>151</v>
          </cell>
          <cell r="AM1771">
            <v>418</v>
          </cell>
          <cell r="AN1771" t="str">
            <v>10 Orangeline</v>
          </cell>
          <cell r="AO1771" t="str">
            <v>Central</v>
          </cell>
          <cell r="AP1771" t="str">
            <v>Central</v>
          </cell>
          <cell r="AQ1771"/>
          <cell r="AR1771">
            <v>0</v>
          </cell>
          <cell r="AS1771">
            <v>0</v>
          </cell>
        </row>
        <row r="1772">
          <cell r="A1772">
            <v>13526</v>
          </cell>
          <cell r="B1772" t="str">
            <v>KENNERLY dba UMPQUA VALLEY</v>
          </cell>
          <cell r="C1772" t="str">
            <v>M11499</v>
          </cell>
          <cell r="D1772" t="str">
            <v>Net 30, no pink card</v>
          </cell>
          <cell r="E1772" t="str">
            <v>2%</v>
          </cell>
          <cell r="F1772" t="str">
            <v>Yes</v>
          </cell>
          <cell r="G1772" t="str">
            <v>ID</v>
          </cell>
          <cell r="H1772">
            <v>5</v>
          </cell>
          <cell r="I1772">
            <v>0.7</v>
          </cell>
          <cell r="J1772" t="str">
            <v>Jimmy L Smith</v>
          </cell>
          <cell r="K1772" t="str">
            <v>ROSEBURG</v>
          </cell>
          <cell r="L1772" t="str">
            <v>OR</v>
          </cell>
          <cell r="M1772" t="str">
            <v>800-577-8860</v>
          </cell>
          <cell r="N1772"/>
          <cell r="O1772">
            <v>2150</v>
          </cell>
          <cell r="P1772">
            <v>9245</v>
          </cell>
          <cell r="Q1772"/>
          <cell r="R1772">
            <v>0</v>
          </cell>
          <cell r="S1772">
            <v>460</v>
          </cell>
          <cell r="T1772">
            <v>1978</v>
          </cell>
          <cell r="U1772" t="str"/>
          <cell r="V1772" t="str"/>
          <cell r="W1772" t="str"/>
          <cell r="X1772" t="str"/>
          <cell r="Y1772"/>
          <cell r="Z1772">
            <v>0</v>
          </cell>
          <cell r="AA1772"/>
          <cell r="AB1772">
            <v>0</v>
          </cell>
          <cell r="AC1772"/>
          <cell r="AD1772">
            <v>0</v>
          </cell>
          <cell r="AE1772"/>
          <cell r="AF1772"/>
          <cell r="AG1772"/>
          <cell r="AH1772"/>
          <cell r="AI1772"/>
          <cell r="AJ1772"/>
          <cell r="AK1772" t="str">
            <v>OL</v>
          </cell>
          <cell r="AL1772">
            <v>151</v>
          </cell>
          <cell r="AM1772">
            <v>385</v>
          </cell>
          <cell r="AN1772" t="str">
            <v>10 Orangeline</v>
          </cell>
          <cell r="AO1772" t="str">
            <v>North West</v>
          </cell>
          <cell r="AP1772" t="str">
            <v>North</v>
          </cell>
          <cell r="AQ1772"/>
          <cell r="AR1772">
            <v>0</v>
          </cell>
          <cell r="AS1772">
            <v>0</v>
          </cell>
        </row>
        <row r="1773">
          <cell r="A1773" t="str">
            <v>13526A</v>
          </cell>
          <cell r="B1773" t="str">
            <v>KENNERLY dba UMPQUA VALLEY</v>
          </cell>
          <cell r="C1773" t="str">
            <v>M11499</v>
          </cell>
          <cell r="D1773" t="str">
            <v>Net 30, no pink card</v>
          </cell>
          <cell r="E1773" t="str">
            <v>2%</v>
          </cell>
          <cell r="F1773" t="str">
            <v>Yes</v>
          </cell>
          <cell r="G1773" t="str">
            <v>ID</v>
          </cell>
          <cell r="H1773">
            <v>5</v>
          </cell>
          <cell r="I1773">
            <v>0.7</v>
          </cell>
          <cell r="J1773" t="str">
            <v>Jimmy L Smith</v>
          </cell>
          <cell r="K1773" t="str">
            <v>DILLARD</v>
          </cell>
          <cell r="L1773" t="str">
            <v>OR</v>
          </cell>
          <cell r="M1773" t="str">
            <v>800-577-8860</v>
          </cell>
          <cell r="N1773"/>
          <cell r="O1773">
            <v>2143</v>
          </cell>
          <cell r="P1773">
            <v>9214.9</v>
          </cell>
          <cell r="Q1773"/>
          <cell r="R1773">
            <v>0</v>
          </cell>
          <cell r="S1773">
            <v>468</v>
          </cell>
          <cell r="T1773">
            <v>2012.3999999999999</v>
          </cell>
          <cell r="U1773" t="str"/>
          <cell r="V1773" t="str"/>
          <cell r="W1773" t="str"/>
          <cell r="X1773" t="str"/>
          <cell r="Y1773"/>
          <cell r="Z1773">
            <v>0</v>
          </cell>
          <cell r="AA1773"/>
          <cell r="AB1773">
            <v>0</v>
          </cell>
          <cell r="AC1773"/>
          <cell r="AD1773">
            <v>0</v>
          </cell>
          <cell r="AE1773"/>
          <cell r="AF1773"/>
          <cell r="AG1773"/>
          <cell r="AH1773"/>
          <cell r="AI1773"/>
          <cell r="AJ1773"/>
          <cell r="AK1773" t="str">
            <v>OL</v>
          </cell>
          <cell r="AL1773">
            <v>151</v>
          </cell>
          <cell r="AM1773">
            <v>385</v>
          </cell>
          <cell r="AN1773" t="str">
            <v>10 Orangeline</v>
          </cell>
          <cell r="AO1773" t="str">
            <v>North West</v>
          </cell>
          <cell r="AP1773" t="str">
            <v>North</v>
          </cell>
          <cell r="AQ1773"/>
          <cell r="AR1773">
            <v>0</v>
          </cell>
          <cell r="AS1773">
            <v>0</v>
          </cell>
        </row>
        <row r="1774">
          <cell r="A1774">
            <v>13542</v>
          </cell>
          <cell r="B1774" t="str">
            <v>RICKREALL FARM</v>
          </cell>
          <cell r="C1774" t="str">
            <v>M11507</v>
          </cell>
          <cell r="D1774" t="str">
            <v>Net 30, no pink card</v>
          </cell>
          <cell r="E1774" t="str">
            <v>O1-Northpoint</v>
          </cell>
          <cell r="F1774" t="str">
            <v>Yes</v>
          </cell>
          <cell r="G1774" t="str">
            <v>ID</v>
          </cell>
          <cell r="H1774">
            <v>5</v>
          </cell>
          <cell r="I1774">
            <v>0.7</v>
          </cell>
          <cell r="J1774" t="str">
            <v>Jimmy L Smith</v>
          </cell>
          <cell r="K1774" t="str">
            <v>RICKREALL</v>
          </cell>
          <cell r="L1774" t="str">
            <v>OR</v>
          </cell>
          <cell r="M1774" t="str">
            <v>800-577-8860</v>
          </cell>
          <cell r="N1774"/>
          <cell r="O1774">
            <v>2180</v>
          </cell>
          <cell r="P1774">
            <v>9374</v>
          </cell>
          <cell r="Q1774"/>
          <cell r="R1774">
            <v>0</v>
          </cell>
          <cell r="S1774">
            <v>468</v>
          </cell>
          <cell r="T1774">
            <v>2012.3999999999999</v>
          </cell>
          <cell r="U1774" t="str"/>
          <cell r="V1774" t="str"/>
          <cell r="W1774" t="str"/>
          <cell r="X1774" t="str"/>
          <cell r="Y1774"/>
          <cell r="Z1774">
            <v>0</v>
          </cell>
          <cell r="AA1774"/>
          <cell r="AB1774">
            <v>0</v>
          </cell>
          <cell r="AC1774"/>
          <cell r="AD1774">
            <v>0</v>
          </cell>
          <cell r="AE1774"/>
          <cell r="AF1774"/>
          <cell r="AG1774"/>
          <cell r="AH1774"/>
          <cell r="AI1774"/>
          <cell r="AJ1774"/>
          <cell r="AK1774" t="str">
            <v>OL</v>
          </cell>
          <cell r="AL1774">
            <v>151</v>
          </cell>
          <cell r="AM1774">
            <v>395</v>
          </cell>
          <cell r="AN1774" t="str">
            <v>10 Orangeline</v>
          </cell>
          <cell r="AO1774" t="str">
            <v>North West</v>
          </cell>
          <cell r="AP1774" t="str">
            <v>North</v>
          </cell>
          <cell r="AQ1774"/>
          <cell r="AR1774">
            <v>0</v>
          </cell>
          <cell r="AS1774">
            <v>0</v>
          </cell>
        </row>
        <row r="1775">
          <cell r="A1775">
            <v>13418</v>
          </cell>
          <cell r="B1775" t="str">
            <v>AJ'S OUTDOOR</v>
          </cell>
          <cell r="C1775" t="str">
            <v>M11184</v>
          </cell>
          <cell r="D1775" t="str">
            <v>Net 30, no pink card</v>
          </cell>
          <cell r="E1775" t="str">
            <v>2%</v>
          </cell>
          <cell r="F1775" t="str">
            <v>Yes</v>
          </cell>
          <cell r="G1775" t="str">
            <v>OH</v>
          </cell>
          <cell r="H1775">
            <v>5</v>
          </cell>
          <cell r="I1775">
            <v>0.7</v>
          </cell>
          <cell r="J1775" t="str">
            <v>Jimmy L Smith</v>
          </cell>
          <cell r="K1775" t="str">
            <v>MANSFIELD</v>
          </cell>
          <cell r="L1775" t="str">
            <v>PA</v>
          </cell>
          <cell r="M1775" t="str">
            <v>800-577-8860</v>
          </cell>
          <cell r="N1775"/>
          <cell r="O1775"/>
          <cell r="P1775">
            <v>0</v>
          </cell>
          <cell r="Q1775"/>
          <cell r="R1775">
            <v>0</v>
          </cell>
          <cell r="S1775"/>
          <cell r="T1775">
            <v>0</v>
          </cell>
          <cell r="U1775" t="str"/>
          <cell r="V1775" t="str"/>
          <cell r="W1775" t="str"/>
          <cell r="X1775" t="str"/>
          <cell r="Y1775">
            <v>545</v>
          </cell>
          <cell r="Z1775">
            <v>2343.5</v>
          </cell>
          <cell r="AA1775">
            <v>545</v>
          </cell>
          <cell r="AB1775">
            <v>2343.5</v>
          </cell>
          <cell r="AC1775">
            <v>545</v>
          </cell>
          <cell r="AD1775">
            <v>2343.5</v>
          </cell>
          <cell r="AE1775"/>
          <cell r="AF1775"/>
          <cell r="AG1775"/>
          <cell r="AH1775"/>
          <cell r="AI1775"/>
          <cell r="AJ1775"/>
          <cell r="AK1775" t="str">
            <v>OL</v>
          </cell>
          <cell r="AL1775">
            <v>151</v>
          </cell>
          <cell r="AM1775">
            <v>127</v>
          </cell>
          <cell r="AN1775" t="str">
            <v>10 Orangeline</v>
          </cell>
          <cell r="AO1775" t="str">
            <v>Northeast</v>
          </cell>
          <cell r="AP1775" t="str">
            <v>North</v>
          </cell>
          <cell r="AQ1775"/>
          <cell r="AR1775">
            <v>0</v>
          </cell>
          <cell r="AS1775">
            <v>0</v>
          </cell>
        </row>
        <row r="1776">
          <cell r="A1776">
            <v>13421</v>
          </cell>
          <cell r="B1776" t="str">
            <v>ARTMAN EQUIPMENT</v>
          </cell>
          <cell r="C1776" t="str">
            <v>M11187</v>
          </cell>
          <cell r="D1776" t="str">
            <v>Net 30, no pink card</v>
          </cell>
          <cell r="E1776" t="str">
            <v xml:space="preserve">2% </v>
          </cell>
          <cell r="F1776" t="str">
            <v>Yes</v>
          </cell>
          <cell r="G1776" t="str">
            <v>OH</v>
          </cell>
          <cell r="H1776">
            <v>5</v>
          </cell>
          <cell r="I1776">
            <v>0.7</v>
          </cell>
          <cell r="J1776" t="str">
            <v>Jimmy L Smith</v>
          </cell>
          <cell r="K1776" t="str">
            <v xml:space="preserve">APOLLO </v>
          </cell>
          <cell r="L1776" t="str">
            <v>PA</v>
          </cell>
          <cell r="M1776" t="str">
            <v>800-577-8863</v>
          </cell>
          <cell r="N1776"/>
          <cell r="O1776"/>
          <cell r="P1776">
            <v>0</v>
          </cell>
          <cell r="Q1776"/>
          <cell r="R1776">
            <v>0</v>
          </cell>
          <cell r="S1776"/>
          <cell r="T1776">
            <v>0</v>
          </cell>
          <cell r="U1776" t="str"/>
          <cell r="V1776" t="str"/>
          <cell r="W1776" t="str"/>
          <cell r="X1776" t="str"/>
          <cell r="Y1776">
            <v>340</v>
          </cell>
          <cell r="Z1776">
            <v>1462</v>
          </cell>
          <cell r="AA1776">
            <v>340</v>
          </cell>
          <cell r="AB1776">
            <v>1462</v>
          </cell>
          <cell r="AC1776">
            <v>340</v>
          </cell>
          <cell r="AD1776">
            <v>1462</v>
          </cell>
          <cell r="AE1776"/>
          <cell r="AF1776"/>
          <cell r="AG1776"/>
          <cell r="AH1776"/>
          <cell r="AI1776"/>
          <cell r="AJ1776"/>
          <cell r="AK1776" t="str">
            <v>OL</v>
          </cell>
          <cell r="AL1776">
            <v>151</v>
          </cell>
          <cell r="AM1776">
            <v>350</v>
          </cell>
          <cell r="AN1776" t="str">
            <v>10 Orangeline</v>
          </cell>
          <cell r="AO1776" t="str">
            <v>Northeast</v>
          </cell>
          <cell r="AP1776" t="str">
            <v>North</v>
          </cell>
          <cell r="AQ1776"/>
          <cell r="AR1776">
            <v>0</v>
          </cell>
          <cell r="AS1776">
            <v>0</v>
          </cell>
        </row>
        <row r="1777">
          <cell r="A1777">
            <v>13424</v>
          </cell>
          <cell r="B1777" t="str">
            <v>BEST LINE LEASING</v>
          </cell>
          <cell r="C1777" t="str">
            <v>M11190</v>
          </cell>
          <cell r="D1777" t="str">
            <v>Net 30, no pink card</v>
          </cell>
          <cell r="E1777" t="str">
            <v>2%</v>
          </cell>
          <cell r="F1777" t="str">
            <v>Yes</v>
          </cell>
          <cell r="G1777" t="str">
            <v>OH</v>
          </cell>
          <cell r="H1777">
            <v>5</v>
          </cell>
          <cell r="I1777">
            <v>0.7</v>
          </cell>
          <cell r="J1777" t="str">
            <v>Jimmy L Smith</v>
          </cell>
          <cell r="K1777" t="str">
            <v>TOWANDA</v>
          </cell>
          <cell r="L1777" t="str">
            <v>PA</v>
          </cell>
          <cell r="M1777" t="str">
            <v>800-577-8866</v>
          </cell>
          <cell r="N1777"/>
          <cell r="O1777"/>
          <cell r="P1777">
            <v>0</v>
          </cell>
          <cell r="Q1777"/>
          <cell r="R1777">
            <v>0</v>
          </cell>
          <cell r="S1777"/>
          <cell r="T1777">
            <v>0</v>
          </cell>
          <cell r="U1777" t="str"/>
          <cell r="V1777" t="str"/>
          <cell r="W1777" t="str"/>
          <cell r="X1777" t="str"/>
          <cell r="Y1777">
            <v>565</v>
          </cell>
          <cell r="Z1777">
            <v>2429.5</v>
          </cell>
          <cell r="AA1777">
            <v>565</v>
          </cell>
          <cell r="AB1777">
            <v>2429.5</v>
          </cell>
          <cell r="AC1777">
            <v>565</v>
          </cell>
          <cell r="AD1777">
            <v>2429.5</v>
          </cell>
          <cell r="AE1777"/>
          <cell r="AF1777"/>
          <cell r="AG1777"/>
          <cell r="AH1777"/>
          <cell r="AI1777"/>
          <cell r="AJ1777"/>
          <cell r="AK1777" t="str">
            <v>OL</v>
          </cell>
          <cell r="AL1777">
            <v>151</v>
          </cell>
          <cell r="AM1777">
            <v>429</v>
          </cell>
          <cell r="AN1777" t="str">
            <v>10 Orangeline</v>
          </cell>
          <cell r="AO1777" t="str">
            <v>Northeast</v>
          </cell>
          <cell r="AP1777" t="str">
            <v>North</v>
          </cell>
          <cell r="AQ1777"/>
          <cell r="AR1777">
            <v>0</v>
          </cell>
          <cell r="AS1777">
            <v>0</v>
          </cell>
        </row>
        <row r="1778">
          <cell r="A1778">
            <v>13426</v>
          </cell>
          <cell r="B1778" t="str">
            <v>CH WALTZ</v>
          </cell>
          <cell r="C1778" t="str">
            <v>M11192</v>
          </cell>
          <cell r="D1778" t="str">
            <v>Net 30, no pink card</v>
          </cell>
          <cell r="E1778" t="str">
            <v>2%</v>
          </cell>
          <cell r="F1778" t="str">
            <v>Yes</v>
          </cell>
          <cell r="G1778" t="str">
            <v>OH</v>
          </cell>
          <cell r="H1778">
            <v>5</v>
          </cell>
          <cell r="I1778">
            <v>0.7</v>
          </cell>
          <cell r="J1778" t="str">
            <v>Jimmy L Smith</v>
          </cell>
          <cell r="K1778" t="str">
            <v>COGAN STATION</v>
          </cell>
          <cell r="L1778" t="str">
            <v>PA</v>
          </cell>
          <cell r="M1778" t="str">
            <v>800-577-8868</v>
          </cell>
          <cell r="N1778"/>
          <cell r="O1778"/>
          <cell r="P1778">
            <v>0</v>
          </cell>
          <cell r="Q1778"/>
          <cell r="R1778">
            <v>0</v>
          </cell>
          <cell r="S1778"/>
          <cell r="T1778">
            <v>0</v>
          </cell>
          <cell r="U1778" t="str"/>
          <cell r="V1778" t="str"/>
          <cell r="W1778" t="str"/>
          <cell r="X1778" t="str"/>
          <cell r="Y1778">
            <v>502</v>
          </cell>
          <cell r="Z1778">
            <v>2158.6</v>
          </cell>
          <cell r="AA1778">
            <v>502</v>
          </cell>
          <cell r="AB1778">
            <v>2158.6</v>
          </cell>
          <cell r="AC1778">
            <v>502</v>
          </cell>
          <cell r="AD1778">
            <v>2158.6</v>
          </cell>
          <cell r="AE1778"/>
          <cell r="AF1778"/>
          <cell r="AG1778"/>
          <cell r="AH1778"/>
          <cell r="AI1778"/>
          <cell r="AJ1778"/>
          <cell r="AK1778" t="str">
            <v>OL</v>
          </cell>
          <cell r="AL1778">
            <v>151</v>
          </cell>
          <cell r="AM1778">
            <v>475</v>
          </cell>
          <cell r="AN1778" t="str">
            <v>10 Orangeline</v>
          </cell>
          <cell r="AO1778" t="str">
            <v>Northeast</v>
          </cell>
          <cell r="AP1778" t="str">
            <v>North</v>
          </cell>
          <cell r="AQ1778"/>
          <cell r="AR1778">
            <v>0</v>
          </cell>
          <cell r="AS1778">
            <v>0</v>
          </cell>
        </row>
        <row r="1779">
          <cell r="A1779">
            <v>13431</v>
          </cell>
          <cell r="B1779" t="str">
            <v>DOTTERER EQUIP</v>
          </cell>
          <cell r="C1779" t="str">
            <v>M11398</v>
          </cell>
          <cell r="D1779" t="str">
            <v>Net 30, no pink card</v>
          </cell>
          <cell r="E1779" t="str">
            <v>2%</v>
          </cell>
          <cell r="F1779" t="str">
            <v>Yes</v>
          </cell>
          <cell r="G1779" t="str">
            <v>OH</v>
          </cell>
          <cell r="H1779">
            <v>5</v>
          </cell>
          <cell r="I1779">
            <v>0.7</v>
          </cell>
          <cell r="J1779" t="str">
            <v>Jimmy L Smith</v>
          </cell>
          <cell r="K1779" t="str">
            <v>MILL HALL</v>
          </cell>
          <cell r="L1779" t="str">
            <v>PA</v>
          </cell>
          <cell r="M1779" t="str">
            <v>800-577-8873</v>
          </cell>
          <cell r="N1779"/>
          <cell r="O1779"/>
          <cell r="P1779">
            <v>0</v>
          </cell>
          <cell r="Q1779"/>
          <cell r="R1779">
            <v>0</v>
          </cell>
          <cell r="S1779"/>
          <cell r="T1779">
            <v>0</v>
          </cell>
          <cell r="U1779" t="str"/>
          <cell r="V1779" t="str"/>
          <cell r="W1779" t="str"/>
          <cell r="X1779" t="str"/>
          <cell r="Y1779">
            <v>470</v>
          </cell>
          <cell r="Z1779">
            <v>2021</v>
          </cell>
          <cell r="AA1779">
            <v>470</v>
          </cell>
          <cell r="AB1779">
            <v>2021</v>
          </cell>
          <cell r="AC1779">
            <v>470</v>
          </cell>
          <cell r="AD1779">
            <v>2021</v>
          </cell>
          <cell r="AE1779"/>
          <cell r="AF1779"/>
          <cell r="AG1779"/>
          <cell r="AH1779"/>
          <cell r="AI1779"/>
          <cell r="AJ1779"/>
          <cell r="AK1779" t="str">
            <v>OL</v>
          </cell>
          <cell r="AL1779">
            <v>151</v>
          </cell>
          <cell r="AM1779">
            <v>475</v>
          </cell>
          <cell r="AN1779" t="str">
            <v>10 Orangeline</v>
          </cell>
          <cell r="AO1779" t="str">
            <v>Northeast</v>
          </cell>
          <cell r="AP1779" t="str">
            <v>North</v>
          </cell>
          <cell r="AQ1779"/>
          <cell r="AR1779">
            <v>0</v>
          </cell>
          <cell r="AS1779">
            <v>0</v>
          </cell>
        </row>
        <row r="1780">
          <cell r="A1780" t="str">
            <v>13373D</v>
          </cell>
          <cell r="B1780" t="str">
            <v>HOOBER INC</v>
          </cell>
          <cell r="C1780" t="str">
            <v>M11340</v>
          </cell>
          <cell r="D1780" t="str">
            <v>Net 30, no pink card</v>
          </cell>
          <cell r="E1780" t="str">
            <v>2%</v>
          </cell>
          <cell r="F1780" t="str">
            <v>Yes</v>
          </cell>
          <cell r="G1780" t="str">
            <v>GA</v>
          </cell>
          <cell r="H1780">
            <v>5</v>
          </cell>
          <cell r="I1780">
            <v>0.7</v>
          </cell>
          <cell r="J1780" t="str">
            <v>Jimmy L Smith</v>
          </cell>
          <cell r="K1780" t="str">
            <v>INTERCOURSE</v>
          </cell>
          <cell r="L1780" t="str">
            <v>PA</v>
          </cell>
          <cell r="M1780" t="str">
            <v>800-577-8858</v>
          </cell>
          <cell r="N1780"/>
          <cell r="O1780"/>
          <cell r="P1780">
            <v>0</v>
          </cell>
          <cell r="Q1780"/>
          <cell r="R1780">
            <v>0</v>
          </cell>
          <cell r="S1780"/>
          <cell r="T1780">
            <v>0</v>
          </cell>
          <cell r="U1780" t="str"/>
          <cell r="V1780" t="str"/>
          <cell r="W1780" t="str"/>
          <cell r="X1780" t="str"/>
          <cell r="Y1780">
            <v>520</v>
          </cell>
          <cell r="Z1780">
            <v>2236</v>
          </cell>
          <cell r="AA1780">
            <v>520</v>
          </cell>
          <cell r="AB1780">
            <v>2236</v>
          </cell>
          <cell r="AC1780">
            <v>520</v>
          </cell>
          <cell r="AD1780">
            <v>2236</v>
          </cell>
          <cell r="AE1780"/>
          <cell r="AF1780"/>
          <cell r="AG1780"/>
          <cell r="AH1780"/>
          <cell r="AI1780"/>
          <cell r="AJ1780"/>
          <cell r="AK1780" t="str">
            <v>OL</v>
          </cell>
          <cell r="AL1780">
            <v>151</v>
          </cell>
          <cell r="AM1780">
            <v>240</v>
          </cell>
          <cell r="AN1780" t="str">
            <v>10 Orangeline</v>
          </cell>
          <cell r="AO1780" t="str">
            <v>Northeast</v>
          </cell>
          <cell r="AP1780" t="str">
            <v>North</v>
          </cell>
          <cell r="AQ1780"/>
          <cell r="AR1780">
            <v>0</v>
          </cell>
          <cell r="AS1780">
            <v>0</v>
          </cell>
        </row>
        <row r="1781">
          <cell r="A1781" t="str">
            <v>13373E</v>
          </cell>
          <cell r="B1781" t="str">
            <v>HOOBER INC</v>
          </cell>
          <cell r="C1781" t="str">
            <v>M11340</v>
          </cell>
          <cell r="D1781" t="str">
            <v>Net 30, no pink card</v>
          </cell>
          <cell r="E1781" t="str">
            <v>2%</v>
          </cell>
          <cell r="F1781" t="str">
            <v>Yes</v>
          </cell>
          <cell r="G1781" t="str">
            <v>GA</v>
          </cell>
          <cell r="H1781">
            <v>5</v>
          </cell>
          <cell r="I1781">
            <v>0.7</v>
          </cell>
          <cell r="J1781" t="str">
            <v>Jimmy L Smith</v>
          </cell>
          <cell r="K1781" t="str">
            <v>MIFFLINTOWN</v>
          </cell>
          <cell r="L1781" t="str">
            <v>PA</v>
          </cell>
          <cell r="M1781" t="str">
            <v>800-577-8858</v>
          </cell>
          <cell r="N1781"/>
          <cell r="O1781"/>
          <cell r="P1781">
            <v>0</v>
          </cell>
          <cell r="Q1781"/>
          <cell r="R1781">
            <v>0</v>
          </cell>
          <cell r="S1781"/>
          <cell r="T1781">
            <v>0</v>
          </cell>
          <cell r="U1781" t="str"/>
          <cell r="V1781" t="str"/>
          <cell r="W1781" t="str"/>
          <cell r="X1781" t="str"/>
          <cell r="Y1781">
            <v>465</v>
          </cell>
          <cell r="Z1781">
            <v>1999.5</v>
          </cell>
          <cell r="AA1781">
            <v>465</v>
          </cell>
          <cell r="AB1781">
            <v>1999.5</v>
          </cell>
          <cell r="AC1781">
            <v>465</v>
          </cell>
          <cell r="AD1781">
            <v>1999.5</v>
          </cell>
          <cell r="AE1781"/>
          <cell r="AF1781"/>
          <cell r="AG1781"/>
          <cell r="AH1781"/>
          <cell r="AI1781"/>
          <cell r="AJ1781"/>
          <cell r="AK1781" t="str">
            <v>OL</v>
          </cell>
          <cell r="AL1781">
            <v>151</v>
          </cell>
          <cell r="AM1781">
            <v>181</v>
          </cell>
          <cell r="AN1781" t="str">
            <v>10 Orangeline</v>
          </cell>
          <cell r="AO1781" t="str">
            <v>Northeast</v>
          </cell>
          <cell r="AP1781" t="str">
            <v>North</v>
          </cell>
          <cell r="AQ1781"/>
          <cell r="AR1781">
            <v>0</v>
          </cell>
          <cell r="AS1781">
            <v>0</v>
          </cell>
        </row>
        <row r="1782">
          <cell r="A1782">
            <v>13447</v>
          </cell>
          <cell r="B1782" t="str">
            <v>MURPHY FAMILY</v>
          </cell>
          <cell r="C1782" t="str">
            <v>M11213</v>
          </cell>
          <cell r="D1782" t="str">
            <v>Net 30, no pink card</v>
          </cell>
          <cell r="E1782" t="str">
            <v>2%</v>
          </cell>
          <cell r="F1782" t="str">
            <v>Yes</v>
          </cell>
          <cell r="G1782" t="str">
            <v>OH</v>
          </cell>
          <cell r="H1782">
            <v>5</v>
          </cell>
          <cell r="I1782">
            <v>0.7</v>
          </cell>
          <cell r="J1782" t="str">
            <v>Jimmy L Smith</v>
          </cell>
          <cell r="K1782" t="str">
            <v xml:space="preserve">WASHINGTON </v>
          </cell>
          <cell r="L1782" t="str">
            <v>PA</v>
          </cell>
          <cell r="M1782" t="str">
            <v>800-577-8889</v>
          </cell>
          <cell r="N1782"/>
          <cell r="O1782"/>
          <cell r="P1782">
            <v>0</v>
          </cell>
          <cell r="Q1782"/>
          <cell r="R1782">
            <v>0</v>
          </cell>
          <cell r="S1782"/>
          <cell r="T1782">
            <v>0</v>
          </cell>
          <cell r="U1782" t="str"/>
          <cell r="V1782" t="str"/>
          <cell r="W1782" t="str"/>
          <cell r="X1782" t="str"/>
          <cell r="Y1782">
            <v>270</v>
          </cell>
          <cell r="Z1782">
            <v>1161</v>
          </cell>
          <cell r="AA1782">
            <v>270</v>
          </cell>
          <cell r="AB1782">
            <v>1161</v>
          </cell>
          <cell r="AC1782">
            <v>270</v>
          </cell>
          <cell r="AD1782">
            <v>1161</v>
          </cell>
          <cell r="AE1782"/>
          <cell r="AF1782"/>
          <cell r="AG1782"/>
          <cell r="AH1782"/>
          <cell r="AI1782"/>
          <cell r="AJ1782"/>
          <cell r="AK1782" t="str">
            <v>OL</v>
          </cell>
          <cell r="AL1782">
            <v>151</v>
          </cell>
          <cell r="AM1782">
            <v>350</v>
          </cell>
          <cell r="AN1782" t="str">
            <v>10 Orangeline</v>
          </cell>
          <cell r="AO1782" t="str">
            <v>Northeast</v>
          </cell>
          <cell r="AP1782" t="str">
            <v>North</v>
          </cell>
          <cell r="AQ1782"/>
          <cell r="AR1782">
            <v>0</v>
          </cell>
          <cell r="AS1782">
            <v>0</v>
          </cell>
        </row>
        <row r="1783">
          <cell r="A1783">
            <v>13480</v>
          </cell>
          <cell r="B1783" t="str">
            <v>WALKER &amp; WALKER EQUIP</v>
          </cell>
          <cell r="C1783" t="str">
            <v>M11456</v>
          </cell>
          <cell r="D1783" t="str">
            <v>Net 30, no pink card</v>
          </cell>
          <cell r="E1783" t="str">
            <v>2%</v>
          </cell>
          <cell r="F1783" t="str">
            <v>Yes</v>
          </cell>
          <cell r="G1783" t="str">
            <v>OH</v>
          </cell>
          <cell r="H1783">
            <v>5</v>
          </cell>
          <cell r="I1783">
            <v>0.7</v>
          </cell>
          <cell r="J1783" t="str">
            <v>Jimmy L Smith</v>
          </cell>
          <cell r="K1783" t="str">
            <v>INDIANA</v>
          </cell>
          <cell r="L1783" t="str">
            <v>PA</v>
          </cell>
          <cell r="M1783" t="str">
            <v>800-577-8889</v>
          </cell>
          <cell r="N1783"/>
          <cell r="O1783"/>
          <cell r="P1783">
            <v>0</v>
          </cell>
          <cell r="Q1783"/>
          <cell r="R1783">
            <v>0</v>
          </cell>
          <cell r="S1783"/>
          <cell r="T1783">
            <v>0</v>
          </cell>
          <cell r="U1783" t="str"/>
          <cell r="V1783" t="str"/>
          <cell r="W1783" t="str"/>
          <cell r="X1783" t="str"/>
          <cell r="Y1783">
            <v>360</v>
          </cell>
          <cell r="Z1783">
            <v>1548</v>
          </cell>
          <cell r="AA1783">
            <v>360</v>
          </cell>
          <cell r="AB1783">
            <v>1548</v>
          </cell>
          <cell r="AC1783">
            <v>360</v>
          </cell>
          <cell r="AD1783">
            <v>1548</v>
          </cell>
          <cell r="AE1783"/>
          <cell r="AF1783"/>
          <cell r="AG1783"/>
          <cell r="AH1783"/>
          <cell r="AI1783"/>
          <cell r="AJ1783"/>
          <cell r="AK1783" t="str">
            <v>OL</v>
          </cell>
          <cell r="AL1783">
            <v>151</v>
          </cell>
          <cell r="AM1783">
            <v>203</v>
          </cell>
          <cell r="AN1783" t="str">
            <v>10 Orangeline</v>
          </cell>
          <cell r="AO1783" t="str">
            <v>Northeast</v>
          </cell>
          <cell r="AP1783" t="str">
            <v>North</v>
          </cell>
          <cell r="AQ1783"/>
          <cell r="AR1783">
            <v>0</v>
          </cell>
          <cell r="AS1783">
            <v>0</v>
          </cell>
        </row>
        <row r="1784">
          <cell r="A1784">
            <v>13481</v>
          </cell>
          <cell r="B1784" t="str">
            <v>W&amp;W EQUIPMENT</v>
          </cell>
          <cell r="C1784" t="str">
            <v>M11456</v>
          </cell>
          <cell r="D1784" t="str">
            <v>Net 30, no pink card</v>
          </cell>
          <cell r="E1784" t="str">
            <v>2%</v>
          </cell>
          <cell r="F1784" t="str">
            <v>Yes</v>
          </cell>
          <cell r="G1784" t="str">
            <v>OH</v>
          </cell>
          <cell r="H1784">
            <v>5</v>
          </cell>
          <cell r="I1784">
            <v>0.7</v>
          </cell>
          <cell r="J1784" t="str">
            <v>Jimmy L Smith</v>
          </cell>
          <cell r="K1784" t="str">
            <v>DUBOIS</v>
          </cell>
          <cell r="L1784" t="str">
            <v>PA</v>
          </cell>
          <cell r="M1784" t="str">
            <v>800-577-8889</v>
          </cell>
          <cell r="N1784"/>
          <cell r="O1784"/>
          <cell r="P1784">
            <v>0</v>
          </cell>
          <cell r="Q1784"/>
          <cell r="R1784">
            <v>0</v>
          </cell>
          <cell r="S1784"/>
          <cell r="T1784">
            <v>0</v>
          </cell>
          <cell r="U1784" t="str"/>
          <cell r="V1784" t="str"/>
          <cell r="W1784" t="str"/>
          <cell r="X1784" t="str"/>
          <cell r="Y1784">
            <v>390</v>
          </cell>
          <cell r="Z1784">
            <v>1677</v>
          </cell>
          <cell r="AA1784">
            <v>390</v>
          </cell>
          <cell r="AB1784">
            <v>1677</v>
          </cell>
          <cell r="AC1784">
            <v>390</v>
          </cell>
          <cell r="AD1784">
            <v>1677</v>
          </cell>
          <cell r="AE1784"/>
          <cell r="AF1784"/>
          <cell r="AG1784"/>
          <cell r="AH1784"/>
          <cell r="AI1784"/>
          <cell r="AJ1784"/>
          <cell r="AK1784" t="str">
            <v>OL</v>
          </cell>
          <cell r="AL1784">
            <v>151</v>
          </cell>
          <cell r="AM1784">
            <v>203</v>
          </cell>
          <cell r="AN1784" t="str">
            <v>10 Orangeline</v>
          </cell>
          <cell r="AO1784" t="str">
            <v>Northeast</v>
          </cell>
          <cell r="AP1784" t="str">
            <v>North</v>
          </cell>
          <cell r="AQ1784"/>
          <cell r="AR1784">
            <v>0</v>
          </cell>
          <cell r="AS1784">
            <v>0</v>
          </cell>
        </row>
        <row r="1785">
          <cell r="A1785" t="str">
            <v>13481A</v>
          </cell>
          <cell r="B1785" t="str">
            <v>W&amp;W EQUIPMENT</v>
          </cell>
          <cell r="C1785" t="str">
            <v>M11456</v>
          </cell>
          <cell r="D1785" t="str">
            <v>Net 30, no pink card</v>
          </cell>
          <cell r="E1785" t="str">
            <v>2%</v>
          </cell>
          <cell r="F1785" t="str">
            <v>Yes</v>
          </cell>
          <cell r="G1785" t="str">
            <v>OH</v>
          </cell>
          <cell r="H1785">
            <v>5</v>
          </cell>
          <cell r="I1785">
            <v>0.7</v>
          </cell>
          <cell r="J1785" t="str">
            <v>Jimmy L Smith</v>
          </cell>
          <cell r="K1785" t="str">
            <v>CENTRE HALL</v>
          </cell>
          <cell r="L1785" t="str">
            <v>PA</v>
          </cell>
          <cell r="M1785" t="str">
            <v>800-577-8889</v>
          </cell>
          <cell r="N1785"/>
          <cell r="O1785"/>
          <cell r="P1785">
            <v>0</v>
          </cell>
          <cell r="Q1785"/>
          <cell r="R1785">
            <v>0</v>
          </cell>
          <cell r="S1785"/>
          <cell r="T1785">
            <v>0</v>
          </cell>
          <cell r="U1785" t="str"/>
          <cell r="V1785" t="str"/>
          <cell r="W1785" t="str"/>
          <cell r="X1785" t="str"/>
          <cell r="Y1785">
            <v>450</v>
          </cell>
          <cell r="Z1785">
            <v>1935</v>
          </cell>
          <cell r="AA1785">
            <v>450</v>
          </cell>
          <cell r="AB1785">
            <v>1935</v>
          </cell>
          <cell r="AC1785">
            <v>450</v>
          </cell>
          <cell r="AD1785">
            <v>1935</v>
          </cell>
          <cell r="AE1785"/>
          <cell r="AF1785"/>
          <cell r="AG1785"/>
          <cell r="AH1785"/>
          <cell r="AI1785"/>
          <cell r="AJ1785"/>
          <cell r="AK1785" t="str">
            <v>OL</v>
          </cell>
          <cell r="AL1785">
            <v>151</v>
          </cell>
          <cell r="AM1785">
            <v>429</v>
          </cell>
          <cell r="AN1785" t="str">
            <v>10 Orangeline</v>
          </cell>
          <cell r="AO1785" t="str">
            <v>Northeast</v>
          </cell>
          <cell r="AP1785" t="str">
            <v>North</v>
          </cell>
          <cell r="AQ1785"/>
          <cell r="AR1785">
            <v>0</v>
          </cell>
          <cell r="AS1785">
            <v>0</v>
          </cell>
        </row>
        <row r="1786">
          <cell r="A1786">
            <v>13483</v>
          </cell>
          <cell r="B1786" t="str">
            <v>EAGLE POWER TURF</v>
          </cell>
          <cell r="C1786" t="str">
            <v>M11459</v>
          </cell>
          <cell r="D1786" t="str">
            <v>Net 30, no pink card</v>
          </cell>
          <cell r="E1786" t="str">
            <v>O1-Northpoint</v>
          </cell>
          <cell r="F1786" t="str">
            <v>Yes</v>
          </cell>
          <cell r="G1786" t="str">
            <v>OH</v>
          </cell>
          <cell r="H1786">
            <v>8</v>
          </cell>
          <cell r="I1786">
            <v>0.7</v>
          </cell>
          <cell r="J1786" t="str">
            <v>Jimmy L Smith</v>
          </cell>
          <cell r="K1786" t="str">
            <v>DOYELSTOWN</v>
          </cell>
          <cell r="L1786" t="str">
            <v>PA</v>
          </cell>
          <cell r="M1786" t="str">
            <v>800-577-8889</v>
          </cell>
          <cell r="N1786"/>
          <cell r="O1786"/>
          <cell r="P1786">
            <v>0</v>
          </cell>
          <cell r="Q1786"/>
          <cell r="R1786">
            <v>0</v>
          </cell>
          <cell r="S1786"/>
          <cell r="T1786">
            <v>0</v>
          </cell>
          <cell r="U1786" t="str"/>
          <cell r="V1786" t="str"/>
          <cell r="W1786" t="str"/>
          <cell r="X1786" t="str"/>
          <cell r="Y1786">
            <v>590</v>
          </cell>
          <cell r="Z1786">
            <v>2537</v>
          </cell>
          <cell r="AA1786">
            <v>590</v>
          </cell>
          <cell r="AB1786">
            <v>2537</v>
          </cell>
          <cell r="AC1786">
            <v>590</v>
          </cell>
          <cell r="AD1786">
            <v>2537</v>
          </cell>
          <cell r="AE1786"/>
          <cell r="AF1786"/>
          <cell r="AG1786"/>
          <cell r="AH1786"/>
          <cell r="AI1786"/>
          <cell r="AJ1786"/>
          <cell r="AK1786" t="str">
            <v>OL</v>
          </cell>
          <cell r="AL1786">
            <v>151</v>
          </cell>
          <cell r="AM1786">
            <v>346</v>
          </cell>
          <cell r="AN1786" t="str">
            <v>10 Orangeline</v>
          </cell>
          <cell r="AO1786" t="str">
            <v>Northeast</v>
          </cell>
          <cell r="AP1786" t="str">
            <v>North</v>
          </cell>
          <cell r="AQ1786"/>
          <cell r="AR1786">
            <v>0</v>
          </cell>
          <cell r="AS1786">
            <v>0</v>
          </cell>
        </row>
        <row r="1787">
          <cell r="A1787" t="str">
            <v>13483A</v>
          </cell>
          <cell r="B1787" t="str">
            <v>EAGLE POWER TURF</v>
          </cell>
          <cell r="C1787" t="str">
            <v>M11459</v>
          </cell>
          <cell r="D1787" t="str">
            <v>Net 30, no pink card</v>
          </cell>
          <cell r="E1787" t="str">
            <v>O1-Northpoint</v>
          </cell>
          <cell r="F1787" t="str">
            <v>Yes</v>
          </cell>
          <cell r="G1787" t="str">
            <v>OH</v>
          </cell>
          <cell r="H1787">
            <v>8</v>
          </cell>
          <cell r="I1787">
            <v>0.7</v>
          </cell>
          <cell r="J1787" t="str">
            <v>Jimmy L Smith</v>
          </cell>
          <cell r="K1787" t="str">
            <v>WEST CHESTER</v>
          </cell>
          <cell r="L1787" t="str">
            <v>PA</v>
          </cell>
          <cell r="M1787" t="str">
            <v>800-577-8889</v>
          </cell>
          <cell r="N1787"/>
          <cell r="O1787"/>
          <cell r="P1787">
            <v>0</v>
          </cell>
          <cell r="Q1787"/>
          <cell r="R1787">
            <v>0</v>
          </cell>
          <cell r="S1787"/>
          <cell r="T1787">
            <v>0</v>
          </cell>
          <cell r="U1787" t="str"/>
          <cell r="V1787" t="str"/>
          <cell r="W1787" t="str"/>
          <cell r="X1787" t="str"/>
          <cell r="Y1787">
            <v>560</v>
          </cell>
          <cell r="Z1787">
            <v>2408</v>
          </cell>
          <cell r="AA1787">
            <v>560</v>
          </cell>
          <cell r="AB1787">
            <v>2408</v>
          </cell>
          <cell r="AC1787">
            <v>560</v>
          </cell>
          <cell r="AD1787">
            <v>2408</v>
          </cell>
          <cell r="AE1787"/>
          <cell r="AF1787"/>
          <cell r="AG1787"/>
          <cell r="AH1787"/>
          <cell r="AI1787"/>
          <cell r="AJ1787"/>
          <cell r="AK1787" t="str">
            <v>OL</v>
          </cell>
          <cell r="AL1787">
            <v>151</v>
          </cell>
          <cell r="AM1787">
            <v>346</v>
          </cell>
          <cell r="AN1787" t="str">
            <v>10 Orangeline</v>
          </cell>
          <cell r="AO1787" t="str">
            <v>Northeast</v>
          </cell>
          <cell r="AP1787" t="str">
            <v>North</v>
          </cell>
          <cell r="AQ1787"/>
          <cell r="AR1787">
            <v>0</v>
          </cell>
          <cell r="AS1787">
            <v>0</v>
          </cell>
        </row>
        <row r="1788">
          <cell r="A1788">
            <v>13477</v>
          </cell>
          <cell r="B1788" t="str">
            <v>EAGLE POWER</v>
          </cell>
          <cell r="C1788" t="str">
            <v>M11455</v>
          </cell>
          <cell r="D1788" t="str">
            <v>Net 30, no pink card</v>
          </cell>
          <cell r="E1788" t="str">
            <v>O1-Northpoint</v>
          </cell>
          <cell r="F1788" t="str">
            <v>Yes</v>
          </cell>
          <cell r="G1788" t="str">
            <v>OH</v>
          </cell>
          <cell r="H1788">
            <v>8</v>
          </cell>
          <cell r="I1788">
            <v>0.7</v>
          </cell>
          <cell r="J1788" t="str">
            <v>Jimmy L Smith</v>
          </cell>
          <cell r="K1788" t="str">
            <v>MONTGOMERYVILLE</v>
          </cell>
          <cell r="L1788" t="str">
            <v>PA</v>
          </cell>
          <cell r="M1788" t="str">
            <v>800-577-8889</v>
          </cell>
          <cell r="N1788"/>
          <cell r="O1788"/>
          <cell r="P1788">
            <v>0</v>
          </cell>
          <cell r="Q1788"/>
          <cell r="R1788">
            <v>0</v>
          </cell>
          <cell r="S1788"/>
          <cell r="T1788">
            <v>0</v>
          </cell>
          <cell r="U1788" t="str"/>
          <cell r="V1788" t="str"/>
          <cell r="W1788" t="str"/>
          <cell r="X1788" t="str"/>
          <cell r="Y1788">
            <v>580</v>
          </cell>
          <cell r="Z1788">
            <v>2494</v>
          </cell>
          <cell r="AA1788">
            <v>580</v>
          </cell>
          <cell r="AB1788">
            <v>2494</v>
          </cell>
          <cell r="AC1788">
            <v>580</v>
          </cell>
          <cell r="AD1788">
            <v>2494</v>
          </cell>
          <cell r="AE1788"/>
          <cell r="AF1788"/>
          <cell r="AG1788"/>
          <cell r="AH1788"/>
          <cell r="AI1788"/>
          <cell r="AJ1788"/>
          <cell r="AK1788" t="str">
            <v>OL</v>
          </cell>
          <cell r="AL1788">
            <v>151</v>
          </cell>
          <cell r="AM1788">
            <v>346</v>
          </cell>
          <cell r="AN1788" t="str">
            <v>10 Orangeline</v>
          </cell>
          <cell r="AO1788" t="str">
            <v>Northeast</v>
          </cell>
          <cell r="AP1788" t="str">
            <v>North</v>
          </cell>
          <cell r="AQ1788"/>
          <cell r="AR1788">
            <v>0</v>
          </cell>
          <cell r="AS1788">
            <v>0</v>
          </cell>
        </row>
        <row r="1789">
          <cell r="A1789">
            <v>13543</v>
          </cell>
          <cell r="B1789" t="str">
            <v>CAROLINA POWER</v>
          </cell>
          <cell r="C1789" t="str">
            <v>M11515</v>
          </cell>
          <cell r="D1789" t="str">
            <v>Net 30, no pink card</v>
          </cell>
          <cell r="E1789" t="str">
            <v>2%</v>
          </cell>
          <cell r="F1789" t="str">
            <v>Yes</v>
          </cell>
          <cell r="G1789" t="str">
            <v>GA</v>
          </cell>
          <cell r="H1789">
            <v>5</v>
          </cell>
          <cell r="I1789">
            <v>0.7</v>
          </cell>
          <cell r="J1789" t="str">
            <v>Jimmy L Smith</v>
          </cell>
          <cell r="K1789" t="str">
            <v>GASTON</v>
          </cell>
          <cell r="L1789" t="str">
            <v>SC</v>
          </cell>
          <cell r="M1789" t="str">
            <v>800-577-8858</v>
          </cell>
          <cell r="N1789" t="str">
            <v>MSO'S NEED TO READ CAYCE LOCATION, ATTN: SIMEON</v>
          </cell>
          <cell r="O1789">
            <v>928</v>
          </cell>
          <cell r="P1789">
            <v>3990.3999999999996</v>
          </cell>
          <cell r="Q1789">
            <v>233</v>
          </cell>
          <cell r="R1789">
            <v>1001.9</v>
          </cell>
          <cell r="S1789">
            <v>2937</v>
          </cell>
          <cell r="T1789">
            <v>12629.1</v>
          </cell>
          <cell r="U1789" t="str"/>
          <cell r="V1789" t="str"/>
          <cell r="W1789" t="str"/>
          <cell r="X1789" t="str"/>
          <cell r="Y1789"/>
          <cell r="Z1789">
            <v>0</v>
          </cell>
          <cell r="AA1789"/>
          <cell r="AB1789">
            <v>0</v>
          </cell>
          <cell r="AC1789"/>
          <cell r="AD1789">
            <v>0</v>
          </cell>
          <cell r="AE1789"/>
          <cell r="AF1789"/>
          <cell r="AG1789"/>
          <cell r="AH1789"/>
          <cell r="AI1789"/>
          <cell r="AJ1789">
            <v>0.04</v>
          </cell>
          <cell r="AK1789" t="str">
            <v>OL</v>
          </cell>
          <cell r="AL1789">
            <v>151</v>
          </cell>
          <cell r="AM1789">
            <v>91</v>
          </cell>
          <cell r="AN1789" t="str">
            <v>10 Orangeline</v>
          </cell>
          <cell r="AO1789" t="str">
            <v>Southeast</v>
          </cell>
          <cell r="AP1789" t="str">
            <v>South</v>
          </cell>
          <cell r="AQ1789"/>
          <cell r="AR1789">
            <v>0</v>
          </cell>
          <cell r="AS1789">
            <v>0</v>
          </cell>
        </row>
        <row r="1790">
          <cell r="A1790">
            <v>13586</v>
          </cell>
          <cell r="B1790" t="str">
            <v>CAROLINA POWER - GREENWOOD</v>
          </cell>
          <cell r="C1790" t="str">
            <v>M11556</v>
          </cell>
          <cell r="D1790" t="str">
            <v>Net 30, no pink card</v>
          </cell>
          <cell r="E1790" t="str">
            <v>2%</v>
          </cell>
          <cell r="F1790" t="str">
            <v>Yes</v>
          </cell>
          <cell r="G1790" t="str">
            <v>GA</v>
          </cell>
          <cell r="H1790">
            <v>5</v>
          </cell>
          <cell r="I1790">
            <v>0.7</v>
          </cell>
          <cell r="J1790" t="str">
            <v>Jimmy L Smith</v>
          </cell>
          <cell r="K1790" t="str">
            <v>GREENWOOD</v>
          </cell>
          <cell r="L1790" t="str">
            <v>SC</v>
          </cell>
          <cell r="M1790" t="str">
            <v>800-577-8858</v>
          </cell>
          <cell r="N1790"/>
          <cell r="O1790">
            <v>851</v>
          </cell>
          <cell r="P1790">
            <v>3659.2999999999997</v>
          </cell>
          <cell r="Q1790">
            <v>224</v>
          </cell>
          <cell r="R1790">
            <v>963.19999999999993</v>
          </cell>
          <cell r="S1790"/>
          <cell r="T1790">
            <v>0</v>
          </cell>
          <cell r="U1790">
            <v>982</v>
          </cell>
          <cell r="V1790">
            <v>4222.5999999999995</v>
          </cell>
          <cell r="W1790">
            <v>906</v>
          </cell>
          <cell r="X1790">
            <v>3895.7999999999997</v>
          </cell>
          <cell r="Y1790">
            <v>501</v>
          </cell>
          <cell r="Z1790">
            <v>2154.2999999999997</v>
          </cell>
          <cell r="AA1790">
            <v>501</v>
          </cell>
          <cell r="AB1790">
            <v>2154.2999999999997</v>
          </cell>
          <cell r="AC1790">
            <v>501</v>
          </cell>
          <cell r="AD1790">
            <v>2154.2999999999997</v>
          </cell>
          <cell r="AE1790"/>
          <cell r="AF1790"/>
          <cell r="AG1790"/>
          <cell r="AH1790"/>
          <cell r="AI1790"/>
          <cell r="AJ1790">
            <v>0.04</v>
          </cell>
          <cell r="AK1790" t="str">
            <v>OL</v>
          </cell>
          <cell r="AL1790">
            <v>151</v>
          </cell>
          <cell r="AM1790">
            <v>91</v>
          </cell>
          <cell r="AN1790" t="str">
            <v>10 Orangeline</v>
          </cell>
          <cell r="AO1790" t="str">
            <v>Southeast</v>
          </cell>
          <cell r="AP1790" t="str">
            <v>South</v>
          </cell>
          <cell r="AQ1790"/>
          <cell r="AR1790">
            <v>0</v>
          </cell>
          <cell r="AS1790">
            <v>0</v>
          </cell>
        </row>
        <row r="1791">
          <cell r="A1791">
            <v>13352</v>
          </cell>
          <cell r="B1791" t="str">
            <v>COMER EQUIPMENT</v>
          </cell>
          <cell r="C1791" t="str">
            <v>M11315</v>
          </cell>
          <cell r="D1791" t="str">
            <v>Net 30, no pink card</v>
          </cell>
          <cell r="E1791" t="str">
            <v>2%</v>
          </cell>
          <cell r="F1791" t="str">
            <v>Yes</v>
          </cell>
          <cell r="G1791" t="str">
            <v>GA</v>
          </cell>
          <cell r="H1791">
            <v>5</v>
          </cell>
          <cell r="I1791">
            <v>0.7</v>
          </cell>
          <cell r="J1791" t="str">
            <v>Jimmy L Smith</v>
          </cell>
          <cell r="K1791" t="str">
            <v>YORK</v>
          </cell>
          <cell r="L1791" t="str">
            <v>SC</v>
          </cell>
          <cell r="M1791" t="str">
            <v>800-577-8858</v>
          </cell>
          <cell r="N1791"/>
          <cell r="O1791"/>
          <cell r="P1791">
            <v>0</v>
          </cell>
          <cell r="Q1791">
            <v>350</v>
          </cell>
          <cell r="R1791">
            <v>1505</v>
          </cell>
          <cell r="S1791"/>
          <cell r="T1791">
            <v>0</v>
          </cell>
          <cell r="U1791" t="str"/>
          <cell r="V1791" t="str"/>
          <cell r="W1791" t="str"/>
          <cell r="X1791" t="str"/>
          <cell r="Y1791"/>
          <cell r="Z1791">
            <v>0</v>
          </cell>
          <cell r="AA1791"/>
          <cell r="AB1791">
            <v>0</v>
          </cell>
          <cell r="AC1791"/>
          <cell r="AD1791">
            <v>0</v>
          </cell>
          <cell r="AE1791"/>
          <cell r="AF1791"/>
          <cell r="AG1791"/>
          <cell r="AH1791"/>
          <cell r="AI1791"/>
          <cell r="AJ1791"/>
          <cell r="AK1791" t="str">
            <v>OL</v>
          </cell>
          <cell r="AL1791">
            <v>151</v>
          </cell>
          <cell r="AM1791">
            <v>74</v>
          </cell>
          <cell r="AN1791" t="str">
            <v>10 Orangeline</v>
          </cell>
          <cell r="AO1791" t="str">
            <v>Southeast</v>
          </cell>
          <cell r="AP1791" t="str">
            <v>South</v>
          </cell>
          <cell r="AQ1791"/>
          <cell r="AR1791">
            <v>0</v>
          </cell>
          <cell r="AS1791">
            <v>0</v>
          </cell>
        </row>
        <row r="1792">
          <cell r="A1792">
            <v>13296</v>
          </cell>
          <cell r="B1792" t="str">
            <v>DILLON TRACTOR</v>
          </cell>
          <cell r="C1792" t="str">
            <v>M11252</v>
          </cell>
          <cell r="D1792" t="str">
            <v>Net 30, no pink card</v>
          </cell>
          <cell r="E1792" t="str">
            <v>2%</v>
          </cell>
          <cell r="F1792" t="str">
            <v>Yes</v>
          </cell>
          <cell r="G1792" t="str">
            <v>GA</v>
          </cell>
          <cell r="H1792">
            <v>5</v>
          </cell>
          <cell r="I1792">
            <v>0.7</v>
          </cell>
          <cell r="J1792" t="str">
            <v>Jimmy L Smith</v>
          </cell>
          <cell r="K1792" t="str">
            <v>DILLON</v>
          </cell>
          <cell r="L1792" t="str">
            <v>SC</v>
          </cell>
          <cell r="M1792" t="str">
            <v>800-577-8858</v>
          </cell>
          <cell r="N1792"/>
          <cell r="O1792"/>
          <cell r="P1792">
            <v>0</v>
          </cell>
          <cell r="Q1792">
            <v>385</v>
          </cell>
          <cell r="R1792">
            <v>1655.5</v>
          </cell>
          <cell r="S1792"/>
          <cell r="T1792">
            <v>0</v>
          </cell>
          <cell r="U1792" t="str"/>
          <cell r="V1792" t="str"/>
          <cell r="W1792" t="str"/>
          <cell r="X1792" t="str"/>
          <cell r="Y1792"/>
          <cell r="Z1792">
            <v>0</v>
          </cell>
          <cell r="AA1792"/>
          <cell r="AB1792">
            <v>0</v>
          </cell>
          <cell r="AC1792"/>
          <cell r="AD1792">
            <v>0</v>
          </cell>
          <cell r="AE1792"/>
          <cell r="AF1792"/>
          <cell r="AG1792"/>
          <cell r="AH1792"/>
          <cell r="AI1792"/>
          <cell r="AJ1792"/>
          <cell r="AK1792" t="str">
            <v>OL</v>
          </cell>
          <cell r="AL1792">
            <v>151</v>
          </cell>
          <cell r="AM1792">
            <v>147</v>
          </cell>
          <cell r="AN1792" t="str">
            <v>10 Orangeline</v>
          </cell>
          <cell r="AO1792" t="str">
            <v>Southeast</v>
          </cell>
          <cell r="AP1792" t="str">
            <v>South</v>
          </cell>
          <cell r="AQ1792"/>
          <cell r="AR1792">
            <v>0</v>
          </cell>
          <cell r="AS1792">
            <v>0</v>
          </cell>
        </row>
        <row r="1793">
          <cell r="A1793">
            <v>13360</v>
          </cell>
          <cell r="B1793" t="str">
            <v>GREENVILLE TRACTOR</v>
          </cell>
          <cell r="C1793" t="str">
            <v>M11323</v>
          </cell>
          <cell r="D1793" t="str">
            <v>Net 30, no pink card</v>
          </cell>
          <cell r="E1793" t="str">
            <v>2%</v>
          </cell>
          <cell r="F1793" t="str">
            <v>Yes</v>
          </cell>
          <cell r="G1793" t="str">
            <v>GA</v>
          </cell>
          <cell r="H1793">
            <v>5</v>
          </cell>
          <cell r="I1793">
            <v>0.7</v>
          </cell>
          <cell r="J1793" t="str">
            <v>Jimmy L Smith</v>
          </cell>
          <cell r="K1793" t="str">
            <v>GREENVILLE</v>
          </cell>
          <cell r="L1793" t="str">
            <v>SC</v>
          </cell>
          <cell r="M1793" t="str">
            <v>800-577-8858</v>
          </cell>
          <cell r="N1793"/>
          <cell r="O1793"/>
          <cell r="P1793">
            <v>0</v>
          </cell>
          <cell r="Q1793">
            <v>290</v>
          </cell>
          <cell r="R1793">
            <v>1247</v>
          </cell>
          <cell r="S1793"/>
          <cell r="T1793">
            <v>0</v>
          </cell>
          <cell r="U1793" t="str"/>
          <cell r="V1793" t="str"/>
          <cell r="W1793" t="str"/>
          <cell r="X1793" t="str"/>
          <cell r="Y1793"/>
          <cell r="Z1793">
            <v>0</v>
          </cell>
          <cell r="AA1793"/>
          <cell r="AB1793">
            <v>0</v>
          </cell>
          <cell r="AC1793"/>
          <cell r="AD1793">
            <v>0</v>
          </cell>
          <cell r="AE1793"/>
          <cell r="AF1793"/>
          <cell r="AG1793"/>
          <cell r="AH1793"/>
          <cell r="AI1793"/>
          <cell r="AJ1793"/>
          <cell r="AK1793" t="str">
            <v>OL</v>
          </cell>
          <cell r="AL1793">
            <v>151</v>
          </cell>
          <cell r="AM1793">
            <v>177</v>
          </cell>
          <cell r="AN1793" t="str">
            <v>10 Orangeline</v>
          </cell>
          <cell r="AO1793" t="str">
            <v>Southeast</v>
          </cell>
          <cell r="AP1793" t="str">
            <v>South</v>
          </cell>
          <cell r="AQ1793"/>
          <cell r="AR1793">
            <v>0</v>
          </cell>
          <cell r="AS1793">
            <v>0</v>
          </cell>
        </row>
        <row r="1794">
          <cell r="A1794">
            <v>13604</v>
          </cell>
          <cell r="B1794" t="str">
            <v>OAKWAY TRACTOR</v>
          </cell>
          <cell r="C1794" t="str">
            <v>M11555</v>
          </cell>
          <cell r="D1794" t="str">
            <v>Net 30, no pink card</v>
          </cell>
          <cell r="E1794" t="str">
            <v>O1-Northpoint</v>
          </cell>
          <cell r="F1794" t="str">
            <v>Yes</v>
          </cell>
          <cell r="G1794" t="str">
            <v>GA</v>
          </cell>
          <cell r="H1794">
            <v>8</v>
          </cell>
          <cell r="I1794">
            <v>0.7</v>
          </cell>
          <cell r="J1794" t="str">
            <v>Jimmy L Smith</v>
          </cell>
          <cell r="K1794" t="str">
            <v>SENECA</v>
          </cell>
          <cell r="L1794" t="str">
            <v>SC</v>
          </cell>
          <cell r="M1794" t="str">
            <v>800-577-8858</v>
          </cell>
          <cell r="N1794"/>
          <cell r="O1794">
            <v>820</v>
          </cell>
          <cell r="P1794">
            <v>3526</v>
          </cell>
          <cell r="Q1794">
            <v>261</v>
          </cell>
          <cell r="R1794">
            <v>1122.3</v>
          </cell>
          <cell r="S1794"/>
          <cell r="T1794">
            <v>0</v>
          </cell>
          <cell r="U1794">
            <v>985</v>
          </cell>
          <cell r="V1794">
            <v>4235.5</v>
          </cell>
          <cell r="W1794">
            <v>859</v>
          </cell>
          <cell r="X1794">
            <v>3693.7</v>
          </cell>
          <cell r="Y1794">
            <v>444</v>
          </cell>
          <cell r="Z1794">
            <v>1909.1999999999998</v>
          </cell>
          <cell r="AA1794">
            <v>444</v>
          </cell>
          <cell r="AB1794">
            <v>1909.1999999999998</v>
          </cell>
          <cell r="AC1794">
            <v>444</v>
          </cell>
          <cell r="AD1794">
            <v>1909.1999999999998</v>
          </cell>
          <cell r="AE1794"/>
          <cell r="AF1794"/>
          <cell r="AG1794"/>
          <cell r="AH1794"/>
          <cell r="AI1794"/>
          <cell r="AJ1794">
            <v>0.02</v>
          </cell>
          <cell r="AK1794" t="str">
            <v>OL</v>
          </cell>
          <cell r="AL1794">
            <v>151</v>
          </cell>
          <cell r="AM1794">
            <v>16</v>
          </cell>
          <cell r="AN1794" t="str">
            <v>10 Orangeline</v>
          </cell>
          <cell r="AO1794" t="str">
            <v>Southeast</v>
          </cell>
          <cell r="AP1794" t="str">
            <v>South</v>
          </cell>
          <cell r="AQ1794"/>
          <cell r="AR1794">
            <v>0</v>
          </cell>
          <cell r="AS1794">
            <v>0</v>
          </cell>
        </row>
        <row r="1795">
          <cell r="A1795">
            <v>13589</v>
          </cell>
          <cell r="B1795" t="str">
            <v>OAKWAY TRACTOR</v>
          </cell>
          <cell r="C1795" t="str">
            <v>M11555</v>
          </cell>
          <cell r="D1795" t="str">
            <v>Net 30, no pink card</v>
          </cell>
          <cell r="E1795" t="str">
            <v>2%</v>
          </cell>
          <cell r="F1795" t="str">
            <v>Yes</v>
          </cell>
          <cell r="G1795" t="str">
            <v>GA</v>
          </cell>
          <cell r="H1795">
            <v>5</v>
          </cell>
          <cell r="I1795">
            <v>0.7</v>
          </cell>
          <cell r="J1795" t="str">
            <v>Jimmy L Smith</v>
          </cell>
          <cell r="K1795" t="str">
            <v>SENECA</v>
          </cell>
          <cell r="L1795" t="str">
            <v>SC</v>
          </cell>
          <cell r="M1795" t="str">
            <v>800-577-8858</v>
          </cell>
          <cell r="N1795"/>
          <cell r="O1795">
            <v>820</v>
          </cell>
          <cell r="P1795">
            <v>3526</v>
          </cell>
          <cell r="Q1795">
            <v>261</v>
          </cell>
          <cell r="R1795">
            <v>1122.3</v>
          </cell>
          <cell r="S1795"/>
          <cell r="T1795">
            <v>0</v>
          </cell>
          <cell r="U1795">
            <v>985</v>
          </cell>
          <cell r="V1795">
            <v>4235.5</v>
          </cell>
          <cell r="W1795">
            <v>859</v>
          </cell>
          <cell r="X1795">
            <v>3693.7</v>
          </cell>
          <cell r="Y1795">
            <v>444</v>
          </cell>
          <cell r="Z1795">
            <v>1909.1999999999998</v>
          </cell>
          <cell r="AA1795">
            <v>444</v>
          </cell>
          <cell r="AB1795">
            <v>1909.1999999999998</v>
          </cell>
          <cell r="AC1795">
            <v>444</v>
          </cell>
          <cell r="AD1795">
            <v>1909.1999999999998</v>
          </cell>
          <cell r="AE1795"/>
          <cell r="AF1795"/>
          <cell r="AG1795"/>
          <cell r="AH1795"/>
          <cell r="AI1795"/>
          <cell r="AJ1795">
            <v>0.02</v>
          </cell>
          <cell r="AK1795" t="str">
            <v>OL</v>
          </cell>
          <cell r="AL1795">
            <v>151</v>
          </cell>
          <cell r="AM1795">
            <v>16</v>
          </cell>
          <cell r="AN1795" t="str">
            <v>10 Orangeline</v>
          </cell>
          <cell r="AO1795" t="str">
            <v>Southeast</v>
          </cell>
          <cell r="AP1795" t="str">
            <v>South</v>
          </cell>
          <cell r="AQ1795"/>
          <cell r="AR1795">
            <v>0</v>
          </cell>
          <cell r="AS1795">
            <v>0</v>
          </cell>
        </row>
        <row r="1796">
          <cell r="A1796">
            <v>13340</v>
          </cell>
          <cell r="B1796" t="str">
            <v>TYLER EQUIPMENT</v>
          </cell>
          <cell r="C1796" t="str">
            <v>M11288</v>
          </cell>
          <cell r="D1796" t="str">
            <v>Net 30, no pink card</v>
          </cell>
          <cell r="E1796" t="str">
            <v>2%</v>
          </cell>
          <cell r="F1796" t="str">
            <v>Yes</v>
          </cell>
          <cell r="G1796" t="str">
            <v>GA</v>
          </cell>
          <cell r="H1796">
            <v>5</v>
          </cell>
          <cell r="I1796">
            <v>0.7</v>
          </cell>
          <cell r="J1796" t="str">
            <v>Jimmy L Smith</v>
          </cell>
          <cell r="K1796" t="str">
            <v>CONWAY</v>
          </cell>
          <cell r="L1796" t="str">
            <v>SC</v>
          </cell>
          <cell r="M1796" t="str">
            <v>800-577-8858</v>
          </cell>
          <cell r="N1796"/>
          <cell r="O1796"/>
          <cell r="P1796">
            <v>0</v>
          </cell>
          <cell r="Q1796">
            <v>400</v>
          </cell>
          <cell r="R1796">
            <v>1720</v>
          </cell>
          <cell r="S1796"/>
          <cell r="T1796">
            <v>0</v>
          </cell>
          <cell r="U1796" t="str"/>
          <cell r="V1796" t="str"/>
          <cell r="W1796" t="str"/>
          <cell r="X1796" t="str"/>
          <cell r="Y1796"/>
          <cell r="Z1796">
            <v>0</v>
          </cell>
          <cell r="AA1796"/>
          <cell r="AB1796">
            <v>0</v>
          </cell>
          <cell r="AC1796"/>
          <cell r="AD1796">
            <v>0</v>
          </cell>
          <cell r="AE1796"/>
          <cell r="AF1796"/>
          <cell r="AG1796"/>
          <cell r="AH1796"/>
          <cell r="AI1796"/>
          <cell r="AJ1796"/>
          <cell r="AK1796" t="str">
            <v>OL</v>
          </cell>
          <cell r="AL1796">
            <v>151</v>
          </cell>
          <cell r="AM1796">
            <v>312</v>
          </cell>
          <cell r="AN1796" t="str">
            <v>10 Orangeline</v>
          </cell>
          <cell r="AO1796" t="str">
            <v>Southeast</v>
          </cell>
          <cell r="AP1796" t="str">
            <v>South</v>
          </cell>
          <cell r="AQ1796"/>
          <cell r="AR1796">
            <v>0</v>
          </cell>
          <cell r="AS1796">
            <v>0</v>
          </cell>
        </row>
        <row r="1797">
          <cell r="A1797">
            <v>13343</v>
          </cell>
          <cell r="B1797" t="str">
            <v>WILSON TRACTOR</v>
          </cell>
          <cell r="C1797" t="str">
            <v>M11291</v>
          </cell>
          <cell r="D1797" t="str">
            <v>Net 30, no pink card</v>
          </cell>
          <cell r="E1797" t="str">
            <v>2%</v>
          </cell>
          <cell r="F1797" t="str">
            <v>Yes</v>
          </cell>
          <cell r="G1797" t="str">
            <v>GA</v>
          </cell>
          <cell r="H1797">
            <v>5</v>
          </cell>
          <cell r="I1797">
            <v>0.7</v>
          </cell>
          <cell r="J1797" t="str">
            <v>Jimmy L Smith</v>
          </cell>
          <cell r="K1797" t="str">
            <v>NEWBERRY</v>
          </cell>
          <cell r="L1797" t="str">
            <v>SC</v>
          </cell>
          <cell r="M1797" t="str">
            <v>800-577-8858</v>
          </cell>
          <cell r="N1797"/>
          <cell r="O1797"/>
          <cell r="P1797">
            <v>0</v>
          </cell>
          <cell r="Q1797">
            <v>260</v>
          </cell>
          <cell r="R1797">
            <v>1118</v>
          </cell>
          <cell r="S1797"/>
          <cell r="T1797">
            <v>0</v>
          </cell>
          <cell r="U1797" t="str"/>
          <cell r="V1797" t="str"/>
          <cell r="W1797" t="str"/>
          <cell r="X1797" t="str"/>
          <cell r="Y1797"/>
          <cell r="Z1797">
            <v>0</v>
          </cell>
          <cell r="AA1797"/>
          <cell r="AB1797">
            <v>0</v>
          </cell>
          <cell r="AC1797"/>
          <cell r="AD1797">
            <v>0</v>
          </cell>
          <cell r="AE1797"/>
          <cell r="AF1797"/>
          <cell r="AG1797"/>
          <cell r="AH1797"/>
          <cell r="AI1797"/>
          <cell r="AJ1797"/>
          <cell r="AK1797" t="str">
            <v>OL</v>
          </cell>
          <cell r="AL1797">
            <v>151</v>
          </cell>
          <cell r="AM1797">
            <v>91</v>
          </cell>
          <cell r="AN1797" t="str">
            <v>10 Orangeline</v>
          </cell>
          <cell r="AO1797" t="str">
            <v>Southeast</v>
          </cell>
          <cell r="AP1797" t="str">
            <v>South</v>
          </cell>
          <cell r="AQ1797"/>
          <cell r="AR1797">
            <v>0</v>
          </cell>
          <cell r="AS1797">
            <v>0</v>
          </cell>
        </row>
        <row r="1798">
          <cell r="A1798" t="str">
            <v>13343A</v>
          </cell>
          <cell r="B1798" t="str">
            <v>WILSON TRACTOR</v>
          </cell>
          <cell r="C1798" t="str">
            <v>M11291</v>
          </cell>
          <cell r="D1798" t="str">
            <v>Net 30, no pink card</v>
          </cell>
          <cell r="E1798" t="str">
            <v>2%</v>
          </cell>
          <cell r="F1798" t="str">
            <v>Yes</v>
          </cell>
          <cell r="G1798" t="str">
            <v>GA</v>
          </cell>
          <cell r="H1798">
            <v>5</v>
          </cell>
          <cell r="I1798">
            <v>0.7</v>
          </cell>
          <cell r="J1798" t="str">
            <v>Jimmy L Smith</v>
          </cell>
          <cell r="K1798" t="str">
            <v>COLUMBIA</v>
          </cell>
          <cell r="L1798" t="str">
            <v>SC</v>
          </cell>
          <cell r="M1798" t="str">
            <v>800-577-8858</v>
          </cell>
          <cell r="N1798"/>
          <cell r="O1798"/>
          <cell r="P1798">
            <v>0</v>
          </cell>
          <cell r="Q1798">
            <v>270</v>
          </cell>
          <cell r="R1798">
            <v>1161</v>
          </cell>
          <cell r="S1798"/>
          <cell r="T1798">
            <v>0</v>
          </cell>
          <cell r="U1798" t="str"/>
          <cell r="V1798" t="str"/>
          <cell r="W1798" t="str"/>
          <cell r="X1798" t="str"/>
          <cell r="Y1798"/>
          <cell r="Z1798">
            <v>0</v>
          </cell>
          <cell r="AA1798"/>
          <cell r="AB1798">
            <v>0</v>
          </cell>
          <cell r="AC1798"/>
          <cell r="AD1798">
            <v>0</v>
          </cell>
          <cell r="AE1798"/>
          <cell r="AF1798"/>
          <cell r="AG1798"/>
          <cell r="AH1798"/>
          <cell r="AI1798"/>
          <cell r="AJ1798"/>
          <cell r="AK1798" t="str">
            <v>OL</v>
          </cell>
          <cell r="AL1798">
            <v>151</v>
          </cell>
          <cell r="AM1798">
            <v>91</v>
          </cell>
          <cell r="AN1798" t="str">
            <v>10 Orangeline</v>
          </cell>
          <cell r="AO1798" t="str">
            <v>Southeast</v>
          </cell>
          <cell r="AP1798" t="str">
            <v>South</v>
          </cell>
          <cell r="AQ1798"/>
          <cell r="AR1798">
            <v>0</v>
          </cell>
          <cell r="AS1798">
            <v>0</v>
          </cell>
        </row>
        <row r="1799">
          <cell r="A1799">
            <v>13478</v>
          </cell>
          <cell r="B1799" t="str">
            <v>EASTSIDE EQUIPMENT</v>
          </cell>
          <cell r="C1799" t="str">
            <v>M11454</v>
          </cell>
          <cell r="D1799" t="str">
            <v>Net 30, no pink card</v>
          </cell>
          <cell r="E1799" t="str">
            <v>2%</v>
          </cell>
          <cell r="F1799" t="str">
            <v>Yes</v>
          </cell>
          <cell r="G1799" t="str">
            <v>TX</v>
          </cell>
          <cell r="H1799">
            <v>5</v>
          </cell>
          <cell r="I1799">
            <v>0.7</v>
          </cell>
          <cell r="J1799" t="str">
            <v>Jimmy L Smith</v>
          </cell>
          <cell r="K1799" t="str">
            <v>WATERTOWN</v>
          </cell>
          <cell r="L1799" t="str">
            <v>SD</v>
          </cell>
          <cell r="M1799" t="str">
            <v>800-577-8858</v>
          </cell>
          <cell r="N1799"/>
          <cell r="O1799">
            <v>910</v>
          </cell>
          <cell r="P1799">
            <v>3913</v>
          </cell>
          <cell r="Q1799"/>
          <cell r="R1799">
            <v>0</v>
          </cell>
          <cell r="S1799"/>
          <cell r="T1799">
            <v>0</v>
          </cell>
          <cell r="U1799" t="str"/>
          <cell r="V1799" t="str"/>
          <cell r="W1799" t="str"/>
          <cell r="X1799" t="str"/>
          <cell r="Y1799"/>
          <cell r="Z1799">
            <v>0</v>
          </cell>
          <cell r="AA1799">
            <v>935</v>
          </cell>
          <cell r="AB1799">
            <v>4020.5</v>
          </cell>
          <cell r="AC1799">
            <v>935</v>
          </cell>
          <cell r="AD1799">
            <v>4020.5</v>
          </cell>
          <cell r="AE1799"/>
          <cell r="AF1799"/>
          <cell r="AG1799"/>
          <cell r="AH1799"/>
          <cell r="AI1799"/>
          <cell r="AJ1799"/>
          <cell r="AK1799" t="str">
            <v>OL</v>
          </cell>
          <cell r="AL1799">
            <v>151</v>
          </cell>
          <cell r="AM1799">
            <v>464</v>
          </cell>
          <cell r="AN1799" t="str">
            <v>10 Orangeline</v>
          </cell>
          <cell r="AO1799" t="str">
            <v>Midwest</v>
          </cell>
          <cell r="AP1799" t="str">
            <v>Central</v>
          </cell>
          <cell r="AQ1799"/>
          <cell r="AR1799">
            <v>0</v>
          </cell>
          <cell r="AS1799">
            <v>0</v>
          </cell>
        </row>
        <row r="1800">
          <cell r="A1800">
            <v>13433</v>
          </cell>
          <cell r="B1800" t="str">
            <v>FLOYD'S TRUCK</v>
          </cell>
          <cell r="C1800" t="str">
            <v>M11199</v>
          </cell>
          <cell r="D1800" t="str">
            <v>Net 30, no pink card</v>
          </cell>
          <cell r="E1800" t="str">
            <v>2%</v>
          </cell>
          <cell r="F1800" t="str">
            <v>Yes</v>
          </cell>
          <cell r="G1800" t="str">
            <v>ID</v>
          </cell>
          <cell r="H1800">
            <v>5</v>
          </cell>
          <cell r="I1800">
            <v>0.7</v>
          </cell>
          <cell r="J1800" t="str">
            <v>Jimmy L Smith</v>
          </cell>
          <cell r="K1800" t="str">
            <v>FT. PIERRE</v>
          </cell>
          <cell r="L1800" t="str">
            <v>SD</v>
          </cell>
          <cell r="M1800" t="str">
            <v>800-577-8875</v>
          </cell>
          <cell r="N1800"/>
          <cell r="O1800">
            <v>980</v>
          </cell>
          <cell r="P1800">
            <v>4214</v>
          </cell>
          <cell r="Q1800"/>
          <cell r="R1800">
            <v>0</v>
          </cell>
          <cell r="S1800"/>
          <cell r="T1800">
            <v>0</v>
          </cell>
          <cell r="U1800" t="str"/>
          <cell r="V1800" t="str"/>
          <cell r="W1800" t="str"/>
          <cell r="X1800" t="str"/>
          <cell r="Y1800"/>
          <cell r="Z1800">
            <v>0</v>
          </cell>
          <cell r="AA1800"/>
          <cell r="AB1800">
            <v>0</v>
          </cell>
          <cell r="AC1800"/>
          <cell r="AD1800">
            <v>0</v>
          </cell>
          <cell r="AE1800"/>
          <cell r="AF1800"/>
          <cell r="AG1800"/>
          <cell r="AH1800"/>
          <cell r="AI1800"/>
          <cell r="AJ1800"/>
          <cell r="AK1800" t="str">
            <v>OL</v>
          </cell>
          <cell r="AL1800">
            <v>151</v>
          </cell>
          <cell r="AM1800">
            <v>199</v>
          </cell>
          <cell r="AN1800" t="str">
            <v>10 Orangeline</v>
          </cell>
          <cell r="AO1800" t="str">
            <v>Midwest</v>
          </cell>
          <cell r="AP1800" t="str">
            <v>Central</v>
          </cell>
          <cell r="AQ1800"/>
          <cell r="AR1800">
            <v>0</v>
          </cell>
          <cell r="AS1800">
            <v>0</v>
          </cell>
        </row>
        <row r="1801">
          <cell r="A1801">
            <v>13485</v>
          </cell>
          <cell r="B1801" t="str">
            <v>JENNER EQUIPMENT</v>
          </cell>
          <cell r="C1801" t="str">
            <v>M11460</v>
          </cell>
          <cell r="D1801" t="str">
            <v>Net 30, no pink card</v>
          </cell>
          <cell r="E1801" t="str">
            <v>O1-Northpoint</v>
          </cell>
          <cell r="F1801" t="str">
            <v>Yes</v>
          </cell>
          <cell r="G1801" t="str">
            <v>ID</v>
          </cell>
          <cell r="H1801">
            <v>8</v>
          </cell>
          <cell r="I1801">
            <v>0.7</v>
          </cell>
          <cell r="J1801" t="str">
            <v>Jimmy L Smith</v>
          </cell>
          <cell r="K1801" t="str">
            <v>RAPID CITY</v>
          </cell>
          <cell r="L1801" t="str">
            <v>SD</v>
          </cell>
          <cell r="M1801" t="str">
            <v>800-577-8875</v>
          </cell>
          <cell r="N1801"/>
          <cell r="O1801">
            <v>1102</v>
          </cell>
          <cell r="P1801">
            <v>4738.5999999999995</v>
          </cell>
          <cell r="Q1801"/>
          <cell r="R1801">
            <v>0</v>
          </cell>
          <cell r="S1801">
            <v>923</v>
          </cell>
          <cell r="T1801">
            <v>3968.8999999999996</v>
          </cell>
          <cell r="U1801" t="str"/>
          <cell r="V1801" t="str"/>
          <cell r="W1801" t="str"/>
          <cell r="X1801" t="str"/>
          <cell r="Y1801">
            <v>1225</v>
          </cell>
          <cell r="Z1801">
            <v>5267.5</v>
          </cell>
          <cell r="AA1801">
            <v>1225</v>
          </cell>
          <cell r="AB1801">
            <v>5267.5</v>
          </cell>
          <cell r="AC1801">
            <v>1225</v>
          </cell>
          <cell r="AD1801">
            <v>5267.5</v>
          </cell>
          <cell r="AE1801"/>
          <cell r="AF1801"/>
          <cell r="AG1801"/>
          <cell r="AH1801"/>
          <cell r="AI1801"/>
          <cell r="AJ1801"/>
          <cell r="AK1801" t="str">
            <v>OL</v>
          </cell>
          <cell r="AL1801">
            <v>151</v>
          </cell>
          <cell r="AM1801">
            <v>369</v>
          </cell>
          <cell r="AN1801" t="str">
            <v>10 Orangeline</v>
          </cell>
          <cell r="AO1801" t="str">
            <v>Midwest</v>
          </cell>
          <cell r="AP1801" t="str">
            <v>Central</v>
          </cell>
          <cell r="AQ1801"/>
          <cell r="AR1801">
            <v>0</v>
          </cell>
          <cell r="AS1801">
            <v>0</v>
          </cell>
        </row>
        <row r="1802">
          <cell r="A1802">
            <v>13492</v>
          </cell>
          <cell r="B1802" t="str">
            <v>JENNER EQUIPMENT</v>
          </cell>
          <cell r="C1802" t="str">
            <v>M11460</v>
          </cell>
          <cell r="D1802" t="str">
            <v>Net 30, no pink card</v>
          </cell>
          <cell r="E1802">
            <v>0.02</v>
          </cell>
          <cell r="F1802" t="str">
            <v>Yes</v>
          </cell>
          <cell r="G1802" t="str">
            <v>ID</v>
          </cell>
          <cell r="H1802">
            <v>5</v>
          </cell>
          <cell r="I1802">
            <v>0.7</v>
          </cell>
          <cell r="J1802" t="str">
            <v>Jimmy L Smith</v>
          </cell>
          <cell r="K1802" t="str">
            <v>RAPID CITY</v>
          </cell>
          <cell r="L1802" t="str">
            <v>SD</v>
          </cell>
          <cell r="M1802" t="str">
            <v>800-577-8875</v>
          </cell>
          <cell r="N1802"/>
          <cell r="O1802">
            <v>1102</v>
          </cell>
          <cell r="P1802">
            <v>4738.5999999999995</v>
          </cell>
          <cell r="Q1802"/>
          <cell r="R1802">
            <v>0</v>
          </cell>
          <cell r="S1802">
            <v>923</v>
          </cell>
          <cell r="T1802">
            <v>3968.8999999999996</v>
          </cell>
          <cell r="U1802" t="str"/>
          <cell r="V1802" t="str"/>
          <cell r="W1802" t="str"/>
          <cell r="X1802" t="str"/>
          <cell r="Y1802">
            <v>1225</v>
          </cell>
          <cell r="Z1802">
            <v>5267.5</v>
          </cell>
          <cell r="AA1802">
            <v>1225</v>
          </cell>
          <cell r="AB1802">
            <v>5267.5</v>
          </cell>
          <cell r="AC1802">
            <v>1225</v>
          </cell>
          <cell r="AD1802">
            <v>5267.5</v>
          </cell>
          <cell r="AE1802"/>
          <cell r="AF1802"/>
          <cell r="AG1802"/>
          <cell r="AH1802"/>
          <cell r="AI1802"/>
          <cell r="AJ1802"/>
          <cell r="AK1802" t="str">
            <v>OL</v>
          </cell>
          <cell r="AL1802">
            <v>151</v>
          </cell>
          <cell r="AM1802">
            <v>369</v>
          </cell>
          <cell r="AN1802" t="str">
            <v>10 Orangeline</v>
          </cell>
          <cell r="AO1802" t="str">
            <v>Midwest</v>
          </cell>
          <cell r="AP1802" t="str">
            <v>Central</v>
          </cell>
          <cell r="AQ1802"/>
          <cell r="AR1802">
            <v>0</v>
          </cell>
          <cell r="AS1802">
            <v>0</v>
          </cell>
        </row>
        <row r="1803">
          <cell r="A1803">
            <v>13634</v>
          </cell>
          <cell r="B1803" t="str">
            <v>PFEIFER IMPLEMENT</v>
          </cell>
          <cell r="C1803" t="str">
            <v>M11614</v>
          </cell>
          <cell r="D1803" t="str">
            <v>Net 30, no pink card</v>
          </cell>
          <cell r="E1803">
            <v>0.02</v>
          </cell>
          <cell r="F1803" t="str">
            <v>Yes</v>
          </cell>
          <cell r="G1803" t="str">
            <v>ID</v>
          </cell>
          <cell r="H1803">
            <v>5</v>
          </cell>
          <cell r="I1803">
            <v>0.7</v>
          </cell>
          <cell r="J1803" t="str">
            <v>Jimmy L Smith</v>
          </cell>
          <cell r="K1803" t="str">
            <v>SIOUX FALLS</v>
          </cell>
          <cell r="L1803" t="str">
            <v>SD</v>
          </cell>
          <cell r="M1803" t="str">
            <v>800-577-8875</v>
          </cell>
          <cell r="N1803"/>
          <cell r="O1803">
            <v>810</v>
          </cell>
          <cell r="P1803">
            <v>3483</v>
          </cell>
          <cell r="Q1803"/>
          <cell r="R1803">
            <v>0</v>
          </cell>
          <cell r="S1803">
            <v>892</v>
          </cell>
          <cell r="T1803">
            <v>3835.6</v>
          </cell>
          <cell r="U1803">
            <v>760</v>
          </cell>
          <cell r="V1803">
            <v>3268</v>
          </cell>
          <cell r="W1803" t="str"/>
          <cell r="X1803" t="str"/>
          <cell r="Y1803"/>
          <cell r="Z1803">
            <v>0</v>
          </cell>
          <cell r="AA1803">
            <v>880</v>
          </cell>
          <cell r="AB1803">
            <v>3784</v>
          </cell>
          <cell r="AC1803"/>
          <cell r="AD1803">
            <v>0</v>
          </cell>
          <cell r="AE1803"/>
          <cell r="AF1803"/>
          <cell r="AG1803"/>
          <cell r="AH1803"/>
          <cell r="AI1803"/>
          <cell r="AJ1803"/>
          <cell r="AK1803" t="str">
            <v>OL</v>
          </cell>
          <cell r="AL1803">
            <v>151</v>
          </cell>
          <cell r="AM1803">
            <v>422</v>
          </cell>
          <cell r="AN1803" t="str">
            <v>10 Orangeline</v>
          </cell>
          <cell r="AO1803" t="str">
            <v>Midwest</v>
          </cell>
          <cell r="AP1803" t="str">
            <v>Central</v>
          </cell>
          <cell r="AQ1803"/>
          <cell r="AR1803">
            <v>0</v>
          </cell>
          <cell r="AS1803">
            <v>0</v>
          </cell>
        </row>
        <row r="1804">
          <cell r="A1804">
            <v>13286</v>
          </cell>
          <cell r="B1804" t="str">
            <v>BROTHERS IMPLEMENT</v>
          </cell>
          <cell r="C1804" t="str">
            <v>M11245</v>
          </cell>
          <cell r="D1804" t="str">
            <v>Net 30, no pink card</v>
          </cell>
          <cell r="E1804" t="str">
            <v>2%</v>
          </cell>
          <cell r="F1804" t="str">
            <v>Yes</v>
          </cell>
          <cell r="G1804" t="str">
            <v>GA</v>
          </cell>
          <cell r="H1804">
            <v>5</v>
          </cell>
          <cell r="I1804">
            <v>0.7</v>
          </cell>
          <cell r="J1804" t="str">
            <v>Jimmy L Smith</v>
          </cell>
          <cell r="K1804" t="str">
            <v>HILLSBORO</v>
          </cell>
          <cell r="L1804" t="str">
            <v>TN</v>
          </cell>
          <cell r="M1804" t="str">
            <v>800-577-8858</v>
          </cell>
          <cell r="N1804"/>
          <cell r="O1804"/>
          <cell r="P1804">
            <v>0</v>
          </cell>
          <cell r="Q1804">
            <v>325</v>
          </cell>
          <cell r="R1804">
            <v>1397.5</v>
          </cell>
          <cell r="S1804"/>
          <cell r="T1804">
            <v>0</v>
          </cell>
          <cell r="U1804" t="str"/>
          <cell r="V1804" t="str"/>
          <cell r="W1804" t="str"/>
          <cell r="X1804" t="str"/>
          <cell r="Y1804"/>
          <cell r="Z1804">
            <v>0</v>
          </cell>
          <cell r="AA1804"/>
          <cell r="AB1804">
            <v>0</v>
          </cell>
          <cell r="AC1804"/>
          <cell r="AD1804">
            <v>0</v>
          </cell>
          <cell r="AE1804"/>
          <cell r="AF1804"/>
          <cell r="AG1804"/>
          <cell r="AH1804"/>
          <cell r="AI1804"/>
          <cell r="AJ1804"/>
          <cell r="AK1804" t="str">
            <v>OL</v>
          </cell>
          <cell r="AL1804">
            <v>151</v>
          </cell>
          <cell r="AM1804">
            <v>314</v>
          </cell>
          <cell r="AN1804" t="str">
            <v>10 Orangeline</v>
          </cell>
          <cell r="AO1804" t="str">
            <v>Southeast</v>
          </cell>
          <cell r="AP1804" t="str">
            <v>South</v>
          </cell>
          <cell r="AQ1804"/>
          <cell r="AR1804">
            <v>0</v>
          </cell>
          <cell r="AS1804">
            <v>0</v>
          </cell>
        </row>
        <row r="1805">
          <cell r="A1805">
            <v>13295</v>
          </cell>
          <cell r="B1805" t="str">
            <v>DICKSON FARM</v>
          </cell>
          <cell r="C1805" t="str">
            <v>M11251</v>
          </cell>
          <cell r="D1805" t="str">
            <v>Net 30, no pink card</v>
          </cell>
          <cell r="E1805" t="str">
            <v>2%</v>
          </cell>
          <cell r="F1805" t="str">
            <v>Yes</v>
          </cell>
          <cell r="G1805" t="str">
            <v>GA</v>
          </cell>
          <cell r="H1805">
            <v>5</v>
          </cell>
          <cell r="I1805">
            <v>0.7</v>
          </cell>
          <cell r="J1805" t="str">
            <v>Jimmy L Smith</v>
          </cell>
          <cell r="K1805" t="str">
            <v>DICKSON</v>
          </cell>
          <cell r="L1805" t="str">
            <v>TN</v>
          </cell>
          <cell r="M1805" t="str">
            <v>800-577-8858</v>
          </cell>
          <cell r="N1805"/>
          <cell r="O1805"/>
          <cell r="P1805">
            <v>0</v>
          </cell>
          <cell r="Q1805">
            <v>430</v>
          </cell>
          <cell r="R1805">
            <v>1849</v>
          </cell>
          <cell r="S1805"/>
          <cell r="T1805">
            <v>0</v>
          </cell>
          <cell r="U1805" t="str"/>
          <cell r="V1805" t="str"/>
          <cell r="W1805" t="str"/>
          <cell r="X1805" t="str"/>
          <cell r="Y1805"/>
          <cell r="Z1805">
            <v>0</v>
          </cell>
          <cell r="AA1805"/>
          <cell r="AB1805">
            <v>0</v>
          </cell>
          <cell r="AC1805"/>
          <cell r="AD1805">
            <v>0</v>
          </cell>
          <cell r="AE1805"/>
          <cell r="AF1805"/>
          <cell r="AG1805"/>
          <cell r="AH1805"/>
          <cell r="AI1805"/>
          <cell r="AJ1805"/>
          <cell r="AK1805" t="str">
            <v>OL</v>
          </cell>
          <cell r="AL1805">
            <v>151</v>
          </cell>
          <cell r="AM1805">
            <v>314</v>
          </cell>
          <cell r="AN1805" t="str">
            <v>10 Orangeline</v>
          </cell>
          <cell r="AO1805" t="str">
            <v>Southeast</v>
          </cell>
          <cell r="AP1805" t="str">
            <v>South</v>
          </cell>
          <cell r="AQ1805"/>
          <cell r="AR1805">
            <v>0</v>
          </cell>
          <cell r="AS1805">
            <v>0</v>
          </cell>
        </row>
        <row r="1806">
          <cell r="A1806" t="str">
            <v>13302B</v>
          </cell>
          <cell r="B1806" t="str">
            <v>H &amp; R AGRI-POWER</v>
          </cell>
          <cell r="C1806" t="str">
            <v>M11258</v>
          </cell>
          <cell r="D1806" t="str">
            <v>Net 30, no pink card</v>
          </cell>
          <cell r="E1806" t="str">
            <v>2%</v>
          </cell>
          <cell r="F1806" t="str">
            <v>Yes</v>
          </cell>
          <cell r="G1806" t="str">
            <v>GA</v>
          </cell>
          <cell r="H1806">
            <v>5</v>
          </cell>
          <cell r="I1806">
            <v>0.7</v>
          </cell>
          <cell r="J1806" t="str">
            <v>Jimmy L Smith</v>
          </cell>
          <cell r="K1806" t="str">
            <v>FAYETTEVILLE</v>
          </cell>
          <cell r="L1806" t="str">
            <v>TN</v>
          </cell>
          <cell r="M1806" t="str">
            <v>800-577-8858</v>
          </cell>
          <cell r="N1806"/>
          <cell r="O1806"/>
          <cell r="P1806">
            <v>0</v>
          </cell>
          <cell r="Q1806">
            <v>465</v>
          </cell>
          <cell r="R1806">
            <v>1999.5</v>
          </cell>
          <cell r="S1806"/>
          <cell r="T1806">
            <v>0</v>
          </cell>
          <cell r="U1806" t="str"/>
          <cell r="V1806" t="str"/>
          <cell r="W1806" t="str"/>
          <cell r="X1806" t="str"/>
          <cell r="Y1806"/>
          <cell r="Z1806">
            <v>0</v>
          </cell>
          <cell r="AA1806"/>
          <cell r="AB1806">
            <v>0</v>
          </cell>
          <cell r="AC1806"/>
          <cell r="AD1806">
            <v>0</v>
          </cell>
          <cell r="AE1806"/>
          <cell r="AF1806"/>
          <cell r="AG1806"/>
          <cell r="AH1806"/>
          <cell r="AI1806"/>
          <cell r="AJ1806"/>
          <cell r="AK1806" t="str">
            <v>OL</v>
          </cell>
          <cell r="AL1806">
            <v>151</v>
          </cell>
          <cell r="AM1806">
            <v>198</v>
          </cell>
          <cell r="AN1806" t="str">
            <v>10 Orangeline</v>
          </cell>
          <cell r="AO1806" t="str">
            <v>Southeast</v>
          </cell>
          <cell r="AP1806" t="str">
            <v>South</v>
          </cell>
          <cell r="AQ1806"/>
          <cell r="AR1806">
            <v>0</v>
          </cell>
          <cell r="AS1806">
            <v>0</v>
          </cell>
        </row>
        <row r="1807">
          <cell r="A1807" t="str">
            <v>13353C</v>
          </cell>
          <cell r="B1807" t="str">
            <v>JOHNSON CITY / GREENE COUNTY KUBOTA</v>
          </cell>
          <cell r="C1807" t="str">
            <v>M11316</v>
          </cell>
          <cell r="D1807" t="str">
            <v>Net 30, no pink card</v>
          </cell>
          <cell r="E1807" t="str">
            <v>2%</v>
          </cell>
          <cell r="F1807" t="str">
            <v>Yes</v>
          </cell>
          <cell r="G1807" t="str">
            <v>GA</v>
          </cell>
          <cell r="H1807">
            <v>5</v>
          </cell>
          <cell r="I1807">
            <v>0.7</v>
          </cell>
          <cell r="J1807" t="str">
            <v>Jimmy L Smith</v>
          </cell>
          <cell r="K1807" t="str">
            <v>GREENEVILLE</v>
          </cell>
          <cell r="L1807" t="str">
            <v>TN</v>
          </cell>
          <cell r="M1807" t="str">
            <v>800-577-8858</v>
          </cell>
          <cell r="N1807"/>
          <cell r="O1807"/>
          <cell r="P1807">
            <v>0</v>
          </cell>
          <cell r="Q1807">
            <v>430</v>
          </cell>
          <cell r="R1807">
            <v>1849</v>
          </cell>
          <cell r="S1807"/>
          <cell r="T1807">
            <v>0</v>
          </cell>
          <cell r="U1807" t="str"/>
          <cell r="V1807" t="str"/>
          <cell r="W1807" t="str"/>
          <cell r="X1807" t="str"/>
          <cell r="Y1807"/>
          <cell r="Z1807">
            <v>0</v>
          </cell>
          <cell r="AA1807"/>
          <cell r="AB1807">
            <v>0</v>
          </cell>
          <cell r="AC1807"/>
          <cell r="AD1807">
            <v>0</v>
          </cell>
          <cell r="AE1807"/>
          <cell r="AF1807"/>
          <cell r="AG1807"/>
          <cell r="AH1807"/>
          <cell r="AI1807"/>
          <cell r="AJ1807"/>
          <cell r="AK1807" t="str">
            <v>OL</v>
          </cell>
          <cell r="AL1807">
            <v>151</v>
          </cell>
          <cell r="AM1807">
            <v>229</v>
          </cell>
          <cell r="AN1807" t="str">
            <v>10 Orangeline</v>
          </cell>
          <cell r="AO1807" t="str">
            <v>Southeast</v>
          </cell>
          <cell r="AP1807" t="str">
            <v>South</v>
          </cell>
          <cell r="AQ1807"/>
          <cell r="AR1807">
            <v>0</v>
          </cell>
          <cell r="AS1807">
            <v>0</v>
          </cell>
        </row>
        <row r="1808">
          <cell r="A1808">
            <v>13353</v>
          </cell>
          <cell r="B1808" t="str">
            <v>JOHNSON CITY KUBOTA</v>
          </cell>
          <cell r="C1808" t="str">
            <v>M11316</v>
          </cell>
          <cell r="D1808" t="str">
            <v>Net 30, no pink card</v>
          </cell>
          <cell r="E1808" t="str">
            <v>2%</v>
          </cell>
          <cell r="F1808" t="str">
            <v>Yes</v>
          </cell>
          <cell r="G1808" t="str">
            <v>GA</v>
          </cell>
          <cell r="H1808">
            <v>5</v>
          </cell>
          <cell r="I1808">
            <v>0.7</v>
          </cell>
          <cell r="J1808" t="str">
            <v>Jimmy L Smith</v>
          </cell>
          <cell r="K1808" t="str">
            <v>JOHNSON CITY</v>
          </cell>
          <cell r="L1808" t="str">
            <v>TN</v>
          </cell>
          <cell r="M1808" t="str">
            <v>800-577-8858</v>
          </cell>
          <cell r="N1808"/>
          <cell r="O1808"/>
          <cell r="P1808">
            <v>0</v>
          </cell>
          <cell r="Q1808">
            <v>400</v>
          </cell>
          <cell r="R1808">
            <v>1720</v>
          </cell>
          <cell r="S1808"/>
          <cell r="T1808">
            <v>0</v>
          </cell>
          <cell r="U1808" t="str"/>
          <cell r="V1808" t="str"/>
          <cell r="W1808" t="str"/>
          <cell r="X1808" t="str"/>
          <cell r="Y1808"/>
          <cell r="Z1808">
            <v>0</v>
          </cell>
          <cell r="AA1808"/>
          <cell r="AB1808">
            <v>0</v>
          </cell>
          <cell r="AC1808"/>
          <cell r="AD1808">
            <v>0</v>
          </cell>
          <cell r="AE1808"/>
          <cell r="AF1808"/>
          <cell r="AG1808"/>
          <cell r="AH1808"/>
          <cell r="AI1808"/>
          <cell r="AJ1808"/>
          <cell r="AK1808" t="str">
            <v>OL</v>
          </cell>
          <cell r="AL1808">
            <v>151</v>
          </cell>
          <cell r="AM1808">
            <v>229</v>
          </cell>
          <cell r="AN1808" t="str">
            <v>10 Orangeline</v>
          </cell>
          <cell r="AO1808" t="str">
            <v>Southeast</v>
          </cell>
          <cell r="AP1808" t="str">
            <v>South</v>
          </cell>
          <cell r="AQ1808"/>
          <cell r="AR1808">
            <v>0</v>
          </cell>
          <cell r="AS1808">
            <v>0</v>
          </cell>
        </row>
        <row r="1809">
          <cell r="A1809" t="str">
            <v>13353A</v>
          </cell>
          <cell r="B1809" t="str">
            <v>JOHNSON CITY KUBOTA</v>
          </cell>
          <cell r="C1809" t="str">
            <v>M11316</v>
          </cell>
          <cell r="D1809" t="str">
            <v>Net 30, no pink card</v>
          </cell>
          <cell r="E1809" t="str">
            <v>2%</v>
          </cell>
          <cell r="F1809" t="str">
            <v>Yes</v>
          </cell>
          <cell r="G1809" t="str">
            <v>GA</v>
          </cell>
          <cell r="H1809">
            <v>5</v>
          </cell>
          <cell r="I1809">
            <v>0.7</v>
          </cell>
          <cell r="J1809" t="str">
            <v>Jimmy L Smith</v>
          </cell>
          <cell r="K1809" t="str">
            <v>GREENEVILLE</v>
          </cell>
          <cell r="L1809" t="str">
            <v>TN</v>
          </cell>
          <cell r="M1809" t="str">
            <v>800-577-8858</v>
          </cell>
          <cell r="N1809"/>
          <cell r="O1809"/>
          <cell r="P1809">
            <v>0</v>
          </cell>
          <cell r="Q1809">
            <v>430</v>
          </cell>
          <cell r="R1809">
            <v>1849</v>
          </cell>
          <cell r="S1809"/>
          <cell r="T1809">
            <v>0</v>
          </cell>
          <cell r="U1809" t="str"/>
          <cell r="V1809" t="str"/>
          <cell r="W1809" t="str"/>
          <cell r="X1809" t="str"/>
          <cell r="Y1809"/>
          <cell r="Z1809">
            <v>0</v>
          </cell>
          <cell r="AA1809"/>
          <cell r="AB1809">
            <v>0</v>
          </cell>
          <cell r="AC1809"/>
          <cell r="AD1809">
            <v>0</v>
          </cell>
          <cell r="AE1809"/>
          <cell r="AF1809"/>
          <cell r="AG1809"/>
          <cell r="AH1809"/>
          <cell r="AI1809"/>
          <cell r="AJ1809"/>
          <cell r="AK1809" t="str">
            <v>OL</v>
          </cell>
          <cell r="AL1809">
            <v>151</v>
          </cell>
          <cell r="AM1809">
            <v>229</v>
          </cell>
          <cell r="AN1809" t="str">
            <v>10 Orangeline</v>
          </cell>
          <cell r="AO1809" t="str">
            <v>Southeast</v>
          </cell>
          <cell r="AP1809" t="str">
            <v>South</v>
          </cell>
          <cell r="AQ1809"/>
          <cell r="AR1809">
            <v>0</v>
          </cell>
          <cell r="AS1809">
            <v>0</v>
          </cell>
        </row>
        <row r="1810">
          <cell r="A1810">
            <v>13309</v>
          </cell>
          <cell r="B1810" t="str">
            <v>KUBOTA OF CHATTANOOGA</v>
          </cell>
          <cell r="C1810" t="str">
            <v>M11264</v>
          </cell>
          <cell r="D1810" t="str">
            <v>Net 30, no pink card</v>
          </cell>
          <cell r="E1810" t="str">
            <v>2%</v>
          </cell>
          <cell r="F1810" t="str">
            <v>Yes</v>
          </cell>
          <cell r="G1810" t="str">
            <v>GA</v>
          </cell>
          <cell r="H1810">
            <v>5</v>
          </cell>
          <cell r="I1810">
            <v>0.7</v>
          </cell>
          <cell r="J1810" t="str">
            <v>Jimmy L Smith</v>
          </cell>
          <cell r="K1810" t="str">
            <v>CHATTANOOGA</v>
          </cell>
          <cell r="L1810" t="str">
            <v>TN</v>
          </cell>
          <cell r="M1810" t="str">
            <v>800-577-8858</v>
          </cell>
          <cell r="N1810"/>
          <cell r="O1810"/>
          <cell r="P1810">
            <v>0</v>
          </cell>
          <cell r="Q1810">
            <v>265</v>
          </cell>
          <cell r="R1810">
            <v>1139.5</v>
          </cell>
          <cell r="S1810"/>
          <cell r="T1810">
            <v>0</v>
          </cell>
          <cell r="U1810" t="str"/>
          <cell r="V1810" t="str"/>
          <cell r="W1810" t="str"/>
          <cell r="X1810" t="str"/>
          <cell r="Y1810"/>
          <cell r="Z1810">
            <v>0</v>
          </cell>
          <cell r="AA1810"/>
          <cell r="AB1810">
            <v>0</v>
          </cell>
          <cell r="AC1810"/>
          <cell r="AD1810">
            <v>0</v>
          </cell>
          <cell r="AE1810"/>
          <cell r="AF1810"/>
          <cell r="AG1810"/>
          <cell r="AH1810"/>
          <cell r="AI1810"/>
          <cell r="AJ1810"/>
          <cell r="AK1810" t="str">
            <v>OL</v>
          </cell>
          <cell r="AL1810">
            <v>151</v>
          </cell>
          <cell r="AM1810">
            <v>76</v>
          </cell>
          <cell r="AN1810" t="str">
            <v>10 Orangeline</v>
          </cell>
          <cell r="AO1810" t="str">
            <v>Southeast</v>
          </cell>
          <cell r="AP1810" t="str">
            <v>South</v>
          </cell>
          <cell r="AQ1810"/>
          <cell r="AR1810">
            <v>0</v>
          </cell>
          <cell r="AS1810">
            <v>0</v>
          </cell>
        </row>
        <row r="1811">
          <cell r="A1811">
            <v>13358</v>
          </cell>
          <cell r="B1811" t="str">
            <v>PLATEAU TRUCK &amp; TRACTOR</v>
          </cell>
          <cell r="C1811" t="str">
            <v>M11321</v>
          </cell>
          <cell r="D1811" t="str">
            <v>Net 30, no pink card</v>
          </cell>
          <cell r="E1811" t="str">
            <v>2%</v>
          </cell>
          <cell r="F1811" t="str">
            <v>Yes</v>
          </cell>
          <cell r="G1811" t="str">
            <v>OH</v>
          </cell>
          <cell r="H1811">
            <v>5</v>
          </cell>
          <cell r="I1811">
            <v>0.7</v>
          </cell>
          <cell r="J1811" t="str">
            <v>Jimmy L Smith</v>
          </cell>
          <cell r="K1811" t="str">
            <v>CROSSVILLE</v>
          </cell>
          <cell r="L1811" t="str">
            <v>TN</v>
          </cell>
          <cell r="M1811" t="str">
            <v>800-577-8858</v>
          </cell>
          <cell r="N1811"/>
          <cell r="O1811"/>
          <cell r="P1811">
            <v>0</v>
          </cell>
          <cell r="Q1811">
            <v>345</v>
          </cell>
          <cell r="R1811">
            <v>1483.5</v>
          </cell>
          <cell r="S1811"/>
          <cell r="T1811">
            <v>0</v>
          </cell>
          <cell r="U1811" t="str"/>
          <cell r="V1811" t="str"/>
          <cell r="W1811" t="str"/>
          <cell r="X1811" t="str"/>
          <cell r="Y1811"/>
          <cell r="Z1811">
            <v>0</v>
          </cell>
          <cell r="AA1811">
            <v>282</v>
          </cell>
          <cell r="AB1811">
            <v>1212.5999999999999</v>
          </cell>
          <cell r="AC1811">
            <v>282</v>
          </cell>
          <cell r="AD1811">
            <v>1212.5999999999999</v>
          </cell>
          <cell r="AE1811"/>
          <cell r="AF1811"/>
          <cell r="AG1811"/>
          <cell r="AH1811"/>
          <cell r="AI1811"/>
          <cell r="AJ1811"/>
          <cell r="AK1811" t="str">
            <v>OL</v>
          </cell>
          <cell r="AL1811">
            <v>151</v>
          </cell>
          <cell r="AM1811">
            <v>232</v>
          </cell>
          <cell r="AN1811" t="str">
            <v>10 Orangeline</v>
          </cell>
          <cell r="AO1811" t="str">
            <v>Southeast</v>
          </cell>
          <cell r="AP1811" t="str">
            <v>South</v>
          </cell>
          <cell r="AQ1811"/>
          <cell r="AR1811">
            <v>0</v>
          </cell>
          <cell r="AS1811">
            <v>0</v>
          </cell>
        </row>
        <row r="1812">
          <cell r="A1812">
            <v>13646</v>
          </cell>
          <cell r="B1812" t="str">
            <v>TYLER BROTHERS</v>
          </cell>
          <cell r="C1812" t="str">
            <v>M11629</v>
          </cell>
          <cell r="D1812" t="str">
            <v>Net 30, no pink card</v>
          </cell>
          <cell r="E1812" t="str">
            <v>2%</v>
          </cell>
          <cell r="F1812" t="str">
            <v>Yes</v>
          </cell>
          <cell r="G1812" t="str">
            <v>OH</v>
          </cell>
          <cell r="H1812">
            <v>5</v>
          </cell>
          <cell r="I1812">
            <v>0.7</v>
          </cell>
          <cell r="J1812" t="str">
            <v>Jimmy L Smith</v>
          </cell>
          <cell r="K1812" t="str">
            <v>MARYVILLE</v>
          </cell>
          <cell r="L1812" t="str">
            <v>TN</v>
          </cell>
          <cell r="M1812" t="str">
            <v>800-577-8858</v>
          </cell>
          <cell r="N1812"/>
          <cell r="O1812">
            <v>723</v>
          </cell>
          <cell r="P1812">
            <v>3108.9</v>
          </cell>
          <cell r="Q1812">
            <v>348</v>
          </cell>
          <cell r="R1812">
            <v>1496.3999999999999</v>
          </cell>
          <cell r="S1812"/>
          <cell r="T1812">
            <v>0</v>
          </cell>
          <cell r="U1812">
            <v>880</v>
          </cell>
          <cell r="V1812">
            <v>3784</v>
          </cell>
          <cell r="W1812">
            <v>804</v>
          </cell>
          <cell r="X1812">
            <v>3457.2</v>
          </cell>
          <cell r="Y1812"/>
          <cell r="Z1812">
            <v>0</v>
          </cell>
          <cell r="AA1812">
            <v>292</v>
          </cell>
          <cell r="AB1812">
            <v>1255.5999999999999</v>
          </cell>
          <cell r="AC1812">
            <v>292</v>
          </cell>
          <cell r="AD1812">
            <v>1255.5999999999999</v>
          </cell>
          <cell r="AE1812"/>
          <cell r="AF1812"/>
          <cell r="AG1812"/>
          <cell r="AH1812"/>
          <cell r="AI1812"/>
          <cell r="AJ1812"/>
          <cell r="AK1812" t="str">
            <v>OL</v>
          </cell>
          <cell r="AL1812">
            <v>151</v>
          </cell>
          <cell r="AM1812">
            <v>290</v>
          </cell>
          <cell r="AN1812" t="str">
            <v>10 Orangeline</v>
          </cell>
          <cell r="AO1812" t="str">
            <v>Southeast</v>
          </cell>
          <cell r="AP1812" t="str">
            <v>South</v>
          </cell>
          <cell r="AQ1812"/>
          <cell r="AR1812">
            <v>0</v>
          </cell>
          <cell r="AS1812">
            <v>0</v>
          </cell>
        </row>
        <row r="1813">
          <cell r="A1813">
            <v>13346</v>
          </cell>
          <cell r="B1813" t="str">
            <v>WOOTEN TRACTOR</v>
          </cell>
          <cell r="C1813" t="str">
            <v>M11294</v>
          </cell>
          <cell r="D1813" t="str">
            <v>Net 30, no pink card</v>
          </cell>
          <cell r="E1813" t="str">
            <v>2%</v>
          </cell>
          <cell r="F1813" t="str">
            <v>Yes</v>
          </cell>
          <cell r="G1813" t="str">
            <v>GA</v>
          </cell>
          <cell r="H1813">
            <v>5</v>
          </cell>
          <cell r="I1813">
            <v>0.7</v>
          </cell>
          <cell r="J1813" t="str">
            <v>Jimmy L Smith</v>
          </cell>
          <cell r="K1813" t="str">
            <v>COVINGTON</v>
          </cell>
          <cell r="L1813" t="str">
            <v>TN</v>
          </cell>
          <cell r="M1813" t="str">
            <v>800-577-8858</v>
          </cell>
          <cell r="N1813"/>
          <cell r="O1813">
            <v>375</v>
          </cell>
          <cell r="P1813">
            <v>1612.5</v>
          </cell>
          <cell r="Q1813">
            <v>546</v>
          </cell>
          <cell r="R1813">
            <v>2347.7999999999997</v>
          </cell>
          <cell r="S1813"/>
          <cell r="T1813">
            <v>0</v>
          </cell>
          <cell r="U1813" t="str"/>
          <cell r="V1813" t="str"/>
          <cell r="W1813" t="str"/>
          <cell r="X1813" t="str"/>
          <cell r="Y1813"/>
          <cell r="Z1813">
            <v>0</v>
          </cell>
          <cell r="AA1813"/>
          <cell r="AB1813">
            <v>0</v>
          </cell>
          <cell r="AC1813"/>
          <cell r="AD1813">
            <v>0</v>
          </cell>
          <cell r="AE1813"/>
          <cell r="AF1813"/>
          <cell r="AG1813"/>
          <cell r="AH1813"/>
          <cell r="AI1813"/>
          <cell r="AJ1813"/>
          <cell r="AK1813" t="str">
            <v>OL</v>
          </cell>
          <cell r="AL1813">
            <v>151</v>
          </cell>
          <cell r="AM1813">
            <v>290</v>
          </cell>
          <cell r="AN1813" t="str">
            <v>10 Orangeline</v>
          </cell>
          <cell r="AO1813" t="str">
            <v>Southeast</v>
          </cell>
          <cell r="AP1813" t="str">
            <v>South</v>
          </cell>
          <cell r="AQ1813"/>
          <cell r="AR1813">
            <v>0</v>
          </cell>
          <cell r="AS1813">
            <v>0</v>
          </cell>
        </row>
        <row r="1814">
          <cell r="A1814">
            <v>13239</v>
          </cell>
          <cell r="B1814" t="str">
            <v>ABILENE EQUIPMENT</v>
          </cell>
          <cell r="C1814" t="str">
            <v>M11180</v>
          </cell>
          <cell r="D1814" t="str">
            <v>Net 30, no pink card</v>
          </cell>
          <cell r="E1814" t="str">
            <v>2%</v>
          </cell>
          <cell r="F1814" t="str">
            <v>Yes</v>
          </cell>
          <cell r="G1814" t="str">
            <v>TX</v>
          </cell>
          <cell r="H1814">
            <v>5</v>
          </cell>
          <cell r="I1814">
            <v>0.7</v>
          </cell>
          <cell r="J1814" t="str">
            <v>Jimmy L Smith</v>
          </cell>
          <cell r="K1814" t="str">
            <v>ABILENE</v>
          </cell>
          <cell r="L1814" t="str">
            <v>TX</v>
          </cell>
          <cell r="M1814" t="str">
            <v>800-577-8858</v>
          </cell>
          <cell r="N1814"/>
          <cell r="O1814">
            <v>300</v>
          </cell>
          <cell r="P1814">
            <v>1290</v>
          </cell>
          <cell r="Q1814"/>
          <cell r="R1814">
            <v>0</v>
          </cell>
          <cell r="S1814"/>
          <cell r="T1814">
            <v>0</v>
          </cell>
          <cell r="U1814" t="str"/>
          <cell r="V1814" t="str"/>
          <cell r="W1814" t="str"/>
          <cell r="X1814" t="str"/>
          <cell r="Y1814"/>
          <cell r="Z1814">
            <v>0</v>
          </cell>
          <cell r="AA1814"/>
          <cell r="AB1814" t="str">
            <v>n/a</v>
          </cell>
          <cell r="AC1814"/>
          <cell r="AD1814">
            <v>0</v>
          </cell>
          <cell r="AE1814"/>
          <cell r="AF1814"/>
          <cell r="AG1814"/>
          <cell r="AH1814"/>
          <cell r="AI1814"/>
          <cell r="AJ1814"/>
          <cell r="AK1814" t="str">
            <v>OL</v>
          </cell>
          <cell r="AL1814">
            <v>151</v>
          </cell>
          <cell r="AM1814">
            <v>3</v>
          </cell>
          <cell r="AN1814" t="str">
            <v>10 Orangeline</v>
          </cell>
          <cell r="AO1814" t="str">
            <v>Central</v>
          </cell>
          <cell r="AP1814" t="str">
            <v>Central</v>
          </cell>
          <cell r="AQ1814"/>
          <cell r="AR1814">
            <v>0</v>
          </cell>
          <cell r="AS1814">
            <v>0</v>
          </cell>
        </row>
        <row r="1815">
          <cell r="A1815">
            <v>13176</v>
          </cell>
          <cell r="B1815" t="str">
            <v>AG EQUIPMENT</v>
          </cell>
          <cell r="C1815" t="str">
            <v>M11114</v>
          </cell>
          <cell r="D1815" t="str">
            <v>Net 30, no pink card</v>
          </cell>
          <cell r="E1815" t="str">
            <v>2%</v>
          </cell>
          <cell r="F1815" t="str">
            <v>Yes</v>
          </cell>
          <cell r="G1815" t="str">
            <v>TX</v>
          </cell>
          <cell r="H1815">
            <v>5</v>
          </cell>
          <cell r="I1815">
            <v>0.7</v>
          </cell>
          <cell r="J1815" t="str">
            <v>Jimmy L Smith</v>
          </cell>
          <cell r="K1815" t="str">
            <v>UVALDE</v>
          </cell>
          <cell r="L1815" t="str">
            <v>TX</v>
          </cell>
          <cell r="M1815" t="str">
            <v>800-577-8858</v>
          </cell>
          <cell r="N1815"/>
          <cell r="O1815">
            <v>460</v>
          </cell>
          <cell r="P1815">
            <v>1978</v>
          </cell>
          <cell r="Q1815"/>
          <cell r="R1815">
            <v>0</v>
          </cell>
          <cell r="S1815"/>
          <cell r="T1815">
            <v>0</v>
          </cell>
          <cell r="U1815" t="str"/>
          <cell r="V1815" t="str"/>
          <cell r="W1815" t="str"/>
          <cell r="X1815" t="str"/>
          <cell r="Y1815"/>
          <cell r="Z1815">
            <v>0</v>
          </cell>
          <cell r="AA1815"/>
          <cell r="AB1815" t="str">
            <v>n/a</v>
          </cell>
          <cell r="AC1815"/>
          <cell r="AD1815" t="str">
            <v>n/a</v>
          </cell>
          <cell r="AE1815" t="str"/>
          <cell r="AF1815"/>
          <cell r="AG1815" t="str"/>
          <cell r="AH1815" t="str"/>
          <cell r="AI1815" t="str"/>
          <cell r="AJ1815"/>
          <cell r="AK1815" t="str">
            <v>OL</v>
          </cell>
          <cell r="AL1815">
            <v>151</v>
          </cell>
          <cell r="AM1815">
            <v>401</v>
          </cell>
          <cell r="AN1815" t="str">
            <v>10 Orangeline</v>
          </cell>
          <cell r="AO1815" t="str">
            <v>Central</v>
          </cell>
          <cell r="AP1815" t="str">
            <v>Central</v>
          </cell>
          <cell r="AQ1815"/>
          <cell r="AR1815">
            <v>0</v>
          </cell>
          <cell r="AS1815">
            <v>0</v>
          </cell>
        </row>
        <row r="1816">
          <cell r="A1816">
            <v>13177</v>
          </cell>
          <cell r="B1816" t="str">
            <v>ALBA TRACTOR</v>
          </cell>
          <cell r="C1816" t="str">
            <v>M11115</v>
          </cell>
          <cell r="D1816" t="str">
            <v>Net 30, no pink card</v>
          </cell>
          <cell r="E1816" t="str">
            <v>2%</v>
          </cell>
          <cell r="F1816" t="str">
            <v>Yes</v>
          </cell>
          <cell r="G1816" t="str">
            <v>TX</v>
          </cell>
          <cell r="H1816">
            <v>5</v>
          </cell>
          <cell r="I1816">
            <v>0.7</v>
          </cell>
          <cell r="J1816" t="str">
            <v>Jimmy L Smith</v>
          </cell>
          <cell r="K1816" t="str">
            <v>ALBA</v>
          </cell>
          <cell r="L1816" t="str">
            <v>TX</v>
          </cell>
          <cell r="M1816" t="str">
            <v>800-577-8858</v>
          </cell>
          <cell r="N1816"/>
          <cell r="O1816">
            <v>60</v>
          </cell>
          <cell r="P1816">
            <v>258</v>
          </cell>
          <cell r="Q1816"/>
          <cell r="R1816">
            <v>0</v>
          </cell>
          <cell r="S1816"/>
          <cell r="T1816">
            <v>0</v>
          </cell>
          <cell r="U1816" t="str"/>
          <cell r="V1816" t="str"/>
          <cell r="W1816" t="str"/>
          <cell r="X1816" t="str"/>
          <cell r="Y1816"/>
          <cell r="Z1816">
            <v>0</v>
          </cell>
          <cell r="AA1816"/>
          <cell r="AB1816" t="str">
            <v>n/a</v>
          </cell>
          <cell r="AC1816"/>
          <cell r="AD1816" t="str">
            <v>n/a</v>
          </cell>
          <cell r="AE1816" t="str"/>
          <cell r="AF1816"/>
          <cell r="AG1816" t="str"/>
          <cell r="AH1816" t="str"/>
          <cell r="AI1816" t="str"/>
          <cell r="AJ1816"/>
          <cell r="AK1816" t="str">
            <v>OL</v>
          </cell>
          <cell r="AL1816">
            <v>151</v>
          </cell>
          <cell r="AM1816">
            <v>452</v>
          </cell>
          <cell r="AN1816" t="str">
            <v>10 Orangeline</v>
          </cell>
          <cell r="AO1816" t="str">
            <v>Central</v>
          </cell>
          <cell r="AP1816" t="str">
            <v>Central</v>
          </cell>
          <cell r="AQ1816"/>
          <cell r="AR1816">
            <v>0</v>
          </cell>
          <cell r="AS1816">
            <v>0</v>
          </cell>
        </row>
        <row r="1817">
          <cell r="A1817">
            <v>13178</v>
          </cell>
          <cell r="B1817" t="str">
            <v>ALVIN EQUIPMENT</v>
          </cell>
          <cell r="C1817" t="str">
            <v>M11116</v>
          </cell>
          <cell r="D1817" t="str">
            <v>Net 30, no pink card</v>
          </cell>
          <cell r="E1817" t="str">
            <v>2%</v>
          </cell>
          <cell r="F1817" t="str">
            <v>Yes</v>
          </cell>
          <cell r="G1817" t="str">
            <v>TX</v>
          </cell>
          <cell r="H1817">
            <v>5</v>
          </cell>
          <cell r="I1817">
            <v>0.7</v>
          </cell>
          <cell r="J1817" t="str">
            <v>Jimmy L Smith</v>
          </cell>
          <cell r="K1817" t="str">
            <v>ALVIN</v>
          </cell>
          <cell r="L1817" t="str">
            <v>TX</v>
          </cell>
          <cell r="M1817" t="str">
            <v>800-577-8858</v>
          </cell>
          <cell r="N1817"/>
          <cell r="O1817">
            <v>290</v>
          </cell>
          <cell r="P1817">
            <v>1247</v>
          </cell>
          <cell r="Q1817"/>
          <cell r="R1817">
            <v>0</v>
          </cell>
          <cell r="S1817"/>
          <cell r="T1817">
            <v>0</v>
          </cell>
          <cell r="U1817" t="str"/>
          <cell r="V1817" t="str"/>
          <cell r="W1817" t="str"/>
          <cell r="X1817" t="str"/>
          <cell r="Y1817"/>
          <cell r="Z1817">
            <v>0</v>
          </cell>
          <cell r="AA1817"/>
          <cell r="AB1817" t="str">
            <v>n/a</v>
          </cell>
          <cell r="AC1817"/>
          <cell r="AD1817" t="str">
            <v>n/a</v>
          </cell>
          <cell r="AE1817" t="str"/>
          <cell r="AF1817"/>
          <cell r="AG1817" t="str"/>
          <cell r="AH1817" t="str"/>
          <cell r="AI1817" t="str"/>
          <cell r="AJ1817"/>
          <cell r="AK1817" t="str">
            <v>OL</v>
          </cell>
          <cell r="AL1817">
            <v>151</v>
          </cell>
          <cell r="AM1817">
            <v>196</v>
          </cell>
          <cell r="AN1817" t="str">
            <v>10 Orangeline</v>
          </cell>
          <cell r="AO1817" t="str">
            <v>Central</v>
          </cell>
          <cell r="AP1817" t="str">
            <v>Central</v>
          </cell>
          <cell r="AQ1817"/>
          <cell r="AR1817">
            <v>0</v>
          </cell>
          <cell r="AS1817">
            <v>0</v>
          </cell>
        </row>
        <row r="1818">
          <cell r="A1818">
            <v>13179</v>
          </cell>
          <cell r="B1818" t="str">
            <v>AMIGO POWER EQUIPMENT</v>
          </cell>
          <cell r="C1818" t="str">
            <v>M11117</v>
          </cell>
          <cell r="D1818" t="str">
            <v>Net 30, no pink card</v>
          </cell>
          <cell r="E1818" t="str">
            <v>2%</v>
          </cell>
          <cell r="F1818" t="str">
            <v>Yes</v>
          </cell>
          <cell r="G1818" t="str">
            <v>TX</v>
          </cell>
          <cell r="H1818">
            <v>5</v>
          </cell>
          <cell r="I1818">
            <v>0.7</v>
          </cell>
          <cell r="J1818" t="str">
            <v>Jimmy L Smith</v>
          </cell>
          <cell r="K1818" t="str">
            <v>EDINBURG</v>
          </cell>
          <cell r="L1818" t="str">
            <v>TX</v>
          </cell>
          <cell r="M1818" t="str">
            <v>800-577-8858</v>
          </cell>
          <cell r="N1818"/>
          <cell r="O1818">
            <v>620</v>
          </cell>
          <cell r="P1818">
            <v>2666</v>
          </cell>
          <cell r="Q1818"/>
          <cell r="R1818">
            <v>0</v>
          </cell>
          <cell r="S1818"/>
          <cell r="T1818">
            <v>0</v>
          </cell>
          <cell r="U1818" t="str"/>
          <cell r="V1818" t="str"/>
          <cell r="W1818" t="str"/>
          <cell r="X1818" t="str"/>
          <cell r="Y1818"/>
          <cell r="Z1818">
            <v>0</v>
          </cell>
          <cell r="AA1818"/>
          <cell r="AB1818" t="str">
            <v>n/a</v>
          </cell>
          <cell r="AC1818"/>
          <cell r="AD1818" t="str">
            <v>n/a</v>
          </cell>
          <cell r="AE1818" t="str"/>
          <cell r="AF1818"/>
          <cell r="AG1818" t="str"/>
          <cell r="AH1818" t="str"/>
          <cell r="AI1818" t="str"/>
          <cell r="AJ1818"/>
          <cell r="AK1818" t="str">
            <v>OL</v>
          </cell>
          <cell r="AL1818">
            <v>151</v>
          </cell>
          <cell r="AM1818">
            <v>268</v>
          </cell>
          <cell r="AN1818" t="str">
            <v>10 Orangeline</v>
          </cell>
          <cell r="AO1818" t="str">
            <v>Central</v>
          </cell>
          <cell r="AP1818" t="str">
            <v>Central</v>
          </cell>
          <cell r="AQ1818"/>
          <cell r="AR1818">
            <v>0</v>
          </cell>
          <cell r="AS1818">
            <v>0</v>
          </cell>
        </row>
        <row r="1819">
          <cell r="A1819">
            <v>13180</v>
          </cell>
          <cell r="B1819" t="str">
            <v>ANGELO PELLETS</v>
          </cell>
          <cell r="C1819" t="str">
            <v>M11118</v>
          </cell>
          <cell r="D1819" t="str">
            <v>Net 30, no pink card</v>
          </cell>
          <cell r="E1819" t="str">
            <v>2%</v>
          </cell>
          <cell r="F1819" t="str">
            <v>Yes</v>
          </cell>
          <cell r="G1819" t="str">
            <v>TX</v>
          </cell>
          <cell r="H1819">
            <v>5</v>
          </cell>
          <cell r="I1819">
            <v>0.7</v>
          </cell>
          <cell r="J1819" t="str">
            <v>Jimmy L Smith</v>
          </cell>
          <cell r="K1819" t="str">
            <v>SAN ANGELO</v>
          </cell>
          <cell r="L1819" t="str">
            <v>TX</v>
          </cell>
          <cell r="M1819" t="str">
            <v>800-577-8858</v>
          </cell>
          <cell r="N1819"/>
          <cell r="O1819">
            <v>380</v>
          </cell>
          <cell r="P1819">
            <v>1634</v>
          </cell>
          <cell r="Q1819"/>
          <cell r="R1819">
            <v>0</v>
          </cell>
          <cell r="S1819"/>
          <cell r="T1819">
            <v>0</v>
          </cell>
          <cell r="U1819" t="str"/>
          <cell r="V1819" t="str"/>
          <cell r="W1819" t="str"/>
          <cell r="X1819" t="str"/>
          <cell r="Y1819"/>
          <cell r="Z1819">
            <v>0</v>
          </cell>
          <cell r="AA1819"/>
          <cell r="AB1819" t="str">
            <v>n/a</v>
          </cell>
          <cell r="AC1819"/>
          <cell r="AD1819" t="str">
            <v>n/a</v>
          </cell>
          <cell r="AE1819"/>
          <cell r="AF1819"/>
          <cell r="AG1819"/>
          <cell r="AH1819"/>
          <cell r="AI1819"/>
          <cell r="AJ1819"/>
          <cell r="AK1819" t="str">
            <v>OL</v>
          </cell>
          <cell r="AL1819">
            <v>151</v>
          </cell>
          <cell r="AM1819">
            <v>400</v>
          </cell>
          <cell r="AN1819" t="str">
            <v>10 Orangeline</v>
          </cell>
          <cell r="AO1819" t="str">
            <v>Central</v>
          </cell>
          <cell r="AP1819" t="str">
            <v>Central</v>
          </cell>
          <cell r="AQ1819"/>
          <cell r="AR1819">
            <v>0</v>
          </cell>
          <cell r="AS1819">
            <v>0</v>
          </cell>
        </row>
        <row r="1820">
          <cell r="A1820">
            <v>13391</v>
          </cell>
          <cell r="B1820" t="str">
            <v>ATHENS TRACTOR</v>
          </cell>
          <cell r="C1820" t="str">
            <v>M10032</v>
          </cell>
          <cell r="D1820" t="str">
            <v>Net 30, no pink card</v>
          </cell>
          <cell r="E1820" t="str">
            <v>2%</v>
          </cell>
          <cell r="F1820" t="str">
            <v>Yes</v>
          </cell>
          <cell r="G1820" t="str">
            <v>TX</v>
          </cell>
          <cell r="H1820">
            <v>5</v>
          </cell>
          <cell r="I1820">
            <v>0.7</v>
          </cell>
          <cell r="J1820" t="str">
            <v>Jimmy L Smith</v>
          </cell>
          <cell r="K1820" t="str">
            <v>ATHENS</v>
          </cell>
          <cell r="L1820" t="str">
            <v>TX</v>
          </cell>
          <cell r="M1820" t="str">
            <v>800-577-8858</v>
          </cell>
          <cell r="N1820"/>
          <cell r="O1820">
            <v>110</v>
          </cell>
          <cell r="P1820">
            <v>473</v>
          </cell>
          <cell r="Q1820"/>
          <cell r="R1820">
            <v>0</v>
          </cell>
          <cell r="S1820">
            <v>1676</v>
          </cell>
          <cell r="T1820">
            <v>7206.7999999999993</v>
          </cell>
          <cell r="U1820" t="str"/>
          <cell r="V1820" t="str"/>
          <cell r="W1820" t="str"/>
          <cell r="X1820" t="str"/>
          <cell r="Y1820"/>
          <cell r="Z1820">
            <v>0</v>
          </cell>
          <cell r="AA1820"/>
          <cell r="AB1820" t="str">
            <v>n/a</v>
          </cell>
          <cell r="AC1820"/>
          <cell r="AD1820" t="str">
            <v>n/a</v>
          </cell>
          <cell r="AE1820"/>
          <cell r="AF1820"/>
          <cell r="AG1820"/>
          <cell r="AH1820"/>
          <cell r="AI1820"/>
          <cell r="AJ1820"/>
          <cell r="AK1820" t="str">
            <v>OL</v>
          </cell>
          <cell r="AL1820">
            <v>151</v>
          </cell>
          <cell r="AM1820">
            <v>101</v>
          </cell>
          <cell r="AN1820" t="str">
            <v>10 Orangeline</v>
          </cell>
          <cell r="AO1820" t="str">
            <v>Central</v>
          </cell>
          <cell r="AP1820" t="str">
            <v>Central</v>
          </cell>
          <cell r="AQ1820"/>
          <cell r="AR1820">
            <v>0</v>
          </cell>
          <cell r="AS1820">
            <v>0</v>
          </cell>
        </row>
        <row r="1821">
          <cell r="A1821">
            <v>13632</v>
          </cell>
          <cell r="B1821" t="str">
            <v>BAGLEY TRACTOR</v>
          </cell>
          <cell r="C1821" t="str">
            <v>M11185</v>
          </cell>
          <cell r="D1821" t="str">
            <v>Net 30, no pink card</v>
          </cell>
          <cell r="E1821" t="str">
            <v>FP - Northpoint</v>
          </cell>
          <cell r="F1821" t="str">
            <v>Yes</v>
          </cell>
          <cell r="G1821" t="str">
            <v>TX</v>
          </cell>
          <cell r="H1821">
            <v>8</v>
          </cell>
          <cell r="I1821">
            <v>0.7</v>
          </cell>
          <cell r="J1821" t="str">
            <v>Jimmy L Smith</v>
          </cell>
          <cell r="K1821" t="str">
            <v>LONGVIEW</v>
          </cell>
          <cell r="L1821" t="str">
            <v>TX</v>
          </cell>
          <cell r="M1821" t="str">
            <v>800-577-8858</v>
          </cell>
          <cell r="N1821"/>
          <cell r="O1821">
            <v>52</v>
          </cell>
          <cell r="P1821">
            <v>223.6</v>
          </cell>
          <cell r="Q1821"/>
          <cell r="R1821">
            <v>0</v>
          </cell>
          <cell r="S1821"/>
          <cell r="T1821">
            <v>0</v>
          </cell>
          <cell r="U1821" t="str"/>
          <cell r="V1821" t="str"/>
          <cell r="W1821" t="str"/>
          <cell r="X1821" t="str"/>
          <cell r="Y1821"/>
          <cell r="Z1821">
            <v>0</v>
          </cell>
          <cell r="AA1821"/>
          <cell r="AB1821" t="str">
            <v>n/a</v>
          </cell>
          <cell r="AC1821"/>
          <cell r="AD1821" t="str">
            <v>n/a</v>
          </cell>
          <cell r="AE1821" t="str"/>
          <cell r="AF1821"/>
          <cell r="AG1821" t="str"/>
          <cell r="AH1821" t="str"/>
          <cell r="AI1821" t="str"/>
          <cell r="AJ1821"/>
          <cell r="AK1821" t="str">
            <v>OL</v>
          </cell>
          <cell r="AL1821">
            <v>151</v>
          </cell>
          <cell r="AM1821">
            <v>260</v>
          </cell>
          <cell r="AN1821" t="str">
            <v>10 Orangeline</v>
          </cell>
          <cell r="AO1821" t="str">
            <v>Central</v>
          </cell>
          <cell r="AP1821" t="str">
            <v>Central</v>
          </cell>
          <cell r="AQ1821"/>
          <cell r="AR1821">
            <v>0</v>
          </cell>
          <cell r="AS1821">
            <v>0</v>
          </cell>
        </row>
        <row r="1822">
          <cell r="A1822">
            <v>13244</v>
          </cell>
          <cell r="B1822" t="str">
            <v>BAGLEY TRACTOR</v>
          </cell>
          <cell r="C1822" t="str">
            <v>M11185</v>
          </cell>
          <cell r="D1822" t="str">
            <v>Net 30, no pink card</v>
          </cell>
          <cell r="E1822" t="str">
            <v>2%</v>
          </cell>
          <cell r="F1822" t="str">
            <v>Yes</v>
          </cell>
          <cell r="G1822" t="str">
            <v>TX</v>
          </cell>
          <cell r="H1822">
            <v>5</v>
          </cell>
          <cell r="I1822">
            <v>0.7</v>
          </cell>
          <cell r="J1822" t="str">
            <v>Jimmy L Smith</v>
          </cell>
          <cell r="K1822" t="str">
            <v>LONGVIEW</v>
          </cell>
          <cell r="L1822" t="str">
            <v>TX</v>
          </cell>
          <cell r="M1822" t="str">
            <v>800-577-8858</v>
          </cell>
          <cell r="N1822"/>
          <cell r="O1822">
            <v>52</v>
          </cell>
          <cell r="P1822">
            <v>223.6</v>
          </cell>
          <cell r="Q1822"/>
          <cell r="R1822">
            <v>0</v>
          </cell>
          <cell r="S1822"/>
          <cell r="T1822">
            <v>0</v>
          </cell>
          <cell r="U1822" t="str"/>
          <cell r="V1822" t="str"/>
          <cell r="W1822" t="str"/>
          <cell r="X1822" t="str"/>
          <cell r="Y1822"/>
          <cell r="Z1822">
            <v>0</v>
          </cell>
          <cell r="AA1822"/>
          <cell r="AB1822" t="str">
            <v>n/a</v>
          </cell>
          <cell r="AC1822"/>
          <cell r="AD1822" t="str">
            <v>n/a</v>
          </cell>
          <cell r="AE1822" t="str"/>
          <cell r="AF1822"/>
          <cell r="AG1822" t="str"/>
          <cell r="AH1822" t="str"/>
          <cell r="AI1822" t="str"/>
          <cell r="AJ1822"/>
          <cell r="AK1822" t="str">
            <v>OL</v>
          </cell>
          <cell r="AL1822">
            <v>151</v>
          </cell>
          <cell r="AM1822">
            <v>260</v>
          </cell>
          <cell r="AN1822" t="str">
            <v>10 Orangeline</v>
          </cell>
          <cell r="AO1822" t="str">
            <v>Central</v>
          </cell>
          <cell r="AP1822" t="str">
            <v>Central</v>
          </cell>
          <cell r="AQ1822"/>
          <cell r="AR1822">
            <v>0</v>
          </cell>
          <cell r="AS1822">
            <v>0</v>
          </cell>
        </row>
        <row r="1823">
          <cell r="A1823">
            <v>13181</v>
          </cell>
          <cell r="B1823" t="str">
            <v>BEAUMONT TRACTOR</v>
          </cell>
          <cell r="C1823" t="str">
            <v>M11120</v>
          </cell>
          <cell r="D1823" t="str">
            <v>Net 30, no pink card</v>
          </cell>
          <cell r="E1823" t="str">
            <v>2%</v>
          </cell>
          <cell r="F1823" t="str">
            <v>Yes</v>
          </cell>
          <cell r="G1823" t="str">
            <v>TX</v>
          </cell>
          <cell r="H1823">
            <v>5</v>
          </cell>
          <cell r="I1823">
            <v>0.7</v>
          </cell>
          <cell r="J1823" t="str">
            <v>Jimmy L Smith</v>
          </cell>
          <cell r="K1823" t="str">
            <v>BEAUMONT</v>
          </cell>
          <cell r="L1823" t="str">
            <v>TX</v>
          </cell>
          <cell r="M1823" t="str">
            <v>800-577-8858</v>
          </cell>
          <cell r="N1823"/>
          <cell r="O1823">
            <v>245</v>
          </cell>
          <cell r="P1823">
            <v>1053.5</v>
          </cell>
          <cell r="Q1823"/>
          <cell r="R1823">
            <v>0</v>
          </cell>
          <cell r="S1823"/>
          <cell r="T1823">
            <v>0</v>
          </cell>
          <cell r="U1823" t="str"/>
          <cell r="V1823" t="str"/>
          <cell r="W1823" t="str"/>
          <cell r="X1823" t="str"/>
          <cell r="Y1823"/>
          <cell r="Z1823">
            <v>0</v>
          </cell>
          <cell r="AA1823"/>
          <cell r="AB1823" t="str">
            <v>n/a</v>
          </cell>
          <cell r="AC1823"/>
          <cell r="AD1823" t="str">
            <v>n/a</v>
          </cell>
          <cell r="AE1823" t="str"/>
          <cell r="AF1823"/>
          <cell r="AG1823" t="str"/>
          <cell r="AH1823" t="str"/>
          <cell r="AI1823" t="str"/>
          <cell r="AJ1823">
            <v>0.02</v>
          </cell>
          <cell r="AK1823" t="str">
            <v>OL</v>
          </cell>
          <cell r="AL1823">
            <v>151</v>
          </cell>
          <cell r="AM1823">
            <v>34</v>
          </cell>
          <cell r="AN1823" t="str">
            <v>10 Orangeline</v>
          </cell>
          <cell r="AO1823" t="str">
            <v>Central</v>
          </cell>
          <cell r="AP1823" t="str">
            <v>Central</v>
          </cell>
          <cell r="AQ1823"/>
          <cell r="AR1823">
            <v>0</v>
          </cell>
          <cell r="AS1823">
            <v>0</v>
          </cell>
        </row>
        <row r="1824">
          <cell r="A1824">
            <v>13413</v>
          </cell>
          <cell r="B1824" t="str">
            <v>BEREND TURF</v>
          </cell>
          <cell r="C1824" t="str">
            <v>M11378</v>
          </cell>
          <cell r="D1824" t="str">
            <v>Net 30, no pink card</v>
          </cell>
          <cell r="E1824" t="str">
            <v>2%</v>
          </cell>
          <cell r="F1824" t="str">
            <v>Yes</v>
          </cell>
          <cell r="G1824" t="str">
            <v>TX</v>
          </cell>
          <cell r="H1824">
            <v>5</v>
          </cell>
          <cell r="I1824">
            <v>0.7</v>
          </cell>
          <cell r="J1824" t="str">
            <v>Jimmy L Smith</v>
          </cell>
          <cell r="K1824" t="str">
            <v>WICHITA FALLS</v>
          </cell>
          <cell r="L1824" t="str">
            <v>TX</v>
          </cell>
          <cell r="M1824" t="str">
            <v>800-577-8858</v>
          </cell>
          <cell r="N1824"/>
          <cell r="O1824">
            <v>235</v>
          </cell>
          <cell r="P1824">
            <v>1010.5</v>
          </cell>
          <cell r="Q1824"/>
          <cell r="R1824">
            <v>0</v>
          </cell>
          <cell r="S1824"/>
          <cell r="T1824">
            <v>0</v>
          </cell>
          <cell r="U1824" t="str"/>
          <cell r="V1824" t="str"/>
          <cell r="W1824" t="str"/>
          <cell r="X1824" t="str"/>
          <cell r="Y1824"/>
          <cell r="Z1824">
            <v>0</v>
          </cell>
          <cell r="AA1824"/>
          <cell r="AB1824" t="str">
            <v>n/a</v>
          </cell>
          <cell r="AC1824"/>
          <cell r="AD1824" t="str">
            <v>n/a</v>
          </cell>
          <cell r="AE1824" t="str"/>
          <cell r="AF1824"/>
          <cell r="AG1824" t="str"/>
          <cell r="AH1824" t="str"/>
          <cell r="AI1824" t="str"/>
          <cell r="AJ1824"/>
          <cell r="AK1824" t="str">
            <v>OL</v>
          </cell>
          <cell r="AL1824">
            <v>151</v>
          </cell>
          <cell r="AM1824">
            <v>473</v>
          </cell>
          <cell r="AN1824" t="str">
            <v>10 Orangeline</v>
          </cell>
          <cell r="AO1824" t="str">
            <v>Central</v>
          </cell>
          <cell r="AP1824" t="str">
            <v>Central</v>
          </cell>
          <cell r="AQ1824"/>
          <cell r="AR1824">
            <v>0</v>
          </cell>
          <cell r="AS1824">
            <v>0</v>
          </cell>
        </row>
        <row r="1825">
          <cell r="A1825">
            <v>13283</v>
          </cell>
          <cell r="B1825" t="str">
            <v>BOB EVANS EQUIPMENT</v>
          </cell>
          <cell r="C1825" t="str">
            <v>M11299</v>
          </cell>
          <cell r="D1825" t="str">
            <v>Net 30, no pink card</v>
          </cell>
          <cell r="E1825" t="str">
            <v>2%</v>
          </cell>
          <cell r="F1825" t="str">
            <v>Yes</v>
          </cell>
          <cell r="G1825" t="str">
            <v>TX</v>
          </cell>
          <cell r="H1825">
            <v>5</v>
          </cell>
          <cell r="I1825">
            <v>0.7</v>
          </cell>
          <cell r="J1825" t="str">
            <v>Jimmy L Smith</v>
          </cell>
          <cell r="K1825" t="str">
            <v>SAN AUGUSTINE</v>
          </cell>
          <cell r="L1825" t="str">
            <v>TX</v>
          </cell>
          <cell r="M1825" t="str">
            <v>800-577-8858</v>
          </cell>
          <cell r="N1825"/>
          <cell r="O1825">
            <v>150</v>
          </cell>
          <cell r="P1825">
            <v>645</v>
          </cell>
          <cell r="Q1825"/>
          <cell r="R1825">
            <v>0</v>
          </cell>
          <cell r="S1825"/>
          <cell r="T1825">
            <v>0</v>
          </cell>
          <cell r="U1825" t="str"/>
          <cell r="V1825" t="str"/>
          <cell r="W1825" t="str"/>
          <cell r="X1825" t="str"/>
          <cell r="Y1825"/>
          <cell r="Z1825">
            <v>0</v>
          </cell>
          <cell r="AA1825"/>
          <cell r="AB1825" t="str">
            <v>n/a</v>
          </cell>
          <cell r="AC1825"/>
          <cell r="AD1825" t="str">
            <v>n/a</v>
          </cell>
          <cell r="AE1825"/>
          <cell r="AF1825"/>
          <cell r="AG1825"/>
          <cell r="AH1825"/>
          <cell r="AI1825"/>
          <cell r="AJ1825"/>
          <cell r="AK1825" t="str">
            <v>OL</v>
          </cell>
          <cell r="AL1825">
            <v>151</v>
          </cell>
          <cell r="AM1825">
            <v>265</v>
          </cell>
          <cell r="AN1825" t="str">
            <v>10 Orangeline</v>
          </cell>
          <cell r="AO1825" t="str">
            <v>Central</v>
          </cell>
          <cell r="AP1825" t="str">
            <v>Central</v>
          </cell>
          <cell r="AQ1825"/>
          <cell r="AR1825">
            <v>0</v>
          </cell>
          <cell r="AS1825">
            <v>0</v>
          </cell>
        </row>
        <row r="1826">
          <cell r="A1826">
            <v>13182</v>
          </cell>
          <cell r="B1826" t="str">
            <v>BOBBY FORD TRACTOR</v>
          </cell>
          <cell r="C1826" t="str">
            <v>M11121</v>
          </cell>
          <cell r="D1826" t="str">
            <v>Net 30, no pink card</v>
          </cell>
          <cell r="E1826" t="str">
            <v>O1-Northpoint</v>
          </cell>
          <cell r="F1826" t="str">
            <v>Yes</v>
          </cell>
          <cell r="G1826" t="str">
            <v>TX</v>
          </cell>
          <cell r="H1826">
            <v>8</v>
          </cell>
          <cell r="I1826">
            <v>0.7</v>
          </cell>
          <cell r="J1826" t="str">
            <v>Jimmy L Smith</v>
          </cell>
          <cell r="K1826" t="str">
            <v xml:space="preserve">ANGLETON </v>
          </cell>
          <cell r="L1826" t="str">
            <v>TX</v>
          </cell>
          <cell r="M1826" t="str">
            <v>800-577-8858</v>
          </cell>
          <cell r="N1826"/>
          <cell r="O1826">
            <v>300</v>
          </cell>
          <cell r="P1826">
            <v>1290</v>
          </cell>
          <cell r="Q1826"/>
          <cell r="R1826">
            <v>0</v>
          </cell>
          <cell r="S1826"/>
          <cell r="T1826">
            <v>0</v>
          </cell>
          <cell r="U1826" t="str"/>
          <cell r="V1826" t="str"/>
          <cell r="W1826" t="str"/>
          <cell r="X1826" t="str"/>
          <cell r="Y1826"/>
          <cell r="Z1826">
            <v>0</v>
          </cell>
          <cell r="AA1826">
            <v>1114</v>
          </cell>
          <cell r="AB1826">
            <v>4790.2</v>
          </cell>
          <cell r="AC1826">
            <v>1114</v>
          </cell>
          <cell r="AD1826">
            <v>4790.2</v>
          </cell>
          <cell r="AE1826" t="str"/>
          <cell r="AF1826"/>
          <cell r="AG1826" t="str"/>
          <cell r="AH1826" t="str"/>
          <cell r="AI1826" t="str"/>
          <cell r="AJ1826">
            <v>0.02</v>
          </cell>
          <cell r="AK1826" t="str">
            <v>OL</v>
          </cell>
          <cell r="AL1826">
            <v>151</v>
          </cell>
          <cell r="AM1826">
            <v>196</v>
          </cell>
          <cell r="AN1826" t="str">
            <v>10 Orangeline</v>
          </cell>
          <cell r="AO1826" t="str">
            <v>Central</v>
          </cell>
          <cell r="AP1826" t="str">
            <v>Central</v>
          </cell>
          <cell r="AQ1826"/>
          <cell r="AR1826">
            <v>0</v>
          </cell>
          <cell r="AS1826">
            <v>0</v>
          </cell>
        </row>
        <row r="1827">
          <cell r="A1827">
            <v>13183</v>
          </cell>
          <cell r="B1827" t="str">
            <v>CENTRAL KUBOTA</v>
          </cell>
          <cell r="C1827" t="str">
            <v>M11122</v>
          </cell>
          <cell r="D1827" t="str">
            <v>Net 30, no pink card</v>
          </cell>
          <cell r="E1827" t="str">
            <v>2%</v>
          </cell>
          <cell r="F1827" t="str">
            <v>Yes</v>
          </cell>
          <cell r="G1827" t="str">
            <v>TX</v>
          </cell>
          <cell r="H1827">
            <v>5</v>
          </cell>
          <cell r="I1827">
            <v>0.7</v>
          </cell>
          <cell r="J1827" t="str">
            <v>Jimmy L Smith</v>
          </cell>
          <cell r="K1827" t="str">
            <v>WAXAHATCHIE</v>
          </cell>
          <cell r="L1827" t="str">
            <v>TX</v>
          </cell>
          <cell r="M1827" t="str">
            <v>800-577-8858</v>
          </cell>
          <cell r="N1827"/>
          <cell r="O1827">
            <v>160</v>
          </cell>
          <cell r="P1827">
            <v>688</v>
          </cell>
          <cell r="Q1827"/>
          <cell r="R1827">
            <v>0</v>
          </cell>
          <cell r="S1827"/>
          <cell r="T1827">
            <v>0</v>
          </cell>
          <cell r="U1827" t="str"/>
          <cell r="V1827" t="str"/>
          <cell r="W1827" t="str"/>
          <cell r="X1827" t="str"/>
          <cell r="Y1827"/>
          <cell r="Z1827">
            <v>0</v>
          </cell>
          <cell r="AA1827"/>
          <cell r="AB1827" t="str">
            <v>n/a</v>
          </cell>
          <cell r="AC1827"/>
          <cell r="AD1827" t="str">
            <v>n/a</v>
          </cell>
          <cell r="AE1827" t="str"/>
          <cell r="AF1827"/>
          <cell r="AG1827" t="str"/>
          <cell r="AH1827" t="str"/>
          <cell r="AI1827" t="str"/>
          <cell r="AJ1827"/>
          <cell r="AK1827" t="str">
            <v>OL</v>
          </cell>
          <cell r="AL1827">
            <v>151</v>
          </cell>
          <cell r="AM1827">
            <v>101</v>
          </cell>
          <cell r="AN1827" t="str">
            <v>10 Orangeline</v>
          </cell>
          <cell r="AO1827" t="str">
            <v>Central</v>
          </cell>
          <cell r="AP1827" t="str">
            <v>Central</v>
          </cell>
          <cell r="AQ1827"/>
          <cell r="AR1827">
            <v>0</v>
          </cell>
          <cell r="AS1827">
            <v>0</v>
          </cell>
        </row>
        <row r="1828">
          <cell r="A1828" t="str">
            <v>13183A</v>
          </cell>
          <cell r="B1828" t="str">
            <v>CENTRAL KUBOTA</v>
          </cell>
          <cell r="C1828" t="str">
            <v>M11122</v>
          </cell>
          <cell r="D1828" t="str">
            <v>Net 30, no pink card</v>
          </cell>
          <cell r="E1828" t="str">
            <v>2%</v>
          </cell>
          <cell r="F1828" t="str">
            <v>Yes</v>
          </cell>
          <cell r="G1828" t="str">
            <v>TX</v>
          </cell>
          <cell r="H1828">
            <v>5</v>
          </cell>
          <cell r="I1828">
            <v>0.7</v>
          </cell>
          <cell r="J1828" t="str">
            <v>Jimmy L Smith</v>
          </cell>
          <cell r="K1828" t="str">
            <v>CORSICANA</v>
          </cell>
          <cell r="L1828" t="str">
            <v>TX</v>
          </cell>
          <cell r="M1828" t="str">
            <v>800-577-8858</v>
          </cell>
          <cell r="N1828"/>
          <cell r="O1828">
            <v>150</v>
          </cell>
          <cell r="P1828">
            <v>645</v>
          </cell>
          <cell r="Q1828"/>
          <cell r="R1828">
            <v>0</v>
          </cell>
          <cell r="S1828"/>
          <cell r="T1828">
            <v>0</v>
          </cell>
          <cell r="U1828" t="str"/>
          <cell r="V1828" t="str"/>
          <cell r="W1828" t="str"/>
          <cell r="X1828" t="str"/>
          <cell r="Y1828"/>
          <cell r="Z1828">
            <v>0</v>
          </cell>
          <cell r="AA1828"/>
          <cell r="AB1828" t="str">
            <v>n/a</v>
          </cell>
          <cell r="AC1828"/>
          <cell r="AD1828" t="str">
            <v>n/a</v>
          </cell>
          <cell r="AE1828" t="str"/>
          <cell r="AF1828"/>
          <cell r="AG1828" t="str"/>
          <cell r="AH1828" t="str"/>
          <cell r="AI1828" t="str"/>
          <cell r="AJ1828"/>
          <cell r="AK1828" t="str">
            <v>OL</v>
          </cell>
          <cell r="AL1828">
            <v>151</v>
          </cell>
          <cell r="AM1828">
            <v>101</v>
          </cell>
          <cell r="AN1828" t="str">
            <v>10 Orangeline</v>
          </cell>
          <cell r="AO1828" t="str">
            <v>Central</v>
          </cell>
          <cell r="AP1828" t="str">
            <v>Central</v>
          </cell>
          <cell r="AQ1828"/>
          <cell r="AR1828">
            <v>0</v>
          </cell>
          <cell r="AS1828">
            <v>0</v>
          </cell>
        </row>
        <row r="1829">
          <cell r="A1829">
            <v>13185</v>
          </cell>
          <cell r="B1829" t="str">
            <v>DEEN KUBOTA LLC</v>
          </cell>
          <cell r="C1829" t="str">
            <v>M11124</v>
          </cell>
          <cell r="D1829" t="str">
            <v>Net 30, no pink card</v>
          </cell>
          <cell r="E1829" t="str">
            <v>2%</v>
          </cell>
          <cell r="F1829" t="str">
            <v>Yes</v>
          </cell>
          <cell r="G1829" t="str">
            <v>TX</v>
          </cell>
          <cell r="H1829">
            <v>5</v>
          </cell>
          <cell r="I1829">
            <v>0.7</v>
          </cell>
          <cell r="J1829" t="str">
            <v>Jimmy L Smith</v>
          </cell>
          <cell r="K1829" t="str">
            <v xml:space="preserve">FORNEY </v>
          </cell>
          <cell r="L1829" t="str">
            <v>TX</v>
          </cell>
          <cell r="M1829" t="str">
            <v>800-577-8858</v>
          </cell>
          <cell r="N1829"/>
          <cell r="O1829">
            <v>110</v>
          </cell>
          <cell r="P1829">
            <v>473</v>
          </cell>
          <cell r="Q1829"/>
          <cell r="R1829">
            <v>0</v>
          </cell>
          <cell r="S1829"/>
          <cell r="T1829">
            <v>0</v>
          </cell>
          <cell r="U1829" t="str"/>
          <cell r="V1829" t="str"/>
          <cell r="W1829" t="str"/>
          <cell r="X1829" t="str"/>
          <cell r="Y1829"/>
          <cell r="Z1829">
            <v>0</v>
          </cell>
          <cell r="AA1829"/>
          <cell r="AB1829" t="str">
            <v>n/a</v>
          </cell>
          <cell r="AC1829"/>
          <cell r="AD1829" t="str">
            <v>n/a</v>
          </cell>
          <cell r="AE1829"/>
          <cell r="AF1829"/>
          <cell r="AG1829"/>
          <cell r="AH1829"/>
          <cell r="AI1829"/>
          <cell r="AJ1829"/>
          <cell r="AK1829" t="str">
            <v>OL</v>
          </cell>
          <cell r="AL1829">
            <v>151</v>
          </cell>
          <cell r="AM1829">
            <v>101</v>
          </cell>
          <cell r="AN1829" t="str">
            <v>10 Orangeline</v>
          </cell>
          <cell r="AO1829" t="str">
            <v>Central</v>
          </cell>
          <cell r="AP1829" t="str">
            <v>Central</v>
          </cell>
          <cell r="AQ1829"/>
          <cell r="AR1829">
            <v>0</v>
          </cell>
          <cell r="AS1829">
            <v>0</v>
          </cell>
        </row>
        <row r="1830">
          <cell r="A1830">
            <v>13383</v>
          </cell>
          <cell r="B1830" t="str">
            <v>DEEN KUBOTA LLC</v>
          </cell>
          <cell r="C1830" t="str">
            <v>M11124</v>
          </cell>
          <cell r="D1830" t="str">
            <v>Net 30, no pink card</v>
          </cell>
          <cell r="E1830" t="str">
            <v>O1-Northpoint</v>
          </cell>
          <cell r="F1830" t="str">
            <v>Yes</v>
          </cell>
          <cell r="G1830" t="str">
            <v>TX</v>
          </cell>
          <cell r="H1830">
            <v>8</v>
          </cell>
          <cell r="I1830">
            <v>0.7</v>
          </cell>
          <cell r="J1830" t="str">
            <v>Jimmy L Smith</v>
          </cell>
          <cell r="K1830" t="str">
            <v xml:space="preserve">FORNEY </v>
          </cell>
          <cell r="L1830" t="str">
            <v>TX</v>
          </cell>
          <cell r="M1830" t="str">
            <v>800-577-8858</v>
          </cell>
          <cell r="N1830"/>
          <cell r="O1830">
            <v>110</v>
          </cell>
          <cell r="P1830">
            <v>473</v>
          </cell>
          <cell r="Q1830"/>
          <cell r="R1830">
            <v>0</v>
          </cell>
          <cell r="S1830"/>
          <cell r="T1830">
            <v>0</v>
          </cell>
          <cell r="U1830" t="str"/>
          <cell r="V1830" t="str"/>
          <cell r="W1830" t="str"/>
          <cell r="X1830" t="str"/>
          <cell r="Y1830"/>
          <cell r="Z1830">
            <v>0</v>
          </cell>
          <cell r="AA1830"/>
          <cell r="AB1830" t="str">
            <v>n/a</v>
          </cell>
          <cell r="AC1830"/>
          <cell r="AD1830" t="str">
            <v>n/a</v>
          </cell>
          <cell r="AE1830"/>
          <cell r="AF1830"/>
          <cell r="AG1830"/>
          <cell r="AH1830"/>
          <cell r="AI1830"/>
          <cell r="AJ1830"/>
          <cell r="AK1830" t="str">
            <v>OL</v>
          </cell>
          <cell r="AL1830">
            <v>151</v>
          </cell>
          <cell r="AM1830">
            <v>101</v>
          </cell>
          <cell r="AN1830" t="str">
            <v>10 Orangeline</v>
          </cell>
          <cell r="AO1830" t="str">
            <v>Central</v>
          </cell>
          <cell r="AP1830" t="str">
            <v>Central</v>
          </cell>
          <cell r="AQ1830"/>
          <cell r="AR1830">
            <v>0</v>
          </cell>
          <cell r="AS1830">
            <v>0</v>
          </cell>
        </row>
        <row r="1831">
          <cell r="A1831" t="str">
            <v>13185A</v>
          </cell>
          <cell r="B1831" t="str">
            <v>DEEN KUBOTA LLC</v>
          </cell>
          <cell r="C1831" t="str">
            <v>M11124</v>
          </cell>
          <cell r="D1831" t="str">
            <v>Net 30, no pink card</v>
          </cell>
          <cell r="E1831" t="str">
            <v>2%</v>
          </cell>
          <cell r="F1831" t="str">
            <v>Yes</v>
          </cell>
          <cell r="G1831" t="str">
            <v>TX</v>
          </cell>
          <cell r="H1831">
            <v>5</v>
          </cell>
          <cell r="I1831">
            <v>0.7</v>
          </cell>
          <cell r="J1831" t="str">
            <v>Jimmy L Smith</v>
          </cell>
          <cell r="K1831" t="str">
            <v>WILLS POINT</v>
          </cell>
          <cell r="L1831" t="str">
            <v>TX</v>
          </cell>
          <cell r="M1831" t="str">
            <v>800-577-8858</v>
          </cell>
          <cell r="N1831"/>
          <cell r="O1831">
            <v>82</v>
          </cell>
          <cell r="P1831">
            <v>352.59999999999997</v>
          </cell>
          <cell r="Q1831"/>
          <cell r="R1831">
            <v>0</v>
          </cell>
          <cell r="S1831"/>
          <cell r="T1831">
            <v>0</v>
          </cell>
          <cell r="U1831" t="str"/>
          <cell r="V1831" t="str"/>
          <cell r="W1831" t="str"/>
          <cell r="X1831" t="str"/>
          <cell r="Y1831"/>
          <cell r="Z1831">
            <v>0</v>
          </cell>
          <cell r="AA1831"/>
          <cell r="AB1831" t="str">
            <v>n/a</v>
          </cell>
          <cell r="AC1831"/>
          <cell r="AD1831" t="str">
            <v>n/a</v>
          </cell>
          <cell r="AE1831"/>
          <cell r="AF1831"/>
          <cell r="AG1831"/>
          <cell r="AH1831"/>
          <cell r="AI1831"/>
          <cell r="AJ1831"/>
          <cell r="AK1831" t="str">
            <v>OL</v>
          </cell>
          <cell r="AL1831">
            <v>151</v>
          </cell>
          <cell r="AM1831">
            <v>101</v>
          </cell>
          <cell r="AN1831" t="str">
            <v>10 Orangeline</v>
          </cell>
          <cell r="AO1831" t="str">
            <v>Central</v>
          </cell>
          <cell r="AP1831" t="str">
            <v>Central</v>
          </cell>
          <cell r="AQ1831"/>
          <cell r="AR1831">
            <v>0</v>
          </cell>
          <cell r="AS1831">
            <v>0</v>
          </cell>
        </row>
        <row r="1832">
          <cell r="A1832" t="str">
            <v>13383A</v>
          </cell>
          <cell r="B1832" t="str">
            <v>DEEN KUBOTA LLC</v>
          </cell>
          <cell r="C1832" t="str">
            <v>M11124</v>
          </cell>
          <cell r="D1832" t="str">
            <v>Net 30, no pink card</v>
          </cell>
          <cell r="E1832" t="str">
            <v>O1-Northpoint</v>
          </cell>
          <cell r="F1832" t="str">
            <v>Yes</v>
          </cell>
          <cell r="G1832" t="str">
            <v>TX</v>
          </cell>
          <cell r="H1832">
            <v>8</v>
          </cell>
          <cell r="I1832">
            <v>0.7</v>
          </cell>
          <cell r="J1832" t="str">
            <v>Jimmy L Smith</v>
          </cell>
          <cell r="K1832" t="str">
            <v>WILLS POINT</v>
          </cell>
          <cell r="L1832" t="str">
            <v>TX</v>
          </cell>
          <cell r="M1832" t="str">
            <v>800-577-8858</v>
          </cell>
          <cell r="N1832"/>
          <cell r="O1832">
            <v>82</v>
          </cell>
          <cell r="P1832">
            <v>352.59999999999997</v>
          </cell>
          <cell r="Q1832"/>
          <cell r="R1832">
            <v>0</v>
          </cell>
          <cell r="S1832"/>
          <cell r="T1832">
            <v>0</v>
          </cell>
          <cell r="U1832" t="str"/>
          <cell r="V1832" t="str"/>
          <cell r="W1832" t="str"/>
          <cell r="X1832" t="str"/>
          <cell r="Y1832"/>
          <cell r="Z1832">
            <v>0</v>
          </cell>
          <cell r="AA1832"/>
          <cell r="AB1832" t="str">
            <v>n/a</v>
          </cell>
          <cell r="AC1832"/>
          <cell r="AD1832" t="str">
            <v>n/a</v>
          </cell>
          <cell r="AE1832"/>
          <cell r="AF1832"/>
          <cell r="AG1832"/>
          <cell r="AH1832"/>
          <cell r="AI1832"/>
          <cell r="AJ1832"/>
          <cell r="AK1832" t="str">
            <v>OL</v>
          </cell>
          <cell r="AL1832">
            <v>151</v>
          </cell>
          <cell r="AM1832">
            <v>101</v>
          </cell>
          <cell r="AN1832" t="str">
            <v>10 Orangeline</v>
          </cell>
          <cell r="AO1832" t="str">
            <v>Central</v>
          </cell>
          <cell r="AP1832" t="str">
            <v>Central</v>
          </cell>
          <cell r="AQ1832"/>
          <cell r="AR1832">
            <v>0</v>
          </cell>
          <cell r="AS1832">
            <v>0</v>
          </cell>
        </row>
        <row r="1833">
          <cell r="A1833">
            <v>10199</v>
          </cell>
          <cell r="B1833" t="str">
            <v>ELLIFF TRAILER SALES</v>
          </cell>
          <cell r="C1833" t="str">
            <v>M10189</v>
          </cell>
          <cell r="D1833" t="str">
            <v>Net 30, no pink card</v>
          </cell>
          <cell r="E1833" t="str">
            <v>O1-Northpoint</v>
          </cell>
          <cell r="F1833" t="str">
            <v>Yes</v>
          </cell>
          <cell r="G1833" t="str">
            <v>TX</v>
          </cell>
          <cell r="H1833">
            <v>8</v>
          </cell>
          <cell r="I1833">
            <v>0.7</v>
          </cell>
          <cell r="J1833" t="str">
            <v>Trent Evans</v>
          </cell>
          <cell r="K1833" t="str">
            <v>HARLINGEN</v>
          </cell>
          <cell r="L1833" t="str">
            <v>TX</v>
          </cell>
          <cell r="M1833" t="str">
            <v>800-577-8858</v>
          </cell>
          <cell r="N1833" t="str">
            <v>Please use ship to on MSO's</v>
          </cell>
          <cell r="O1833">
            <v>560</v>
          </cell>
          <cell r="P1833">
            <v>2408</v>
          </cell>
          <cell r="Q1833"/>
          <cell r="R1833">
            <v>0</v>
          </cell>
          <cell r="S1833"/>
          <cell r="T1833">
            <v>0</v>
          </cell>
          <cell r="U1833" t="str"/>
          <cell r="V1833" t="str"/>
          <cell r="W1833" t="str"/>
          <cell r="X1833" t="str"/>
          <cell r="Y1833"/>
          <cell r="Z1833">
            <v>0</v>
          </cell>
          <cell r="AA1833"/>
          <cell r="AB1833" t="str">
            <v>n/a</v>
          </cell>
          <cell r="AC1833"/>
          <cell r="AD1833" t="str">
            <v>n/a</v>
          </cell>
          <cell r="AE1833"/>
          <cell r="AF1833"/>
          <cell r="AG1833"/>
          <cell r="AH1833"/>
          <cell r="AI1833"/>
          <cell r="AJ1833">
            <v>0.04</v>
          </cell>
          <cell r="AK1833" t="str">
            <v>OL</v>
          </cell>
          <cell r="AL1833">
            <v>226</v>
          </cell>
          <cell r="AM1833">
            <v>56</v>
          </cell>
          <cell r="AN1833" t="str">
            <v>10 Orangeline</v>
          </cell>
          <cell r="AO1833" t="str">
            <v>Central</v>
          </cell>
          <cell r="AP1833" t="str">
            <v>Central</v>
          </cell>
          <cell r="AQ1833"/>
          <cell r="AR1833">
            <v>0</v>
          </cell>
          <cell r="AS1833">
            <v>0</v>
          </cell>
        </row>
        <row r="1834">
          <cell r="A1834" t="str">
            <v>10199A</v>
          </cell>
          <cell r="B1834" t="str">
            <v>ELLIFF TRAILER SALES</v>
          </cell>
          <cell r="C1834" t="str">
            <v>M10189</v>
          </cell>
          <cell r="D1834" t="str">
            <v>Net 30, no pink card</v>
          </cell>
          <cell r="E1834" t="str">
            <v>O1-Northpoint</v>
          </cell>
          <cell r="F1834" t="str">
            <v>Yes</v>
          </cell>
          <cell r="G1834" t="str">
            <v>TX</v>
          </cell>
          <cell r="H1834">
            <v>8</v>
          </cell>
          <cell r="I1834">
            <v>0.7</v>
          </cell>
          <cell r="J1834" t="str">
            <v>Trent Evans</v>
          </cell>
          <cell r="K1834" t="str">
            <v>PHARR</v>
          </cell>
          <cell r="L1834" t="str">
            <v>TX</v>
          </cell>
          <cell r="M1834" t="str">
            <v>800-577-8858</v>
          </cell>
          <cell r="N1834"/>
          <cell r="O1834">
            <v>625</v>
          </cell>
          <cell r="P1834">
            <v>2687.5</v>
          </cell>
          <cell r="Q1834"/>
          <cell r="R1834">
            <v>0</v>
          </cell>
          <cell r="S1834"/>
          <cell r="T1834">
            <v>0</v>
          </cell>
          <cell r="U1834" t="str"/>
          <cell r="V1834" t="str"/>
          <cell r="W1834" t="str"/>
          <cell r="X1834" t="str"/>
          <cell r="Y1834"/>
          <cell r="Z1834">
            <v>0</v>
          </cell>
          <cell r="AA1834"/>
          <cell r="AB1834" t="str">
            <v>n/a</v>
          </cell>
          <cell r="AC1834"/>
          <cell r="AD1834" t="str">
            <v>n/a</v>
          </cell>
          <cell r="AE1834"/>
          <cell r="AF1834"/>
          <cell r="AG1834"/>
          <cell r="AH1834"/>
          <cell r="AI1834"/>
          <cell r="AJ1834">
            <v>0.04</v>
          </cell>
          <cell r="AK1834" t="str">
            <v>OL</v>
          </cell>
          <cell r="AL1834">
            <v>226</v>
          </cell>
          <cell r="AM1834">
            <v>268</v>
          </cell>
          <cell r="AN1834" t="str">
            <v>10 Orangeline</v>
          </cell>
          <cell r="AO1834" t="str">
            <v>Central</v>
          </cell>
          <cell r="AP1834" t="str">
            <v>Central</v>
          </cell>
          <cell r="AQ1834"/>
          <cell r="AR1834">
            <v>0</v>
          </cell>
          <cell r="AS1834">
            <v>0</v>
          </cell>
        </row>
        <row r="1835">
          <cell r="A1835">
            <v>13186</v>
          </cell>
          <cell r="B1835" t="str">
            <v>ELLIS EQUIPMENT</v>
          </cell>
          <cell r="C1835" t="str">
            <v>M11126</v>
          </cell>
          <cell r="D1835" t="str">
            <v>Net 30, no pink card</v>
          </cell>
          <cell r="E1835" t="str">
            <v>2%</v>
          </cell>
          <cell r="F1835" t="str">
            <v>Yes</v>
          </cell>
          <cell r="G1835" t="str">
            <v>TX</v>
          </cell>
          <cell r="H1835">
            <v>5</v>
          </cell>
          <cell r="I1835">
            <v>0.7</v>
          </cell>
          <cell r="J1835" t="str">
            <v>Jimmy L Smith</v>
          </cell>
          <cell r="K1835" t="str">
            <v>WEATHERFORD</v>
          </cell>
          <cell r="L1835" t="str">
            <v>TX</v>
          </cell>
          <cell r="M1835" t="str">
            <v>800-577-8858</v>
          </cell>
          <cell r="N1835"/>
          <cell r="O1835">
            <v>180</v>
          </cell>
          <cell r="P1835">
            <v>774</v>
          </cell>
          <cell r="Q1835"/>
          <cell r="R1835">
            <v>0</v>
          </cell>
          <cell r="S1835"/>
          <cell r="T1835">
            <v>0</v>
          </cell>
          <cell r="U1835" t="str"/>
          <cell r="V1835" t="str"/>
          <cell r="W1835" t="str"/>
          <cell r="X1835" t="str"/>
          <cell r="Y1835"/>
          <cell r="Z1835">
            <v>0</v>
          </cell>
          <cell r="AA1835"/>
          <cell r="AB1835" t="str">
            <v>n/a</v>
          </cell>
          <cell r="AC1835"/>
          <cell r="AD1835" t="str">
            <v>n/a</v>
          </cell>
          <cell r="AE1835"/>
          <cell r="AF1835"/>
          <cell r="AG1835"/>
          <cell r="AH1835"/>
          <cell r="AI1835"/>
          <cell r="AJ1835"/>
          <cell r="AK1835" t="str">
            <v>OL</v>
          </cell>
          <cell r="AL1835">
            <v>151</v>
          </cell>
          <cell r="AM1835">
            <v>101</v>
          </cell>
          <cell r="AN1835" t="str">
            <v>10 Orangeline</v>
          </cell>
          <cell r="AO1835" t="str">
            <v>Central</v>
          </cell>
          <cell r="AP1835" t="str">
            <v>Central</v>
          </cell>
          <cell r="AQ1835"/>
          <cell r="AR1835">
            <v>0</v>
          </cell>
          <cell r="AS1835">
            <v>0</v>
          </cell>
        </row>
        <row r="1836">
          <cell r="A1836">
            <v>13188</v>
          </cell>
          <cell r="B1836" t="str">
            <v>EWALD KUBOTA</v>
          </cell>
          <cell r="C1836" t="str">
            <v>M11128</v>
          </cell>
          <cell r="D1836" t="str">
            <v>Net 30, no pink card</v>
          </cell>
          <cell r="E1836" t="str">
            <v>2%</v>
          </cell>
          <cell r="F1836" t="str">
            <v>Yes</v>
          </cell>
          <cell r="G1836" t="str">
            <v>TX</v>
          </cell>
          <cell r="H1836">
            <v>5</v>
          </cell>
          <cell r="I1836">
            <v>0.7</v>
          </cell>
          <cell r="J1836" t="str">
            <v>Jimmy L Smith</v>
          </cell>
          <cell r="K1836" t="str">
            <v>SEGUIN</v>
          </cell>
          <cell r="L1836" t="str">
            <v>TX</v>
          </cell>
          <cell r="M1836" t="str">
            <v>800-577-8858</v>
          </cell>
          <cell r="N1836" t="str">
            <v>MSO's MUST read Seguin.</v>
          </cell>
          <cell r="O1836">
            <v>380</v>
          </cell>
          <cell r="P1836">
            <v>1634</v>
          </cell>
          <cell r="Q1836"/>
          <cell r="R1836">
            <v>0</v>
          </cell>
          <cell r="S1836"/>
          <cell r="T1836">
            <v>0</v>
          </cell>
          <cell r="U1836" t="str"/>
          <cell r="V1836" t="str"/>
          <cell r="W1836" t="str"/>
          <cell r="X1836" t="str"/>
          <cell r="Y1836"/>
          <cell r="Z1836">
            <v>0</v>
          </cell>
          <cell r="AA1836"/>
          <cell r="AB1836" t="str">
            <v>n/a</v>
          </cell>
          <cell r="AC1836"/>
          <cell r="AD1836" t="str">
            <v>n/a</v>
          </cell>
          <cell r="AE1836"/>
          <cell r="AF1836"/>
          <cell r="AG1836"/>
          <cell r="AH1836"/>
          <cell r="AI1836"/>
          <cell r="AJ1836">
            <v>0.04</v>
          </cell>
          <cell r="AK1836" t="str">
            <v>OL</v>
          </cell>
          <cell r="AL1836">
            <v>151</v>
          </cell>
          <cell r="AM1836">
            <v>401</v>
          </cell>
          <cell r="AN1836" t="str">
            <v>10 Orangeline</v>
          </cell>
          <cell r="AO1836" t="str">
            <v>Central</v>
          </cell>
          <cell r="AP1836" t="str">
            <v>Central</v>
          </cell>
          <cell r="AQ1836"/>
          <cell r="AR1836">
            <v>0</v>
          </cell>
          <cell r="AS1836">
            <v>0</v>
          </cell>
        </row>
        <row r="1837">
          <cell r="A1837" t="str">
            <v>13188A</v>
          </cell>
          <cell r="B1837" t="str">
            <v>EWALD KUBOTA</v>
          </cell>
          <cell r="C1837" t="str">
            <v>M11128</v>
          </cell>
          <cell r="D1837" t="str">
            <v>Net 30, no pink card</v>
          </cell>
          <cell r="E1837" t="str">
            <v>2%</v>
          </cell>
          <cell r="F1837" t="str">
            <v>Yes</v>
          </cell>
          <cell r="G1837" t="str">
            <v>TX</v>
          </cell>
          <cell r="H1837">
            <v>5</v>
          </cell>
          <cell r="I1837">
            <v>0.7</v>
          </cell>
          <cell r="J1837" t="str">
            <v>Jimmy L Smith</v>
          </cell>
          <cell r="K1837" t="str">
            <v>BOERNE</v>
          </cell>
          <cell r="L1837" t="str">
            <v>TX</v>
          </cell>
          <cell r="M1837" t="str">
            <v>800-577-8858</v>
          </cell>
          <cell r="N1837" t="str">
            <v>MSO's MUST read Seguin.</v>
          </cell>
          <cell r="O1837">
            <v>410</v>
          </cell>
          <cell r="P1837">
            <v>1763</v>
          </cell>
          <cell r="Q1837"/>
          <cell r="R1837">
            <v>0</v>
          </cell>
          <cell r="S1837"/>
          <cell r="T1837">
            <v>0</v>
          </cell>
          <cell r="U1837" t="str"/>
          <cell r="V1837" t="str"/>
          <cell r="W1837" t="str"/>
          <cell r="X1837" t="str"/>
          <cell r="Y1837"/>
          <cell r="Z1837">
            <v>0</v>
          </cell>
          <cell r="AA1837"/>
          <cell r="AB1837" t="str">
            <v>n/a</v>
          </cell>
          <cell r="AC1837"/>
          <cell r="AD1837" t="str">
            <v>n/a</v>
          </cell>
          <cell r="AE1837"/>
          <cell r="AF1837"/>
          <cell r="AG1837"/>
          <cell r="AH1837"/>
          <cell r="AI1837"/>
          <cell r="AJ1837">
            <v>0.04</v>
          </cell>
          <cell r="AK1837" t="str">
            <v>OL</v>
          </cell>
          <cell r="AL1837">
            <v>151</v>
          </cell>
          <cell r="AM1837">
            <v>401</v>
          </cell>
          <cell r="AN1837" t="str">
            <v>10 Orangeline</v>
          </cell>
          <cell r="AO1837" t="str">
            <v>Central</v>
          </cell>
          <cell r="AP1837" t="str">
            <v>Central</v>
          </cell>
          <cell r="AQ1837"/>
          <cell r="AR1837">
            <v>0</v>
          </cell>
          <cell r="AS1837">
            <v>0</v>
          </cell>
        </row>
        <row r="1838">
          <cell r="A1838" t="str">
            <v>13188B</v>
          </cell>
          <cell r="B1838" t="str">
            <v>EWALD KUBOTA</v>
          </cell>
          <cell r="C1838" t="str">
            <v>M11128</v>
          </cell>
          <cell r="D1838" t="str">
            <v>Net 30, no pink card</v>
          </cell>
          <cell r="E1838" t="str">
            <v>2%</v>
          </cell>
          <cell r="F1838" t="str">
            <v>Yes</v>
          </cell>
          <cell r="G1838" t="str">
            <v>TX</v>
          </cell>
          <cell r="H1838">
            <v>5</v>
          </cell>
          <cell r="I1838">
            <v>0.7</v>
          </cell>
          <cell r="J1838" t="str">
            <v>Jimmy L Smith</v>
          </cell>
          <cell r="K1838" t="str">
            <v>DE VALLE</v>
          </cell>
          <cell r="L1838" t="str">
            <v>TX</v>
          </cell>
          <cell r="M1838" t="str">
            <v>800-577-8858</v>
          </cell>
          <cell r="N1838" t="str">
            <v>MSO's MUST read Seguin.</v>
          </cell>
          <cell r="O1838">
            <v>330</v>
          </cell>
          <cell r="P1838">
            <v>1419</v>
          </cell>
          <cell r="Q1838"/>
          <cell r="R1838">
            <v>0</v>
          </cell>
          <cell r="S1838"/>
          <cell r="T1838">
            <v>0</v>
          </cell>
          <cell r="U1838" t="str"/>
          <cell r="V1838" t="str"/>
          <cell r="W1838" t="str"/>
          <cell r="X1838" t="str"/>
          <cell r="Y1838"/>
          <cell r="Z1838">
            <v>0</v>
          </cell>
          <cell r="AA1838"/>
          <cell r="AB1838" t="str">
            <v>n/a</v>
          </cell>
          <cell r="AC1838"/>
          <cell r="AD1838" t="str">
            <v>n/a</v>
          </cell>
          <cell r="AE1838"/>
          <cell r="AF1838"/>
          <cell r="AG1838"/>
          <cell r="AH1838"/>
          <cell r="AI1838"/>
          <cell r="AJ1838">
            <v>0.04</v>
          </cell>
          <cell r="AK1838" t="str">
            <v>OL</v>
          </cell>
          <cell r="AL1838">
            <v>151</v>
          </cell>
          <cell r="AM1838">
            <v>27</v>
          </cell>
          <cell r="AN1838" t="str">
            <v>10 Orangeline</v>
          </cell>
          <cell r="AO1838" t="str">
            <v>Central</v>
          </cell>
          <cell r="AP1838" t="str">
            <v>Central</v>
          </cell>
          <cell r="AQ1838"/>
          <cell r="AR1838">
            <v>0</v>
          </cell>
          <cell r="AS1838">
            <v>0</v>
          </cell>
        </row>
        <row r="1839">
          <cell r="A1839" t="str">
            <v>13188C</v>
          </cell>
          <cell r="B1839" t="str">
            <v>EWALD KUBOTA</v>
          </cell>
          <cell r="C1839" t="str">
            <v>M11128</v>
          </cell>
          <cell r="D1839" t="str">
            <v>Net 30, no pink card</v>
          </cell>
          <cell r="E1839" t="str">
            <v>2%</v>
          </cell>
          <cell r="F1839" t="str">
            <v>Yes</v>
          </cell>
          <cell r="G1839" t="str">
            <v>TX</v>
          </cell>
          <cell r="H1839">
            <v>5</v>
          </cell>
          <cell r="I1839">
            <v>0.7</v>
          </cell>
          <cell r="J1839" t="str">
            <v>Jimmy L Smith</v>
          </cell>
          <cell r="K1839" t="str">
            <v>FLORESVILLE</v>
          </cell>
          <cell r="L1839" t="str">
            <v>TX</v>
          </cell>
          <cell r="M1839" t="str">
            <v>800-577-8858</v>
          </cell>
          <cell r="N1839" t="str">
            <v>MSO's MUST read Seguin.</v>
          </cell>
          <cell r="O1839">
            <v>410</v>
          </cell>
          <cell r="P1839">
            <v>1763</v>
          </cell>
          <cell r="Q1839"/>
          <cell r="R1839">
            <v>0</v>
          </cell>
          <cell r="S1839"/>
          <cell r="T1839">
            <v>0</v>
          </cell>
          <cell r="U1839" t="str"/>
          <cell r="V1839" t="str"/>
          <cell r="W1839" t="str"/>
          <cell r="X1839" t="str"/>
          <cell r="Y1839"/>
          <cell r="Z1839">
            <v>0</v>
          </cell>
          <cell r="AA1839"/>
          <cell r="AB1839" t="str">
            <v>n/a</v>
          </cell>
          <cell r="AC1839"/>
          <cell r="AD1839" t="str">
            <v>n/a</v>
          </cell>
          <cell r="AE1839"/>
          <cell r="AF1839"/>
          <cell r="AG1839"/>
          <cell r="AH1839"/>
          <cell r="AI1839"/>
          <cell r="AJ1839">
            <v>0.04</v>
          </cell>
          <cell r="AK1839" t="str">
            <v>OL</v>
          </cell>
          <cell r="AL1839">
            <v>151</v>
          </cell>
          <cell r="AM1839">
            <v>401</v>
          </cell>
          <cell r="AN1839" t="str">
            <v>10 Orangeline</v>
          </cell>
          <cell r="AO1839" t="str">
            <v>Central</v>
          </cell>
          <cell r="AP1839" t="str">
            <v>Central</v>
          </cell>
          <cell r="AQ1839"/>
          <cell r="AR1839">
            <v>0</v>
          </cell>
          <cell r="AS1839">
            <v>0</v>
          </cell>
        </row>
        <row r="1840">
          <cell r="A1840" t="str">
            <v>13188D</v>
          </cell>
          <cell r="B1840" t="str">
            <v>EWALD KUBOTA</v>
          </cell>
          <cell r="C1840" t="str">
            <v>M11128</v>
          </cell>
          <cell r="D1840" t="str">
            <v>Net 30, no pink card</v>
          </cell>
          <cell r="E1840" t="str">
            <v>2%</v>
          </cell>
          <cell r="F1840" t="str">
            <v>Yes</v>
          </cell>
          <cell r="G1840" t="str">
            <v>TX</v>
          </cell>
          <cell r="H1840">
            <v>5</v>
          </cell>
          <cell r="I1840">
            <v>0.7</v>
          </cell>
          <cell r="J1840" t="str">
            <v>Jimmy L Smith</v>
          </cell>
          <cell r="K1840" t="str">
            <v>GEORGETOWN</v>
          </cell>
          <cell r="L1840" t="str">
            <v>TX</v>
          </cell>
          <cell r="M1840" t="str">
            <v>800-577-8858</v>
          </cell>
          <cell r="N1840" t="str">
            <v>MSO's MUST read Seguin.</v>
          </cell>
          <cell r="O1840">
            <v>290</v>
          </cell>
          <cell r="P1840">
            <v>1247</v>
          </cell>
          <cell r="Q1840"/>
          <cell r="R1840">
            <v>0</v>
          </cell>
          <cell r="S1840"/>
          <cell r="T1840">
            <v>0</v>
          </cell>
          <cell r="U1840" t="str"/>
          <cell r="V1840" t="str"/>
          <cell r="W1840" t="str"/>
          <cell r="X1840" t="str"/>
          <cell r="Y1840"/>
          <cell r="Z1840">
            <v>0</v>
          </cell>
          <cell r="AA1840"/>
          <cell r="AB1840" t="str">
            <v>n/a</v>
          </cell>
          <cell r="AC1840"/>
          <cell r="AD1840" t="str">
            <v>n/a</v>
          </cell>
          <cell r="AE1840"/>
          <cell r="AF1840"/>
          <cell r="AG1840"/>
          <cell r="AH1840"/>
          <cell r="AI1840"/>
          <cell r="AJ1840">
            <v>0.04</v>
          </cell>
          <cell r="AK1840" t="str">
            <v>OL</v>
          </cell>
          <cell r="AL1840">
            <v>151</v>
          </cell>
          <cell r="AM1840">
            <v>27</v>
          </cell>
          <cell r="AN1840" t="str">
            <v>10 Orangeline</v>
          </cell>
          <cell r="AO1840" t="str">
            <v>Central</v>
          </cell>
          <cell r="AP1840" t="str">
            <v>Central</v>
          </cell>
          <cell r="AQ1840"/>
          <cell r="AR1840">
            <v>0</v>
          </cell>
          <cell r="AS1840">
            <v>0</v>
          </cell>
        </row>
        <row r="1841">
          <cell r="A1841" t="str">
            <v>13188E</v>
          </cell>
          <cell r="B1841" t="str">
            <v>EWALD KUBOTA</v>
          </cell>
          <cell r="C1841" t="str">
            <v>M11128</v>
          </cell>
          <cell r="D1841" t="str">
            <v>Net 30, no pink card</v>
          </cell>
          <cell r="E1841" t="str">
            <v>2%</v>
          </cell>
          <cell r="F1841" t="str">
            <v>Yes</v>
          </cell>
          <cell r="G1841" t="str">
            <v>TX</v>
          </cell>
          <cell r="H1841">
            <v>5</v>
          </cell>
          <cell r="I1841">
            <v>0.7</v>
          </cell>
          <cell r="J1841" t="str">
            <v>Jimmy L Smith</v>
          </cell>
          <cell r="K1841" t="str">
            <v>TAYLOR</v>
          </cell>
          <cell r="L1841" t="str">
            <v>TX</v>
          </cell>
          <cell r="M1841" t="str">
            <v>800-577-8858</v>
          </cell>
          <cell r="N1841" t="str">
            <v>MSO's MUST read Seguin.</v>
          </cell>
          <cell r="O1841">
            <v>290</v>
          </cell>
          <cell r="P1841">
            <v>1247</v>
          </cell>
          <cell r="Q1841"/>
          <cell r="R1841">
            <v>0</v>
          </cell>
          <cell r="S1841"/>
          <cell r="T1841">
            <v>0</v>
          </cell>
          <cell r="U1841" t="str"/>
          <cell r="V1841" t="str"/>
          <cell r="W1841" t="str"/>
          <cell r="X1841" t="str"/>
          <cell r="Y1841"/>
          <cell r="Z1841">
            <v>0</v>
          </cell>
          <cell r="AA1841"/>
          <cell r="AB1841" t="str">
            <v>n/a</v>
          </cell>
          <cell r="AC1841"/>
          <cell r="AD1841" t="str">
            <v>n/a</v>
          </cell>
          <cell r="AE1841"/>
          <cell r="AF1841"/>
          <cell r="AG1841"/>
          <cell r="AH1841"/>
          <cell r="AI1841"/>
          <cell r="AJ1841">
            <v>0.04</v>
          </cell>
          <cell r="AK1841" t="str">
            <v>OL</v>
          </cell>
          <cell r="AL1841">
            <v>151</v>
          </cell>
          <cell r="AM1841">
            <v>27</v>
          </cell>
          <cell r="AN1841" t="str">
            <v>10 Orangeline</v>
          </cell>
          <cell r="AO1841" t="str">
            <v>Central</v>
          </cell>
          <cell r="AP1841" t="str">
            <v>Central</v>
          </cell>
          <cell r="AQ1841"/>
          <cell r="AR1841">
            <v>0</v>
          </cell>
          <cell r="AS1841">
            <v>0</v>
          </cell>
        </row>
        <row r="1842">
          <cell r="A1842" t="str">
            <v>13188F</v>
          </cell>
          <cell r="B1842" t="str">
            <v>EWALD KUBOTA</v>
          </cell>
          <cell r="C1842" t="str">
            <v>M11128</v>
          </cell>
          <cell r="D1842" t="str">
            <v>Net 30, no pink card</v>
          </cell>
          <cell r="E1842" t="str">
            <v>2%</v>
          </cell>
          <cell r="F1842" t="str">
            <v>Yes</v>
          </cell>
          <cell r="G1842" t="str">
            <v>TX</v>
          </cell>
          <cell r="H1842">
            <v>5</v>
          </cell>
          <cell r="I1842">
            <v>0.7</v>
          </cell>
          <cell r="J1842" t="str">
            <v>Jimmy L Smith</v>
          </cell>
          <cell r="K1842" t="str">
            <v>CORPUS CHRISTI</v>
          </cell>
          <cell r="L1842" t="str">
            <v>TX</v>
          </cell>
          <cell r="M1842" t="str">
            <v>800-577-8858</v>
          </cell>
          <cell r="N1842" t="str">
            <v>MSO's MUST read Seguin.</v>
          </cell>
          <cell r="O1842">
            <v>470</v>
          </cell>
          <cell r="P1842">
            <v>2021</v>
          </cell>
          <cell r="Q1842"/>
          <cell r="R1842">
            <v>0</v>
          </cell>
          <cell r="S1842"/>
          <cell r="T1842">
            <v>0</v>
          </cell>
          <cell r="U1842" t="str"/>
          <cell r="V1842" t="str"/>
          <cell r="W1842" t="str"/>
          <cell r="X1842" t="str"/>
          <cell r="Y1842"/>
          <cell r="Z1842">
            <v>0</v>
          </cell>
          <cell r="AA1842"/>
          <cell r="AB1842" t="str">
            <v>n/a</v>
          </cell>
          <cell r="AC1842"/>
          <cell r="AD1842" t="str">
            <v>n/a</v>
          </cell>
          <cell r="AE1842"/>
          <cell r="AF1842"/>
          <cell r="AG1842"/>
          <cell r="AH1842"/>
          <cell r="AI1842"/>
          <cell r="AJ1842">
            <v>0.04</v>
          </cell>
          <cell r="AK1842" t="str">
            <v>OL</v>
          </cell>
          <cell r="AL1842">
            <v>151</v>
          </cell>
          <cell r="AM1842">
            <v>99</v>
          </cell>
          <cell r="AN1842" t="str">
            <v>10 Orangeline</v>
          </cell>
          <cell r="AO1842" t="str">
            <v>Central</v>
          </cell>
          <cell r="AP1842" t="str">
            <v>Central</v>
          </cell>
          <cell r="AQ1842"/>
          <cell r="AR1842">
            <v>0</v>
          </cell>
          <cell r="AS1842">
            <v>0</v>
          </cell>
        </row>
        <row r="1843">
          <cell r="A1843" t="str">
            <v>13188G</v>
          </cell>
          <cell r="B1843" t="str">
            <v>EWALD KUBOTA</v>
          </cell>
          <cell r="C1843" t="str">
            <v>M11128</v>
          </cell>
          <cell r="D1843" t="str">
            <v>Net 30, no pink card</v>
          </cell>
          <cell r="E1843" t="str">
            <v>2%</v>
          </cell>
          <cell r="F1843" t="str">
            <v>Yes</v>
          </cell>
          <cell r="G1843" t="str">
            <v>TX</v>
          </cell>
          <cell r="H1843">
            <v>5</v>
          </cell>
          <cell r="I1843">
            <v>0.7</v>
          </cell>
          <cell r="J1843" t="str">
            <v>Jimmy L Smith</v>
          </cell>
          <cell r="K1843" t="str">
            <v>MARBLE FALLS</v>
          </cell>
          <cell r="L1843" t="str">
            <v>TX</v>
          </cell>
          <cell r="M1843" t="str">
            <v>800-577-8858</v>
          </cell>
          <cell r="N1843" t="str">
            <v>MSO's MUST read Seguin.</v>
          </cell>
          <cell r="O1843">
            <v>330</v>
          </cell>
          <cell r="P1843">
            <v>1419</v>
          </cell>
          <cell r="Q1843"/>
          <cell r="R1843">
            <v>0</v>
          </cell>
          <cell r="S1843"/>
          <cell r="T1843">
            <v>0</v>
          </cell>
          <cell r="U1843" t="str"/>
          <cell r="V1843" t="str"/>
          <cell r="W1843" t="str"/>
          <cell r="X1843" t="str"/>
          <cell r="Y1843"/>
          <cell r="Z1843">
            <v>0</v>
          </cell>
          <cell r="AA1843"/>
          <cell r="AB1843" t="str">
            <v>n/a</v>
          </cell>
          <cell r="AC1843"/>
          <cell r="AD1843" t="str">
            <v>n/a</v>
          </cell>
          <cell r="AE1843"/>
          <cell r="AF1843"/>
          <cell r="AG1843"/>
          <cell r="AH1843"/>
          <cell r="AI1843"/>
          <cell r="AJ1843">
            <v>0.04</v>
          </cell>
          <cell r="AK1843" t="str">
            <v>OL</v>
          </cell>
          <cell r="AL1843">
            <v>151</v>
          </cell>
          <cell r="AM1843">
            <v>27</v>
          </cell>
          <cell r="AN1843" t="str">
            <v>10 Orangeline</v>
          </cell>
          <cell r="AO1843" t="str">
            <v>Central</v>
          </cell>
          <cell r="AP1843" t="str">
            <v>Central</v>
          </cell>
          <cell r="AQ1843"/>
          <cell r="AR1843">
            <v>0</v>
          </cell>
          <cell r="AS1843">
            <v>0</v>
          </cell>
        </row>
        <row r="1844">
          <cell r="A1844" t="str">
            <v>13188H</v>
          </cell>
          <cell r="B1844" t="str">
            <v>EWALD KUBOTA</v>
          </cell>
          <cell r="C1844" t="str">
            <v>M11128</v>
          </cell>
          <cell r="D1844" t="str">
            <v>Net 30, no pink card</v>
          </cell>
          <cell r="E1844" t="str">
            <v>2%</v>
          </cell>
          <cell r="F1844" t="str">
            <v>Yes</v>
          </cell>
          <cell r="G1844" t="str">
            <v>TX</v>
          </cell>
          <cell r="H1844">
            <v>5</v>
          </cell>
          <cell r="I1844">
            <v>0.7</v>
          </cell>
          <cell r="J1844" t="str">
            <v>Jimmy L Smith</v>
          </cell>
          <cell r="K1844" t="str">
            <v>SELMA</v>
          </cell>
          <cell r="L1844" t="str">
            <v>TX</v>
          </cell>
          <cell r="M1844" t="str">
            <v>800-577-8858</v>
          </cell>
          <cell r="N1844" t="str">
            <v>MSO's MUST read Seguin.</v>
          </cell>
          <cell r="O1844">
            <v>380</v>
          </cell>
          <cell r="P1844">
            <v>1634</v>
          </cell>
          <cell r="Q1844"/>
          <cell r="R1844">
            <v>0</v>
          </cell>
          <cell r="S1844"/>
          <cell r="T1844">
            <v>0</v>
          </cell>
          <cell r="U1844" t="str"/>
          <cell r="V1844" t="str"/>
          <cell r="W1844" t="str"/>
          <cell r="X1844" t="str"/>
          <cell r="Y1844"/>
          <cell r="Z1844">
            <v>0</v>
          </cell>
          <cell r="AA1844">
            <v>1214</v>
          </cell>
          <cell r="AB1844">
            <v>5220.2</v>
          </cell>
          <cell r="AC1844">
            <v>1214</v>
          </cell>
          <cell r="AD1844">
            <v>5220.2</v>
          </cell>
          <cell r="AE1844"/>
          <cell r="AF1844"/>
          <cell r="AG1844"/>
          <cell r="AH1844"/>
          <cell r="AI1844"/>
          <cell r="AJ1844">
            <v>0.04</v>
          </cell>
          <cell r="AK1844" t="str">
            <v>OL</v>
          </cell>
          <cell r="AL1844">
            <v>151</v>
          </cell>
          <cell r="AM1844">
            <v>401</v>
          </cell>
          <cell r="AN1844" t="str">
            <v>10 Orangeline</v>
          </cell>
          <cell r="AO1844" t="str">
            <v>Central</v>
          </cell>
          <cell r="AP1844" t="str">
            <v>Central</v>
          </cell>
          <cell r="AQ1844"/>
          <cell r="AR1844">
            <v>0</v>
          </cell>
          <cell r="AS1844">
            <v>0</v>
          </cell>
        </row>
        <row r="1845">
          <cell r="A1845" t="str">
            <v>13188J</v>
          </cell>
          <cell r="B1845" t="str">
            <v>EWALD KUBOTA</v>
          </cell>
          <cell r="C1845" t="str">
            <v>M11128</v>
          </cell>
          <cell r="D1845" t="str">
            <v>Net 30, no pink card</v>
          </cell>
          <cell r="E1845" t="str">
            <v>2%</v>
          </cell>
          <cell r="F1845" t="str">
            <v>Yes</v>
          </cell>
          <cell r="G1845" t="str">
            <v>TX</v>
          </cell>
          <cell r="H1845">
            <v>5</v>
          </cell>
          <cell r="I1845">
            <v>0.7</v>
          </cell>
          <cell r="J1845" t="str">
            <v>Jimmy L Smith</v>
          </cell>
          <cell r="K1845" t="str">
            <v>FREDERICKSBURG</v>
          </cell>
          <cell r="L1845" t="str">
            <v>TX</v>
          </cell>
          <cell r="M1845" t="str">
            <v>800-577-8858</v>
          </cell>
          <cell r="N1845" t="str">
            <v>MSO's MUST read Seguin.</v>
          </cell>
          <cell r="O1845">
            <v>370</v>
          </cell>
          <cell r="P1845">
            <v>1591</v>
          </cell>
          <cell r="Q1845"/>
          <cell r="R1845">
            <v>0</v>
          </cell>
          <cell r="S1845"/>
          <cell r="T1845">
            <v>0</v>
          </cell>
          <cell r="U1845" t="str"/>
          <cell r="V1845" t="str"/>
          <cell r="W1845" t="str"/>
          <cell r="X1845" t="str"/>
          <cell r="Y1845"/>
          <cell r="Z1845">
            <v>0</v>
          </cell>
          <cell r="AA1845"/>
          <cell r="AB1845" t="str">
            <v>n/a</v>
          </cell>
          <cell r="AC1845"/>
          <cell r="AD1845" t="str">
            <v>n/a</v>
          </cell>
          <cell r="AE1845"/>
          <cell r="AF1845"/>
          <cell r="AG1845"/>
          <cell r="AH1845"/>
          <cell r="AI1845"/>
          <cell r="AJ1845">
            <v>0.04</v>
          </cell>
          <cell r="AK1845" t="str">
            <v>OL</v>
          </cell>
          <cell r="AL1845">
            <v>151</v>
          </cell>
          <cell r="AM1845">
            <v>401</v>
          </cell>
          <cell r="AN1845" t="str">
            <v>10 Orangeline</v>
          </cell>
          <cell r="AO1845" t="str">
            <v>Central</v>
          </cell>
          <cell r="AP1845" t="str">
            <v>Central</v>
          </cell>
          <cell r="AQ1845"/>
          <cell r="AR1845">
            <v>0</v>
          </cell>
          <cell r="AS1845">
            <v>0</v>
          </cell>
        </row>
        <row r="1846">
          <cell r="A1846" t="str">
            <v>13188K</v>
          </cell>
          <cell r="B1846" t="str">
            <v>EWALD KUBOTA</v>
          </cell>
          <cell r="C1846" t="str">
            <v>M11128</v>
          </cell>
          <cell r="D1846" t="str">
            <v>Net 30, no pink card</v>
          </cell>
          <cell r="E1846" t="str">
            <v>2%</v>
          </cell>
          <cell r="F1846" t="str">
            <v>Yes</v>
          </cell>
          <cell r="G1846" t="str">
            <v>TX</v>
          </cell>
          <cell r="H1846">
            <v>5</v>
          </cell>
          <cell r="I1846">
            <v>0.7</v>
          </cell>
          <cell r="J1846" t="str">
            <v>Jimmy L Smith</v>
          </cell>
          <cell r="K1846" t="str">
            <v>LAGRANGE</v>
          </cell>
          <cell r="L1846" t="str">
            <v>TX</v>
          </cell>
          <cell r="M1846" t="str">
            <v>800-577-8858</v>
          </cell>
          <cell r="N1846" t="str">
            <v>MSO's MUST read Seguin.</v>
          </cell>
          <cell r="O1846">
            <v>300</v>
          </cell>
          <cell r="P1846">
            <v>1290</v>
          </cell>
          <cell r="Q1846"/>
          <cell r="R1846">
            <v>0</v>
          </cell>
          <cell r="S1846">
            <v>1711</v>
          </cell>
          <cell r="T1846">
            <v>7357.2999999999993</v>
          </cell>
          <cell r="U1846" t="str"/>
          <cell r="V1846" t="str"/>
          <cell r="W1846" t="str"/>
          <cell r="X1846" t="str"/>
          <cell r="Y1846"/>
          <cell r="Z1846">
            <v>0</v>
          </cell>
          <cell r="AA1846"/>
          <cell r="AB1846" t="str">
            <v>n/a</v>
          </cell>
          <cell r="AC1846"/>
          <cell r="AD1846" t="str">
            <v>n/a</v>
          </cell>
          <cell r="AE1846"/>
          <cell r="AF1846"/>
          <cell r="AG1846"/>
          <cell r="AH1846"/>
          <cell r="AI1846"/>
          <cell r="AJ1846">
            <v>0.04</v>
          </cell>
          <cell r="AK1846" t="str">
            <v>OL</v>
          </cell>
          <cell r="AL1846">
            <v>151</v>
          </cell>
          <cell r="AM1846">
            <v>196</v>
          </cell>
          <cell r="AN1846" t="str">
            <v>10 Orangeline</v>
          </cell>
          <cell r="AO1846" t="str">
            <v>Central</v>
          </cell>
          <cell r="AP1846" t="str">
            <v>Central</v>
          </cell>
          <cell r="AQ1846"/>
          <cell r="AR1846">
            <v>0</v>
          </cell>
          <cell r="AS1846">
            <v>0</v>
          </cell>
        </row>
        <row r="1847">
          <cell r="A1847" t="str">
            <v>13188Y</v>
          </cell>
          <cell r="B1847" t="str">
            <v>EWALD KUBOTA</v>
          </cell>
          <cell r="C1847" t="str">
            <v>M11128</v>
          </cell>
          <cell r="D1847" t="str">
            <v>Net 30, no pink card</v>
          </cell>
          <cell r="E1847" t="str">
            <v>2%</v>
          </cell>
          <cell r="F1847" t="str">
            <v>Yes</v>
          </cell>
          <cell r="G1847" t="str">
            <v>TX</v>
          </cell>
          <cell r="H1847">
            <v>5</v>
          </cell>
          <cell r="I1847">
            <v>0.7</v>
          </cell>
          <cell r="J1847" t="str">
            <v>Jimmy L Smith</v>
          </cell>
          <cell r="K1847" t="str">
            <v>LIVINGSTON</v>
          </cell>
          <cell r="L1847" t="str">
            <v>TX</v>
          </cell>
          <cell r="M1847" t="str">
            <v>800-577-8858</v>
          </cell>
          <cell r="N1847" t="str">
            <v>MSO's MUST read Seguin.</v>
          </cell>
          <cell r="O1847">
            <v>190</v>
          </cell>
          <cell r="P1847">
            <v>817</v>
          </cell>
          <cell r="Q1847"/>
          <cell r="R1847">
            <v>0</v>
          </cell>
          <cell r="S1847"/>
          <cell r="T1847">
            <v>0</v>
          </cell>
          <cell r="U1847" t="str"/>
          <cell r="V1847" t="str"/>
          <cell r="W1847" t="str"/>
          <cell r="X1847" t="str"/>
          <cell r="Y1847"/>
          <cell r="Z1847">
            <v>0</v>
          </cell>
          <cell r="AA1847"/>
          <cell r="AB1847" t="str">
            <v>n/a</v>
          </cell>
          <cell r="AC1847"/>
          <cell r="AD1847" t="str">
            <v>n/a</v>
          </cell>
          <cell r="AE1847"/>
          <cell r="AF1847"/>
          <cell r="AG1847"/>
          <cell r="AH1847"/>
          <cell r="AI1847"/>
          <cell r="AJ1847"/>
          <cell r="AK1847" t="str">
            <v>OL</v>
          </cell>
          <cell r="AL1847">
            <v>151</v>
          </cell>
          <cell r="AM1847">
            <v>196</v>
          </cell>
          <cell r="AN1847" t="str">
            <v>10 Orangeline</v>
          </cell>
          <cell r="AO1847" t="str">
            <v>Central</v>
          </cell>
          <cell r="AP1847" t="str">
            <v>Central</v>
          </cell>
          <cell r="AQ1847"/>
          <cell r="AR1847">
            <v>0</v>
          </cell>
          <cell r="AS1847">
            <v>0</v>
          </cell>
        </row>
        <row r="1848">
          <cell r="A1848" t="str">
            <v>13188P</v>
          </cell>
          <cell r="B1848" t="str">
            <v>EWALD KUBOTA</v>
          </cell>
          <cell r="C1848" t="str">
            <v>M11128</v>
          </cell>
          <cell r="D1848" t="str">
            <v>Net 30, no pink card</v>
          </cell>
          <cell r="E1848" t="str">
            <v>2%</v>
          </cell>
          <cell r="F1848" t="str">
            <v>Yes</v>
          </cell>
          <cell r="G1848" t="str">
            <v>TX</v>
          </cell>
          <cell r="H1848">
            <v>5</v>
          </cell>
          <cell r="I1848">
            <v>0.7</v>
          </cell>
          <cell r="J1848" t="str">
            <v>Jimmy L Smith</v>
          </cell>
          <cell r="K1848" t="str">
            <v>ROSENBURG</v>
          </cell>
          <cell r="L1848" t="str">
            <v>TX</v>
          </cell>
          <cell r="M1848" t="str">
            <v>800-577-8858</v>
          </cell>
          <cell r="N1848" t="str">
            <v>MSO's MUST read Seguin.</v>
          </cell>
          <cell r="O1848">
            <v>300</v>
          </cell>
          <cell r="P1848">
            <v>1290</v>
          </cell>
          <cell r="Q1848"/>
          <cell r="R1848">
            <v>0</v>
          </cell>
          <cell r="S1848"/>
          <cell r="T1848">
            <v>0</v>
          </cell>
          <cell r="U1848" t="str"/>
          <cell r="V1848" t="str"/>
          <cell r="W1848" t="str"/>
          <cell r="X1848" t="str"/>
          <cell r="Y1848"/>
          <cell r="Z1848">
            <v>0</v>
          </cell>
          <cell r="AA1848"/>
          <cell r="AB1848" t="str">
            <v>n/a</v>
          </cell>
          <cell r="AC1848"/>
          <cell r="AD1848" t="str">
            <v>n/a</v>
          </cell>
          <cell r="AE1848"/>
          <cell r="AF1848"/>
          <cell r="AG1848"/>
          <cell r="AH1848"/>
          <cell r="AI1848"/>
          <cell r="AJ1848">
            <v>0.04</v>
          </cell>
          <cell r="AK1848" t="str">
            <v>OL</v>
          </cell>
          <cell r="AL1848">
            <v>151</v>
          </cell>
          <cell r="AM1848">
            <v>196</v>
          </cell>
          <cell r="AN1848" t="str">
            <v>10 Orangeline</v>
          </cell>
          <cell r="AO1848" t="str">
            <v>Central</v>
          </cell>
          <cell r="AP1848" t="str">
            <v>Central</v>
          </cell>
          <cell r="AQ1848"/>
          <cell r="AR1848">
            <v>0</v>
          </cell>
          <cell r="AS1848">
            <v>0</v>
          </cell>
        </row>
        <row r="1849">
          <cell r="A1849" t="str">
            <v>13188Q</v>
          </cell>
          <cell r="B1849" t="str">
            <v>EWALD KUBOTA</v>
          </cell>
          <cell r="C1849" t="str">
            <v>M11138</v>
          </cell>
          <cell r="D1849" t="str">
            <v>Net 30, no pink card</v>
          </cell>
          <cell r="E1849" t="str">
            <v>2%</v>
          </cell>
          <cell r="F1849" t="str">
            <v>Yes</v>
          </cell>
          <cell r="G1849" t="str">
            <v>TX</v>
          </cell>
          <cell r="H1849">
            <v>5</v>
          </cell>
          <cell r="I1849">
            <v>0.7</v>
          </cell>
          <cell r="J1849" t="str">
            <v>Jimmy L Smith</v>
          </cell>
          <cell r="K1849" t="str">
            <v>SPLENDORA</v>
          </cell>
          <cell r="L1849" t="str">
            <v>TX</v>
          </cell>
          <cell r="M1849" t="str">
            <v>800-577-8858</v>
          </cell>
          <cell r="N1849" t="str">
            <v>MSO's MUST read Seguin.</v>
          </cell>
          <cell r="O1849">
            <v>225</v>
          </cell>
          <cell r="P1849">
            <v>967.5</v>
          </cell>
          <cell r="Q1849"/>
          <cell r="R1849">
            <v>0</v>
          </cell>
          <cell r="S1849"/>
          <cell r="T1849">
            <v>0</v>
          </cell>
          <cell r="U1849" t="str"/>
          <cell r="V1849" t="str"/>
          <cell r="W1849" t="str"/>
          <cell r="X1849" t="str"/>
          <cell r="Y1849"/>
          <cell r="Z1849">
            <v>0</v>
          </cell>
          <cell r="AA1849"/>
          <cell r="AB1849" t="str">
            <v>n/a</v>
          </cell>
          <cell r="AC1849"/>
          <cell r="AD1849" t="str">
            <v>n/a</v>
          </cell>
          <cell r="AE1849"/>
          <cell r="AF1849"/>
          <cell r="AG1849"/>
          <cell r="AH1849"/>
          <cell r="AI1849"/>
          <cell r="AJ1849">
            <v>0.04</v>
          </cell>
          <cell r="AK1849" t="str">
            <v>OL</v>
          </cell>
          <cell r="AL1849">
            <v>151</v>
          </cell>
          <cell r="AM1849">
            <v>196</v>
          </cell>
          <cell r="AN1849" t="str">
            <v>10 Orangeline</v>
          </cell>
          <cell r="AO1849" t="str">
            <v>Central</v>
          </cell>
          <cell r="AP1849" t="str">
            <v>Central</v>
          </cell>
          <cell r="AQ1849"/>
          <cell r="AR1849">
            <v>0</v>
          </cell>
          <cell r="AS1849">
            <v>0</v>
          </cell>
        </row>
        <row r="1850">
          <cell r="A1850" t="str">
            <v>13188R</v>
          </cell>
          <cell r="B1850" t="str">
            <v>EWALD KUBOTA</v>
          </cell>
          <cell r="C1850" t="str">
            <v>M11138</v>
          </cell>
          <cell r="D1850" t="str">
            <v>Net 30, no pink card</v>
          </cell>
          <cell r="E1850" t="str">
            <v>2%</v>
          </cell>
          <cell r="F1850" t="str">
            <v>Yes</v>
          </cell>
          <cell r="G1850" t="str">
            <v>TX</v>
          </cell>
          <cell r="H1850">
            <v>5</v>
          </cell>
          <cell r="I1850">
            <v>0.7</v>
          </cell>
          <cell r="J1850" t="str">
            <v>Jimmy L Smith</v>
          </cell>
          <cell r="K1850" t="str">
            <v>HOCKLEY</v>
          </cell>
          <cell r="L1850" t="str">
            <v>TX</v>
          </cell>
          <cell r="M1850" t="str">
            <v>800-577-8858</v>
          </cell>
          <cell r="N1850" t="str">
            <v>MSO's MUST read Seguin.</v>
          </cell>
          <cell r="O1850">
            <v>275</v>
          </cell>
          <cell r="P1850">
            <v>1182.5</v>
          </cell>
          <cell r="Q1850"/>
          <cell r="R1850">
            <v>0</v>
          </cell>
          <cell r="S1850"/>
          <cell r="T1850">
            <v>0</v>
          </cell>
          <cell r="U1850" t="str"/>
          <cell r="V1850" t="str"/>
          <cell r="W1850" t="str"/>
          <cell r="X1850" t="str"/>
          <cell r="Y1850"/>
          <cell r="Z1850">
            <v>0</v>
          </cell>
          <cell r="AA1850"/>
          <cell r="AB1850" t="str">
            <v>n/a</v>
          </cell>
          <cell r="AC1850"/>
          <cell r="AD1850" t="str">
            <v>n/a</v>
          </cell>
          <cell r="AE1850"/>
          <cell r="AF1850"/>
          <cell r="AG1850"/>
          <cell r="AH1850"/>
          <cell r="AI1850"/>
          <cell r="AJ1850">
            <v>0.04</v>
          </cell>
          <cell r="AK1850" t="str">
            <v>OL</v>
          </cell>
          <cell r="AL1850">
            <v>151</v>
          </cell>
          <cell r="AM1850">
            <v>196</v>
          </cell>
          <cell r="AN1850" t="str">
            <v>10 Orangeline</v>
          </cell>
          <cell r="AO1850" t="str">
            <v>Central</v>
          </cell>
          <cell r="AP1850" t="str">
            <v>Central</v>
          </cell>
          <cell r="AQ1850"/>
          <cell r="AR1850">
            <v>0</v>
          </cell>
          <cell r="AS1850">
            <v>0</v>
          </cell>
        </row>
        <row r="1851">
          <cell r="A1851" t="str">
            <v>13188S</v>
          </cell>
          <cell r="B1851" t="str">
            <v>EWALD KUBOTA</v>
          </cell>
          <cell r="C1851" t="str">
            <v>M11138</v>
          </cell>
          <cell r="D1851" t="str">
            <v>Net 30, no pink card</v>
          </cell>
          <cell r="E1851" t="str">
            <v>2%</v>
          </cell>
          <cell r="F1851" t="str">
            <v>Yes</v>
          </cell>
          <cell r="G1851" t="str">
            <v>TX</v>
          </cell>
          <cell r="H1851">
            <v>5</v>
          </cell>
          <cell r="I1851">
            <v>0.7</v>
          </cell>
          <cell r="J1851" t="str">
            <v>Jimmy L Smith</v>
          </cell>
          <cell r="K1851" t="str">
            <v>ROSENBURG</v>
          </cell>
          <cell r="L1851" t="str">
            <v>TX</v>
          </cell>
          <cell r="M1851" t="str">
            <v>800-577-8858</v>
          </cell>
          <cell r="N1851" t="str">
            <v>MSO's MUST read Seguin.</v>
          </cell>
          <cell r="O1851">
            <v>300</v>
          </cell>
          <cell r="P1851">
            <v>1290</v>
          </cell>
          <cell r="Q1851"/>
          <cell r="R1851">
            <v>0</v>
          </cell>
          <cell r="S1851"/>
          <cell r="T1851">
            <v>0</v>
          </cell>
          <cell r="U1851" t="str"/>
          <cell r="V1851" t="str"/>
          <cell r="W1851" t="str"/>
          <cell r="X1851" t="str"/>
          <cell r="Y1851"/>
          <cell r="Z1851">
            <v>0</v>
          </cell>
          <cell r="AA1851"/>
          <cell r="AB1851" t="str">
            <v>n/a</v>
          </cell>
          <cell r="AC1851"/>
          <cell r="AD1851" t="str">
            <v>n/a</v>
          </cell>
          <cell r="AE1851"/>
          <cell r="AF1851"/>
          <cell r="AG1851"/>
          <cell r="AH1851"/>
          <cell r="AI1851"/>
          <cell r="AJ1851">
            <v>0.04</v>
          </cell>
          <cell r="AK1851" t="str">
            <v>OL</v>
          </cell>
          <cell r="AL1851">
            <v>151</v>
          </cell>
          <cell r="AM1851">
            <v>196</v>
          </cell>
          <cell r="AN1851" t="str">
            <v>10 Orangeline</v>
          </cell>
          <cell r="AO1851" t="str">
            <v>Central</v>
          </cell>
          <cell r="AP1851" t="str">
            <v>Central</v>
          </cell>
          <cell r="AQ1851"/>
          <cell r="AR1851">
            <v>0</v>
          </cell>
          <cell r="AS1851">
            <v>0</v>
          </cell>
        </row>
        <row r="1852">
          <cell r="A1852" t="str">
            <v>13188T</v>
          </cell>
          <cell r="B1852" t="str">
            <v>EWALD KUBOTA - East Houston</v>
          </cell>
          <cell r="C1852" t="str">
            <v>M11138</v>
          </cell>
          <cell r="D1852" t="str">
            <v>Net 30, no pink card</v>
          </cell>
          <cell r="E1852" t="str">
            <v>2%</v>
          </cell>
          <cell r="F1852" t="str">
            <v>Yes</v>
          </cell>
          <cell r="G1852" t="str">
            <v>TX</v>
          </cell>
          <cell r="H1852">
            <v>5</v>
          </cell>
          <cell r="I1852">
            <v>0.7</v>
          </cell>
          <cell r="J1852" t="str">
            <v>Jimmy L Smith</v>
          </cell>
          <cell r="K1852" t="str">
            <v>HOUSTON</v>
          </cell>
          <cell r="L1852" t="str">
            <v>TX</v>
          </cell>
          <cell r="M1852" t="str">
            <v>800-577-8858</v>
          </cell>
          <cell r="N1852" t="str">
            <v>MSO's MUST read Seguin.</v>
          </cell>
          <cell r="O1852">
            <v>270</v>
          </cell>
          <cell r="P1852">
            <v>1161</v>
          </cell>
          <cell r="Q1852"/>
          <cell r="R1852">
            <v>0</v>
          </cell>
          <cell r="S1852"/>
          <cell r="T1852">
            <v>0</v>
          </cell>
          <cell r="U1852" t="str"/>
          <cell r="V1852" t="str"/>
          <cell r="W1852" t="str"/>
          <cell r="X1852" t="str"/>
          <cell r="Y1852"/>
          <cell r="Z1852">
            <v>0</v>
          </cell>
          <cell r="AA1852"/>
          <cell r="AB1852" t="str">
            <v>n/a</v>
          </cell>
          <cell r="AC1852"/>
          <cell r="AD1852" t="str">
            <v>n/a</v>
          </cell>
          <cell r="AE1852"/>
          <cell r="AF1852"/>
          <cell r="AG1852"/>
          <cell r="AH1852"/>
          <cell r="AI1852"/>
          <cell r="AJ1852">
            <v>0.04</v>
          </cell>
          <cell r="AK1852" t="str">
            <v>OL</v>
          </cell>
          <cell r="AL1852">
            <v>151</v>
          </cell>
          <cell r="AM1852">
            <v>196</v>
          </cell>
          <cell r="AN1852" t="str">
            <v>10 Orangeline</v>
          </cell>
          <cell r="AO1852" t="str">
            <v>Central</v>
          </cell>
          <cell r="AP1852" t="str">
            <v>Central</v>
          </cell>
          <cell r="AQ1852"/>
          <cell r="AR1852">
            <v>0</v>
          </cell>
          <cell r="AS1852">
            <v>0</v>
          </cell>
        </row>
        <row r="1853">
          <cell r="A1853" t="str">
            <v>13188U</v>
          </cell>
          <cell r="B1853" t="str">
            <v>EWALD KUBOTA</v>
          </cell>
          <cell r="C1853" t="str">
            <v>M11138</v>
          </cell>
          <cell r="D1853" t="str">
            <v>Net 30, no pink card</v>
          </cell>
          <cell r="E1853" t="str">
            <v>2%</v>
          </cell>
          <cell r="F1853" t="str">
            <v>Yes</v>
          </cell>
          <cell r="G1853" t="str">
            <v>TX</v>
          </cell>
          <cell r="H1853">
            <v>5</v>
          </cell>
          <cell r="I1853">
            <v>0.7</v>
          </cell>
          <cell r="J1853" t="str">
            <v>Jimmy L Smith</v>
          </cell>
          <cell r="K1853" t="str">
            <v>CONROE</v>
          </cell>
          <cell r="L1853" t="str">
            <v>TX</v>
          </cell>
          <cell r="M1853" t="str">
            <v>800-577-8858</v>
          </cell>
          <cell r="N1853" t="str">
            <v>MSO's MUST read Seguin.</v>
          </cell>
          <cell r="O1853">
            <v>230</v>
          </cell>
          <cell r="P1853">
            <v>989</v>
          </cell>
          <cell r="Q1853"/>
          <cell r="R1853">
            <v>0</v>
          </cell>
          <cell r="S1853"/>
          <cell r="T1853">
            <v>0</v>
          </cell>
          <cell r="U1853" t="str"/>
          <cell r="V1853" t="str"/>
          <cell r="W1853" t="str"/>
          <cell r="X1853" t="str"/>
          <cell r="Y1853"/>
          <cell r="Z1853">
            <v>0</v>
          </cell>
          <cell r="AA1853"/>
          <cell r="AB1853" t="str">
            <v>n/a</v>
          </cell>
          <cell r="AC1853"/>
          <cell r="AD1853" t="str">
            <v>n/a</v>
          </cell>
          <cell r="AE1853"/>
          <cell r="AF1853"/>
          <cell r="AG1853"/>
          <cell r="AH1853"/>
          <cell r="AI1853"/>
          <cell r="AJ1853">
            <v>0.04</v>
          </cell>
          <cell r="AK1853" t="str">
            <v>OL</v>
          </cell>
          <cell r="AL1853">
            <v>151</v>
          </cell>
          <cell r="AM1853">
            <v>196</v>
          </cell>
          <cell r="AN1853" t="str">
            <v>10 Orangeline</v>
          </cell>
          <cell r="AO1853" t="str">
            <v>Central</v>
          </cell>
          <cell r="AP1853" t="str">
            <v>Central</v>
          </cell>
          <cell r="AQ1853"/>
          <cell r="AR1853">
            <v>0</v>
          </cell>
          <cell r="AS1853">
            <v>0</v>
          </cell>
        </row>
        <row r="1854">
          <cell r="A1854" t="str">
            <v>13188V</v>
          </cell>
          <cell r="B1854" t="str">
            <v>EWALD KUBOTA</v>
          </cell>
          <cell r="C1854" t="str">
            <v>M11138</v>
          </cell>
          <cell r="D1854" t="str">
            <v>Net 30, no pink card</v>
          </cell>
          <cell r="E1854" t="str">
            <v>2%</v>
          </cell>
          <cell r="F1854" t="str">
            <v>Yes</v>
          </cell>
          <cell r="G1854" t="str">
            <v>TX</v>
          </cell>
          <cell r="H1854">
            <v>5</v>
          </cell>
          <cell r="I1854">
            <v>0.7</v>
          </cell>
          <cell r="J1854" t="str">
            <v>Jimmy L Smith</v>
          </cell>
          <cell r="K1854" t="str">
            <v>WEBSTER</v>
          </cell>
          <cell r="L1854" t="str">
            <v>TX</v>
          </cell>
          <cell r="M1854" t="str">
            <v>800-577-8858</v>
          </cell>
          <cell r="N1854" t="str">
            <v>MSO's MUST read Seguin.</v>
          </cell>
          <cell r="O1854">
            <v>280</v>
          </cell>
          <cell r="P1854">
            <v>1204</v>
          </cell>
          <cell r="Q1854"/>
          <cell r="R1854">
            <v>0</v>
          </cell>
          <cell r="S1854"/>
          <cell r="T1854">
            <v>0</v>
          </cell>
          <cell r="U1854" t="str"/>
          <cell r="V1854" t="str"/>
          <cell r="W1854" t="str"/>
          <cell r="X1854" t="str"/>
          <cell r="Y1854"/>
          <cell r="Z1854">
            <v>0</v>
          </cell>
          <cell r="AA1854"/>
          <cell r="AB1854" t="str">
            <v>n/a</v>
          </cell>
          <cell r="AC1854"/>
          <cell r="AD1854" t="str">
            <v>n/a</v>
          </cell>
          <cell r="AE1854"/>
          <cell r="AF1854"/>
          <cell r="AG1854"/>
          <cell r="AH1854"/>
          <cell r="AI1854"/>
          <cell r="AJ1854">
            <v>0.04</v>
          </cell>
          <cell r="AK1854" t="str">
            <v>OL</v>
          </cell>
          <cell r="AL1854">
            <v>151</v>
          </cell>
          <cell r="AM1854">
            <v>196</v>
          </cell>
          <cell r="AN1854" t="str">
            <v>10 Orangeline</v>
          </cell>
          <cell r="AO1854" t="str">
            <v>Central</v>
          </cell>
          <cell r="AP1854" t="str">
            <v>Central</v>
          </cell>
          <cell r="AQ1854"/>
          <cell r="AR1854">
            <v>0</v>
          </cell>
          <cell r="AS1854">
            <v>0</v>
          </cell>
        </row>
        <row r="1855">
          <cell r="A1855" t="str">
            <v>13188W</v>
          </cell>
          <cell r="B1855" t="str">
            <v>EWALD KUBOTA - West Houston</v>
          </cell>
          <cell r="C1855" t="str">
            <v>M11138</v>
          </cell>
          <cell r="D1855" t="str">
            <v>Net 30, no pink card</v>
          </cell>
          <cell r="E1855" t="str">
            <v>2%</v>
          </cell>
          <cell r="F1855" t="str">
            <v>Yes</v>
          </cell>
          <cell r="G1855" t="str">
            <v>TX</v>
          </cell>
          <cell r="H1855">
            <v>5</v>
          </cell>
          <cell r="I1855">
            <v>0.7</v>
          </cell>
          <cell r="J1855" t="str">
            <v>Jimmy L Smith</v>
          </cell>
          <cell r="K1855" t="str">
            <v>HOUSTON</v>
          </cell>
          <cell r="L1855" t="str">
            <v>TX</v>
          </cell>
          <cell r="M1855" t="str">
            <v>800-577-8858</v>
          </cell>
          <cell r="N1855" t="str">
            <v>MSO's MUST read Seguin.</v>
          </cell>
          <cell r="O1855">
            <v>270</v>
          </cell>
          <cell r="P1855">
            <v>1161</v>
          </cell>
          <cell r="Q1855"/>
          <cell r="R1855">
            <v>0</v>
          </cell>
          <cell r="S1855"/>
          <cell r="T1855">
            <v>0</v>
          </cell>
          <cell r="U1855" t="str"/>
          <cell r="V1855" t="str"/>
          <cell r="W1855" t="str"/>
          <cell r="X1855" t="str"/>
          <cell r="Y1855"/>
          <cell r="Z1855">
            <v>0</v>
          </cell>
          <cell r="AA1855"/>
          <cell r="AB1855" t="str">
            <v>n/a</v>
          </cell>
          <cell r="AC1855"/>
          <cell r="AD1855" t="str">
            <v>n/a</v>
          </cell>
          <cell r="AE1855"/>
          <cell r="AF1855"/>
          <cell r="AG1855"/>
          <cell r="AH1855"/>
          <cell r="AI1855"/>
          <cell r="AJ1855">
            <v>0.04</v>
          </cell>
          <cell r="AK1855" t="str">
            <v>OL</v>
          </cell>
          <cell r="AL1855">
            <v>151</v>
          </cell>
          <cell r="AM1855">
            <v>196</v>
          </cell>
          <cell r="AN1855" t="str">
            <v>10 Orangeline</v>
          </cell>
          <cell r="AO1855" t="str">
            <v>Central</v>
          </cell>
          <cell r="AP1855" t="str">
            <v>Central</v>
          </cell>
          <cell r="AQ1855"/>
          <cell r="AR1855">
            <v>0</v>
          </cell>
          <cell r="AS1855">
            <v>0</v>
          </cell>
        </row>
        <row r="1856">
          <cell r="A1856" t="str">
            <v>13188X</v>
          </cell>
          <cell r="B1856" t="str">
            <v>EWALD KUBOTA</v>
          </cell>
          <cell r="C1856" t="str">
            <v>M11138</v>
          </cell>
          <cell r="D1856" t="str">
            <v>Net 30, no pink card</v>
          </cell>
          <cell r="E1856" t="str">
            <v>2%</v>
          </cell>
          <cell r="F1856" t="str">
            <v>Yes</v>
          </cell>
          <cell r="G1856" t="str">
            <v>TX</v>
          </cell>
          <cell r="H1856">
            <v>5</v>
          </cell>
          <cell r="I1856">
            <v>0.7</v>
          </cell>
          <cell r="J1856" t="str">
            <v>Jimmy L Smith</v>
          </cell>
          <cell r="K1856" t="str">
            <v>BAY CITY</v>
          </cell>
          <cell r="L1856" t="str">
            <v>TX</v>
          </cell>
          <cell r="M1856" t="str">
            <v>800-577-8858</v>
          </cell>
          <cell r="N1856" t="str">
            <v>MSO's MUST read Seguin.</v>
          </cell>
          <cell r="O1856">
            <v>340</v>
          </cell>
          <cell r="P1856">
            <v>1462</v>
          </cell>
          <cell r="Q1856"/>
          <cell r="R1856">
            <v>0</v>
          </cell>
          <cell r="S1856"/>
          <cell r="T1856">
            <v>0</v>
          </cell>
          <cell r="U1856" t="str"/>
          <cell r="V1856" t="str"/>
          <cell r="W1856" t="str"/>
          <cell r="X1856" t="str"/>
          <cell r="Y1856"/>
          <cell r="Z1856">
            <v>0</v>
          </cell>
          <cell r="AA1856"/>
          <cell r="AB1856" t="str">
            <v>n/a</v>
          </cell>
          <cell r="AC1856"/>
          <cell r="AD1856" t="str">
            <v>n/a</v>
          </cell>
          <cell r="AE1856"/>
          <cell r="AF1856"/>
          <cell r="AG1856"/>
          <cell r="AH1856"/>
          <cell r="AI1856"/>
          <cell r="AJ1856">
            <v>0.04</v>
          </cell>
          <cell r="AK1856" t="str">
            <v>OL</v>
          </cell>
          <cell r="AL1856">
            <v>151</v>
          </cell>
          <cell r="AM1856">
            <v>196</v>
          </cell>
          <cell r="AN1856" t="str">
            <v>10 Orangeline</v>
          </cell>
          <cell r="AO1856" t="str">
            <v>Central</v>
          </cell>
          <cell r="AP1856" t="str">
            <v>Central</v>
          </cell>
          <cell r="AQ1856"/>
          <cell r="AR1856">
            <v>0</v>
          </cell>
          <cell r="AS1856">
            <v>0</v>
          </cell>
        </row>
        <row r="1857">
          <cell r="A1857">
            <v>13258</v>
          </cell>
          <cell r="B1857" t="str">
            <v>FARM COUNTRY</v>
          </cell>
          <cell r="C1857" t="str">
            <v>M11202</v>
          </cell>
          <cell r="D1857" t="str">
            <v>Net 30, no pink card</v>
          </cell>
          <cell r="E1857" t="str">
            <v>2%</v>
          </cell>
          <cell r="F1857" t="str">
            <v>Yes</v>
          </cell>
          <cell r="G1857" t="str">
            <v>TX</v>
          </cell>
          <cell r="H1857">
            <v>5</v>
          </cell>
          <cell r="I1857">
            <v>0.7</v>
          </cell>
          <cell r="J1857" t="str">
            <v>Jimmy L Smith</v>
          </cell>
          <cell r="K1857" t="str">
            <v>SULPHUR SPRINGS</v>
          </cell>
          <cell r="L1857" t="str">
            <v>TX</v>
          </cell>
          <cell r="M1857" t="str">
            <v>800-577-8858</v>
          </cell>
          <cell r="N1857"/>
          <cell r="O1857">
            <v>40</v>
          </cell>
          <cell r="P1857">
            <v>172</v>
          </cell>
          <cell r="Q1857"/>
          <cell r="R1857">
            <v>0</v>
          </cell>
          <cell r="S1857"/>
          <cell r="T1857">
            <v>0</v>
          </cell>
          <cell r="U1857" t="str"/>
          <cell r="V1857" t="str"/>
          <cell r="W1857" t="str"/>
          <cell r="X1857" t="str"/>
          <cell r="Y1857"/>
          <cell r="Z1857">
            <v>0</v>
          </cell>
          <cell r="AA1857"/>
          <cell r="AB1857" t="str">
            <v>n/a</v>
          </cell>
          <cell r="AC1857"/>
          <cell r="AD1857" t="str">
            <v>n/a</v>
          </cell>
          <cell r="AE1857"/>
          <cell r="AF1857"/>
          <cell r="AG1857"/>
          <cell r="AH1857"/>
          <cell r="AI1857"/>
          <cell r="AJ1857"/>
          <cell r="AK1857" t="str">
            <v>OL</v>
          </cell>
          <cell r="AL1857">
            <v>151</v>
          </cell>
          <cell r="AM1857">
            <v>101</v>
          </cell>
          <cell r="AN1857" t="str">
            <v>10 Orangeline</v>
          </cell>
          <cell r="AO1857" t="str">
            <v>Central</v>
          </cell>
          <cell r="AP1857" t="str">
            <v>Central</v>
          </cell>
          <cell r="AQ1857"/>
          <cell r="AR1857">
            <v>0</v>
          </cell>
          <cell r="AS1857">
            <v>0</v>
          </cell>
        </row>
        <row r="1858">
          <cell r="A1858" t="str">
            <v>13237A</v>
          </cell>
          <cell r="B1858" t="str">
            <v>FMH KUBOTA - EL PASO</v>
          </cell>
          <cell r="C1858" t="str">
            <v>M11178</v>
          </cell>
          <cell r="D1858" t="str">
            <v>Net 30, no pink card</v>
          </cell>
          <cell r="E1858" t="str">
            <v>2%</v>
          </cell>
          <cell r="F1858" t="str">
            <v>Yes</v>
          </cell>
          <cell r="G1858" t="str">
            <v>TX</v>
          </cell>
          <cell r="H1858">
            <v>5</v>
          </cell>
          <cell r="I1858">
            <v>0.7</v>
          </cell>
          <cell r="J1858" t="str">
            <v>Jimmy L Smith</v>
          </cell>
          <cell r="K1858" t="str">
            <v>EL PASO</v>
          </cell>
          <cell r="L1858" t="str">
            <v>TX</v>
          </cell>
          <cell r="M1858" t="str">
            <v>800-577-8858</v>
          </cell>
          <cell r="N1858"/>
          <cell r="O1858">
            <v>760</v>
          </cell>
          <cell r="P1858">
            <v>3268</v>
          </cell>
          <cell r="Q1858"/>
          <cell r="R1858">
            <v>0</v>
          </cell>
          <cell r="S1858"/>
          <cell r="T1858">
            <v>0</v>
          </cell>
          <cell r="U1858" t="str"/>
          <cell r="V1858" t="str"/>
          <cell r="W1858" t="str"/>
          <cell r="X1858" t="str"/>
          <cell r="Y1858"/>
          <cell r="Z1858">
            <v>0</v>
          </cell>
          <cell r="AA1858"/>
          <cell r="AB1858" t="str">
            <v>n/a</v>
          </cell>
          <cell r="AC1858"/>
          <cell r="AD1858" t="str">
            <v>n/a</v>
          </cell>
          <cell r="AE1858"/>
          <cell r="AF1858"/>
          <cell r="AG1858"/>
          <cell r="AH1858"/>
          <cell r="AI1858"/>
          <cell r="AJ1858"/>
          <cell r="AK1858" t="str">
            <v>OL</v>
          </cell>
          <cell r="AL1858">
            <v>151</v>
          </cell>
          <cell r="AM1858">
            <v>128</v>
          </cell>
          <cell r="AN1858" t="str">
            <v>10 Orangeline</v>
          </cell>
          <cell r="AO1858" t="str">
            <v>Central</v>
          </cell>
          <cell r="AP1858" t="str">
            <v>Central</v>
          </cell>
          <cell r="AQ1858"/>
          <cell r="AR1858">
            <v>0</v>
          </cell>
          <cell r="AS1858">
            <v>0</v>
          </cell>
        </row>
        <row r="1859">
          <cell r="A1859">
            <v>13234</v>
          </cell>
          <cell r="B1859" t="str">
            <v>FULLER TRACTOR</v>
          </cell>
          <cell r="C1859" t="str">
            <v>M11175</v>
          </cell>
          <cell r="D1859" t="str">
            <v>Net 30, no pink card</v>
          </cell>
          <cell r="E1859" t="str">
            <v>FP - Wells Fargo</v>
          </cell>
          <cell r="F1859" t="str">
            <v>Yes</v>
          </cell>
          <cell r="G1859" t="str">
            <v>TX</v>
          </cell>
          <cell r="H1859">
            <v>8</v>
          </cell>
          <cell r="I1859">
            <v>0.7</v>
          </cell>
          <cell r="J1859" t="str">
            <v>Jimmy L Smith</v>
          </cell>
          <cell r="K1859" t="str">
            <v>BEEVILLE</v>
          </cell>
          <cell r="L1859" t="str">
            <v>TX</v>
          </cell>
          <cell r="M1859" t="str">
            <v>800-577-8858</v>
          </cell>
          <cell r="N1859"/>
          <cell r="O1859">
            <v>445</v>
          </cell>
          <cell r="P1859">
            <v>1913.5</v>
          </cell>
          <cell r="Q1859"/>
          <cell r="R1859">
            <v>0</v>
          </cell>
          <cell r="S1859"/>
          <cell r="T1859">
            <v>0</v>
          </cell>
          <cell r="U1859" t="str"/>
          <cell r="V1859" t="str"/>
          <cell r="W1859" t="str"/>
          <cell r="X1859" t="str"/>
          <cell r="Y1859"/>
          <cell r="Z1859">
            <v>0</v>
          </cell>
          <cell r="AA1859"/>
          <cell r="AB1859" t="str">
            <v>n/a</v>
          </cell>
          <cell r="AC1859"/>
          <cell r="AD1859" t="str">
            <v>n/a</v>
          </cell>
          <cell r="AE1859"/>
          <cell r="AF1859"/>
          <cell r="AG1859"/>
          <cell r="AH1859"/>
          <cell r="AI1859"/>
          <cell r="AJ1859"/>
          <cell r="AK1859" t="str">
            <v>OL</v>
          </cell>
          <cell r="AL1859">
            <v>151</v>
          </cell>
          <cell r="AM1859">
            <v>99</v>
          </cell>
          <cell r="AN1859" t="str">
            <v>10 Orangeline</v>
          </cell>
          <cell r="AO1859" t="str">
            <v>Central</v>
          </cell>
          <cell r="AP1859" t="str">
            <v>Central</v>
          </cell>
          <cell r="AQ1859"/>
          <cell r="AR1859">
            <v>0</v>
          </cell>
          <cell r="AS1859">
            <v>0</v>
          </cell>
        </row>
        <row r="1860">
          <cell r="A1860" t="str">
            <v>13234A</v>
          </cell>
          <cell r="B1860" t="str">
            <v>FULLER TRACTOR</v>
          </cell>
          <cell r="C1860" t="str">
            <v>M11175</v>
          </cell>
          <cell r="D1860" t="str">
            <v>Net 30, no pink card</v>
          </cell>
          <cell r="E1860" t="str">
            <v>FP - Wells Fargo</v>
          </cell>
          <cell r="F1860" t="str">
            <v>Yes</v>
          </cell>
          <cell r="G1860" t="str">
            <v>TX</v>
          </cell>
          <cell r="H1860">
            <v>8</v>
          </cell>
          <cell r="I1860">
            <v>0.7</v>
          </cell>
          <cell r="J1860" t="str">
            <v>Jimmy L Smith</v>
          </cell>
          <cell r="K1860" t="str">
            <v>ALICE</v>
          </cell>
          <cell r="L1860" t="str">
            <v>TX</v>
          </cell>
          <cell r="M1860" t="str">
            <v>800-577-8858</v>
          </cell>
          <cell r="N1860"/>
          <cell r="O1860">
            <v>515</v>
          </cell>
          <cell r="P1860">
            <v>2214.5</v>
          </cell>
          <cell r="Q1860"/>
          <cell r="R1860">
            <v>0</v>
          </cell>
          <cell r="S1860"/>
          <cell r="T1860">
            <v>0</v>
          </cell>
          <cell r="U1860" t="str"/>
          <cell r="V1860" t="str"/>
          <cell r="W1860" t="str"/>
          <cell r="X1860" t="str"/>
          <cell r="Y1860"/>
          <cell r="Z1860">
            <v>0</v>
          </cell>
          <cell r="AA1860"/>
          <cell r="AB1860" t="str">
            <v>n/a</v>
          </cell>
          <cell r="AC1860"/>
          <cell r="AD1860" t="str">
            <v>n/a</v>
          </cell>
          <cell r="AE1860"/>
          <cell r="AF1860"/>
          <cell r="AG1860"/>
          <cell r="AH1860"/>
          <cell r="AI1860"/>
          <cell r="AJ1860"/>
          <cell r="AK1860" t="str">
            <v>OL</v>
          </cell>
          <cell r="AL1860">
            <v>151</v>
          </cell>
          <cell r="AM1860">
            <v>99</v>
          </cell>
          <cell r="AN1860" t="str">
            <v>10 Orangeline</v>
          </cell>
          <cell r="AO1860" t="str">
            <v>Central</v>
          </cell>
          <cell r="AP1860" t="str">
            <v>Central</v>
          </cell>
          <cell r="AQ1860"/>
          <cell r="AR1860">
            <v>0</v>
          </cell>
          <cell r="AS1860">
            <v>0</v>
          </cell>
        </row>
        <row r="1861">
          <cell r="A1861">
            <v>12154</v>
          </cell>
          <cell r="B1861" t="str">
            <v>HAMMER EQUIPMENT</v>
          </cell>
          <cell r="C1861" t="str">
            <v>M04191</v>
          </cell>
          <cell r="D1861" t="str">
            <v>Net 30, no pink card</v>
          </cell>
          <cell r="E1861" t="str">
            <v>2%</v>
          </cell>
          <cell r="F1861" t="str">
            <v>Yes</v>
          </cell>
          <cell r="G1861" t="str">
            <v>TX</v>
          </cell>
          <cell r="H1861">
            <v>5</v>
          </cell>
          <cell r="I1861">
            <v>0.7</v>
          </cell>
          <cell r="J1861" t="str">
            <v>Jimmy L Smith</v>
          </cell>
          <cell r="K1861" t="str">
            <v>LUFKIN</v>
          </cell>
          <cell r="L1861" t="str">
            <v>TX</v>
          </cell>
          <cell r="M1861" t="str">
            <v>800-577-8858</v>
          </cell>
          <cell r="N1861"/>
          <cell r="O1861">
            <v>140</v>
          </cell>
          <cell r="P1861">
            <v>602</v>
          </cell>
          <cell r="Q1861"/>
          <cell r="R1861">
            <v>0</v>
          </cell>
          <cell r="S1861"/>
          <cell r="T1861">
            <v>0</v>
          </cell>
          <cell r="U1861" t="str"/>
          <cell r="V1861" t="str"/>
          <cell r="W1861" t="str"/>
          <cell r="X1861" t="str"/>
          <cell r="Y1861"/>
          <cell r="Z1861">
            <v>0</v>
          </cell>
          <cell r="AA1861"/>
          <cell r="AB1861" t="str">
            <v>n/a</v>
          </cell>
          <cell r="AC1861"/>
          <cell r="AD1861" t="str">
            <v>n/a</v>
          </cell>
          <cell r="AE1861" t="str"/>
          <cell r="AF1861"/>
          <cell r="AG1861" t="str"/>
          <cell r="AH1861" t="str"/>
          <cell r="AI1861" t="str"/>
          <cell r="AJ1861"/>
          <cell r="AK1861" t="str">
            <v>OL</v>
          </cell>
          <cell r="AL1861">
            <v>151</v>
          </cell>
          <cell r="AM1861">
            <v>265</v>
          </cell>
          <cell r="AN1861" t="str">
            <v>10 Orangeline</v>
          </cell>
          <cell r="AO1861" t="str">
            <v>Central</v>
          </cell>
          <cell r="AP1861" t="str">
            <v>Central</v>
          </cell>
          <cell r="AQ1861"/>
          <cell r="AR1861">
            <v>0</v>
          </cell>
          <cell r="AS1861">
            <v>0</v>
          </cell>
        </row>
        <row r="1862">
          <cell r="A1862">
            <v>13381</v>
          </cell>
          <cell r="B1862" t="str">
            <v>HAMMER EQUIPMENT</v>
          </cell>
          <cell r="C1862" t="str">
            <v>M04191</v>
          </cell>
          <cell r="D1862" t="str">
            <v>Net 30, no pink card</v>
          </cell>
          <cell r="E1862" t="str">
            <v>O1-Northpoint</v>
          </cell>
          <cell r="F1862" t="str">
            <v>Yes</v>
          </cell>
          <cell r="G1862" t="str">
            <v>TX</v>
          </cell>
          <cell r="H1862">
            <v>8</v>
          </cell>
          <cell r="I1862">
            <v>0.7</v>
          </cell>
          <cell r="J1862" t="str">
            <v>Jimmy L Smith</v>
          </cell>
          <cell r="K1862" t="str">
            <v>LUFKIN</v>
          </cell>
          <cell r="L1862" t="str">
            <v>TX</v>
          </cell>
          <cell r="M1862" t="str">
            <v>800-577-8858</v>
          </cell>
          <cell r="N1862"/>
          <cell r="O1862">
            <v>140</v>
          </cell>
          <cell r="P1862">
            <v>602</v>
          </cell>
          <cell r="Q1862"/>
          <cell r="R1862">
            <v>0</v>
          </cell>
          <cell r="S1862"/>
          <cell r="T1862">
            <v>0</v>
          </cell>
          <cell r="U1862" t="str"/>
          <cell r="V1862" t="str"/>
          <cell r="W1862" t="str"/>
          <cell r="X1862" t="str"/>
          <cell r="Y1862"/>
          <cell r="Z1862">
            <v>0</v>
          </cell>
          <cell r="AA1862"/>
          <cell r="AB1862" t="str">
            <v>n/a</v>
          </cell>
          <cell r="AC1862"/>
          <cell r="AD1862" t="str">
            <v>n/a</v>
          </cell>
          <cell r="AE1862" t="str"/>
          <cell r="AF1862"/>
          <cell r="AG1862" t="str"/>
          <cell r="AH1862" t="str"/>
          <cell r="AI1862" t="str"/>
          <cell r="AJ1862"/>
          <cell r="AK1862" t="str">
            <v>OL</v>
          </cell>
          <cell r="AL1862">
            <v>151</v>
          </cell>
          <cell r="AM1862">
            <v>265</v>
          </cell>
          <cell r="AN1862" t="str">
            <v>10 Orangeline</v>
          </cell>
          <cell r="AO1862" t="str">
            <v>Central</v>
          </cell>
          <cell r="AP1862" t="str">
            <v>Central</v>
          </cell>
          <cell r="AQ1862"/>
          <cell r="AR1862">
            <v>0</v>
          </cell>
          <cell r="AS1862">
            <v>0</v>
          </cell>
        </row>
        <row r="1863">
          <cell r="A1863">
            <v>13190</v>
          </cell>
          <cell r="B1863" t="str">
            <v>HEART OF TEXAS KUBOTA</v>
          </cell>
          <cell r="C1863" t="str">
            <v>M11169</v>
          </cell>
          <cell r="D1863" t="str">
            <v>Net 30, no pink card</v>
          </cell>
          <cell r="E1863" t="str">
            <v>2%</v>
          </cell>
          <cell r="F1863" t="str">
            <v>Yes</v>
          </cell>
          <cell r="G1863" t="str">
            <v>TX</v>
          </cell>
          <cell r="H1863">
            <v>5</v>
          </cell>
          <cell r="I1863">
            <v>0.7</v>
          </cell>
          <cell r="J1863" t="str">
            <v>Jimmy L Smith</v>
          </cell>
          <cell r="K1863" t="str">
            <v>BRADY</v>
          </cell>
          <cell r="L1863" t="str">
            <v>TX</v>
          </cell>
          <cell r="M1863" t="str">
            <v>800-577-8858</v>
          </cell>
          <cell r="N1863"/>
          <cell r="O1863">
            <v>340</v>
          </cell>
          <cell r="P1863">
            <v>1462</v>
          </cell>
          <cell r="Q1863"/>
          <cell r="R1863">
            <v>0</v>
          </cell>
          <cell r="S1863"/>
          <cell r="T1863">
            <v>0</v>
          </cell>
          <cell r="U1863" t="str"/>
          <cell r="V1863" t="str"/>
          <cell r="W1863" t="str"/>
          <cell r="X1863" t="str"/>
          <cell r="Y1863"/>
          <cell r="Z1863">
            <v>0</v>
          </cell>
          <cell r="AA1863"/>
          <cell r="AB1863" t="str">
            <v>n/a</v>
          </cell>
          <cell r="AC1863"/>
          <cell r="AD1863" t="str">
            <v>n/a</v>
          </cell>
          <cell r="AE1863"/>
          <cell r="AF1863"/>
          <cell r="AG1863"/>
          <cell r="AH1863"/>
          <cell r="AI1863"/>
          <cell r="AJ1863"/>
          <cell r="AK1863" t="str">
            <v>OL</v>
          </cell>
          <cell r="AL1863">
            <v>151</v>
          </cell>
          <cell r="AM1863">
            <v>400</v>
          </cell>
          <cell r="AN1863" t="str">
            <v>10 Orangeline</v>
          </cell>
          <cell r="AO1863" t="str">
            <v>Central</v>
          </cell>
          <cell r="AP1863" t="str">
            <v>Central</v>
          </cell>
          <cell r="AQ1863"/>
          <cell r="AR1863">
            <v>0</v>
          </cell>
          <cell r="AS1863">
            <v>0</v>
          </cell>
        </row>
        <row r="1864">
          <cell r="A1864">
            <v>13259</v>
          </cell>
          <cell r="B1864" t="str">
            <v>HOUSTON COUNTY EQUIP</v>
          </cell>
          <cell r="C1864" t="str">
            <v>M11204</v>
          </cell>
          <cell r="D1864" t="str">
            <v>Net 30, no pink card</v>
          </cell>
          <cell r="E1864" t="str">
            <v>2%</v>
          </cell>
          <cell r="F1864" t="str">
            <v>Yes</v>
          </cell>
          <cell r="G1864" t="str">
            <v>TX</v>
          </cell>
          <cell r="H1864">
            <v>5</v>
          </cell>
          <cell r="I1864">
            <v>0.7</v>
          </cell>
          <cell r="J1864" t="str">
            <v>Jimmy L Smith</v>
          </cell>
          <cell r="K1864" t="str">
            <v>CROCKETT</v>
          </cell>
          <cell r="L1864" t="str">
            <v>TX</v>
          </cell>
          <cell r="M1864" t="str">
            <v>800-577-8858</v>
          </cell>
          <cell r="N1864"/>
          <cell r="O1864">
            <v>155</v>
          </cell>
          <cell r="P1864">
            <v>666.5</v>
          </cell>
          <cell r="Q1864"/>
          <cell r="R1864">
            <v>0</v>
          </cell>
          <cell r="S1864"/>
          <cell r="T1864">
            <v>0</v>
          </cell>
          <cell r="U1864" t="str"/>
          <cell r="V1864" t="str"/>
          <cell r="W1864" t="str"/>
          <cell r="X1864" t="str"/>
          <cell r="Y1864"/>
          <cell r="Z1864">
            <v>0</v>
          </cell>
          <cell r="AA1864"/>
          <cell r="AB1864" t="str">
            <v>n/a</v>
          </cell>
          <cell r="AC1864"/>
          <cell r="AD1864" t="str">
            <v>n/a</v>
          </cell>
          <cell r="AE1864" t="str"/>
          <cell r="AF1864"/>
          <cell r="AG1864" t="str"/>
          <cell r="AH1864" t="str"/>
          <cell r="AI1864" t="str"/>
          <cell r="AJ1864"/>
          <cell r="AK1864" t="str">
            <v>OL</v>
          </cell>
          <cell r="AL1864">
            <v>151</v>
          </cell>
          <cell r="AM1864">
            <v>196</v>
          </cell>
          <cell r="AN1864" t="str">
            <v>10 Orangeline</v>
          </cell>
          <cell r="AO1864" t="str">
            <v>Central</v>
          </cell>
          <cell r="AP1864" t="str">
            <v>Central</v>
          </cell>
          <cell r="AQ1864"/>
          <cell r="AR1864">
            <v>0</v>
          </cell>
          <cell r="AS1864">
            <v>0</v>
          </cell>
        </row>
        <row r="1865">
          <cell r="A1865">
            <v>13482</v>
          </cell>
          <cell r="B1865" t="str">
            <v>HUNT COUNTY FARM</v>
          </cell>
          <cell r="C1865" t="str">
            <v>M11458</v>
          </cell>
          <cell r="D1865" t="str">
            <v>Net 30, no pink card</v>
          </cell>
          <cell r="E1865" t="str">
            <v>2%</v>
          </cell>
          <cell r="F1865" t="str">
            <v>Yes</v>
          </cell>
          <cell r="G1865" t="str">
            <v>TX</v>
          </cell>
          <cell r="H1865">
            <v>5</v>
          </cell>
          <cell r="I1865">
            <v>0.7</v>
          </cell>
          <cell r="J1865" t="str">
            <v>Jimmy L Smith</v>
          </cell>
          <cell r="K1865" t="str">
            <v>CAMPBELL</v>
          </cell>
          <cell r="L1865" t="str">
            <v>TX</v>
          </cell>
          <cell r="M1865" t="str">
            <v>800-577-8858</v>
          </cell>
          <cell r="N1865"/>
          <cell r="O1865">
            <v>62</v>
          </cell>
          <cell r="P1865">
            <v>266.59999999999997</v>
          </cell>
          <cell r="Q1865"/>
          <cell r="R1865">
            <v>0</v>
          </cell>
          <cell r="S1865"/>
          <cell r="T1865">
            <v>0</v>
          </cell>
          <cell r="U1865" t="str"/>
          <cell r="V1865" t="str"/>
          <cell r="W1865" t="str"/>
          <cell r="X1865" t="str"/>
          <cell r="Y1865"/>
          <cell r="Z1865">
            <v>0</v>
          </cell>
          <cell r="AA1865"/>
          <cell r="AB1865" t="str">
            <v>n/a</v>
          </cell>
          <cell r="AC1865"/>
          <cell r="AD1865" t="str">
            <v>n/a</v>
          </cell>
          <cell r="AE1865"/>
          <cell r="AF1865"/>
          <cell r="AG1865"/>
          <cell r="AH1865"/>
          <cell r="AI1865"/>
          <cell r="AJ1865"/>
          <cell r="AK1865" t="str">
            <v>OL</v>
          </cell>
          <cell r="AL1865">
            <v>151</v>
          </cell>
          <cell r="AM1865">
            <v>101</v>
          </cell>
          <cell r="AN1865" t="str">
            <v>10 Orangeline</v>
          </cell>
          <cell r="AO1865" t="str">
            <v>Central</v>
          </cell>
          <cell r="AP1865" t="str">
            <v>Central</v>
          </cell>
          <cell r="AQ1865"/>
          <cell r="AR1865">
            <v>0</v>
          </cell>
          <cell r="AS1865">
            <v>0</v>
          </cell>
        </row>
        <row r="1866">
          <cell r="A1866">
            <v>13252</v>
          </cell>
          <cell r="B1866" t="str">
            <v>HUNTSVILLE TRUCK &amp; TRACTOR</v>
          </cell>
          <cell r="C1866" t="str">
            <v>M10195</v>
          </cell>
          <cell r="D1866" t="str">
            <v>Net 30, no pink card</v>
          </cell>
          <cell r="E1866" t="str">
            <v>2%</v>
          </cell>
          <cell r="F1866" t="str">
            <v>Yes</v>
          </cell>
          <cell r="G1866" t="str">
            <v>TX</v>
          </cell>
          <cell r="H1866">
            <v>5</v>
          </cell>
          <cell r="I1866">
            <v>0.7</v>
          </cell>
          <cell r="J1866" t="str">
            <v>Jimmy L Smith</v>
          </cell>
          <cell r="K1866" t="str">
            <v>HUNTSVILLE</v>
          </cell>
          <cell r="L1866" t="str">
            <v>TX</v>
          </cell>
          <cell r="M1866" t="str">
            <v>800-577-8858</v>
          </cell>
          <cell r="N1866"/>
          <cell r="O1866">
            <v>200</v>
          </cell>
          <cell r="P1866">
            <v>860</v>
          </cell>
          <cell r="Q1866"/>
          <cell r="R1866">
            <v>0</v>
          </cell>
          <cell r="S1866"/>
          <cell r="T1866">
            <v>0</v>
          </cell>
          <cell r="U1866" t="str"/>
          <cell r="V1866" t="str"/>
          <cell r="W1866" t="str"/>
          <cell r="X1866" t="str"/>
          <cell r="Y1866"/>
          <cell r="Z1866">
            <v>0</v>
          </cell>
          <cell r="AA1866"/>
          <cell r="AB1866" t="str">
            <v>n/a</v>
          </cell>
          <cell r="AC1866"/>
          <cell r="AD1866" t="str">
            <v>n/a</v>
          </cell>
          <cell r="AE1866"/>
          <cell r="AF1866"/>
          <cell r="AG1866"/>
          <cell r="AH1866"/>
          <cell r="AI1866"/>
          <cell r="AJ1866"/>
          <cell r="AK1866" t="str">
            <v>OL</v>
          </cell>
          <cell r="AL1866">
            <v>151</v>
          </cell>
          <cell r="AM1866">
            <v>196</v>
          </cell>
          <cell r="AN1866" t="str">
            <v>10 Orangeline</v>
          </cell>
          <cell r="AO1866" t="str">
            <v>Central</v>
          </cell>
          <cell r="AP1866" t="str">
            <v>Central</v>
          </cell>
          <cell r="AQ1866"/>
          <cell r="AR1866">
            <v>0</v>
          </cell>
          <cell r="AS1866">
            <v>0</v>
          </cell>
        </row>
        <row r="1867">
          <cell r="A1867">
            <v>13193</v>
          </cell>
          <cell r="B1867" t="str">
            <v>JAMES BROS IMPLEMENT</v>
          </cell>
          <cell r="C1867" t="str">
            <v>M11133</v>
          </cell>
          <cell r="D1867" t="str">
            <v>Net 30, no pink card</v>
          </cell>
          <cell r="E1867" t="str">
            <v>2%</v>
          </cell>
          <cell r="F1867" t="str">
            <v>Yes</v>
          </cell>
          <cell r="G1867" t="str">
            <v>TX</v>
          </cell>
          <cell r="H1867">
            <v>5</v>
          </cell>
          <cell r="I1867">
            <v>0.7</v>
          </cell>
          <cell r="J1867" t="str">
            <v>Jimmy L Smith</v>
          </cell>
          <cell r="K1867" t="str">
            <v>PLAINVIEW</v>
          </cell>
          <cell r="L1867" t="str">
            <v>TX</v>
          </cell>
          <cell r="M1867" t="str">
            <v>800-577-8858</v>
          </cell>
          <cell r="N1867"/>
          <cell r="O1867">
            <v>440</v>
          </cell>
          <cell r="P1867">
            <v>1892</v>
          </cell>
          <cell r="Q1867"/>
          <cell r="R1867">
            <v>0</v>
          </cell>
          <cell r="S1867"/>
          <cell r="T1867">
            <v>0</v>
          </cell>
          <cell r="U1867" t="str"/>
          <cell r="V1867" t="str"/>
          <cell r="W1867" t="str"/>
          <cell r="X1867" t="str"/>
          <cell r="Y1867"/>
          <cell r="Z1867">
            <v>0</v>
          </cell>
          <cell r="AA1867"/>
          <cell r="AB1867" t="str">
            <v>n/a</v>
          </cell>
          <cell r="AC1867"/>
          <cell r="AD1867" t="str">
            <v>n/a</v>
          </cell>
          <cell r="AE1867" t="str"/>
          <cell r="AF1867"/>
          <cell r="AG1867" t="str"/>
          <cell r="AH1867" t="str"/>
          <cell r="AI1867" t="str"/>
          <cell r="AJ1867"/>
          <cell r="AK1867" t="str">
            <v>OL</v>
          </cell>
          <cell r="AL1867">
            <v>151</v>
          </cell>
          <cell r="AM1867">
            <v>264</v>
          </cell>
          <cell r="AN1867" t="str">
            <v>10 Orangeline</v>
          </cell>
          <cell r="AO1867" t="str">
            <v>Central</v>
          </cell>
          <cell r="AP1867" t="str">
            <v>Central</v>
          </cell>
          <cell r="AQ1867"/>
          <cell r="AR1867">
            <v>0</v>
          </cell>
          <cell r="AS1867">
            <v>0</v>
          </cell>
        </row>
        <row r="1868">
          <cell r="A1868">
            <v>13260</v>
          </cell>
          <cell r="B1868" t="str">
            <v>KAIGE KUBOTA</v>
          </cell>
          <cell r="C1868" t="str">
            <v>M11203</v>
          </cell>
          <cell r="D1868" t="str">
            <v>Net 30, no pink card</v>
          </cell>
          <cell r="E1868" t="str">
            <v>2%</v>
          </cell>
          <cell r="F1868" t="str">
            <v>Yes</v>
          </cell>
          <cell r="G1868" t="str">
            <v>TX</v>
          </cell>
          <cell r="H1868">
            <v>5</v>
          </cell>
          <cell r="I1868">
            <v>0.7</v>
          </cell>
          <cell r="J1868" t="str">
            <v>Jimmy L Smith</v>
          </cell>
          <cell r="K1868" t="str">
            <v>ODESSA</v>
          </cell>
          <cell r="L1868" t="str">
            <v>TX</v>
          </cell>
          <cell r="M1868" t="str">
            <v>800-577-8858</v>
          </cell>
          <cell r="N1868"/>
          <cell r="O1868">
            <v>475</v>
          </cell>
          <cell r="P1868">
            <v>2042.5</v>
          </cell>
          <cell r="Q1868"/>
          <cell r="R1868">
            <v>0</v>
          </cell>
          <cell r="S1868"/>
          <cell r="T1868">
            <v>0</v>
          </cell>
          <cell r="U1868" t="str"/>
          <cell r="V1868" t="str"/>
          <cell r="W1868" t="str"/>
          <cell r="X1868" t="str"/>
          <cell r="Y1868"/>
          <cell r="Z1868">
            <v>0</v>
          </cell>
          <cell r="AA1868"/>
          <cell r="AB1868" t="str">
            <v>n/a</v>
          </cell>
          <cell r="AC1868"/>
          <cell r="AD1868" t="str">
            <v>n/a</v>
          </cell>
          <cell r="AE1868"/>
          <cell r="AF1868"/>
          <cell r="AG1868"/>
          <cell r="AH1868"/>
          <cell r="AI1868"/>
          <cell r="AJ1868"/>
          <cell r="AK1868" t="str">
            <v>OL</v>
          </cell>
          <cell r="AL1868">
            <v>151</v>
          </cell>
          <cell r="AM1868">
            <v>327</v>
          </cell>
          <cell r="AN1868" t="str">
            <v>10 Orangeline</v>
          </cell>
          <cell r="AO1868" t="str">
            <v>Central</v>
          </cell>
          <cell r="AP1868" t="str">
            <v>Central</v>
          </cell>
          <cell r="AQ1868"/>
          <cell r="AR1868">
            <v>0</v>
          </cell>
          <cell r="AS1868">
            <v>0</v>
          </cell>
        </row>
        <row r="1869">
          <cell r="A1869">
            <v>13196</v>
          </cell>
          <cell r="B1869" t="str">
            <v>KC MOORE SERVICE</v>
          </cell>
          <cell r="C1869" t="str">
            <v>M11136</v>
          </cell>
          <cell r="D1869" t="str">
            <v>Net 30, no pink card</v>
          </cell>
          <cell r="E1869" t="str">
            <v>2%</v>
          </cell>
          <cell r="F1869" t="str">
            <v>Yes</v>
          </cell>
          <cell r="G1869" t="str">
            <v>TX</v>
          </cell>
          <cell r="H1869">
            <v>5</v>
          </cell>
          <cell r="I1869">
            <v>0.7</v>
          </cell>
          <cell r="J1869" t="str">
            <v>Jimmy L Smith</v>
          </cell>
          <cell r="K1869" t="str">
            <v xml:space="preserve">STAR </v>
          </cell>
          <cell r="L1869" t="str">
            <v>TX</v>
          </cell>
          <cell r="M1869" t="str">
            <v>800-577-8858</v>
          </cell>
          <cell r="N1869"/>
          <cell r="O1869">
            <v>270</v>
          </cell>
          <cell r="P1869">
            <v>1161</v>
          </cell>
          <cell r="Q1869"/>
          <cell r="R1869">
            <v>0</v>
          </cell>
          <cell r="S1869"/>
          <cell r="T1869">
            <v>0</v>
          </cell>
          <cell r="U1869" t="str"/>
          <cell r="V1869" t="str"/>
          <cell r="W1869" t="str"/>
          <cell r="X1869" t="str"/>
          <cell r="Y1869"/>
          <cell r="Z1869">
            <v>0</v>
          </cell>
          <cell r="AA1869"/>
          <cell r="AB1869" t="str">
            <v>n/a</v>
          </cell>
          <cell r="AC1869"/>
          <cell r="AD1869" t="str">
            <v>n/a</v>
          </cell>
          <cell r="AE1869"/>
          <cell r="AF1869"/>
          <cell r="AG1869"/>
          <cell r="AH1869"/>
          <cell r="AI1869"/>
          <cell r="AJ1869"/>
          <cell r="AK1869" t="str">
            <v>OL</v>
          </cell>
          <cell r="AL1869">
            <v>151</v>
          </cell>
          <cell r="AM1869">
            <v>57</v>
          </cell>
          <cell r="AN1869" t="str">
            <v>10 Orangeline</v>
          </cell>
          <cell r="AO1869" t="str">
            <v>Central</v>
          </cell>
          <cell r="AP1869" t="str">
            <v>Central</v>
          </cell>
          <cell r="AQ1869"/>
          <cell r="AR1869">
            <v>0</v>
          </cell>
          <cell r="AS1869">
            <v>0</v>
          </cell>
        </row>
        <row r="1870">
          <cell r="A1870">
            <v>13612</v>
          </cell>
          <cell r="B1870" t="str">
            <v xml:space="preserve">LANSDOWNE MOODY </v>
          </cell>
          <cell r="C1870" t="str">
            <v>M11138</v>
          </cell>
          <cell r="D1870" t="str">
            <v>Net 30, no pink card</v>
          </cell>
          <cell r="E1870" t="str">
            <v>O1-Wells</v>
          </cell>
          <cell r="F1870" t="str">
            <v>Yes</v>
          </cell>
          <cell r="G1870" t="str">
            <v>TX</v>
          </cell>
          <cell r="H1870">
            <v>8</v>
          </cell>
          <cell r="I1870">
            <v>0.7</v>
          </cell>
          <cell r="J1870" t="str">
            <v>Jimmy L Smith</v>
          </cell>
          <cell r="K1870" t="str">
            <v>HOUSTON</v>
          </cell>
          <cell r="L1870" t="str">
            <v>TX</v>
          </cell>
          <cell r="M1870" t="str">
            <v>800-577-8858</v>
          </cell>
          <cell r="N1870"/>
          <cell r="O1870">
            <v>270</v>
          </cell>
          <cell r="P1870">
            <v>1161</v>
          </cell>
          <cell r="Q1870"/>
          <cell r="R1870">
            <v>0</v>
          </cell>
          <cell r="S1870"/>
          <cell r="T1870">
            <v>0</v>
          </cell>
          <cell r="U1870" t="str"/>
          <cell r="V1870" t="str"/>
          <cell r="W1870" t="str"/>
          <cell r="X1870" t="str"/>
          <cell r="Y1870"/>
          <cell r="Z1870">
            <v>0</v>
          </cell>
          <cell r="AA1870"/>
          <cell r="AB1870" t="str">
            <v>n/a</v>
          </cell>
          <cell r="AC1870"/>
          <cell r="AD1870" t="str">
            <v>n/a</v>
          </cell>
          <cell r="AE1870"/>
          <cell r="AF1870"/>
          <cell r="AG1870"/>
          <cell r="AH1870"/>
          <cell r="AI1870"/>
          <cell r="AJ1870">
            <v>0.04</v>
          </cell>
          <cell r="AK1870" t="str">
            <v>OL</v>
          </cell>
          <cell r="AL1870">
            <v>151</v>
          </cell>
          <cell r="AM1870">
            <v>196</v>
          </cell>
          <cell r="AN1870" t="str">
            <v>10 Orangeline</v>
          </cell>
          <cell r="AO1870" t="str">
            <v>Central</v>
          </cell>
          <cell r="AP1870" t="str">
            <v>Central</v>
          </cell>
          <cell r="AQ1870"/>
          <cell r="AR1870">
            <v>0</v>
          </cell>
          <cell r="AS1870">
            <v>0</v>
          </cell>
        </row>
        <row r="1871">
          <cell r="A1871" t="str">
            <v>13612A</v>
          </cell>
          <cell r="B1871" t="str">
            <v xml:space="preserve">LANSDOWNE MOODY </v>
          </cell>
          <cell r="C1871" t="str">
            <v>M11138</v>
          </cell>
          <cell r="D1871" t="str">
            <v>Net 30, no pink card</v>
          </cell>
          <cell r="E1871" t="str">
            <v>O1-Wells</v>
          </cell>
          <cell r="F1871" t="str">
            <v>Yes</v>
          </cell>
          <cell r="G1871" t="str">
            <v>TX</v>
          </cell>
          <cell r="H1871">
            <v>8</v>
          </cell>
          <cell r="I1871">
            <v>0.7</v>
          </cell>
          <cell r="J1871" t="str">
            <v>Jimmy L Smith</v>
          </cell>
          <cell r="K1871" t="str">
            <v>SPLENDORA</v>
          </cell>
          <cell r="L1871" t="str">
            <v>TX</v>
          </cell>
          <cell r="M1871" t="str">
            <v>800-577-8858</v>
          </cell>
          <cell r="N1871"/>
          <cell r="O1871">
            <v>225</v>
          </cell>
          <cell r="P1871">
            <v>967.5</v>
          </cell>
          <cell r="Q1871"/>
          <cell r="R1871">
            <v>0</v>
          </cell>
          <cell r="S1871"/>
          <cell r="T1871">
            <v>0</v>
          </cell>
          <cell r="U1871" t="str"/>
          <cell r="V1871" t="str"/>
          <cell r="W1871" t="str"/>
          <cell r="X1871" t="str"/>
          <cell r="Y1871"/>
          <cell r="Z1871">
            <v>0</v>
          </cell>
          <cell r="AA1871"/>
          <cell r="AB1871" t="str">
            <v>n/a</v>
          </cell>
          <cell r="AC1871"/>
          <cell r="AD1871" t="str">
            <v>n/a</v>
          </cell>
          <cell r="AE1871"/>
          <cell r="AF1871"/>
          <cell r="AG1871"/>
          <cell r="AH1871"/>
          <cell r="AI1871"/>
          <cell r="AJ1871">
            <v>0.04</v>
          </cell>
          <cell r="AK1871" t="str">
            <v>OL</v>
          </cell>
          <cell r="AL1871">
            <v>151</v>
          </cell>
          <cell r="AM1871">
            <v>196</v>
          </cell>
          <cell r="AN1871" t="str">
            <v>10 Orangeline</v>
          </cell>
          <cell r="AO1871" t="str">
            <v>Central</v>
          </cell>
          <cell r="AP1871" t="str">
            <v>Central</v>
          </cell>
          <cell r="AQ1871"/>
          <cell r="AR1871">
            <v>0</v>
          </cell>
          <cell r="AS1871">
            <v>0</v>
          </cell>
        </row>
        <row r="1872">
          <cell r="A1872" t="str">
            <v>13612B</v>
          </cell>
          <cell r="B1872" t="str">
            <v xml:space="preserve">LANSDOWNE MOODY </v>
          </cell>
          <cell r="C1872" t="str">
            <v>M11138</v>
          </cell>
          <cell r="D1872" t="str">
            <v>Net 30, no pink card</v>
          </cell>
          <cell r="E1872" t="str">
            <v>O1-Wells</v>
          </cell>
          <cell r="F1872" t="str">
            <v>Yes</v>
          </cell>
          <cell r="G1872" t="str">
            <v>TX</v>
          </cell>
          <cell r="H1872">
            <v>8</v>
          </cell>
          <cell r="I1872">
            <v>0.7</v>
          </cell>
          <cell r="J1872" t="str">
            <v>Jimmy L Smith</v>
          </cell>
          <cell r="K1872" t="str">
            <v>CONROE</v>
          </cell>
          <cell r="L1872" t="str">
            <v>TX</v>
          </cell>
          <cell r="M1872" t="str">
            <v>800-577-8858</v>
          </cell>
          <cell r="N1872"/>
          <cell r="O1872">
            <v>230</v>
          </cell>
          <cell r="P1872">
            <v>989</v>
          </cell>
          <cell r="Q1872"/>
          <cell r="R1872">
            <v>0</v>
          </cell>
          <cell r="S1872"/>
          <cell r="T1872">
            <v>0</v>
          </cell>
          <cell r="U1872" t="str"/>
          <cell r="V1872" t="str"/>
          <cell r="W1872" t="str"/>
          <cell r="X1872" t="str"/>
          <cell r="Y1872"/>
          <cell r="Z1872">
            <v>0</v>
          </cell>
          <cell r="AA1872"/>
          <cell r="AB1872" t="str">
            <v>n/a</v>
          </cell>
          <cell r="AC1872"/>
          <cell r="AD1872" t="str">
            <v>n/a</v>
          </cell>
          <cell r="AE1872"/>
          <cell r="AF1872"/>
          <cell r="AG1872"/>
          <cell r="AH1872"/>
          <cell r="AI1872"/>
          <cell r="AJ1872">
            <v>0.04</v>
          </cell>
          <cell r="AK1872" t="str">
            <v>OL</v>
          </cell>
          <cell r="AL1872">
            <v>151</v>
          </cell>
          <cell r="AM1872">
            <v>196</v>
          </cell>
          <cell r="AN1872" t="str">
            <v>10 Orangeline</v>
          </cell>
          <cell r="AO1872" t="str">
            <v>Central</v>
          </cell>
          <cell r="AP1872" t="str">
            <v>Central</v>
          </cell>
          <cell r="AQ1872"/>
          <cell r="AR1872">
            <v>0</v>
          </cell>
          <cell r="AS1872">
            <v>0</v>
          </cell>
        </row>
        <row r="1873">
          <cell r="A1873" t="str">
            <v>13612C</v>
          </cell>
          <cell r="B1873" t="str">
            <v xml:space="preserve">LANSDOWNE MOODY </v>
          </cell>
          <cell r="C1873" t="str">
            <v>M11138</v>
          </cell>
          <cell r="D1873" t="str">
            <v>Net 30, no pink card</v>
          </cell>
          <cell r="E1873" t="str">
            <v>O1-Wells</v>
          </cell>
          <cell r="F1873" t="str">
            <v>Yes</v>
          </cell>
          <cell r="G1873" t="str">
            <v>TX</v>
          </cell>
          <cell r="H1873">
            <v>8</v>
          </cell>
          <cell r="I1873">
            <v>0.7</v>
          </cell>
          <cell r="J1873" t="str">
            <v>Jimmy L Smith</v>
          </cell>
          <cell r="K1873" t="str">
            <v>HOCKLEY</v>
          </cell>
          <cell r="L1873" t="str">
            <v>TX</v>
          </cell>
          <cell r="M1873" t="str">
            <v>800-577-8858</v>
          </cell>
          <cell r="N1873"/>
          <cell r="O1873">
            <v>275</v>
          </cell>
          <cell r="P1873">
            <v>1182.5</v>
          </cell>
          <cell r="Q1873"/>
          <cell r="R1873">
            <v>0</v>
          </cell>
          <cell r="S1873"/>
          <cell r="T1873">
            <v>0</v>
          </cell>
          <cell r="U1873" t="str"/>
          <cell r="V1873" t="str"/>
          <cell r="W1873" t="str"/>
          <cell r="X1873" t="str"/>
          <cell r="Y1873"/>
          <cell r="Z1873">
            <v>0</v>
          </cell>
          <cell r="AA1873"/>
          <cell r="AB1873" t="str">
            <v>n/a</v>
          </cell>
          <cell r="AC1873"/>
          <cell r="AD1873" t="str">
            <v>n/a</v>
          </cell>
          <cell r="AE1873"/>
          <cell r="AF1873"/>
          <cell r="AG1873"/>
          <cell r="AH1873"/>
          <cell r="AI1873"/>
          <cell r="AJ1873">
            <v>0.04</v>
          </cell>
          <cell r="AK1873" t="str">
            <v>OL</v>
          </cell>
          <cell r="AL1873">
            <v>151</v>
          </cell>
          <cell r="AM1873">
            <v>196</v>
          </cell>
          <cell r="AN1873" t="str">
            <v>10 Orangeline</v>
          </cell>
          <cell r="AO1873" t="str">
            <v>Central</v>
          </cell>
          <cell r="AP1873" t="str">
            <v>Central</v>
          </cell>
          <cell r="AQ1873"/>
          <cell r="AR1873">
            <v>0</v>
          </cell>
          <cell r="AS1873">
            <v>0</v>
          </cell>
        </row>
        <row r="1874">
          <cell r="A1874" t="str">
            <v>13612D</v>
          </cell>
          <cell r="B1874" t="str">
            <v xml:space="preserve">LANSDOWNE MOODY </v>
          </cell>
          <cell r="C1874" t="str">
            <v>M11138</v>
          </cell>
          <cell r="D1874" t="str">
            <v>Net 30, no pink card</v>
          </cell>
          <cell r="E1874" t="str">
            <v>O1-Wells</v>
          </cell>
          <cell r="F1874" t="str">
            <v>Yes</v>
          </cell>
          <cell r="G1874" t="str">
            <v>TX</v>
          </cell>
          <cell r="H1874">
            <v>8</v>
          </cell>
          <cell r="I1874">
            <v>0.7</v>
          </cell>
          <cell r="J1874" t="str">
            <v>Jimmy L Smith</v>
          </cell>
          <cell r="K1874" t="str">
            <v>WEBSTER</v>
          </cell>
          <cell r="L1874" t="str">
            <v>TX</v>
          </cell>
          <cell r="M1874" t="str">
            <v>800-577-8858</v>
          </cell>
          <cell r="N1874"/>
          <cell r="O1874">
            <v>280</v>
          </cell>
          <cell r="P1874">
            <v>1204</v>
          </cell>
          <cell r="Q1874"/>
          <cell r="R1874">
            <v>0</v>
          </cell>
          <cell r="S1874"/>
          <cell r="T1874">
            <v>0</v>
          </cell>
          <cell r="U1874" t="str"/>
          <cell r="V1874" t="str"/>
          <cell r="W1874" t="str"/>
          <cell r="X1874" t="str"/>
          <cell r="Y1874"/>
          <cell r="Z1874">
            <v>0</v>
          </cell>
          <cell r="AA1874"/>
          <cell r="AB1874" t="str">
            <v>n/a</v>
          </cell>
          <cell r="AC1874"/>
          <cell r="AD1874" t="str">
            <v>n/a</v>
          </cell>
          <cell r="AE1874"/>
          <cell r="AF1874"/>
          <cell r="AG1874"/>
          <cell r="AH1874"/>
          <cell r="AI1874"/>
          <cell r="AJ1874">
            <v>0.04</v>
          </cell>
          <cell r="AK1874" t="str">
            <v>OL</v>
          </cell>
          <cell r="AL1874">
            <v>151</v>
          </cell>
          <cell r="AM1874">
            <v>196</v>
          </cell>
          <cell r="AN1874" t="str">
            <v>10 Orangeline</v>
          </cell>
          <cell r="AO1874" t="str">
            <v>Central</v>
          </cell>
          <cell r="AP1874" t="str">
            <v>Central</v>
          </cell>
          <cell r="AQ1874"/>
          <cell r="AR1874">
            <v>0</v>
          </cell>
          <cell r="AS1874">
            <v>0</v>
          </cell>
        </row>
        <row r="1875">
          <cell r="A1875" t="str">
            <v>13612E</v>
          </cell>
          <cell r="B1875" t="str">
            <v xml:space="preserve">LANSDOWNE MOODY </v>
          </cell>
          <cell r="C1875" t="str">
            <v>M11138</v>
          </cell>
          <cell r="D1875" t="str">
            <v>Net 30, no pink card</v>
          </cell>
          <cell r="E1875" t="str">
            <v>O1-Wells</v>
          </cell>
          <cell r="F1875" t="str">
            <v>Yes</v>
          </cell>
          <cell r="G1875" t="str">
            <v>TX</v>
          </cell>
          <cell r="H1875">
            <v>8</v>
          </cell>
          <cell r="I1875">
            <v>0.7</v>
          </cell>
          <cell r="J1875" t="str">
            <v>Jimmy L Smith</v>
          </cell>
          <cell r="K1875" t="str">
            <v>HOUSTON</v>
          </cell>
          <cell r="L1875" t="str">
            <v>TX</v>
          </cell>
          <cell r="M1875" t="str">
            <v>800-577-8858</v>
          </cell>
          <cell r="N1875"/>
          <cell r="O1875">
            <v>270</v>
          </cell>
          <cell r="P1875">
            <v>1161</v>
          </cell>
          <cell r="Q1875"/>
          <cell r="R1875">
            <v>0</v>
          </cell>
          <cell r="S1875"/>
          <cell r="T1875">
            <v>0</v>
          </cell>
          <cell r="U1875" t="str"/>
          <cell r="V1875" t="str"/>
          <cell r="W1875" t="str"/>
          <cell r="X1875" t="str"/>
          <cell r="Y1875"/>
          <cell r="Z1875">
            <v>0</v>
          </cell>
          <cell r="AA1875"/>
          <cell r="AB1875" t="str">
            <v>n/a</v>
          </cell>
          <cell r="AC1875"/>
          <cell r="AD1875" t="str">
            <v>n/a</v>
          </cell>
          <cell r="AE1875"/>
          <cell r="AF1875"/>
          <cell r="AG1875"/>
          <cell r="AH1875"/>
          <cell r="AI1875"/>
          <cell r="AJ1875">
            <v>0.04</v>
          </cell>
          <cell r="AK1875" t="str">
            <v>OL</v>
          </cell>
          <cell r="AL1875">
            <v>151</v>
          </cell>
          <cell r="AM1875">
            <v>196</v>
          </cell>
          <cell r="AN1875" t="str">
            <v>10 Orangeline</v>
          </cell>
          <cell r="AO1875" t="str">
            <v>Central</v>
          </cell>
          <cell r="AP1875" t="str">
            <v>Central</v>
          </cell>
          <cell r="AQ1875"/>
          <cell r="AR1875">
            <v>0</v>
          </cell>
          <cell r="AS1875">
            <v>0</v>
          </cell>
        </row>
        <row r="1876">
          <cell r="A1876" t="str">
            <v>13612F</v>
          </cell>
          <cell r="B1876" t="str">
            <v xml:space="preserve">LANSDOWNE MOODY </v>
          </cell>
          <cell r="C1876" t="str">
            <v>M11138</v>
          </cell>
          <cell r="D1876" t="str">
            <v>Net 30, no pink card</v>
          </cell>
          <cell r="E1876" t="str">
            <v>O1-Wells</v>
          </cell>
          <cell r="F1876" t="str">
            <v>Yes</v>
          </cell>
          <cell r="G1876" t="str">
            <v>TX</v>
          </cell>
          <cell r="H1876">
            <v>8</v>
          </cell>
          <cell r="I1876">
            <v>0.7</v>
          </cell>
          <cell r="J1876" t="str">
            <v>Jimmy L Smith</v>
          </cell>
          <cell r="K1876" t="str">
            <v>ROSENBURG</v>
          </cell>
          <cell r="L1876" t="str">
            <v>TX</v>
          </cell>
          <cell r="M1876" t="str">
            <v>800-577-8858</v>
          </cell>
          <cell r="N1876"/>
          <cell r="O1876">
            <v>300</v>
          </cell>
          <cell r="P1876">
            <v>1290</v>
          </cell>
          <cell r="Q1876"/>
          <cell r="R1876">
            <v>0</v>
          </cell>
          <cell r="S1876"/>
          <cell r="T1876">
            <v>0</v>
          </cell>
          <cell r="U1876" t="str"/>
          <cell r="V1876" t="str"/>
          <cell r="W1876" t="str"/>
          <cell r="X1876" t="str"/>
          <cell r="Y1876"/>
          <cell r="Z1876">
            <v>0</v>
          </cell>
          <cell r="AA1876"/>
          <cell r="AB1876" t="str">
            <v>n/a</v>
          </cell>
          <cell r="AC1876"/>
          <cell r="AD1876" t="str">
            <v>n/a</v>
          </cell>
          <cell r="AE1876"/>
          <cell r="AF1876"/>
          <cell r="AG1876"/>
          <cell r="AH1876"/>
          <cell r="AI1876"/>
          <cell r="AJ1876">
            <v>0.04</v>
          </cell>
          <cell r="AK1876" t="str">
            <v>OL</v>
          </cell>
          <cell r="AL1876">
            <v>151</v>
          </cell>
          <cell r="AM1876">
            <v>196</v>
          </cell>
          <cell r="AN1876" t="str">
            <v>10 Orangeline</v>
          </cell>
          <cell r="AO1876" t="str">
            <v>Central</v>
          </cell>
          <cell r="AP1876" t="str">
            <v>Central</v>
          </cell>
          <cell r="AQ1876"/>
          <cell r="AR1876">
            <v>0</v>
          </cell>
          <cell r="AS1876">
            <v>0</v>
          </cell>
        </row>
        <row r="1877">
          <cell r="A1877" t="str">
            <v>13612G</v>
          </cell>
          <cell r="B1877" t="str">
            <v xml:space="preserve">LANSDOWNE MOODY </v>
          </cell>
          <cell r="C1877" t="str">
            <v>M11138</v>
          </cell>
          <cell r="D1877" t="str">
            <v>Net 30, no pink card</v>
          </cell>
          <cell r="E1877" t="str">
            <v>O1-Wells</v>
          </cell>
          <cell r="F1877" t="str">
            <v>Yes</v>
          </cell>
          <cell r="G1877" t="str">
            <v>TX</v>
          </cell>
          <cell r="H1877">
            <v>8</v>
          </cell>
          <cell r="I1877">
            <v>0.7</v>
          </cell>
          <cell r="J1877" t="str">
            <v>Jimmy L Smith</v>
          </cell>
          <cell r="K1877" t="str">
            <v>BAY CITY</v>
          </cell>
          <cell r="L1877" t="str">
            <v>TX</v>
          </cell>
          <cell r="M1877" t="str">
            <v>800-577-8858</v>
          </cell>
          <cell r="N1877"/>
          <cell r="O1877">
            <v>340</v>
          </cell>
          <cell r="P1877">
            <v>1462</v>
          </cell>
          <cell r="Q1877"/>
          <cell r="R1877">
            <v>0</v>
          </cell>
          <cell r="S1877"/>
          <cell r="T1877">
            <v>0</v>
          </cell>
          <cell r="U1877" t="str"/>
          <cell r="V1877" t="str"/>
          <cell r="W1877" t="str"/>
          <cell r="X1877" t="str"/>
          <cell r="Y1877"/>
          <cell r="Z1877">
            <v>0</v>
          </cell>
          <cell r="AA1877"/>
          <cell r="AB1877" t="str">
            <v>n/a</v>
          </cell>
          <cell r="AC1877"/>
          <cell r="AD1877" t="str">
            <v>n/a</v>
          </cell>
          <cell r="AE1877"/>
          <cell r="AF1877"/>
          <cell r="AG1877"/>
          <cell r="AH1877"/>
          <cell r="AI1877"/>
          <cell r="AJ1877">
            <v>0.04</v>
          </cell>
          <cell r="AK1877" t="str">
            <v>OL</v>
          </cell>
          <cell r="AL1877">
            <v>151</v>
          </cell>
          <cell r="AM1877">
            <v>196</v>
          </cell>
          <cell r="AN1877" t="str">
            <v>10 Orangeline</v>
          </cell>
          <cell r="AO1877" t="str">
            <v>Central</v>
          </cell>
          <cell r="AP1877" t="str">
            <v>Central</v>
          </cell>
          <cell r="AQ1877"/>
          <cell r="AR1877">
            <v>0</v>
          </cell>
          <cell r="AS1877">
            <v>0</v>
          </cell>
        </row>
        <row r="1878">
          <cell r="A1878">
            <v>13198</v>
          </cell>
          <cell r="B1878" t="str">
            <v xml:space="preserve">LANSDOWNE MOODY </v>
          </cell>
          <cell r="C1878" t="str">
            <v>M11138</v>
          </cell>
          <cell r="D1878" t="str">
            <v>Net 30, no pink card</v>
          </cell>
          <cell r="E1878" t="str">
            <v>2%</v>
          </cell>
          <cell r="F1878" t="str">
            <v>Yes</v>
          </cell>
          <cell r="G1878" t="str">
            <v>TX</v>
          </cell>
          <cell r="H1878">
            <v>5</v>
          </cell>
          <cell r="I1878">
            <v>0.7</v>
          </cell>
          <cell r="J1878" t="str">
            <v>Jimmy L Smith</v>
          </cell>
          <cell r="K1878" t="str">
            <v>HOUSTON</v>
          </cell>
          <cell r="L1878" t="str">
            <v>TX</v>
          </cell>
          <cell r="M1878" t="str">
            <v>800-577-8858</v>
          </cell>
          <cell r="N1878"/>
          <cell r="O1878">
            <v>270</v>
          </cell>
          <cell r="P1878">
            <v>1161</v>
          </cell>
          <cell r="Q1878"/>
          <cell r="R1878">
            <v>0</v>
          </cell>
          <cell r="S1878"/>
          <cell r="T1878">
            <v>0</v>
          </cell>
          <cell r="U1878" t="str"/>
          <cell r="V1878" t="str"/>
          <cell r="W1878" t="str"/>
          <cell r="X1878" t="str"/>
          <cell r="Y1878"/>
          <cell r="Z1878">
            <v>0</v>
          </cell>
          <cell r="AA1878"/>
          <cell r="AB1878" t="str">
            <v>n/a</v>
          </cell>
          <cell r="AC1878"/>
          <cell r="AD1878" t="str">
            <v>n/a</v>
          </cell>
          <cell r="AE1878"/>
          <cell r="AF1878"/>
          <cell r="AG1878"/>
          <cell r="AH1878"/>
          <cell r="AI1878"/>
          <cell r="AJ1878">
            <v>0.04</v>
          </cell>
          <cell r="AK1878" t="str">
            <v>OL</v>
          </cell>
          <cell r="AL1878">
            <v>151</v>
          </cell>
          <cell r="AM1878">
            <v>196</v>
          </cell>
          <cell r="AN1878" t="str">
            <v>10 Orangeline</v>
          </cell>
          <cell r="AO1878" t="str">
            <v>Central</v>
          </cell>
          <cell r="AP1878" t="str">
            <v>Central</v>
          </cell>
          <cell r="AQ1878"/>
          <cell r="AR1878">
            <v>0</v>
          </cell>
          <cell r="AS1878">
            <v>0</v>
          </cell>
        </row>
        <row r="1879">
          <cell r="A1879" t="str">
            <v>13198A</v>
          </cell>
          <cell r="B1879" t="str">
            <v xml:space="preserve">LANSDOWNE MOODY </v>
          </cell>
          <cell r="C1879" t="str">
            <v>M11138</v>
          </cell>
          <cell r="D1879" t="str">
            <v>Net 30, no pink card</v>
          </cell>
          <cell r="E1879" t="str">
            <v>2%</v>
          </cell>
          <cell r="F1879" t="str">
            <v>Yes</v>
          </cell>
          <cell r="G1879" t="str">
            <v>TX</v>
          </cell>
          <cell r="H1879">
            <v>5</v>
          </cell>
          <cell r="I1879">
            <v>0.7</v>
          </cell>
          <cell r="J1879" t="str">
            <v>Jimmy L Smith</v>
          </cell>
          <cell r="K1879" t="str">
            <v>SPLENDORA</v>
          </cell>
          <cell r="L1879" t="str">
            <v>TX</v>
          </cell>
          <cell r="M1879" t="str">
            <v>800-577-8858</v>
          </cell>
          <cell r="N1879"/>
          <cell r="O1879">
            <v>225</v>
          </cell>
          <cell r="P1879">
            <v>967.5</v>
          </cell>
          <cell r="Q1879"/>
          <cell r="R1879">
            <v>0</v>
          </cell>
          <cell r="S1879"/>
          <cell r="T1879">
            <v>0</v>
          </cell>
          <cell r="U1879" t="str"/>
          <cell r="V1879" t="str"/>
          <cell r="W1879" t="str"/>
          <cell r="X1879" t="str"/>
          <cell r="Y1879"/>
          <cell r="Z1879">
            <v>0</v>
          </cell>
          <cell r="AA1879"/>
          <cell r="AB1879" t="str">
            <v>n/a</v>
          </cell>
          <cell r="AC1879"/>
          <cell r="AD1879" t="str">
            <v>n/a</v>
          </cell>
          <cell r="AE1879"/>
          <cell r="AF1879"/>
          <cell r="AG1879"/>
          <cell r="AH1879"/>
          <cell r="AI1879"/>
          <cell r="AJ1879">
            <v>0.04</v>
          </cell>
          <cell r="AK1879" t="str">
            <v>OL</v>
          </cell>
          <cell r="AL1879">
            <v>151</v>
          </cell>
          <cell r="AM1879">
            <v>196</v>
          </cell>
          <cell r="AN1879" t="str">
            <v>10 Orangeline</v>
          </cell>
          <cell r="AO1879" t="str">
            <v>Central</v>
          </cell>
          <cell r="AP1879" t="str">
            <v>Central</v>
          </cell>
          <cell r="AQ1879"/>
          <cell r="AR1879">
            <v>0</v>
          </cell>
          <cell r="AS1879">
            <v>0</v>
          </cell>
        </row>
        <row r="1880">
          <cell r="A1880" t="str">
            <v>13198B</v>
          </cell>
          <cell r="B1880" t="str">
            <v xml:space="preserve">LANSDOWNE MOODY </v>
          </cell>
          <cell r="C1880" t="str">
            <v>M11138</v>
          </cell>
          <cell r="D1880" t="str">
            <v>Net 30, no pink card</v>
          </cell>
          <cell r="E1880" t="str">
            <v>2%</v>
          </cell>
          <cell r="F1880" t="str">
            <v>Yes</v>
          </cell>
          <cell r="G1880" t="str">
            <v>TX</v>
          </cell>
          <cell r="H1880">
            <v>5</v>
          </cell>
          <cell r="I1880">
            <v>0.7</v>
          </cell>
          <cell r="J1880" t="str">
            <v>Jimmy L Smith</v>
          </cell>
          <cell r="K1880" t="str">
            <v>CONROE</v>
          </cell>
          <cell r="L1880" t="str">
            <v>TX</v>
          </cell>
          <cell r="M1880" t="str">
            <v>800-577-8858</v>
          </cell>
          <cell r="N1880"/>
          <cell r="O1880">
            <v>230</v>
          </cell>
          <cell r="P1880">
            <v>989</v>
          </cell>
          <cell r="Q1880"/>
          <cell r="R1880">
            <v>0</v>
          </cell>
          <cell r="S1880"/>
          <cell r="T1880">
            <v>0</v>
          </cell>
          <cell r="U1880" t="str"/>
          <cell r="V1880" t="str"/>
          <cell r="W1880" t="str"/>
          <cell r="X1880" t="str"/>
          <cell r="Y1880"/>
          <cell r="Z1880">
            <v>0</v>
          </cell>
          <cell r="AA1880"/>
          <cell r="AB1880" t="str">
            <v>n/a</v>
          </cell>
          <cell r="AC1880"/>
          <cell r="AD1880" t="str">
            <v>n/a</v>
          </cell>
          <cell r="AE1880"/>
          <cell r="AF1880"/>
          <cell r="AG1880"/>
          <cell r="AH1880"/>
          <cell r="AI1880"/>
          <cell r="AJ1880">
            <v>0.04</v>
          </cell>
          <cell r="AK1880" t="str">
            <v>OL</v>
          </cell>
          <cell r="AL1880">
            <v>151</v>
          </cell>
          <cell r="AM1880">
            <v>196</v>
          </cell>
          <cell r="AN1880" t="str">
            <v>10 Orangeline</v>
          </cell>
          <cell r="AO1880" t="str">
            <v>Central</v>
          </cell>
          <cell r="AP1880" t="str">
            <v>Central</v>
          </cell>
          <cell r="AQ1880"/>
          <cell r="AR1880">
            <v>0</v>
          </cell>
          <cell r="AS1880">
            <v>0</v>
          </cell>
        </row>
        <row r="1881">
          <cell r="A1881" t="str">
            <v>13198C</v>
          </cell>
          <cell r="B1881" t="str">
            <v xml:space="preserve">LANSDOWNE MOODY </v>
          </cell>
          <cell r="C1881" t="str">
            <v>M11138</v>
          </cell>
          <cell r="D1881" t="str">
            <v>Net 30, no pink card</v>
          </cell>
          <cell r="E1881" t="str">
            <v>2%</v>
          </cell>
          <cell r="F1881" t="str">
            <v>Yes</v>
          </cell>
          <cell r="G1881" t="str">
            <v>TX</v>
          </cell>
          <cell r="H1881">
            <v>5</v>
          </cell>
          <cell r="I1881">
            <v>0.7</v>
          </cell>
          <cell r="J1881" t="str">
            <v>Jimmy L Smith</v>
          </cell>
          <cell r="K1881" t="str">
            <v>HOCKLEY</v>
          </cell>
          <cell r="L1881" t="str">
            <v>TX</v>
          </cell>
          <cell r="M1881" t="str">
            <v>800-577-8858</v>
          </cell>
          <cell r="N1881"/>
          <cell r="O1881">
            <v>275</v>
          </cell>
          <cell r="P1881">
            <v>1182.5</v>
          </cell>
          <cell r="Q1881"/>
          <cell r="R1881">
            <v>0</v>
          </cell>
          <cell r="S1881"/>
          <cell r="T1881">
            <v>0</v>
          </cell>
          <cell r="U1881" t="str"/>
          <cell r="V1881" t="str"/>
          <cell r="W1881" t="str"/>
          <cell r="X1881" t="str"/>
          <cell r="Y1881"/>
          <cell r="Z1881">
            <v>0</v>
          </cell>
          <cell r="AA1881"/>
          <cell r="AB1881" t="str">
            <v>n/a</v>
          </cell>
          <cell r="AC1881"/>
          <cell r="AD1881" t="str">
            <v>n/a</v>
          </cell>
          <cell r="AE1881"/>
          <cell r="AF1881"/>
          <cell r="AG1881"/>
          <cell r="AH1881"/>
          <cell r="AI1881"/>
          <cell r="AJ1881">
            <v>0.04</v>
          </cell>
          <cell r="AK1881" t="str">
            <v>OL</v>
          </cell>
          <cell r="AL1881">
            <v>151</v>
          </cell>
          <cell r="AM1881">
            <v>196</v>
          </cell>
          <cell r="AN1881" t="str">
            <v>10 Orangeline</v>
          </cell>
          <cell r="AO1881" t="str">
            <v>Central</v>
          </cell>
          <cell r="AP1881" t="str">
            <v>Central</v>
          </cell>
          <cell r="AQ1881"/>
          <cell r="AR1881">
            <v>0</v>
          </cell>
          <cell r="AS1881">
            <v>0</v>
          </cell>
        </row>
        <row r="1882">
          <cell r="A1882" t="str">
            <v>13198D</v>
          </cell>
          <cell r="B1882" t="str">
            <v xml:space="preserve">LANSDOWNE MOODY </v>
          </cell>
          <cell r="C1882" t="str">
            <v>M11138</v>
          </cell>
          <cell r="D1882" t="str">
            <v>Net 30, no pink card</v>
          </cell>
          <cell r="E1882" t="str">
            <v>2%</v>
          </cell>
          <cell r="F1882" t="str">
            <v>Yes</v>
          </cell>
          <cell r="G1882" t="str">
            <v>TX</v>
          </cell>
          <cell r="H1882">
            <v>5</v>
          </cell>
          <cell r="I1882">
            <v>0.7</v>
          </cell>
          <cell r="J1882" t="str">
            <v>Jimmy L Smith</v>
          </cell>
          <cell r="K1882" t="str">
            <v>WEBSTER</v>
          </cell>
          <cell r="L1882" t="str">
            <v>TX</v>
          </cell>
          <cell r="M1882" t="str">
            <v>800-577-8858</v>
          </cell>
          <cell r="N1882"/>
          <cell r="O1882">
            <v>280</v>
          </cell>
          <cell r="P1882">
            <v>1204</v>
          </cell>
          <cell r="Q1882"/>
          <cell r="R1882">
            <v>0</v>
          </cell>
          <cell r="S1882"/>
          <cell r="T1882">
            <v>0</v>
          </cell>
          <cell r="U1882" t="str"/>
          <cell r="V1882" t="str"/>
          <cell r="W1882" t="str"/>
          <cell r="X1882" t="str"/>
          <cell r="Y1882"/>
          <cell r="Z1882">
            <v>0</v>
          </cell>
          <cell r="AA1882"/>
          <cell r="AB1882" t="str">
            <v>n/a</v>
          </cell>
          <cell r="AC1882"/>
          <cell r="AD1882" t="str">
            <v>n/a</v>
          </cell>
          <cell r="AE1882"/>
          <cell r="AF1882"/>
          <cell r="AG1882"/>
          <cell r="AH1882"/>
          <cell r="AI1882"/>
          <cell r="AJ1882">
            <v>0.04</v>
          </cell>
          <cell r="AK1882" t="str">
            <v>OL</v>
          </cell>
          <cell r="AL1882">
            <v>151</v>
          </cell>
          <cell r="AM1882">
            <v>196</v>
          </cell>
          <cell r="AN1882" t="str">
            <v>10 Orangeline</v>
          </cell>
          <cell r="AO1882" t="str">
            <v>Central</v>
          </cell>
          <cell r="AP1882" t="str">
            <v>Central</v>
          </cell>
          <cell r="AQ1882"/>
          <cell r="AR1882">
            <v>0</v>
          </cell>
          <cell r="AS1882">
            <v>0</v>
          </cell>
        </row>
        <row r="1883">
          <cell r="A1883" t="str">
            <v>13198E</v>
          </cell>
          <cell r="B1883" t="str">
            <v xml:space="preserve">LANSDOWNE MOODY </v>
          </cell>
          <cell r="C1883" t="str">
            <v>M11138</v>
          </cell>
          <cell r="D1883" t="str">
            <v>Net 30, no pink card</v>
          </cell>
          <cell r="E1883" t="str">
            <v>2%</v>
          </cell>
          <cell r="F1883" t="str">
            <v>Yes</v>
          </cell>
          <cell r="G1883" t="str">
            <v>TX</v>
          </cell>
          <cell r="H1883">
            <v>5</v>
          </cell>
          <cell r="I1883">
            <v>0.7</v>
          </cell>
          <cell r="J1883" t="str">
            <v>Jimmy L Smith</v>
          </cell>
          <cell r="K1883" t="str">
            <v>HOUSTON</v>
          </cell>
          <cell r="L1883" t="str">
            <v>TX</v>
          </cell>
          <cell r="M1883" t="str">
            <v>800-577-8858</v>
          </cell>
          <cell r="N1883"/>
          <cell r="O1883">
            <v>270</v>
          </cell>
          <cell r="P1883">
            <v>1161</v>
          </cell>
          <cell r="Q1883"/>
          <cell r="R1883">
            <v>0</v>
          </cell>
          <cell r="S1883"/>
          <cell r="T1883">
            <v>0</v>
          </cell>
          <cell r="U1883" t="str"/>
          <cell r="V1883" t="str"/>
          <cell r="W1883" t="str"/>
          <cell r="X1883" t="str"/>
          <cell r="Y1883"/>
          <cell r="Z1883">
            <v>0</v>
          </cell>
          <cell r="AA1883"/>
          <cell r="AB1883" t="str">
            <v>n/a</v>
          </cell>
          <cell r="AC1883"/>
          <cell r="AD1883" t="str">
            <v>n/a</v>
          </cell>
          <cell r="AE1883"/>
          <cell r="AF1883"/>
          <cell r="AG1883"/>
          <cell r="AH1883"/>
          <cell r="AI1883"/>
          <cell r="AJ1883">
            <v>0.04</v>
          </cell>
          <cell r="AK1883" t="str">
            <v>OL</v>
          </cell>
          <cell r="AL1883">
            <v>151</v>
          </cell>
          <cell r="AM1883">
            <v>196</v>
          </cell>
          <cell r="AN1883" t="str">
            <v>10 Orangeline</v>
          </cell>
          <cell r="AO1883" t="str">
            <v>Central</v>
          </cell>
          <cell r="AP1883" t="str">
            <v>Central</v>
          </cell>
          <cell r="AQ1883"/>
          <cell r="AR1883">
            <v>0</v>
          </cell>
          <cell r="AS1883">
            <v>0</v>
          </cell>
        </row>
        <row r="1884">
          <cell r="A1884" t="str">
            <v>13198F</v>
          </cell>
          <cell r="B1884" t="str">
            <v xml:space="preserve">LANSDOWNE MOODY </v>
          </cell>
          <cell r="C1884" t="str">
            <v>M11138</v>
          </cell>
          <cell r="D1884" t="str">
            <v>Net 30, no pink card</v>
          </cell>
          <cell r="E1884" t="str">
            <v>2%</v>
          </cell>
          <cell r="F1884" t="str">
            <v>Yes</v>
          </cell>
          <cell r="G1884" t="str">
            <v>TX</v>
          </cell>
          <cell r="H1884">
            <v>5</v>
          </cell>
          <cell r="I1884">
            <v>0.7</v>
          </cell>
          <cell r="J1884" t="str">
            <v>Jimmy L Smith</v>
          </cell>
          <cell r="K1884" t="str">
            <v>ROSENBURG</v>
          </cell>
          <cell r="L1884" t="str">
            <v>TX</v>
          </cell>
          <cell r="M1884" t="str">
            <v>800-577-8858</v>
          </cell>
          <cell r="N1884"/>
          <cell r="O1884">
            <v>300</v>
          </cell>
          <cell r="P1884">
            <v>1290</v>
          </cell>
          <cell r="Q1884"/>
          <cell r="R1884">
            <v>0</v>
          </cell>
          <cell r="S1884"/>
          <cell r="T1884">
            <v>0</v>
          </cell>
          <cell r="U1884" t="str"/>
          <cell r="V1884" t="str"/>
          <cell r="W1884" t="str"/>
          <cell r="X1884" t="str"/>
          <cell r="Y1884"/>
          <cell r="Z1884">
            <v>0</v>
          </cell>
          <cell r="AA1884"/>
          <cell r="AB1884" t="str">
            <v>n/a</v>
          </cell>
          <cell r="AC1884"/>
          <cell r="AD1884" t="str">
            <v>n/a</v>
          </cell>
          <cell r="AE1884"/>
          <cell r="AF1884"/>
          <cell r="AG1884"/>
          <cell r="AH1884"/>
          <cell r="AI1884"/>
          <cell r="AJ1884">
            <v>0.04</v>
          </cell>
          <cell r="AK1884" t="str">
            <v>OL</v>
          </cell>
          <cell r="AL1884">
            <v>151</v>
          </cell>
          <cell r="AM1884">
            <v>196</v>
          </cell>
          <cell r="AN1884" t="str">
            <v>10 Orangeline</v>
          </cell>
          <cell r="AO1884" t="str">
            <v>Central</v>
          </cell>
          <cell r="AP1884" t="str">
            <v>Central</v>
          </cell>
          <cell r="AQ1884"/>
          <cell r="AR1884">
            <v>0</v>
          </cell>
          <cell r="AS1884">
            <v>0</v>
          </cell>
        </row>
        <row r="1885">
          <cell r="A1885" t="str">
            <v>13198G</v>
          </cell>
          <cell r="B1885" t="str">
            <v xml:space="preserve">LANSDOWNE MOODY </v>
          </cell>
          <cell r="C1885" t="str">
            <v>M11138</v>
          </cell>
          <cell r="D1885" t="str">
            <v>Net 30, no pink card</v>
          </cell>
          <cell r="E1885" t="str">
            <v>2%</v>
          </cell>
          <cell r="F1885" t="str">
            <v>Yes</v>
          </cell>
          <cell r="G1885" t="str">
            <v>TX</v>
          </cell>
          <cell r="H1885">
            <v>5</v>
          </cell>
          <cell r="I1885">
            <v>0.7</v>
          </cell>
          <cell r="J1885" t="str">
            <v>Jimmy L Smith</v>
          </cell>
          <cell r="K1885" t="str">
            <v>BAY CITY</v>
          </cell>
          <cell r="L1885" t="str">
            <v>TX</v>
          </cell>
          <cell r="M1885" t="str">
            <v>800-577-8858</v>
          </cell>
          <cell r="N1885"/>
          <cell r="O1885">
            <v>340</v>
          </cell>
          <cell r="P1885">
            <v>1462</v>
          </cell>
          <cell r="Q1885"/>
          <cell r="R1885">
            <v>0</v>
          </cell>
          <cell r="S1885"/>
          <cell r="T1885">
            <v>0</v>
          </cell>
          <cell r="U1885" t="str"/>
          <cell r="V1885" t="str"/>
          <cell r="W1885" t="str"/>
          <cell r="X1885" t="str"/>
          <cell r="Y1885"/>
          <cell r="Z1885">
            <v>0</v>
          </cell>
          <cell r="AA1885"/>
          <cell r="AB1885" t="str">
            <v>n/a</v>
          </cell>
          <cell r="AC1885"/>
          <cell r="AD1885" t="str">
            <v>n/a</v>
          </cell>
          <cell r="AE1885"/>
          <cell r="AF1885"/>
          <cell r="AG1885"/>
          <cell r="AH1885"/>
          <cell r="AI1885"/>
          <cell r="AJ1885">
            <v>0.04</v>
          </cell>
          <cell r="AK1885" t="str">
            <v>OL</v>
          </cell>
          <cell r="AL1885">
            <v>151</v>
          </cell>
          <cell r="AM1885">
            <v>196</v>
          </cell>
          <cell r="AN1885" t="str">
            <v>10 Orangeline</v>
          </cell>
          <cell r="AO1885" t="str">
            <v>Central</v>
          </cell>
          <cell r="AP1885" t="str">
            <v>Central</v>
          </cell>
          <cell r="AQ1885"/>
          <cell r="AR1885">
            <v>0</v>
          </cell>
          <cell r="AS1885">
            <v>0</v>
          </cell>
        </row>
        <row r="1886">
          <cell r="A1886">
            <v>13201</v>
          </cell>
          <cell r="B1886" t="str">
            <v>LONESTAR AG</v>
          </cell>
          <cell r="C1886" t="str">
            <v>M11141</v>
          </cell>
          <cell r="D1886" t="str">
            <v>Net 30, no pink card</v>
          </cell>
          <cell r="E1886" t="str">
            <v>2%</v>
          </cell>
          <cell r="F1886" t="str">
            <v>Yes</v>
          </cell>
          <cell r="G1886" t="str">
            <v>TX</v>
          </cell>
          <cell r="H1886">
            <v>5</v>
          </cell>
          <cell r="I1886">
            <v>0.7</v>
          </cell>
          <cell r="J1886" t="str">
            <v>Jimmy L Smith</v>
          </cell>
          <cell r="K1886" t="str">
            <v>FRIONA</v>
          </cell>
          <cell r="L1886" t="str">
            <v>TX</v>
          </cell>
          <cell r="M1886" t="str">
            <v>800-577-8858</v>
          </cell>
          <cell r="N1886"/>
          <cell r="O1886">
            <v>505</v>
          </cell>
          <cell r="P1886">
            <v>2171.5</v>
          </cell>
          <cell r="Q1886"/>
          <cell r="R1886">
            <v>0</v>
          </cell>
          <cell r="S1886"/>
          <cell r="T1886">
            <v>0</v>
          </cell>
          <cell r="U1886" t="str"/>
          <cell r="V1886" t="str"/>
          <cell r="W1886" t="str"/>
          <cell r="X1886" t="str"/>
          <cell r="Y1886"/>
          <cell r="Z1886">
            <v>0</v>
          </cell>
          <cell r="AA1886"/>
          <cell r="AB1886" t="str">
            <v>n/a</v>
          </cell>
          <cell r="AC1886"/>
          <cell r="AD1886" t="str">
            <v>n/a</v>
          </cell>
          <cell r="AE1886"/>
          <cell r="AF1886"/>
          <cell r="AG1886"/>
          <cell r="AH1886"/>
          <cell r="AI1886"/>
          <cell r="AJ1886"/>
          <cell r="AK1886" t="str">
            <v>OL</v>
          </cell>
          <cell r="AL1886">
            <v>151</v>
          </cell>
          <cell r="AM1886">
            <v>87</v>
          </cell>
          <cell r="AN1886" t="str">
            <v>10 Orangeline</v>
          </cell>
          <cell r="AO1886" t="str">
            <v>Central</v>
          </cell>
          <cell r="AP1886" t="str">
            <v>Central</v>
          </cell>
          <cell r="AQ1886"/>
          <cell r="AR1886">
            <v>0</v>
          </cell>
          <cell r="AS1886">
            <v>0</v>
          </cell>
        </row>
        <row r="1887">
          <cell r="A1887" t="str">
            <v>13201A</v>
          </cell>
          <cell r="B1887" t="str">
            <v>LONESTAR AG</v>
          </cell>
          <cell r="C1887" t="str">
            <v>M11141</v>
          </cell>
          <cell r="D1887" t="str">
            <v>Net 30, no pink card</v>
          </cell>
          <cell r="E1887" t="str">
            <v>2%</v>
          </cell>
          <cell r="F1887" t="str">
            <v>Yes</v>
          </cell>
          <cell r="G1887" t="str">
            <v>TX</v>
          </cell>
          <cell r="H1887">
            <v>5</v>
          </cell>
          <cell r="I1887">
            <v>0.7</v>
          </cell>
          <cell r="J1887" t="str">
            <v>Jimmy L Smith</v>
          </cell>
          <cell r="K1887" t="str">
            <v>DALHART</v>
          </cell>
          <cell r="L1887" t="str">
            <v>TX</v>
          </cell>
          <cell r="M1887" t="str">
            <v>800-577-8858</v>
          </cell>
          <cell r="N1887"/>
          <cell r="O1887">
            <v>540</v>
          </cell>
          <cell r="P1887">
            <v>2322</v>
          </cell>
          <cell r="Q1887"/>
          <cell r="R1887">
            <v>0</v>
          </cell>
          <cell r="S1887"/>
          <cell r="T1887">
            <v>0</v>
          </cell>
          <cell r="U1887" t="str"/>
          <cell r="V1887" t="str"/>
          <cell r="W1887" t="str"/>
          <cell r="X1887" t="str"/>
          <cell r="Y1887"/>
          <cell r="Z1887">
            <v>0</v>
          </cell>
          <cell r="AA1887"/>
          <cell r="AB1887" t="str">
            <v>n/a</v>
          </cell>
          <cell r="AC1887"/>
          <cell r="AD1887" t="str">
            <v>n/a</v>
          </cell>
          <cell r="AE1887"/>
          <cell r="AF1887"/>
          <cell r="AG1887"/>
          <cell r="AH1887"/>
          <cell r="AI1887"/>
          <cell r="AJ1887"/>
          <cell r="AK1887" t="str">
            <v>OL</v>
          </cell>
          <cell r="AL1887">
            <v>151</v>
          </cell>
          <cell r="AM1887">
            <v>13</v>
          </cell>
          <cell r="AN1887" t="str">
            <v>10 Orangeline</v>
          </cell>
          <cell r="AO1887" t="str">
            <v>Central</v>
          </cell>
          <cell r="AP1887" t="str">
            <v>Central</v>
          </cell>
          <cell r="AQ1887"/>
          <cell r="AR1887">
            <v>0</v>
          </cell>
          <cell r="AS1887">
            <v>0</v>
          </cell>
        </row>
        <row r="1888">
          <cell r="A1888">
            <v>13202</v>
          </cell>
          <cell r="B1888" t="str">
            <v>LOWE TRACTOR</v>
          </cell>
          <cell r="C1888" t="str">
            <v>M11142</v>
          </cell>
          <cell r="D1888" t="str">
            <v>Net 30, no pink card</v>
          </cell>
          <cell r="E1888" t="str">
            <v>2%</v>
          </cell>
          <cell r="F1888" t="str">
            <v>Yes</v>
          </cell>
          <cell r="G1888" t="str">
            <v>TX</v>
          </cell>
          <cell r="H1888">
            <v>5</v>
          </cell>
          <cell r="I1888">
            <v>0.7</v>
          </cell>
          <cell r="J1888" t="str">
            <v>Jimmy L Smith</v>
          </cell>
          <cell r="K1888" t="str">
            <v xml:space="preserve">HENDERSON </v>
          </cell>
          <cell r="L1888" t="str">
            <v>TX</v>
          </cell>
          <cell r="M1888" t="str">
            <v>800-577-8858</v>
          </cell>
          <cell r="N1888"/>
          <cell r="O1888">
            <v>80</v>
          </cell>
          <cell r="P1888">
            <v>344</v>
          </cell>
          <cell r="Q1888"/>
          <cell r="R1888">
            <v>0</v>
          </cell>
          <cell r="S1888"/>
          <cell r="T1888">
            <v>0</v>
          </cell>
          <cell r="U1888" t="str"/>
          <cell r="V1888" t="str"/>
          <cell r="W1888" t="str"/>
          <cell r="X1888" t="str"/>
          <cell r="Y1888"/>
          <cell r="Z1888">
            <v>0</v>
          </cell>
          <cell r="AA1888"/>
          <cell r="AB1888" t="str">
            <v>n/a</v>
          </cell>
          <cell r="AC1888"/>
          <cell r="AD1888" t="str">
            <v>n/a</v>
          </cell>
          <cell r="AE1888"/>
          <cell r="AF1888"/>
          <cell r="AG1888"/>
          <cell r="AH1888"/>
          <cell r="AI1888"/>
          <cell r="AJ1888"/>
          <cell r="AK1888" t="str">
            <v>OL</v>
          </cell>
          <cell r="AL1888">
            <v>151</v>
          </cell>
          <cell r="AM1888">
            <v>260</v>
          </cell>
          <cell r="AN1888" t="str">
            <v>10 Orangeline</v>
          </cell>
          <cell r="AO1888" t="str">
            <v>Central</v>
          </cell>
          <cell r="AP1888" t="str">
            <v>Central</v>
          </cell>
          <cell r="AQ1888"/>
          <cell r="AR1888">
            <v>0</v>
          </cell>
          <cell r="AS1888">
            <v>0</v>
          </cell>
        </row>
        <row r="1889">
          <cell r="A1889" t="str">
            <v>13202A</v>
          </cell>
          <cell r="B1889" t="str">
            <v>LOWE TRACTOR</v>
          </cell>
          <cell r="C1889" t="str">
            <v>M11142</v>
          </cell>
          <cell r="D1889" t="str">
            <v>Net 30, no pink card</v>
          </cell>
          <cell r="E1889" t="str">
            <v>2%</v>
          </cell>
          <cell r="F1889" t="str">
            <v>Yes</v>
          </cell>
          <cell r="G1889" t="str">
            <v>TX</v>
          </cell>
          <cell r="H1889">
            <v>5</v>
          </cell>
          <cell r="I1889">
            <v>0.7</v>
          </cell>
          <cell r="J1889" t="str">
            <v>Jimmy L Smith</v>
          </cell>
          <cell r="K1889" t="str">
            <v>TYLER</v>
          </cell>
          <cell r="L1889" t="str">
            <v>TX</v>
          </cell>
          <cell r="M1889" t="str">
            <v>800-577-8858</v>
          </cell>
          <cell r="N1889"/>
          <cell r="O1889">
            <v>70</v>
          </cell>
          <cell r="P1889">
            <v>301</v>
          </cell>
          <cell r="Q1889"/>
          <cell r="R1889">
            <v>0</v>
          </cell>
          <cell r="S1889"/>
          <cell r="T1889">
            <v>0</v>
          </cell>
          <cell r="U1889" t="str"/>
          <cell r="V1889" t="str"/>
          <cell r="W1889" t="str"/>
          <cell r="X1889" t="str"/>
          <cell r="Y1889"/>
          <cell r="Z1889">
            <v>0</v>
          </cell>
          <cell r="AA1889"/>
          <cell r="AB1889" t="str">
            <v>n/a</v>
          </cell>
          <cell r="AC1889"/>
          <cell r="AD1889" t="str">
            <v>n/a</v>
          </cell>
          <cell r="AE1889"/>
          <cell r="AF1889"/>
          <cell r="AG1889"/>
          <cell r="AH1889"/>
          <cell r="AI1889"/>
          <cell r="AJ1889"/>
          <cell r="AK1889" t="str">
            <v>OL</v>
          </cell>
          <cell r="AL1889">
            <v>151</v>
          </cell>
          <cell r="AM1889">
            <v>452</v>
          </cell>
          <cell r="AN1889" t="str">
            <v>10 Orangeline</v>
          </cell>
          <cell r="AO1889" t="str">
            <v>Central</v>
          </cell>
          <cell r="AP1889" t="str">
            <v>Central</v>
          </cell>
          <cell r="AQ1889"/>
          <cell r="AR1889">
            <v>0</v>
          </cell>
          <cell r="AS1889">
            <v>0</v>
          </cell>
        </row>
        <row r="1890">
          <cell r="A1890">
            <v>13656</v>
          </cell>
          <cell r="B1890" t="str">
            <v>NEWCO - KUBOTA OF DALLAS</v>
          </cell>
          <cell r="C1890" t="str">
            <v>M11432</v>
          </cell>
          <cell r="D1890" t="str">
            <v>Net 30, no pink card</v>
          </cell>
          <cell r="E1890" t="str">
            <v>2%</v>
          </cell>
          <cell r="F1890" t="str">
            <v>Yes</v>
          </cell>
          <cell r="G1890" t="str">
            <v>TX</v>
          </cell>
          <cell r="H1890">
            <v>5</v>
          </cell>
          <cell r="I1890">
            <v>0.7</v>
          </cell>
          <cell r="J1890" t="str">
            <v>Jimmy L Smith</v>
          </cell>
          <cell r="K1890" t="str">
            <v>IRVING</v>
          </cell>
          <cell r="L1890" t="str">
            <v>TX</v>
          </cell>
          <cell r="M1890" t="str">
            <v>800-577-8858</v>
          </cell>
          <cell r="N1890"/>
          <cell r="O1890">
            <v>129</v>
          </cell>
          <cell r="P1890">
            <v>554.69999999999993</v>
          </cell>
          <cell r="Q1890"/>
          <cell r="R1890">
            <v>0</v>
          </cell>
          <cell r="S1890"/>
          <cell r="T1890">
            <v>0</v>
          </cell>
          <cell r="U1890">
            <v>109</v>
          </cell>
          <cell r="V1890">
            <v>468.7</v>
          </cell>
          <cell r="W1890">
            <v>63</v>
          </cell>
          <cell r="X1890">
            <v>270.89999999999998</v>
          </cell>
          <cell r="Y1890"/>
          <cell r="Z1890">
            <v>0</v>
          </cell>
          <cell r="AA1890">
            <v>970</v>
          </cell>
          <cell r="AB1890" t="str">
            <v>n/a</v>
          </cell>
          <cell r="AC1890">
            <v>970</v>
          </cell>
          <cell r="AD1890" t="str">
            <v>n/a</v>
          </cell>
          <cell r="AE1890"/>
          <cell r="AF1890"/>
          <cell r="AG1890"/>
          <cell r="AH1890"/>
          <cell r="AI1890"/>
          <cell r="AJ1890"/>
          <cell r="AK1890" t="str">
            <v>OL</v>
          </cell>
          <cell r="AL1890">
            <v>151</v>
          </cell>
          <cell r="AM1890">
            <v>196</v>
          </cell>
          <cell r="AN1890" t="str">
            <v>10 Orangeline</v>
          </cell>
          <cell r="AO1890" t="str">
            <v>Central</v>
          </cell>
          <cell r="AP1890" t="str">
            <v>Central</v>
          </cell>
          <cell r="AQ1890"/>
          <cell r="AR1890">
            <v>0</v>
          </cell>
          <cell r="AS1890">
            <v>0</v>
          </cell>
        </row>
        <row r="1891">
          <cell r="A1891">
            <v>13236</v>
          </cell>
          <cell r="B1891" t="str">
            <v>NORMANGEE TRACTOR</v>
          </cell>
          <cell r="C1891" t="str">
            <v>M11177</v>
          </cell>
          <cell r="D1891" t="str">
            <v>Net 30, no pink card</v>
          </cell>
          <cell r="E1891" t="str">
            <v>2%</v>
          </cell>
          <cell r="F1891" t="str">
            <v>Yes</v>
          </cell>
          <cell r="G1891" t="str">
            <v>TX</v>
          </cell>
          <cell r="H1891">
            <v>5</v>
          </cell>
          <cell r="I1891">
            <v>0.7</v>
          </cell>
          <cell r="J1891" t="str">
            <v>Jimmy L Smith</v>
          </cell>
          <cell r="K1891" t="str">
            <v>NORMANGEE</v>
          </cell>
          <cell r="L1891" t="str">
            <v>TX</v>
          </cell>
          <cell r="M1891" t="str">
            <v>800-577-8858</v>
          </cell>
          <cell r="N1891"/>
          <cell r="O1891">
            <v>190</v>
          </cell>
          <cell r="P1891">
            <v>817</v>
          </cell>
          <cell r="Q1891"/>
          <cell r="R1891">
            <v>0</v>
          </cell>
          <cell r="S1891"/>
          <cell r="T1891">
            <v>0</v>
          </cell>
          <cell r="U1891" t="str"/>
          <cell r="V1891" t="str"/>
          <cell r="W1891" t="str"/>
          <cell r="X1891" t="str"/>
          <cell r="Y1891"/>
          <cell r="Z1891">
            <v>0</v>
          </cell>
          <cell r="AA1891"/>
          <cell r="AB1891" t="str">
            <v>n/a</v>
          </cell>
          <cell r="AC1891"/>
          <cell r="AD1891" t="str">
            <v>n/a</v>
          </cell>
          <cell r="AE1891"/>
          <cell r="AF1891"/>
          <cell r="AG1891"/>
          <cell r="AH1891"/>
          <cell r="AI1891"/>
          <cell r="AJ1891"/>
          <cell r="AK1891" t="str">
            <v>OL</v>
          </cell>
          <cell r="AL1891">
            <v>151</v>
          </cell>
          <cell r="AM1891">
            <v>196</v>
          </cell>
          <cell r="AN1891" t="str">
            <v>10 Orangeline</v>
          </cell>
          <cell r="AO1891" t="str">
            <v>Central</v>
          </cell>
          <cell r="AP1891" t="str">
            <v>Central</v>
          </cell>
          <cell r="AQ1891"/>
          <cell r="AR1891">
            <v>0</v>
          </cell>
          <cell r="AS1891">
            <v>0</v>
          </cell>
        </row>
        <row r="1892">
          <cell r="A1892">
            <v>13206</v>
          </cell>
          <cell r="B1892" t="str">
            <v>OUT WEST ENTERPRISES</v>
          </cell>
          <cell r="C1892" t="str">
            <v>M11145</v>
          </cell>
          <cell r="D1892" t="str">
            <v>Net 30, no pink card</v>
          </cell>
          <cell r="E1892" t="str">
            <v>2%</v>
          </cell>
          <cell r="F1892" t="str">
            <v>Yes</v>
          </cell>
          <cell r="G1892" t="str">
            <v>TX</v>
          </cell>
          <cell r="H1892">
            <v>5</v>
          </cell>
          <cell r="I1892">
            <v>0.7</v>
          </cell>
          <cell r="J1892" t="str">
            <v>Jimmy L Smith</v>
          </cell>
          <cell r="K1892" t="str">
            <v>ALPINE</v>
          </cell>
          <cell r="L1892" t="str">
            <v>TX</v>
          </cell>
          <cell r="M1892" t="str">
            <v>800-577-8858</v>
          </cell>
          <cell r="N1892"/>
          <cell r="O1892">
            <v>620</v>
          </cell>
          <cell r="P1892">
            <v>2666</v>
          </cell>
          <cell r="Q1892"/>
          <cell r="R1892">
            <v>0</v>
          </cell>
          <cell r="S1892"/>
          <cell r="T1892">
            <v>0</v>
          </cell>
          <cell r="U1892" t="str"/>
          <cell r="V1892" t="str"/>
          <cell r="W1892" t="str"/>
          <cell r="X1892" t="str"/>
          <cell r="Y1892"/>
          <cell r="Z1892">
            <v>0</v>
          </cell>
          <cell r="AA1892"/>
          <cell r="AB1892" t="str">
            <v>n/a</v>
          </cell>
          <cell r="AC1892"/>
          <cell r="AD1892" t="str">
            <v>n/a</v>
          </cell>
          <cell r="AE1892"/>
          <cell r="AF1892"/>
          <cell r="AG1892"/>
          <cell r="AH1892"/>
          <cell r="AI1892"/>
          <cell r="AJ1892"/>
          <cell r="AK1892" t="str">
            <v>OL</v>
          </cell>
          <cell r="AL1892">
            <v>151</v>
          </cell>
          <cell r="AM1892">
            <v>327</v>
          </cell>
          <cell r="AN1892" t="str">
            <v>10 Orangeline</v>
          </cell>
          <cell r="AO1892" t="str">
            <v>Central</v>
          </cell>
          <cell r="AP1892" t="str">
            <v>Central</v>
          </cell>
          <cell r="AQ1892"/>
          <cell r="AR1892">
            <v>0</v>
          </cell>
          <cell r="AS1892">
            <v>0</v>
          </cell>
        </row>
        <row r="1893">
          <cell r="A1893">
            <v>13255</v>
          </cell>
          <cell r="B1893" t="str">
            <v>PARIS FARM &amp; RANCH</v>
          </cell>
          <cell r="C1893" t="str">
            <v>M11187</v>
          </cell>
          <cell r="D1893" t="str">
            <v>Net 30, no pink card</v>
          </cell>
          <cell r="E1893" t="str">
            <v>2%</v>
          </cell>
          <cell r="F1893" t="str">
            <v>Yes</v>
          </cell>
          <cell r="G1893" t="str">
            <v>TX</v>
          </cell>
          <cell r="H1893">
            <v>5</v>
          </cell>
          <cell r="I1893">
            <v>0.7</v>
          </cell>
          <cell r="J1893" t="str">
            <v>Jimmy L Smith</v>
          </cell>
          <cell r="K1893" t="str">
            <v>PARIS</v>
          </cell>
          <cell r="L1893" t="str">
            <v>TX</v>
          </cell>
          <cell r="M1893" t="str">
            <v>800-577-8858</v>
          </cell>
          <cell r="N1893"/>
          <cell r="O1893">
            <v>55</v>
          </cell>
          <cell r="P1893">
            <v>236.5</v>
          </cell>
          <cell r="Q1893"/>
          <cell r="R1893">
            <v>0</v>
          </cell>
          <cell r="S1893"/>
          <cell r="T1893">
            <v>0</v>
          </cell>
          <cell r="U1893" t="str"/>
          <cell r="V1893" t="str"/>
          <cell r="W1893" t="str"/>
          <cell r="X1893" t="str"/>
          <cell r="Y1893"/>
          <cell r="Z1893">
            <v>0</v>
          </cell>
          <cell r="AA1893"/>
          <cell r="AB1893" t="str">
            <v>n/a</v>
          </cell>
          <cell r="AC1893"/>
          <cell r="AD1893" t="str">
            <v>n/a</v>
          </cell>
          <cell r="AE1893"/>
          <cell r="AF1893"/>
          <cell r="AG1893"/>
          <cell r="AH1893"/>
          <cell r="AI1893"/>
          <cell r="AJ1893"/>
          <cell r="AK1893" t="str">
            <v>OL</v>
          </cell>
          <cell r="AL1893">
            <v>151</v>
          </cell>
          <cell r="AM1893">
            <v>341</v>
          </cell>
          <cell r="AN1893" t="str">
            <v>10 Orangeline</v>
          </cell>
          <cell r="AO1893" t="str">
            <v>Central</v>
          </cell>
          <cell r="AP1893" t="str">
            <v>Central</v>
          </cell>
          <cell r="AQ1893"/>
          <cell r="AR1893">
            <v>0</v>
          </cell>
          <cell r="AS1893">
            <v>0</v>
          </cell>
        </row>
        <row r="1894">
          <cell r="A1894">
            <v>13210</v>
          </cell>
          <cell r="B1894" t="str">
            <v>PETERS TRACTOR</v>
          </cell>
          <cell r="C1894" t="str">
            <v>M11149</v>
          </cell>
          <cell r="D1894" t="str">
            <v>Net 30, no pink card</v>
          </cell>
          <cell r="E1894" t="str">
            <v>2%</v>
          </cell>
          <cell r="F1894" t="str">
            <v>Yes</v>
          </cell>
          <cell r="G1894" t="str">
            <v>TX</v>
          </cell>
          <cell r="H1894">
            <v>5</v>
          </cell>
          <cell r="I1894">
            <v>0.7</v>
          </cell>
          <cell r="J1894" t="str">
            <v>Jimmy L Smith</v>
          </cell>
          <cell r="K1894" t="str">
            <v>LIVINGSTON</v>
          </cell>
          <cell r="L1894" t="str">
            <v>TX</v>
          </cell>
          <cell r="M1894" t="str">
            <v>800-577-8858</v>
          </cell>
          <cell r="N1894"/>
          <cell r="O1894">
            <v>190</v>
          </cell>
          <cell r="P1894">
            <v>817</v>
          </cell>
          <cell r="Q1894"/>
          <cell r="R1894">
            <v>0</v>
          </cell>
          <cell r="S1894"/>
          <cell r="T1894">
            <v>0</v>
          </cell>
          <cell r="U1894" t="str"/>
          <cell r="V1894" t="str"/>
          <cell r="W1894" t="str"/>
          <cell r="X1894" t="str"/>
          <cell r="Y1894"/>
          <cell r="Z1894">
            <v>0</v>
          </cell>
          <cell r="AA1894"/>
          <cell r="AB1894" t="str">
            <v>n/a</v>
          </cell>
          <cell r="AC1894"/>
          <cell r="AD1894" t="str">
            <v>n/a</v>
          </cell>
          <cell r="AE1894"/>
          <cell r="AF1894"/>
          <cell r="AG1894"/>
          <cell r="AH1894"/>
          <cell r="AI1894"/>
          <cell r="AJ1894"/>
          <cell r="AK1894" t="str">
            <v>OL</v>
          </cell>
          <cell r="AL1894">
            <v>151</v>
          </cell>
          <cell r="AM1894">
            <v>196</v>
          </cell>
          <cell r="AN1894" t="str">
            <v>10 Orangeline</v>
          </cell>
          <cell r="AO1894" t="str">
            <v>Central</v>
          </cell>
          <cell r="AP1894" t="str">
            <v>Central</v>
          </cell>
          <cell r="AQ1894"/>
          <cell r="AR1894">
            <v>0</v>
          </cell>
          <cell r="AS1894">
            <v>0</v>
          </cell>
        </row>
        <row r="1895">
          <cell r="A1895">
            <v>10382</v>
          </cell>
          <cell r="B1895" t="str">
            <v>PITTSBURG TRACTOR</v>
          </cell>
          <cell r="C1895" t="str">
            <v>M06584</v>
          </cell>
          <cell r="D1895" t="str">
            <v>Net 30, no pink card</v>
          </cell>
          <cell r="E1895" t="str">
            <v>2%</v>
          </cell>
          <cell r="F1895" t="str">
            <v>Yes</v>
          </cell>
          <cell r="G1895" t="str">
            <v>TX</v>
          </cell>
          <cell r="H1895">
            <v>5</v>
          </cell>
          <cell r="I1895">
            <v>0.7</v>
          </cell>
          <cell r="J1895" t="str">
            <v>Jimmy L Smith</v>
          </cell>
          <cell r="K1895" t="str">
            <v>PITTSBURG</v>
          </cell>
          <cell r="L1895" t="str">
            <v>TX</v>
          </cell>
          <cell r="M1895" t="str">
            <v>800-577-8858</v>
          </cell>
          <cell r="N1895"/>
          <cell r="O1895">
            <v>11</v>
          </cell>
          <cell r="P1895">
            <v>47.3</v>
          </cell>
          <cell r="Q1895"/>
          <cell r="R1895">
            <v>0</v>
          </cell>
          <cell r="S1895"/>
          <cell r="T1895">
            <v>0</v>
          </cell>
          <cell r="U1895" t="str"/>
          <cell r="V1895" t="str"/>
          <cell r="W1895" t="str"/>
          <cell r="X1895" t="str"/>
          <cell r="Y1895"/>
          <cell r="Z1895">
            <v>0</v>
          </cell>
          <cell r="AA1895"/>
          <cell r="AB1895" t="str">
            <v>n/a</v>
          </cell>
          <cell r="AC1895"/>
          <cell r="AD1895" t="str">
            <v>n/a</v>
          </cell>
          <cell r="AE1895"/>
          <cell r="AF1895"/>
          <cell r="AG1895"/>
          <cell r="AH1895"/>
          <cell r="AI1895"/>
          <cell r="AJ1895"/>
          <cell r="AK1895" t="str">
            <v>OL</v>
          </cell>
          <cell r="AL1895">
            <v>151</v>
          </cell>
          <cell r="AM1895">
            <v>260</v>
          </cell>
          <cell r="AN1895" t="str">
            <v>10 Orangeline</v>
          </cell>
          <cell r="AO1895" t="str">
            <v>Central</v>
          </cell>
          <cell r="AP1895" t="str">
            <v>Central</v>
          </cell>
          <cell r="AQ1895"/>
          <cell r="AR1895">
            <v>0</v>
          </cell>
          <cell r="AS1895">
            <v>0</v>
          </cell>
        </row>
        <row r="1896">
          <cell r="A1896">
            <v>13212</v>
          </cell>
          <cell r="B1896" t="str">
            <v>RUCKER EQUIPMENT</v>
          </cell>
          <cell r="C1896" t="str">
            <v>M11152</v>
          </cell>
          <cell r="D1896" t="str">
            <v>Net 30, no pink card</v>
          </cell>
          <cell r="E1896" t="str">
            <v>2%</v>
          </cell>
          <cell r="F1896" t="str">
            <v>Yes</v>
          </cell>
          <cell r="G1896" t="str">
            <v>TX</v>
          </cell>
          <cell r="H1896">
            <v>5</v>
          </cell>
          <cell r="I1896">
            <v>0.7</v>
          </cell>
          <cell r="J1896" t="str">
            <v>Jimmy L Smith</v>
          </cell>
          <cell r="K1896" t="str">
            <v xml:space="preserve">PALESTINE </v>
          </cell>
          <cell r="L1896" t="str">
            <v>TX</v>
          </cell>
          <cell r="M1896" t="str">
            <v>800-577-8858</v>
          </cell>
          <cell r="N1896"/>
          <cell r="O1896">
            <v>120</v>
          </cell>
          <cell r="P1896">
            <v>516</v>
          </cell>
          <cell r="Q1896"/>
          <cell r="R1896">
            <v>0</v>
          </cell>
          <cell r="S1896"/>
          <cell r="T1896">
            <v>0</v>
          </cell>
          <cell r="U1896" t="str"/>
          <cell r="V1896" t="str"/>
          <cell r="W1896" t="str"/>
          <cell r="X1896" t="str"/>
          <cell r="Y1896"/>
          <cell r="Z1896">
            <v>0</v>
          </cell>
          <cell r="AA1896"/>
          <cell r="AB1896" t="str">
            <v>n/a</v>
          </cell>
          <cell r="AC1896"/>
          <cell r="AD1896" t="str">
            <v>n/a</v>
          </cell>
          <cell r="AE1896"/>
          <cell r="AF1896"/>
          <cell r="AG1896"/>
          <cell r="AH1896"/>
          <cell r="AI1896"/>
          <cell r="AJ1896"/>
          <cell r="AK1896" t="str">
            <v>OL</v>
          </cell>
          <cell r="AL1896">
            <v>151</v>
          </cell>
          <cell r="AM1896">
            <v>452</v>
          </cell>
          <cell r="AN1896" t="str">
            <v>10 Orangeline</v>
          </cell>
          <cell r="AO1896" t="str">
            <v>Central</v>
          </cell>
          <cell r="AP1896" t="str">
            <v>Central</v>
          </cell>
          <cell r="AQ1896"/>
          <cell r="AR1896">
            <v>0</v>
          </cell>
          <cell r="AS1896">
            <v>0</v>
          </cell>
        </row>
        <row r="1897">
          <cell r="A1897">
            <v>13215</v>
          </cell>
          <cell r="B1897" t="str">
            <v>SCHERER KUBOTA</v>
          </cell>
          <cell r="C1897" t="str">
            <v>M11155</v>
          </cell>
          <cell r="D1897" t="str">
            <v>Net 30, no pink card</v>
          </cell>
          <cell r="E1897" t="str">
            <v>2%</v>
          </cell>
          <cell r="F1897" t="str">
            <v>Yes</v>
          </cell>
          <cell r="G1897" t="str">
            <v>TX</v>
          </cell>
          <cell r="H1897">
            <v>5</v>
          </cell>
          <cell r="I1897">
            <v>0.7</v>
          </cell>
          <cell r="J1897" t="str">
            <v>Jimmy L Smith</v>
          </cell>
          <cell r="K1897" t="str">
            <v>VICTORIA</v>
          </cell>
          <cell r="L1897" t="str">
            <v>TX</v>
          </cell>
          <cell r="M1897" t="str">
            <v>800-577-8858</v>
          </cell>
          <cell r="N1897"/>
          <cell r="O1897">
            <v>400</v>
          </cell>
          <cell r="P1897">
            <v>1720</v>
          </cell>
          <cell r="Q1897"/>
          <cell r="R1897">
            <v>0</v>
          </cell>
          <cell r="S1897"/>
          <cell r="T1897">
            <v>0</v>
          </cell>
          <cell r="U1897" t="str"/>
          <cell r="V1897" t="str"/>
          <cell r="W1897" t="str"/>
          <cell r="X1897" t="str"/>
          <cell r="Y1897"/>
          <cell r="Z1897">
            <v>0</v>
          </cell>
          <cell r="AA1897"/>
          <cell r="AB1897" t="str">
            <v>n/a</v>
          </cell>
          <cell r="AC1897"/>
          <cell r="AD1897" t="str">
            <v>n/a</v>
          </cell>
          <cell r="AE1897" t="str"/>
          <cell r="AF1897"/>
          <cell r="AG1897" t="str"/>
          <cell r="AH1897" t="str"/>
          <cell r="AI1897" t="str"/>
          <cell r="AJ1897">
            <v>0.02</v>
          </cell>
          <cell r="AK1897" t="str">
            <v>OL</v>
          </cell>
          <cell r="AL1897">
            <v>151</v>
          </cell>
          <cell r="AM1897">
            <v>456</v>
          </cell>
          <cell r="AN1897" t="str">
            <v>10 Orangeline</v>
          </cell>
          <cell r="AO1897" t="str">
            <v>Central</v>
          </cell>
          <cell r="AP1897" t="str">
            <v>Central</v>
          </cell>
          <cell r="AQ1897"/>
          <cell r="AR1897">
            <v>0</v>
          </cell>
          <cell r="AS1897">
            <v>0</v>
          </cell>
        </row>
        <row r="1898">
          <cell r="A1898">
            <v>13332</v>
          </cell>
          <cell r="B1898" t="str">
            <v>SHANNON TRAILERS</v>
          </cell>
          <cell r="C1898" t="str">
            <v>M11301</v>
          </cell>
          <cell r="D1898" t="str">
            <v>Net 30, no pink card</v>
          </cell>
          <cell r="E1898" t="str">
            <v>2%</v>
          </cell>
          <cell r="F1898" t="str">
            <v>Yes</v>
          </cell>
          <cell r="G1898" t="str">
            <v>TX</v>
          </cell>
          <cell r="H1898">
            <v>5</v>
          </cell>
          <cell r="I1898">
            <v>0.7</v>
          </cell>
          <cell r="J1898" t="str">
            <v>Jimmy L Smith</v>
          </cell>
          <cell r="K1898" t="str">
            <v>AMARILLO</v>
          </cell>
          <cell r="L1898" t="str">
            <v>TX</v>
          </cell>
          <cell r="M1898" t="str">
            <v>800-577-8858</v>
          </cell>
          <cell r="N1898"/>
          <cell r="O1898">
            <v>500</v>
          </cell>
          <cell r="P1898">
            <v>2150</v>
          </cell>
          <cell r="Q1898"/>
          <cell r="R1898">
            <v>0</v>
          </cell>
          <cell r="S1898"/>
          <cell r="T1898">
            <v>0</v>
          </cell>
          <cell r="U1898" t="str"/>
          <cell r="V1898" t="str"/>
          <cell r="W1898" t="str"/>
          <cell r="X1898" t="str"/>
          <cell r="Y1898"/>
          <cell r="Z1898">
            <v>0</v>
          </cell>
          <cell r="AA1898"/>
          <cell r="AB1898" t="str">
            <v>n/a</v>
          </cell>
          <cell r="AC1898"/>
          <cell r="AD1898" t="str">
            <v>n/a</v>
          </cell>
          <cell r="AE1898"/>
          <cell r="AF1898"/>
          <cell r="AG1898"/>
          <cell r="AH1898"/>
          <cell r="AI1898"/>
          <cell r="AJ1898"/>
          <cell r="AK1898" t="str">
            <v>OL</v>
          </cell>
          <cell r="AL1898">
            <v>151</v>
          </cell>
          <cell r="AM1898">
            <v>13</v>
          </cell>
          <cell r="AN1898" t="str">
            <v>10 Orangeline</v>
          </cell>
          <cell r="AO1898" t="str">
            <v>Central</v>
          </cell>
          <cell r="AP1898" t="str">
            <v>Central</v>
          </cell>
          <cell r="AQ1898"/>
          <cell r="AR1898">
            <v>0</v>
          </cell>
          <cell r="AS1898">
            <v>0</v>
          </cell>
        </row>
        <row r="1899">
          <cell r="A1899">
            <v>13249</v>
          </cell>
          <cell r="B1899" t="str">
            <v>SIX &amp; MANGO EQUIPMENT</v>
          </cell>
          <cell r="C1899" t="str">
            <v>M11186</v>
          </cell>
          <cell r="D1899" t="str">
            <v>Net 30, no pink card</v>
          </cell>
          <cell r="E1899" t="str">
            <v>2%</v>
          </cell>
          <cell r="F1899" t="str">
            <v>Yes</v>
          </cell>
          <cell r="G1899" t="str">
            <v>TX</v>
          </cell>
          <cell r="H1899">
            <v>5</v>
          </cell>
          <cell r="I1899">
            <v>0.7</v>
          </cell>
          <cell r="J1899" t="str">
            <v>Jimmy L Smith</v>
          </cell>
          <cell r="K1899" t="str">
            <v>FRISCO</v>
          </cell>
          <cell r="L1899" t="str">
            <v>TX</v>
          </cell>
          <cell r="M1899" t="str">
            <v>800-577-8858</v>
          </cell>
          <cell r="N1899"/>
          <cell r="O1899">
            <v>120</v>
          </cell>
          <cell r="P1899">
            <v>516</v>
          </cell>
          <cell r="Q1899"/>
          <cell r="R1899">
            <v>0</v>
          </cell>
          <cell r="S1899"/>
          <cell r="T1899">
            <v>0</v>
          </cell>
          <cell r="U1899" t="str"/>
          <cell r="V1899" t="str"/>
          <cell r="W1899" t="str"/>
          <cell r="X1899" t="str"/>
          <cell r="Y1899"/>
          <cell r="Z1899">
            <v>0</v>
          </cell>
          <cell r="AA1899"/>
          <cell r="AB1899" t="str">
            <v>n/a</v>
          </cell>
          <cell r="AC1899"/>
          <cell r="AD1899" t="str">
            <v>n/a</v>
          </cell>
          <cell r="AE1899"/>
          <cell r="AF1899"/>
          <cell r="AG1899"/>
          <cell r="AH1899"/>
          <cell r="AI1899"/>
          <cell r="AJ1899"/>
          <cell r="AK1899" t="str">
            <v>OL</v>
          </cell>
          <cell r="AL1899">
            <v>151</v>
          </cell>
          <cell r="AM1899">
            <v>101</v>
          </cell>
          <cell r="AN1899" t="str">
            <v>10 Orangeline</v>
          </cell>
          <cell r="AO1899" t="str">
            <v>Central</v>
          </cell>
          <cell r="AP1899" t="str">
            <v>Central</v>
          </cell>
          <cell r="AQ1899"/>
          <cell r="AR1899">
            <v>0</v>
          </cell>
          <cell r="AS1899">
            <v>0</v>
          </cell>
        </row>
        <row r="1900">
          <cell r="A1900">
            <v>13250</v>
          </cell>
          <cell r="B1900" t="str">
            <v>TERRY COUNTY TRACTOR</v>
          </cell>
          <cell r="C1900" t="str">
            <v>M11174</v>
          </cell>
          <cell r="D1900" t="str">
            <v>Net 30, no pink card</v>
          </cell>
          <cell r="E1900" t="str">
            <v>O1-Northpoint</v>
          </cell>
          <cell r="F1900" t="str">
            <v>Yes</v>
          </cell>
          <cell r="G1900" t="str">
            <v>TX</v>
          </cell>
          <cell r="H1900">
            <v>8</v>
          </cell>
          <cell r="I1900">
            <v>0.7</v>
          </cell>
          <cell r="J1900" t="str">
            <v>Jimmy L Smith</v>
          </cell>
          <cell r="K1900" t="str">
            <v>BROWNFIELD</v>
          </cell>
          <cell r="L1900" t="str">
            <v>TX</v>
          </cell>
          <cell r="M1900" t="str">
            <v>800-577-8858</v>
          </cell>
          <cell r="N1900"/>
          <cell r="O1900">
            <v>480</v>
          </cell>
          <cell r="P1900">
            <v>2064</v>
          </cell>
          <cell r="Q1900"/>
          <cell r="R1900">
            <v>0</v>
          </cell>
          <cell r="S1900"/>
          <cell r="T1900">
            <v>0</v>
          </cell>
          <cell r="U1900" t="str"/>
          <cell r="V1900" t="str"/>
          <cell r="W1900" t="str"/>
          <cell r="X1900" t="str"/>
          <cell r="Y1900"/>
          <cell r="Z1900">
            <v>0</v>
          </cell>
          <cell r="AA1900"/>
          <cell r="AB1900" t="str">
            <v>n/a</v>
          </cell>
          <cell r="AC1900"/>
          <cell r="AD1900" t="str">
            <v>n/a</v>
          </cell>
          <cell r="AE1900"/>
          <cell r="AF1900"/>
          <cell r="AG1900"/>
          <cell r="AH1900"/>
          <cell r="AI1900"/>
          <cell r="AJ1900"/>
          <cell r="AK1900" t="str">
            <v>OL</v>
          </cell>
          <cell r="AL1900">
            <v>151</v>
          </cell>
          <cell r="AM1900">
            <v>264</v>
          </cell>
          <cell r="AN1900" t="str">
            <v>10 Orangeline</v>
          </cell>
          <cell r="AO1900" t="str">
            <v>Central</v>
          </cell>
          <cell r="AP1900" t="str">
            <v>Central</v>
          </cell>
          <cell r="AQ1900"/>
          <cell r="AR1900">
            <v>0</v>
          </cell>
          <cell r="AS1900">
            <v>0</v>
          </cell>
        </row>
        <row r="1901">
          <cell r="A1901" t="str">
            <v>13250A</v>
          </cell>
          <cell r="B1901" t="str">
            <v>TERRY COUNTY TRACTOR</v>
          </cell>
          <cell r="C1901" t="str">
            <v>M11174</v>
          </cell>
          <cell r="D1901" t="str">
            <v>Net 30, no pink card</v>
          </cell>
          <cell r="E1901" t="str">
            <v>O1-Northpoint</v>
          </cell>
          <cell r="F1901" t="str">
            <v>Yes</v>
          </cell>
          <cell r="G1901" t="str">
            <v>TX</v>
          </cell>
          <cell r="H1901">
            <v>8</v>
          </cell>
          <cell r="I1901">
            <v>0.7</v>
          </cell>
          <cell r="J1901" t="str">
            <v>Jimmy L Smith</v>
          </cell>
          <cell r="K1901" t="str">
            <v>LUBBOCK</v>
          </cell>
          <cell r="L1901" t="str">
            <v>TX</v>
          </cell>
          <cell r="M1901" t="str">
            <v>800-577-8858</v>
          </cell>
          <cell r="N1901"/>
          <cell r="O1901">
            <v>440</v>
          </cell>
          <cell r="P1901">
            <v>1892</v>
          </cell>
          <cell r="Q1901"/>
          <cell r="R1901">
            <v>0</v>
          </cell>
          <cell r="S1901"/>
          <cell r="T1901">
            <v>0</v>
          </cell>
          <cell r="U1901" t="str"/>
          <cell r="V1901" t="str"/>
          <cell r="W1901" t="str"/>
          <cell r="X1901" t="str"/>
          <cell r="Y1901"/>
          <cell r="Z1901">
            <v>0</v>
          </cell>
          <cell r="AA1901"/>
          <cell r="AB1901" t="str">
            <v>n/a</v>
          </cell>
          <cell r="AC1901"/>
          <cell r="AD1901" t="str">
            <v>n/a</v>
          </cell>
          <cell r="AE1901"/>
          <cell r="AF1901"/>
          <cell r="AG1901"/>
          <cell r="AH1901"/>
          <cell r="AI1901"/>
          <cell r="AJ1901"/>
          <cell r="AK1901" t="str">
            <v>OL</v>
          </cell>
          <cell r="AL1901">
            <v>151</v>
          </cell>
          <cell r="AM1901">
            <v>264</v>
          </cell>
          <cell r="AN1901" t="str">
            <v>10 Orangeline</v>
          </cell>
          <cell r="AO1901" t="str">
            <v>Central</v>
          </cell>
          <cell r="AP1901" t="str">
            <v>Central</v>
          </cell>
          <cell r="AQ1901"/>
          <cell r="AR1901">
            <v>0</v>
          </cell>
          <cell r="AS1901">
            <v>0</v>
          </cell>
        </row>
        <row r="1902">
          <cell r="A1902">
            <v>13146</v>
          </cell>
          <cell r="B1902" t="str">
            <v>TEXARKANA TRACTOR</v>
          </cell>
          <cell r="C1902" t="str">
            <v>M11079</v>
          </cell>
          <cell r="D1902" t="str">
            <v>Net 30, no pink card</v>
          </cell>
          <cell r="E1902" t="str">
            <v>2%</v>
          </cell>
          <cell r="F1902" t="str">
            <v>Yes</v>
          </cell>
          <cell r="G1902" t="str">
            <v>TX</v>
          </cell>
          <cell r="H1902">
            <v>5</v>
          </cell>
          <cell r="I1902">
            <v>0.7</v>
          </cell>
          <cell r="J1902" t="str">
            <v>Jimmy L Smith</v>
          </cell>
          <cell r="K1902" t="str">
            <v xml:space="preserve">NASH </v>
          </cell>
          <cell r="L1902" t="str">
            <v>TX</v>
          </cell>
          <cell r="M1902" t="str">
            <v>800-577-8858</v>
          </cell>
          <cell r="N1902"/>
          <cell r="O1902">
            <v>60</v>
          </cell>
          <cell r="P1902">
            <v>258</v>
          </cell>
          <cell r="Q1902"/>
          <cell r="R1902">
            <v>0</v>
          </cell>
          <cell r="S1902"/>
          <cell r="T1902">
            <v>0</v>
          </cell>
          <cell r="U1902" t="str"/>
          <cell r="V1902" t="str"/>
          <cell r="W1902" t="str"/>
          <cell r="X1902" t="str"/>
          <cell r="Y1902"/>
          <cell r="Z1902">
            <v>0</v>
          </cell>
          <cell r="AA1902"/>
          <cell r="AB1902" t="str">
            <v>n/a</v>
          </cell>
          <cell r="AC1902"/>
          <cell r="AD1902" t="str">
            <v>n/a</v>
          </cell>
          <cell r="AE1902"/>
          <cell r="AF1902"/>
          <cell r="AG1902"/>
          <cell r="AH1902"/>
          <cell r="AI1902"/>
          <cell r="AJ1902"/>
          <cell r="AK1902" t="str">
            <v>OL</v>
          </cell>
          <cell r="AL1902">
            <v>151</v>
          </cell>
          <cell r="AM1902">
            <v>443</v>
          </cell>
          <cell r="AN1902" t="str">
            <v>10 Orangeline</v>
          </cell>
          <cell r="AO1902" t="str">
            <v>Central</v>
          </cell>
          <cell r="AP1902" t="str">
            <v>Central</v>
          </cell>
          <cell r="AQ1902"/>
          <cell r="AR1902">
            <v>4030</v>
          </cell>
          <cell r="AS1902">
            <v>0</v>
          </cell>
        </row>
        <row r="1903">
          <cell r="A1903">
            <v>13521</v>
          </cell>
          <cell r="B1903" t="str">
            <v>TEXAS AG EQUIPMENT</v>
          </cell>
          <cell r="C1903" t="str">
            <v>M11493</v>
          </cell>
          <cell r="D1903" t="str">
            <v>Net 30, no pink card</v>
          </cell>
          <cell r="E1903" t="str">
            <v>2%</v>
          </cell>
          <cell r="F1903" t="str">
            <v>Yes</v>
          </cell>
          <cell r="G1903" t="str">
            <v>TX</v>
          </cell>
          <cell r="H1903">
            <v>5</v>
          </cell>
          <cell r="I1903">
            <v>0.7</v>
          </cell>
          <cell r="J1903" t="str">
            <v>Jimmy L Smith</v>
          </cell>
          <cell r="K1903" t="str">
            <v>UVALDE</v>
          </cell>
          <cell r="L1903" t="str">
            <v>TX</v>
          </cell>
          <cell r="M1903" t="str">
            <v>800-577-8858</v>
          </cell>
          <cell r="N1903"/>
          <cell r="O1903">
            <v>470</v>
          </cell>
          <cell r="P1903">
            <v>2021</v>
          </cell>
          <cell r="Q1903"/>
          <cell r="R1903">
            <v>0</v>
          </cell>
          <cell r="S1903"/>
          <cell r="T1903">
            <v>0</v>
          </cell>
          <cell r="U1903" t="str"/>
          <cell r="V1903" t="str"/>
          <cell r="W1903" t="str"/>
          <cell r="X1903" t="str"/>
          <cell r="Y1903"/>
          <cell r="Z1903">
            <v>0</v>
          </cell>
          <cell r="AA1903"/>
          <cell r="AB1903" t="str">
            <v>n/a</v>
          </cell>
          <cell r="AC1903"/>
          <cell r="AD1903" t="str">
            <v>n/a</v>
          </cell>
          <cell r="AE1903"/>
          <cell r="AF1903"/>
          <cell r="AG1903"/>
          <cell r="AH1903"/>
          <cell r="AI1903"/>
          <cell r="AJ1903"/>
          <cell r="AK1903" t="str">
            <v>OL</v>
          </cell>
          <cell r="AL1903">
            <v>151</v>
          </cell>
          <cell r="AM1903">
            <v>401</v>
          </cell>
          <cell r="AN1903" t="str">
            <v>10 Orangeline</v>
          </cell>
          <cell r="AO1903" t="str">
            <v>Central</v>
          </cell>
          <cell r="AP1903" t="str">
            <v>Central</v>
          </cell>
          <cell r="AQ1903"/>
          <cell r="AR1903">
            <v>0</v>
          </cell>
          <cell r="AS1903">
            <v>0</v>
          </cell>
        </row>
        <row r="1904">
          <cell r="A1904">
            <v>13219</v>
          </cell>
          <cell r="B1904" t="str">
            <v>TEXSTAR KUBOTA</v>
          </cell>
          <cell r="C1904" t="str">
            <v>M11161</v>
          </cell>
          <cell r="D1904" t="str">
            <v>Net 30, no pink card</v>
          </cell>
          <cell r="E1904" t="str">
            <v>2%</v>
          </cell>
          <cell r="F1904" t="str">
            <v>Yes</v>
          </cell>
          <cell r="G1904" t="str">
            <v>TX</v>
          </cell>
          <cell r="H1904">
            <v>5</v>
          </cell>
          <cell r="I1904">
            <v>0.7</v>
          </cell>
          <cell r="J1904" t="str">
            <v>Jimmy L Smith</v>
          </cell>
          <cell r="K1904" t="str">
            <v>STEPHENVILLE</v>
          </cell>
          <cell r="L1904" t="str">
            <v>TX</v>
          </cell>
          <cell r="M1904" t="str">
            <v>800-577-8858</v>
          </cell>
          <cell r="N1904"/>
          <cell r="O1904">
            <v>230</v>
          </cell>
          <cell r="P1904">
            <v>989</v>
          </cell>
          <cell r="Q1904"/>
          <cell r="R1904">
            <v>0</v>
          </cell>
          <cell r="S1904"/>
          <cell r="T1904">
            <v>0</v>
          </cell>
          <cell r="U1904" t="str"/>
          <cell r="V1904" t="str"/>
          <cell r="W1904" t="str"/>
          <cell r="X1904" t="str"/>
          <cell r="Y1904"/>
          <cell r="Z1904">
            <v>0</v>
          </cell>
          <cell r="AA1904"/>
          <cell r="AB1904" t="str">
            <v>n/a</v>
          </cell>
          <cell r="AC1904"/>
          <cell r="AD1904" t="str">
            <v>n/a</v>
          </cell>
          <cell r="AE1904"/>
          <cell r="AF1904"/>
          <cell r="AG1904"/>
          <cell r="AH1904"/>
          <cell r="AI1904"/>
          <cell r="AJ1904"/>
          <cell r="AK1904" t="str">
            <v>OL</v>
          </cell>
          <cell r="AL1904">
            <v>151</v>
          </cell>
          <cell r="AM1904">
            <v>101</v>
          </cell>
          <cell r="AN1904" t="str">
            <v>10 Orangeline</v>
          </cell>
          <cell r="AO1904" t="str">
            <v>Central</v>
          </cell>
          <cell r="AP1904" t="str">
            <v>Central</v>
          </cell>
          <cell r="AQ1904"/>
          <cell r="AR1904">
            <v>0</v>
          </cell>
          <cell r="AS1904">
            <v>0</v>
          </cell>
        </row>
        <row r="1905">
          <cell r="A1905">
            <v>13220</v>
          </cell>
          <cell r="B1905" t="str">
            <v>THE HLAVINKA EQUIPMENT</v>
          </cell>
          <cell r="C1905" t="str">
            <v>M11162</v>
          </cell>
          <cell r="D1905" t="str">
            <v>Net 30, no pink card</v>
          </cell>
          <cell r="E1905" t="str">
            <v>2%</v>
          </cell>
          <cell r="F1905" t="str">
            <v>Yes</v>
          </cell>
          <cell r="G1905" t="str">
            <v>TX</v>
          </cell>
          <cell r="H1905">
            <v>5</v>
          </cell>
          <cell r="I1905">
            <v>0.7</v>
          </cell>
          <cell r="J1905" t="str">
            <v>Jimmy L Smith</v>
          </cell>
          <cell r="K1905" t="str">
            <v>ROSENBERG</v>
          </cell>
          <cell r="L1905" t="str">
            <v>TX</v>
          </cell>
          <cell r="M1905" t="str">
            <v>800-577-8858</v>
          </cell>
          <cell r="N1905"/>
          <cell r="O1905">
            <v>300</v>
          </cell>
          <cell r="P1905">
            <v>1290</v>
          </cell>
          <cell r="Q1905"/>
          <cell r="R1905">
            <v>0</v>
          </cell>
          <cell r="S1905"/>
          <cell r="T1905">
            <v>0</v>
          </cell>
          <cell r="U1905" t="str"/>
          <cell r="V1905" t="str"/>
          <cell r="W1905" t="str"/>
          <cell r="X1905" t="str"/>
          <cell r="Y1905"/>
          <cell r="Z1905">
            <v>0</v>
          </cell>
          <cell r="AA1905"/>
          <cell r="AB1905" t="str">
            <v>n/a</v>
          </cell>
          <cell r="AC1905"/>
          <cell r="AD1905" t="str">
            <v>n/a</v>
          </cell>
          <cell r="AE1905"/>
          <cell r="AF1905"/>
          <cell r="AG1905"/>
          <cell r="AH1905"/>
          <cell r="AI1905"/>
          <cell r="AJ1905"/>
          <cell r="AK1905" t="str">
            <v>OL</v>
          </cell>
          <cell r="AL1905">
            <v>151</v>
          </cell>
          <cell r="AM1905">
            <v>196</v>
          </cell>
          <cell r="AN1905" t="str">
            <v>10 Orangeline</v>
          </cell>
          <cell r="AO1905" t="str">
            <v>Central</v>
          </cell>
          <cell r="AP1905" t="str">
            <v>Central</v>
          </cell>
          <cell r="AQ1905"/>
          <cell r="AR1905">
            <v>0</v>
          </cell>
          <cell r="AS1905">
            <v>0</v>
          </cell>
        </row>
        <row r="1906">
          <cell r="A1906">
            <v>13262</v>
          </cell>
          <cell r="B1906" t="str">
            <v>TIPTON INTERNATIONAL</v>
          </cell>
          <cell r="C1906" t="str">
            <v>M11205</v>
          </cell>
          <cell r="D1906" t="str">
            <v>Net 30, no pink card</v>
          </cell>
          <cell r="E1906" t="str">
            <v>2%</v>
          </cell>
          <cell r="F1906" t="str">
            <v>Yes</v>
          </cell>
          <cell r="G1906" t="str">
            <v>TX</v>
          </cell>
          <cell r="H1906">
            <v>5</v>
          </cell>
          <cell r="I1906">
            <v>0.7</v>
          </cell>
          <cell r="J1906" t="str">
            <v>Jimmy L Smith</v>
          </cell>
          <cell r="K1906" t="str">
            <v>HILLSBORO</v>
          </cell>
          <cell r="L1906" t="str">
            <v>TX</v>
          </cell>
          <cell r="M1906" t="str">
            <v>800-577-8858</v>
          </cell>
          <cell r="N1906"/>
          <cell r="O1906">
            <v>185</v>
          </cell>
          <cell r="P1906">
            <v>795.5</v>
          </cell>
          <cell r="Q1906"/>
          <cell r="R1906">
            <v>0</v>
          </cell>
          <cell r="S1906"/>
          <cell r="T1906">
            <v>0</v>
          </cell>
          <cell r="U1906" t="str"/>
          <cell r="V1906" t="str"/>
          <cell r="W1906" t="str"/>
          <cell r="X1906" t="str"/>
          <cell r="Y1906"/>
          <cell r="Z1906">
            <v>0</v>
          </cell>
          <cell r="AA1906"/>
          <cell r="AB1906" t="str">
            <v>n/a</v>
          </cell>
          <cell r="AC1906"/>
          <cell r="AD1906" t="str">
            <v>n/a</v>
          </cell>
          <cell r="AE1906"/>
          <cell r="AF1906"/>
          <cell r="AG1906"/>
          <cell r="AH1906"/>
          <cell r="AI1906"/>
          <cell r="AJ1906"/>
          <cell r="AK1906" t="str">
            <v>OL</v>
          </cell>
          <cell r="AL1906">
            <v>151</v>
          </cell>
          <cell r="AM1906">
            <v>459</v>
          </cell>
          <cell r="AN1906" t="str">
            <v>10 Orangeline</v>
          </cell>
          <cell r="AO1906" t="str">
            <v>Central</v>
          </cell>
          <cell r="AP1906" t="str">
            <v>Central</v>
          </cell>
          <cell r="AQ1906"/>
          <cell r="AR1906">
            <v>0</v>
          </cell>
          <cell r="AS1906">
            <v>0</v>
          </cell>
        </row>
        <row r="1907">
          <cell r="A1907">
            <v>13263</v>
          </cell>
          <cell r="B1907" t="str">
            <v>W.A. VIRNAU &amp; SONS</v>
          </cell>
          <cell r="C1907" t="str">
            <v>M11206</v>
          </cell>
          <cell r="D1907" t="str">
            <v>Net 30, no pink card</v>
          </cell>
          <cell r="E1907" t="str">
            <v>2%</v>
          </cell>
          <cell r="F1907" t="str">
            <v>Yes</v>
          </cell>
          <cell r="G1907" t="str">
            <v>TX</v>
          </cell>
          <cell r="H1907">
            <v>5</v>
          </cell>
          <cell r="I1907">
            <v>0.7</v>
          </cell>
          <cell r="J1907" t="str">
            <v>Jimmy L Smith</v>
          </cell>
          <cell r="K1907" t="str">
            <v>SEALY</v>
          </cell>
          <cell r="L1907" t="str">
            <v>TX</v>
          </cell>
          <cell r="M1907" t="str">
            <v>800-577-8858</v>
          </cell>
          <cell r="N1907"/>
          <cell r="O1907">
            <v>280</v>
          </cell>
          <cell r="P1907">
            <v>1204</v>
          </cell>
          <cell r="Q1907"/>
          <cell r="R1907">
            <v>0</v>
          </cell>
          <cell r="S1907"/>
          <cell r="T1907">
            <v>0</v>
          </cell>
          <cell r="U1907" t="str"/>
          <cell r="V1907" t="str"/>
          <cell r="W1907" t="str"/>
          <cell r="X1907" t="str"/>
          <cell r="Y1907"/>
          <cell r="Z1907">
            <v>0</v>
          </cell>
          <cell r="AA1907"/>
          <cell r="AB1907" t="str">
            <v>n/a</v>
          </cell>
          <cell r="AC1907"/>
          <cell r="AD1907" t="str">
            <v>n/a</v>
          </cell>
          <cell r="AE1907"/>
          <cell r="AF1907"/>
          <cell r="AG1907"/>
          <cell r="AH1907"/>
          <cell r="AI1907"/>
          <cell r="AJ1907"/>
          <cell r="AK1907" t="str">
            <v>OL</v>
          </cell>
          <cell r="AL1907">
            <v>151</v>
          </cell>
          <cell r="AM1907">
            <v>196</v>
          </cell>
          <cell r="AN1907" t="str">
            <v>10 Orangeline</v>
          </cell>
          <cell r="AO1907" t="str">
            <v>Central</v>
          </cell>
          <cell r="AP1907" t="str">
            <v>Central</v>
          </cell>
          <cell r="AQ1907"/>
          <cell r="AR1907">
            <v>0</v>
          </cell>
          <cell r="AS1907">
            <v>0</v>
          </cell>
        </row>
        <row r="1908">
          <cell r="A1908">
            <v>13240</v>
          </cell>
          <cell r="B1908" t="str">
            <v>WC TRACTOR</v>
          </cell>
          <cell r="C1908" t="str">
            <v>M11179</v>
          </cell>
          <cell r="D1908" t="str">
            <v>Net 30, no pink card</v>
          </cell>
          <cell r="E1908" t="str">
            <v>2%</v>
          </cell>
          <cell r="F1908" t="str">
            <v>Yes</v>
          </cell>
          <cell r="G1908" t="str">
            <v>TX</v>
          </cell>
          <cell r="H1908">
            <v>5</v>
          </cell>
          <cell r="I1908">
            <v>0.7</v>
          </cell>
          <cell r="J1908" t="str">
            <v>Jimmy L Smith</v>
          </cell>
          <cell r="K1908" t="str">
            <v>BRENHAM</v>
          </cell>
          <cell r="L1908" t="str">
            <v>TX</v>
          </cell>
          <cell r="M1908" t="str">
            <v>800-577-8858</v>
          </cell>
          <cell r="N1908"/>
          <cell r="O1908">
            <v>270</v>
          </cell>
          <cell r="P1908">
            <v>1161</v>
          </cell>
          <cell r="Q1908"/>
          <cell r="R1908">
            <v>0</v>
          </cell>
          <cell r="S1908"/>
          <cell r="T1908">
            <v>0</v>
          </cell>
          <cell r="U1908" t="str"/>
          <cell r="V1908" t="str"/>
          <cell r="W1908" t="str"/>
          <cell r="X1908" t="str"/>
          <cell r="Y1908"/>
          <cell r="Z1908">
            <v>0</v>
          </cell>
          <cell r="AA1908"/>
          <cell r="AB1908" t="str">
            <v>n/a</v>
          </cell>
          <cell r="AC1908"/>
          <cell r="AD1908" t="str">
            <v>n/a</v>
          </cell>
          <cell r="AE1908" t="str"/>
          <cell r="AF1908"/>
          <cell r="AG1908" t="str"/>
          <cell r="AH1908" t="str"/>
          <cell r="AI1908" t="str"/>
          <cell r="AJ1908">
            <v>0.04</v>
          </cell>
          <cell r="AK1908" t="str">
            <v>OL</v>
          </cell>
          <cell r="AL1908">
            <v>151</v>
          </cell>
          <cell r="AM1908">
            <v>196</v>
          </cell>
          <cell r="AN1908" t="str">
            <v>10 Orangeline</v>
          </cell>
          <cell r="AO1908" t="str">
            <v>Central</v>
          </cell>
          <cell r="AP1908" t="str">
            <v>Central</v>
          </cell>
          <cell r="AQ1908"/>
          <cell r="AR1908">
            <v>0</v>
          </cell>
          <cell r="AS1908">
            <v>0</v>
          </cell>
        </row>
        <row r="1909">
          <cell r="A1909" t="str">
            <v>13240A</v>
          </cell>
          <cell r="B1909" t="str">
            <v>WC TRACTOR</v>
          </cell>
          <cell r="C1909" t="str">
            <v>M11179</v>
          </cell>
          <cell r="D1909" t="str">
            <v>Net 30, no pink card</v>
          </cell>
          <cell r="E1909" t="str">
            <v>2%</v>
          </cell>
          <cell r="F1909" t="str">
            <v>Yes</v>
          </cell>
          <cell r="G1909" t="str">
            <v>TX</v>
          </cell>
          <cell r="H1909">
            <v>5</v>
          </cell>
          <cell r="I1909">
            <v>0.7</v>
          </cell>
          <cell r="J1909" t="str">
            <v>Jimmy L Smith</v>
          </cell>
          <cell r="K1909" t="str">
            <v>NAVASOTA</v>
          </cell>
          <cell r="L1909" t="str">
            <v>TX</v>
          </cell>
          <cell r="M1909" t="str">
            <v>800-577-8858</v>
          </cell>
          <cell r="N1909"/>
          <cell r="O1909">
            <v>240</v>
          </cell>
          <cell r="P1909">
            <v>1032</v>
          </cell>
          <cell r="Q1909"/>
          <cell r="R1909">
            <v>0</v>
          </cell>
          <cell r="S1909"/>
          <cell r="T1909">
            <v>0</v>
          </cell>
          <cell r="U1909" t="str"/>
          <cell r="V1909" t="str"/>
          <cell r="W1909" t="str"/>
          <cell r="X1909" t="str"/>
          <cell r="Y1909"/>
          <cell r="Z1909">
            <v>0</v>
          </cell>
          <cell r="AA1909"/>
          <cell r="AB1909" t="str">
            <v>n/a</v>
          </cell>
          <cell r="AC1909"/>
          <cell r="AD1909" t="str">
            <v>n/a</v>
          </cell>
          <cell r="AE1909" t="str"/>
          <cell r="AF1909"/>
          <cell r="AG1909" t="str"/>
          <cell r="AH1909" t="str"/>
          <cell r="AI1909" t="str"/>
          <cell r="AJ1909">
            <v>0.04</v>
          </cell>
          <cell r="AK1909" t="str">
            <v>OL</v>
          </cell>
          <cell r="AL1909">
            <v>151</v>
          </cell>
          <cell r="AM1909">
            <v>196</v>
          </cell>
          <cell r="AN1909" t="str">
            <v>10 Orangeline</v>
          </cell>
          <cell r="AO1909" t="str">
            <v>Central</v>
          </cell>
          <cell r="AP1909" t="str">
            <v>Central</v>
          </cell>
          <cell r="AQ1909"/>
          <cell r="AR1909">
            <v>0</v>
          </cell>
          <cell r="AS1909">
            <v>0</v>
          </cell>
        </row>
        <row r="1910">
          <cell r="A1910" t="str">
            <v>13240B</v>
          </cell>
          <cell r="B1910" t="str">
            <v>WC TRACTOR</v>
          </cell>
          <cell r="C1910" t="str">
            <v>M11179</v>
          </cell>
          <cell r="D1910" t="str">
            <v>Net 30, no pink card</v>
          </cell>
          <cell r="E1910" t="str">
            <v>2%</v>
          </cell>
          <cell r="F1910" t="str">
            <v>Yes</v>
          </cell>
          <cell r="G1910" t="str">
            <v>TX</v>
          </cell>
          <cell r="H1910">
            <v>5</v>
          </cell>
          <cell r="I1910">
            <v>0.7</v>
          </cell>
          <cell r="J1910" t="str">
            <v>Jimmy L Smith</v>
          </cell>
          <cell r="K1910" t="str">
            <v>BRYAN</v>
          </cell>
          <cell r="L1910" t="str">
            <v>TX</v>
          </cell>
          <cell r="M1910" t="str">
            <v>800-577-8858</v>
          </cell>
          <cell r="N1910"/>
          <cell r="O1910">
            <v>220</v>
          </cell>
          <cell r="P1910">
            <v>946</v>
          </cell>
          <cell r="Q1910"/>
          <cell r="R1910">
            <v>0</v>
          </cell>
          <cell r="S1910"/>
          <cell r="T1910">
            <v>0</v>
          </cell>
          <cell r="U1910" t="str"/>
          <cell r="V1910" t="str"/>
          <cell r="W1910" t="str"/>
          <cell r="X1910" t="str"/>
          <cell r="Y1910"/>
          <cell r="Z1910">
            <v>0</v>
          </cell>
          <cell r="AA1910"/>
          <cell r="AB1910" t="str">
            <v>n/a</v>
          </cell>
          <cell r="AC1910"/>
          <cell r="AD1910" t="str">
            <v>n/a</v>
          </cell>
          <cell r="AE1910" t="str"/>
          <cell r="AF1910"/>
          <cell r="AG1910" t="str"/>
          <cell r="AH1910" t="str"/>
          <cell r="AI1910" t="str"/>
          <cell r="AJ1910">
            <v>0.04</v>
          </cell>
          <cell r="AK1910" t="str">
            <v>OL</v>
          </cell>
          <cell r="AL1910">
            <v>151</v>
          </cell>
          <cell r="AM1910">
            <v>59</v>
          </cell>
          <cell r="AN1910" t="str">
            <v>10 Orangeline</v>
          </cell>
          <cell r="AO1910" t="str">
            <v>Central</v>
          </cell>
          <cell r="AP1910" t="str">
            <v>Central</v>
          </cell>
          <cell r="AQ1910"/>
          <cell r="AR1910">
            <v>0</v>
          </cell>
          <cell r="AS1910">
            <v>0</v>
          </cell>
        </row>
        <row r="1911">
          <cell r="A1911" t="str">
            <v>13240C</v>
          </cell>
          <cell r="B1911" t="str">
            <v>WC TRACTOR</v>
          </cell>
          <cell r="C1911" t="str">
            <v>M11179</v>
          </cell>
          <cell r="D1911" t="str">
            <v>Net 30, no pink card</v>
          </cell>
          <cell r="E1911" t="str">
            <v>2%</v>
          </cell>
          <cell r="F1911" t="str">
            <v>Yes</v>
          </cell>
          <cell r="G1911" t="str">
            <v>TX</v>
          </cell>
          <cell r="H1911">
            <v>5</v>
          </cell>
          <cell r="I1911">
            <v>0.7</v>
          </cell>
          <cell r="J1911" t="str">
            <v>Jimmy L Smith</v>
          </cell>
          <cell r="K1911" t="str">
            <v>TEMPLE</v>
          </cell>
          <cell r="L1911" t="str">
            <v>TX</v>
          </cell>
          <cell r="M1911" t="str">
            <v>800-577-8858</v>
          </cell>
          <cell r="N1911"/>
          <cell r="O1911">
            <v>245</v>
          </cell>
          <cell r="P1911">
            <v>1053.5</v>
          </cell>
          <cell r="Q1911"/>
          <cell r="R1911">
            <v>0</v>
          </cell>
          <cell r="S1911"/>
          <cell r="T1911">
            <v>0</v>
          </cell>
          <cell r="U1911" t="str"/>
          <cell r="V1911" t="str"/>
          <cell r="W1911" t="str"/>
          <cell r="X1911" t="str"/>
          <cell r="Y1911"/>
          <cell r="Z1911">
            <v>0</v>
          </cell>
          <cell r="AA1911"/>
          <cell r="AB1911" t="str">
            <v>n/a</v>
          </cell>
          <cell r="AC1911"/>
          <cell r="AD1911" t="str">
            <v>n/a</v>
          </cell>
          <cell r="AE1911" t="str"/>
          <cell r="AF1911"/>
          <cell r="AG1911" t="str"/>
          <cell r="AH1911" t="str"/>
          <cell r="AI1911" t="str"/>
          <cell r="AJ1911">
            <v>0.04</v>
          </cell>
          <cell r="AK1911" t="str">
            <v>OL</v>
          </cell>
          <cell r="AL1911">
            <v>151</v>
          </cell>
          <cell r="AM1911">
            <v>441</v>
          </cell>
          <cell r="AN1911" t="str">
            <v>10 Orangeline</v>
          </cell>
          <cell r="AO1911" t="str">
            <v>Central</v>
          </cell>
          <cell r="AP1911" t="str">
            <v>Central</v>
          </cell>
          <cell r="AQ1911"/>
          <cell r="AR1911">
            <v>0</v>
          </cell>
          <cell r="AS1911">
            <v>0</v>
          </cell>
        </row>
        <row r="1912">
          <cell r="A1912" t="str">
            <v>13240D</v>
          </cell>
          <cell r="B1912" t="str">
            <v>WC TRACTOR</v>
          </cell>
          <cell r="C1912" t="str">
            <v>M11179</v>
          </cell>
          <cell r="D1912" t="str">
            <v>Net 30, no pink card</v>
          </cell>
          <cell r="E1912" t="str">
            <v>2%</v>
          </cell>
          <cell r="F1912" t="str">
            <v>Yes</v>
          </cell>
          <cell r="G1912" t="str">
            <v>TX</v>
          </cell>
          <cell r="H1912">
            <v>5</v>
          </cell>
          <cell r="I1912">
            <v>0.7</v>
          </cell>
          <cell r="J1912" t="str">
            <v>Jimmy L Smith</v>
          </cell>
          <cell r="K1912" t="str">
            <v>WACO</v>
          </cell>
          <cell r="L1912" t="str">
            <v>TX</v>
          </cell>
          <cell r="M1912" t="str">
            <v>800-577-8858</v>
          </cell>
          <cell r="N1912"/>
          <cell r="O1912">
            <v>220</v>
          </cell>
          <cell r="P1912">
            <v>946</v>
          </cell>
          <cell r="Q1912"/>
          <cell r="R1912">
            <v>0</v>
          </cell>
          <cell r="S1912"/>
          <cell r="T1912">
            <v>0</v>
          </cell>
          <cell r="U1912" t="str"/>
          <cell r="V1912" t="str"/>
          <cell r="W1912" t="str"/>
          <cell r="X1912" t="str"/>
          <cell r="Y1912"/>
          <cell r="Z1912">
            <v>0</v>
          </cell>
          <cell r="AA1912"/>
          <cell r="AB1912" t="str">
            <v>n/a</v>
          </cell>
          <cell r="AC1912"/>
          <cell r="AD1912" t="str">
            <v>n/a</v>
          </cell>
          <cell r="AE1912" t="str"/>
          <cell r="AF1912"/>
          <cell r="AG1912" t="str"/>
          <cell r="AH1912" t="str"/>
          <cell r="AI1912" t="str"/>
          <cell r="AJ1912">
            <v>0.04</v>
          </cell>
          <cell r="AK1912" t="str">
            <v>OL</v>
          </cell>
          <cell r="AL1912">
            <v>151</v>
          </cell>
          <cell r="AM1912">
            <v>459</v>
          </cell>
          <cell r="AN1912" t="str">
            <v>10 Orangeline</v>
          </cell>
          <cell r="AO1912" t="str">
            <v>Central</v>
          </cell>
          <cell r="AP1912" t="str">
            <v>Central</v>
          </cell>
          <cell r="AQ1912"/>
          <cell r="AR1912">
            <v>0</v>
          </cell>
          <cell r="AS1912">
            <v>0</v>
          </cell>
        </row>
        <row r="1913">
          <cell r="A1913" t="str">
            <v>13240E</v>
          </cell>
          <cell r="B1913" t="str">
            <v>WC TRACTOR</v>
          </cell>
          <cell r="C1913" t="str">
            <v>M11179</v>
          </cell>
          <cell r="D1913" t="str">
            <v>Net 30, no pink card</v>
          </cell>
          <cell r="E1913" t="str">
            <v>2%</v>
          </cell>
          <cell r="F1913" t="str">
            <v>Yes</v>
          </cell>
          <cell r="G1913" t="str">
            <v>TX</v>
          </cell>
          <cell r="H1913">
            <v>5</v>
          </cell>
          <cell r="I1913">
            <v>0.7</v>
          </cell>
          <cell r="J1913" t="str">
            <v>Jimmy L Smith</v>
          </cell>
          <cell r="K1913" t="str">
            <v>SEALY</v>
          </cell>
          <cell r="L1913" t="str">
            <v>TX</v>
          </cell>
          <cell r="M1913" t="str">
            <v>800-577-8858</v>
          </cell>
          <cell r="N1913"/>
          <cell r="O1913">
            <v>280</v>
          </cell>
          <cell r="P1913">
            <v>1204</v>
          </cell>
          <cell r="Q1913"/>
          <cell r="R1913">
            <v>0</v>
          </cell>
          <cell r="S1913"/>
          <cell r="T1913">
            <v>0</v>
          </cell>
          <cell r="U1913" t="str"/>
          <cell r="V1913" t="str"/>
          <cell r="W1913" t="str"/>
          <cell r="X1913" t="str"/>
          <cell r="Y1913"/>
          <cell r="Z1913">
            <v>0</v>
          </cell>
          <cell r="AA1913"/>
          <cell r="AB1913" t="str">
            <v>n/a</v>
          </cell>
          <cell r="AC1913"/>
          <cell r="AD1913" t="str">
            <v>n/a</v>
          </cell>
          <cell r="AE1913"/>
          <cell r="AF1913"/>
          <cell r="AG1913"/>
          <cell r="AH1913"/>
          <cell r="AI1913"/>
          <cell r="AJ1913">
            <v>0.04</v>
          </cell>
          <cell r="AK1913" t="str">
            <v>OL</v>
          </cell>
          <cell r="AL1913">
            <v>151</v>
          </cell>
          <cell r="AM1913">
            <v>196</v>
          </cell>
          <cell r="AN1913" t="str">
            <v>10 Orangeline</v>
          </cell>
          <cell r="AO1913" t="str">
            <v>Central</v>
          </cell>
          <cell r="AP1913" t="str">
            <v>Central</v>
          </cell>
          <cell r="AQ1913"/>
          <cell r="AR1913">
            <v>0</v>
          </cell>
          <cell r="AS1913">
            <v>0</v>
          </cell>
        </row>
        <row r="1914">
          <cell r="A1914" t="str">
            <v>13240F</v>
          </cell>
          <cell r="B1914" t="str">
            <v>WC TRACTOR</v>
          </cell>
          <cell r="C1914" t="str">
            <v>M11179</v>
          </cell>
          <cell r="D1914" t="str">
            <v>Net 30, no pink card</v>
          </cell>
          <cell r="E1914" t="str">
            <v>2%</v>
          </cell>
          <cell r="F1914" t="str">
            <v>Yes</v>
          </cell>
          <cell r="G1914" t="str">
            <v>TX</v>
          </cell>
          <cell r="H1914">
            <v>5</v>
          </cell>
          <cell r="I1914">
            <v>0.7</v>
          </cell>
          <cell r="J1914" t="str">
            <v>Jimmy L Smith</v>
          </cell>
          <cell r="K1914" t="str">
            <v>NORMANGEE</v>
          </cell>
          <cell r="L1914" t="str">
            <v>TX</v>
          </cell>
          <cell r="M1914" t="str">
            <v>800-577-8858</v>
          </cell>
          <cell r="N1914"/>
          <cell r="O1914">
            <v>190</v>
          </cell>
          <cell r="P1914">
            <v>817</v>
          </cell>
          <cell r="Q1914"/>
          <cell r="R1914">
            <v>0</v>
          </cell>
          <cell r="S1914"/>
          <cell r="T1914">
            <v>0</v>
          </cell>
          <cell r="U1914" t="str"/>
          <cell r="V1914" t="str"/>
          <cell r="W1914" t="str"/>
          <cell r="X1914" t="str"/>
          <cell r="Y1914"/>
          <cell r="Z1914">
            <v>0</v>
          </cell>
          <cell r="AA1914"/>
          <cell r="AB1914" t="str">
            <v>n/a</v>
          </cell>
          <cell r="AC1914"/>
          <cell r="AD1914" t="str">
            <v>n/a</v>
          </cell>
          <cell r="AE1914"/>
          <cell r="AF1914"/>
          <cell r="AG1914"/>
          <cell r="AH1914"/>
          <cell r="AI1914"/>
          <cell r="AJ1914">
            <v>0.04</v>
          </cell>
          <cell r="AK1914" t="str">
            <v>OL</v>
          </cell>
          <cell r="AL1914">
            <v>151</v>
          </cell>
          <cell r="AM1914">
            <v>196</v>
          </cell>
          <cell r="AN1914" t="str">
            <v>10 Orangeline</v>
          </cell>
          <cell r="AO1914" t="str">
            <v>Central</v>
          </cell>
          <cell r="AP1914" t="str">
            <v>Central</v>
          </cell>
          <cell r="AQ1914"/>
          <cell r="AR1914">
            <v>0</v>
          </cell>
          <cell r="AS1914">
            <v>0</v>
          </cell>
        </row>
        <row r="1915">
          <cell r="A1915">
            <v>13224</v>
          </cell>
          <cell r="B1915" t="str">
            <v>William.O.Wallace / WOWCO</v>
          </cell>
          <cell r="C1915" t="str">
            <v>M11167</v>
          </cell>
          <cell r="D1915" t="str">
            <v>Net 30, no pink card</v>
          </cell>
          <cell r="E1915" t="str">
            <v>2%</v>
          </cell>
          <cell r="F1915" t="str">
            <v>Yes</v>
          </cell>
          <cell r="G1915" t="str">
            <v>TX</v>
          </cell>
          <cell r="H1915">
            <v>5</v>
          </cell>
          <cell r="I1915">
            <v>0.7</v>
          </cell>
          <cell r="J1915" t="str">
            <v>Jimmy L Smith</v>
          </cell>
          <cell r="K1915" t="str">
            <v>BAYTOWN</v>
          </cell>
          <cell r="L1915" t="str">
            <v>TX</v>
          </cell>
          <cell r="M1915" t="str">
            <v>800-577-8858</v>
          </cell>
          <cell r="N1915"/>
          <cell r="O1915">
            <v>280</v>
          </cell>
          <cell r="P1915">
            <v>1204</v>
          </cell>
          <cell r="Q1915"/>
          <cell r="R1915">
            <v>0</v>
          </cell>
          <cell r="S1915"/>
          <cell r="T1915">
            <v>0</v>
          </cell>
          <cell r="U1915" t="str"/>
          <cell r="V1915" t="str"/>
          <cell r="W1915" t="str"/>
          <cell r="X1915" t="str"/>
          <cell r="Y1915"/>
          <cell r="Z1915">
            <v>0</v>
          </cell>
          <cell r="AA1915"/>
          <cell r="AB1915" t="str">
            <v>n/a</v>
          </cell>
          <cell r="AC1915"/>
          <cell r="AD1915" t="str">
            <v>n/a</v>
          </cell>
          <cell r="AE1915"/>
          <cell r="AF1915"/>
          <cell r="AG1915"/>
          <cell r="AH1915"/>
          <cell r="AI1915"/>
          <cell r="AJ1915"/>
          <cell r="AK1915" t="str">
            <v>OL</v>
          </cell>
          <cell r="AL1915">
            <v>151</v>
          </cell>
          <cell r="AM1915">
            <v>196</v>
          </cell>
          <cell r="AN1915" t="str">
            <v>10 Orangeline</v>
          </cell>
          <cell r="AO1915" t="str">
            <v>Central</v>
          </cell>
          <cell r="AP1915" t="str">
            <v>Central</v>
          </cell>
          <cell r="AQ1915"/>
          <cell r="AR1915">
            <v>0</v>
          </cell>
          <cell r="AS1915">
            <v>0</v>
          </cell>
        </row>
        <row r="1916">
          <cell r="A1916">
            <v>13398</v>
          </cell>
          <cell r="B1916" t="str">
            <v>William.O.Wallace / WOWCO</v>
          </cell>
          <cell r="C1916" t="str">
            <v>M11167</v>
          </cell>
          <cell r="D1916" t="str">
            <v>Net 30, no pink card</v>
          </cell>
          <cell r="E1916" t="str">
            <v>O1-Northpoint</v>
          </cell>
          <cell r="F1916" t="str">
            <v>Yes</v>
          </cell>
          <cell r="G1916" t="str">
            <v>TX</v>
          </cell>
          <cell r="H1916">
            <v>8</v>
          </cell>
          <cell r="I1916">
            <v>0.7</v>
          </cell>
          <cell r="J1916" t="str">
            <v>Jimmy L Smith</v>
          </cell>
          <cell r="K1916" t="str">
            <v>BAYTOWN</v>
          </cell>
          <cell r="L1916" t="str">
            <v>TX</v>
          </cell>
          <cell r="M1916" t="str">
            <v>800-577-8858</v>
          </cell>
          <cell r="N1916"/>
          <cell r="O1916">
            <v>280</v>
          </cell>
          <cell r="P1916">
            <v>1204</v>
          </cell>
          <cell r="Q1916"/>
          <cell r="R1916">
            <v>0</v>
          </cell>
          <cell r="S1916"/>
          <cell r="T1916">
            <v>0</v>
          </cell>
          <cell r="U1916" t="str"/>
          <cell r="V1916" t="str"/>
          <cell r="W1916" t="str"/>
          <cell r="X1916" t="str"/>
          <cell r="Y1916"/>
          <cell r="Z1916">
            <v>0</v>
          </cell>
          <cell r="AA1916"/>
          <cell r="AB1916" t="str">
            <v>n/a</v>
          </cell>
          <cell r="AC1916"/>
          <cell r="AD1916" t="str">
            <v>n/a</v>
          </cell>
          <cell r="AE1916"/>
          <cell r="AF1916"/>
          <cell r="AG1916"/>
          <cell r="AH1916"/>
          <cell r="AI1916"/>
          <cell r="AJ1916"/>
          <cell r="AK1916" t="str">
            <v>OL</v>
          </cell>
          <cell r="AL1916">
            <v>151</v>
          </cell>
          <cell r="AM1916">
            <v>196</v>
          </cell>
          <cell r="AN1916" t="str">
            <v>10 Orangeline</v>
          </cell>
          <cell r="AO1916" t="str">
            <v>Central</v>
          </cell>
          <cell r="AP1916" t="str">
            <v>Central</v>
          </cell>
          <cell r="AQ1916"/>
          <cell r="AR1916">
            <v>0</v>
          </cell>
          <cell r="AS1916">
            <v>0</v>
          </cell>
        </row>
        <row r="1917">
          <cell r="A1917">
            <v>13225</v>
          </cell>
          <cell r="B1917" t="str">
            <v>ZIMMERER KUBOTA</v>
          </cell>
          <cell r="C1917" t="str">
            <v>M11168</v>
          </cell>
          <cell r="D1917" t="str">
            <v>Net 30, no pink card</v>
          </cell>
          <cell r="E1917" t="str">
            <v>2%</v>
          </cell>
          <cell r="F1917" t="str">
            <v>Yes</v>
          </cell>
          <cell r="G1917" t="str">
            <v>TX</v>
          </cell>
          <cell r="H1917">
            <v>5</v>
          </cell>
          <cell r="I1917">
            <v>0.7</v>
          </cell>
          <cell r="J1917" t="str">
            <v>Jimmy L Smith</v>
          </cell>
          <cell r="K1917" t="str">
            <v>FORT WORTH</v>
          </cell>
          <cell r="L1917" t="str">
            <v>TX</v>
          </cell>
          <cell r="M1917" t="str">
            <v>800-577-8858</v>
          </cell>
          <cell r="N1917" t="str">
            <v>Spares on ALL Trailers</v>
          </cell>
          <cell r="O1917">
            <v>160</v>
          </cell>
          <cell r="P1917">
            <v>688</v>
          </cell>
          <cell r="Q1917"/>
          <cell r="R1917">
            <v>0</v>
          </cell>
          <cell r="S1917"/>
          <cell r="T1917">
            <v>0</v>
          </cell>
          <cell r="U1917" t="str"/>
          <cell r="V1917" t="str"/>
          <cell r="W1917" t="str"/>
          <cell r="X1917" t="str"/>
          <cell r="Y1917"/>
          <cell r="Z1917">
            <v>0</v>
          </cell>
          <cell r="AA1917"/>
          <cell r="AB1917" t="str">
            <v>n/a</v>
          </cell>
          <cell r="AC1917"/>
          <cell r="AD1917" t="str">
            <v>n/a</v>
          </cell>
          <cell r="AE1917"/>
          <cell r="AF1917"/>
          <cell r="AG1917"/>
          <cell r="AH1917"/>
          <cell r="AI1917"/>
          <cell r="AJ1917">
            <v>0.02</v>
          </cell>
          <cell r="AK1917" t="str">
            <v>OL</v>
          </cell>
          <cell r="AL1917">
            <v>151</v>
          </cell>
          <cell r="AM1917">
            <v>101</v>
          </cell>
          <cell r="AN1917" t="str">
            <v>10 Orangeline</v>
          </cell>
          <cell r="AO1917" t="str">
            <v>Central</v>
          </cell>
          <cell r="AP1917" t="str">
            <v>Central</v>
          </cell>
          <cell r="AQ1917"/>
          <cell r="AR1917">
            <v>15809</v>
          </cell>
          <cell r="AS1917">
            <v>0</v>
          </cell>
        </row>
        <row r="1918">
          <cell r="A1918" t="str">
            <v>13225A</v>
          </cell>
          <cell r="B1918" t="str">
            <v>ZIMMERER KUBOTA</v>
          </cell>
          <cell r="C1918" t="str">
            <v>M11168</v>
          </cell>
          <cell r="D1918" t="str">
            <v>Net 30, no pink card</v>
          </cell>
          <cell r="E1918" t="str">
            <v>2%</v>
          </cell>
          <cell r="F1918" t="str">
            <v>Yes</v>
          </cell>
          <cell r="G1918" t="str">
            <v>TX</v>
          </cell>
          <cell r="H1918">
            <v>5</v>
          </cell>
          <cell r="I1918">
            <v>0.7</v>
          </cell>
          <cell r="J1918" t="str">
            <v>Jimmy L Smith</v>
          </cell>
          <cell r="K1918" t="str">
            <v>DENTON</v>
          </cell>
          <cell r="L1918" t="str">
            <v>TX</v>
          </cell>
          <cell r="M1918" t="str">
            <v>800-577-8858</v>
          </cell>
          <cell r="N1918" t="str">
            <v>Spares on ALL Trailers</v>
          </cell>
          <cell r="O1918">
            <v>156</v>
          </cell>
          <cell r="P1918">
            <v>670.8</v>
          </cell>
          <cell r="Q1918"/>
          <cell r="R1918">
            <v>0</v>
          </cell>
          <cell r="S1918"/>
          <cell r="T1918">
            <v>0</v>
          </cell>
          <cell r="U1918" t="str"/>
          <cell r="V1918" t="str"/>
          <cell r="W1918" t="str"/>
          <cell r="X1918" t="str"/>
          <cell r="Y1918"/>
          <cell r="Z1918">
            <v>0</v>
          </cell>
          <cell r="AA1918"/>
          <cell r="AB1918" t="str">
            <v>n/a</v>
          </cell>
          <cell r="AC1918"/>
          <cell r="AD1918" t="str">
            <v>n/a</v>
          </cell>
          <cell r="AE1918"/>
          <cell r="AF1918"/>
          <cell r="AG1918"/>
          <cell r="AH1918"/>
          <cell r="AI1918"/>
          <cell r="AJ1918">
            <v>0.02</v>
          </cell>
          <cell r="AK1918" t="str">
            <v>OL</v>
          </cell>
          <cell r="AL1918">
            <v>151</v>
          </cell>
          <cell r="AM1918"/>
          <cell r="AN1918" t="str">
            <v>10 Orangeline</v>
          </cell>
          <cell r="AO1918" t="str">
            <v>Central</v>
          </cell>
          <cell r="AP1918" t="str">
            <v>Central</v>
          </cell>
          <cell r="AQ1918"/>
          <cell r="AR1918">
            <v>0</v>
          </cell>
          <cell r="AS1918">
            <v>0</v>
          </cell>
        </row>
        <row r="1919">
          <cell r="A1919" t="str">
            <v>13225B</v>
          </cell>
          <cell r="B1919" t="str">
            <v>ZIMMERER KUBOTA</v>
          </cell>
          <cell r="C1919" t="str">
            <v>M11168</v>
          </cell>
          <cell r="D1919" t="str">
            <v>Net 30, no pink card</v>
          </cell>
          <cell r="E1919" t="str">
            <v>2%</v>
          </cell>
          <cell r="F1919" t="str">
            <v>Yes</v>
          </cell>
          <cell r="G1919" t="str">
            <v>TX</v>
          </cell>
          <cell r="H1919">
            <v>5</v>
          </cell>
          <cell r="I1919">
            <v>0.7</v>
          </cell>
          <cell r="J1919" t="str">
            <v>Jimmy L Smith</v>
          </cell>
          <cell r="K1919" t="str">
            <v>VAN ALSTYNE</v>
          </cell>
          <cell r="L1919" t="str">
            <v>TX</v>
          </cell>
          <cell r="M1919" t="str">
            <v>800-577-8858</v>
          </cell>
          <cell r="N1919" t="str">
            <v>Spares on ALL Trailers</v>
          </cell>
          <cell r="O1919">
            <v>117</v>
          </cell>
          <cell r="P1919">
            <v>503.09999999999997</v>
          </cell>
          <cell r="Q1919"/>
          <cell r="R1919">
            <v>0</v>
          </cell>
          <cell r="S1919"/>
          <cell r="T1919">
            <v>0</v>
          </cell>
          <cell r="U1919">
            <v>67</v>
          </cell>
          <cell r="V1919">
            <v>288.09999999999997</v>
          </cell>
          <cell r="W1919">
            <v>89</v>
          </cell>
          <cell r="X1919">
            <v>382.7</v>
          </cell>
          <cell r="Y1919"/>
          <cell r="Z1919">
            <v>0</v>
          </cell>
          <cell r="AA1919"/>
          <cell r="AB1919" t="str">
            <v>n/a</v>
          </cell>
          <cell r="AC1919"/>
          <cell r="AD1919" t="str">
            <v>n/a</v>
          </cell>
          <cell r="AE1919"/>
          <cell r="AF1919"/>
          <cell r="AG1919"/>
          <cell r="AH1919"/>
          <cell r="AI1919"/>
          <cell r="AJ1919">
            <v>0.02</v>
          </cell>
          <cell r="AK1919" t="str">
            <v>OL</v>
          </cell>
          <cell r="AL1919">
            <v>151</v>
          </cell>
          <cell r="AM1919">
            <v>418</v>
          </cell>
          <cell r="AN1919" t="str">
            <v>10 Orangeline</v>
          </cell>
          <cell r="AO1919" t="str">
            <v>Central</v>
          </cell>
          <cell r="AP1919" t="str">
            <v>Central</v>
          </cell>
          <cell r="AQ1919"/>
          <cell r="AR1919">
            <v>0</v>
          </cell>
          <cell r="AS1919">
            <v>0</v>
          </cell>
        </row>
        <row r="1920">
          <cell r="A1920">
            <v>13376</v>
          </cell>
          <cell r="B1920" t="str">
            <v>BEVERAGE TRACTOR</v>
          </cell>
          <cell r="C1920" t="str">
            <v>M11328</v>
          </cell>
          <cell r="D1920" t="str">
            <v>Net 30, no pink card</v>
          </cell>
          <cell r="E1920" t="str">
            <v>O1-Northpoint</v>
          </cell>
          <cell r="F1920" t="str">
            <v>Yes</v>
          </cell>
          <cell r="G1920" t="str">
            <v>OH</v>
          </cell>
          <cell r="H1920">
            <v>8</v>
          </cell>
          <cell r="I1920">
            <v>0.7</v>
          </cell>
          <cell r="J1920" t="str">
            <v>Jimmy L Smith</v>
          </cell>
          <cell r="K1920" t="str">
            <v>STUARTS DRAFT</v>
          </cell>
          <cell r="L1920" t="str">
            <v>VA</v>
          </cell>
          <cell r="M1920" t="str">
            <v>800-577-8858</v>
          </cell>
          <cell r="N1920"/>
          <cell r="O1920"/>
          <cell r="P1920">
            <v>0</v>
          </cell>
          <cell r="Q1920">
            <v>612</v>
          </cell>
          <cell r="R1920">
            <v>2631.6</v>
          </cell>
          <cell r="S1920"/>
          <cell r="T1920">
            <v>0</v>
          </cell>
          <cell r="U1920" t="str"/>
          <cell r="V1920" t="str"/>
          <cell r="W1920" t="str"/>
          <cell r="X1920" t="str"/>
          <cell r="Y1920">
            <v>392</v>
          </cell>
          <cell r="Z1920">
            <v>1685.6</v>
          </cell>
          <cell r="AA1920">
            <v>392</v>
          </cell>
          <cell r="AB1920">
            <v>1685.6</v>
          </cell>
          <cell r="AC1920">
            <v>392</v>
          </cell>
          <cell r="AD1920">
            <v>1685.6</v>
          </cell>
          <cell r="AE1920"/>
          <cell r="AF1920"/>
          <cell r="AG1920"/>
          <cell r="AH1920"/>
          <cell r="AI1920"/>
          <cell r="AJ1920"/>
          <cell r="AK1920" t="str">
            <v>OL</v>
          </cell>
          <cell r="AL1920">
            <v>151</v>
          </cell>
          <cell r="AM1920">
            <v>430</v>
          </cell>
          <cell r="AN1920" t="str">
            <v>10 Orangeline</v>
          </cell>
          <cell r="AO1920" t="str">
            <v>Southeast</v>
          </cell>
          <cell r="AP1920" t="str">
            <v>North</v>
          </cell>
          <cell r="AQ1920"/>
          <cell r="AR1920">
            <v>0</v>
          </cell>
          <cell r="AS1920">
            <v>0</v>
          </cell>
        </row>
        <row r="1921">
          <cell r="A1921">
            <v>13663</v>
          </cell>
          <cell r="B1921" t="str">
            <v>BEVERAGE TRACTOR</v>
          </cell>
          <cell r="C1921" t="str">
            <v>M11328</v>
          </cell>
          <cell r="D1921" t="str">
            <v>Net 30, no pink card</v>
          </cell>
          <cell r="E1921" t="str">
            <v>2%</v>
          </cell>
          <cell r="F1921" t="str">
            <v>Yes</v>
          </cell>
          <cell r="G1921" t="str">
            <v>OH</v>
          </cell>
          <cell r="H1921">
            <v>5</v>
          </cell>
          <cell r="I1921">
            <v>0.7</v>
          </cell>
          <cell r="J1921" t="str">
            <v>Jimmy L Smith</v>
          </cell>
          <cell r="K1921" t="str">
            <v>STUARTS DRAFT</v>
          </cell>
          <cell r="L1921" t="str">
            <v>VA</v>
          </cell>
          <cell r="M1921" t="str">
            <v>800-577-8858</v>
          </cell>
          <cell r="N1921"/>
          <cell r="O1921"/>
          <cell r="P1921">
            <v>0</v>
          </cell>
          <cell r="Q1921">
            <v>612</v>
          </cell>
          <cell r="R1921">
            <v>2631.6</v>
          </cell>
          <cell r="S1921"/>
          <cell r="T1921">
            <v>0</v>
          </cell>
          <cell r="U1921" t="str"/>
          <cell r="V1921" t="str"/>
          <cell r="W1921" t="str"/>
          <cell r="X1921" t="str"/>
          <cell r="Y1921">
            <v>392</v>
          </cell>
          <cell r="Z1921">
            <v>1685.6</v>
          </cell>
          <cell r="AA1921">
            <v>392</v>
          </cell>
          <cell r="AB1921">
            <v>1685.6</v>
          </cell>
          <cell r="AC1921">
            <v>392</v>
          </cell>
          <cell r="AD1921">
            <v>1685.6</v>
          </cell>
          <cell r="AE1921"/>
          <cell r="AF1921"/>
          <cell r="AG1921"/>
          <cell r="AH1921"/>
          <cell r="AI1921"/>
          <cell r="AJ1921"/>
          <cell r="AK1921" t="str">
            <v>OL</v>
          </cell>
          <cell r="AL1921">
            <v>151</v>
          </cell>
          <cell r="AM1921">
            <v>430</v>
          </cell>
          <cell r="AN1921" t="str">
            <v>10 Orangeline</v>
          </cell>
          <cell r="AO1921" t="str">
            <v>Southeast</v>
          </cell>
          <cell r="AP1921" t="str">
            <v>North</v>
          </cell>
          <cell r="AQ1921"/>
          <cell r="AR1921">
            <v>0</v>
          </cell>
          <cell r="AS1921">
            <v>0</v>
          </cell>
        </row>
        <row r="1922">
          <cell r="A1922" t="str">
            <v>13376A</v>
          </cell>
          <cell r="B1922" t="str">
            <v>BEVERAGE TRACTOR</v>
          </cell>
          <cell r="C1922" t="str">
            <v>M11328</v>
          </cell>
          <cell r="D1922" t="str">
            <v>Net 30, no pink card</v>
          </cell>
          <cell r="E1922" t="str">
            <v>O1-Northpoint</v>
          </cell>
          <cell r="F1922" t="str">
            <v>Yes</v>
          </cell>
          <cell r="G1922" t="str">
            <v>OH</v>
          </cell>
          <cell r="H1922">
            <v>8</v>
          </cell>
          <cell r="I1922">
            <v>0.7</v>
          </cell>
          <cell r="J1922" t="str">
            <v>Jimmy L Smith</v>
          </cell>
          <cell r="K1922" t="str">
            <v>BLACKSBURG</v>
          </cell>
          <cell r="L1922" t="str">
            <v>VA</v>
          </cell>
          <cell r="M1922" t="str">
            <v>800-577-8858</v>
          </cell>
          <cell r="N1922"/>
          <cell r="O1922"/>
          <cell r="P1922">
            <v>0</v>
          </cell>
          <cell r="Q1922">
            <v>520</v>
          </cell>
          <cell r="R1922">
            <v>2236</v>
          </cell>
          <cell r="S1922"/>
          <cell r="T1922">
            <v>0</v>
          </cell>
          <cell r="U1922" t="str"/>
          <cell r="V1922" t="str"/>
          <cell r="W1922" t="str"/>
          <cell r="X1922" t="str"/>
          <cell r="Y1922"/>
          <cell r="Z1922">
            <v>0</v>
          </cell>
          <cell r="AA1922"/>
          <cell r="AB1922">
            <v>0</v>
          </cell>
          <cell r="AC1922"/>
          <cell r="AD1922">
            <v>0</v>
          </cell>
          <cell r="AE1922"/>
          <cell r="AF1922"/>
          <cell r="AG1922"/>
          <cell r="AH1922"/>
          <cell r="AI1922"/>
          <cell r="AJ1922"/>
          <cell r="AK1922" t="str">
            <v>OL</v>
          </cell>
          <cell r="AL1922">
            <v>151</v>
          </cell>
          <cell r="AM1922">
            <v>376</v>
          </cell>
          <cell r="AN1922" t="str">
            <v>10 Orangeline</v>
          </cell>
          <cell r="AO1922" t="str">
            <v>Southeast</v>
          </cell>
          <cell r="AP1922" t="str">
            <v>North</v>
          </cell>
          <cell r="AQ1922"/>
          <cell r="AR1922">
            <v>0</v>
          </cell>
          <cell r="AS1922">
            <v>0</v>
          </cell>
        </row>
        <row r="1923">
          <cell r="A1923" t="str">
            <v>13376B</v>
          </cell>
          <cell r="B1923" t="str">
            <v>BEVERAGE TRACTOR</v>
          </cell>
          <cell r="C1923" t="str">
            <v>M11328</v>
          </cell>
          <cell r="D1923" t="str">
            <v>Net 30, no pink card</v>
          </cell>
          <cell r="E1923" t="str">
            <v>O1-Northpoint</v>
          </cell>
          <cell r="F1923" t="str">
            <v>Yes</v>
          </cell>
          <cell r="G1923" t="str">
            <v>OH</v>
          </cell>
          <cell r="H1923">
            <v>8</v>
          </cell>
          <cell r="I1923">
            <v>0.7</v>
          </cell>
          <cell r="J1923" t="str">
            <v>Jimmy L Smith</v>
          </cell>
          <cell r="K1923" t="str">
            <v>DANVILLE</v>
          </cell>
          <cell r="L1923" t="str">
            <v>VA</v>
          </cell>
          <cell r="M1923" t="str">
            <v>800-577-8858</v>
          </cell>
          <cell r="N1923"/>
          <cell r="O1923"/>
          <cell r="P1923">
            <v>0</v>
          </cell>
          <cell r="Q1923">
            <v>290</v>
          </cell>
          <cell r="R1923">
            <v>1247</v>
          </cell>
          <cell r="S1923"/>
          <cell r="T1923">
            <v>0</v>
          </cell>
          <cell r="U1923" t="str"/>
          <cell r="V1923" t="str"/>
          <cell r="W1923" t="str"/>
          <cell r="X1923" t="str"/>
          <cell r="Y1923"/>
          <cell r="Z1923">
            <v>0</v>
          </cell>
          <cell r="AA1923"/>
          <cell r="AB1923">
            <v>0</v>
          </cell>
          <cell r="AC1923"/>
          <cell r="AD1923">
            <v>0</v>
          </cell>
          <cell r="AE1923"/>
          <cell r="AF1923"/>
          <cell r="AG1923"/>
          <cell r="AH1923"/>
          <cell r="AI1923"/>
          <cell r="AJ1923"/>
          <cell r="AK1923" t="str">
            <v>OL</v>
          </cell>
          <cell r="AL1923">
            <v>151</v>
          </cell>
          <cell r="AM1923"/>
          <cell r="AN1923" t="str">
            <v>10 Orangeline</v>
          </cell>
          <cell r="AO1923" t="str">
            <v>Southeast</v>
          </cell>
          <cell r="AP1923" t="str">
            <v>North</v>
          </cell>
          <cell r="AQ1923"/>
          <cell r="AR1923">
            <v>0</v>
          </cell>
          <cell r="AS1923">
            <v>0</v>
          </cell>
        </row>
        <row r="1924">
          <cell r="A1924" t="str">
            <v>13663A</v>
          </cell>
          <cell r="B1924" t="str">
            <v>BEVERAGE TRACTOR</v>
          </cell>
          <cell r="C1924" t="str">
            <v>M11328</v>
          </cell>
          <cell r="D1924" t="str">
            <v>Net 30, no pink card</v>
          </cell>
          <cell r="E1924" t="str">
            <v>2%</v>
          </cell>
          <cell r="F1924" t="str">
            <v>Yes</v>
          </cell>
          <cell r="G1924" t="str">
            <v>OH</v>
          </cell>
          <cell r="H1924">
            <v>5</v>
          </cell>
          <cell r="I1924">
            <v>0.7</v>
          </cell>
          <cell r="J1924" t="str">
            <v>Jimmy L Smith</v>
          </cell>
          <cell r="K1924" t="str">
            <v>BLACKSBURG</v>
          </cell>
          <cell r="L1924" t="str">
            <v>VA</v>
          </cell>
          <cell r="M1924" t="str">
            <v>800-577-8858</v>
          </cell>
          <cell r="N1924"/>
          <cell r="O1924"/>
          <cell r="P1924">
            <v>0</v>
          </cell>
          <cell r="Q1924">
            <v>520</v>
          </cell>
          <cell r="R1924">
            <v>2236</v>
          </cell>
          <cell r="S1924"/>
          <cell r="T1924">
            <v>0</v>
          </cell>
          <cell r="U1924" t="str"/>
          <cell r="V1924" t="str"/>
          <cell r="W1924" t="str"/>
          <cell r="X1924" t="str"/>
          <cell r="Y1924"/>
          <cell r="Z1924">
            <v>0</v>
          </cell>
          <cell r="AA1924"/>
          <cell r="AB1924">
            <v>0</v>
          </cell>
          <cell r="AC1924"/>
          <cell r="AD1924">
            <v>0</v>
          </cell>
          <cell r="AE1924"/>
          <cell r="AF1924"/>
          <cell r="AG1924"/>
          <cell r="AH1924"/>
          <cell r="AI1924"/>
          <cell r="AJ1924"/>
          <cell r="AK1924" t="str">
            <v>OL</v>
          </cell>
          <cell r="AL1924">
            <v>151</v>
          </cell>
          <cell r="AM1924">
            <v>376</v>
          </cell>
          <cell r="AN1924" t="str">
            <v>10 Orangeline</v>
          </cell>
          <cell r="AO1924" t="str">
            <v>Southeast</v>
          </cell>
          <cell r="AP1924" t="str">
            <v>North</v>
          </cell>
          <cell r="AQ1924"/>
          <cell r="AR1924">
            <v>0</v>
          </cell>
          <cell r="AS1924">
            <v>0</v>
          </cell>
        </row>
        <row r="1925">
          <cell r="A1925" t="str">
            <v>13373A</v>
          </cell>
          <cell r="B1925" t="str">
            <v>HOOBER INC</v>
          </cell>
          <cell r="C1925" t="str">
            <v>M11340</v>
          </cell>
          <cell r="D1925" t="str">
            <v>Net 30, no pink card</v>
          </cell>
          <cell r="E1925" t="str">
            <v>2%</v>
          </cell>
          <cell r="F1925" t="str">
            <v>Yes</v>
          </cell>
          <cell r="G1925" t="str">
            <v>OH</v>
          </cell>
          <cell r="H1925">
            <v>5</v>
          </cell>
          <cell r="I1925">
            <v>0.7</v>
          </cell>
          <cell r="J1925" t="str">
            <v>Jimmy L Smith</v>
          </cell>
          <cell r="K1925" t="str">
            <v>ASHLAND</v>
          </cell>
          <cell r="L1925" t="str">
            <v>VA</v>
          </cell>
          <cell r="M1925" t="str">
            <v>800-577-8858</v>
          </cell>
          <cell r="N1925"/>
          <cell r="O1925"/>
          <cell r="P1925">
            <v>0</v>
          </cell>
          <cell r="Q1925">
            <v>670</v>
          </cell>
          <cell r="R1925">
            <v>2881</v>
          </cell>
          <cell r="S1925"/>
          <cell r="T1925">
            <v>0</v>
          </cell>
          <cell r="U1925" t="str"/>
          <cell r="V1925" t="str"/>
          <cell r="W1925" t="str"/>
          <cell r="X1925" t="str"/>
          <cell r="Y1925"/>
          <cell r="Z1925">
            <v>0</v>
          </cell>
          <cell r="AA1925"/>
          <cell r="AB1925">
            <v>0</v>
          </cell>
          <cell r="AC1925"/>
          <cell r="AD1925">
            <v>0</v>
          </cell>
          <cell r="AE1925"/>
          <cell r="AF1925"/>
          <cell r="AG1925"/>
          <cell r="AH1925"/>
          <cell r="AI1925"/>
          <cell r="AJ1925"/>
          <cell r="AK1925" t="str">
            <v>OL</v>
          </cell>
          <cell r="AL1925">
            <v>151</v>
          </cell>
          <cell r="AM1925">
            <v>374</v>
          </cell>
          <cell r="AN1925" t="str">
            <v>10 Orangeline</v>
          </cell>
          <cell r="AO1925" t="str">
            <v>Southeast</v>
          </cell>
          <cell r="AP1925" t="str">
            <v>North</v>
          </cell>
          <cell r="AQ1925"/>
          <cell r="AR1925">
            <v>0</v>
          </cell>
          <cell r="AS1925">
            <v>0</v>
          </cell>
        </row>
        <row r="1926">
          <cell r="A1926" t="str">
            <v>13373B</v>
          </cell>
          <cell r="B1926" t="str">
            <v>HOOBER INC</v>
          </cell>
          <cell r="C1926" t="str">
            <v>M11340</v>
          </cell>
          <cell r="D1926" t="str">
            <v>Net 30, no pink card</v>
          </cell>
          <cell r="E1926" t="str">
            <v>2%</v>
          </cell>
          <cell r="F1926" t="str">
            <v>Yes</v>
          </cell>
          <cell r="G1926" t="str">
            <v>OH</v>
          </cell>
          <cell r="H1926">
            <v>5</v>
          </cell>
          <cell r="I1926">
            <v>0.7</v>
          </cell>
          <cell r="J1926" t="str">
            <v>Jimmy L Smith</v>
          </cell>
          <cell r="K1926" t="str">
            <v>WAKEFIELD</v>
          </cell>
          <cell r="L1926" t="str">
            <v>VA</v>
          </cell>
          <cell r="M1926" t="str">
            <v>800-577-8858</v>
          </cell>
          <cell r="N1926"/>
          <cell r="O1926"/>
          <cell r="P1926">
            <v>0</v>
          </cell>
          <cell r="Q1926">
            <v>630</v>
          </cell>
          <cell r="R1926">
            <v>2709</v>
          </cell>
          <cell r="S1926"/>
          <cell r="T1926">
            <v>0</v>
          </cell>
          <cell r="U1926" t="str"/>
          <cell r="V1926" t="str"/>
          <cell r="W1926" t="str"/>
          <cell r="X1926" t="str"/>
          <cell r="Y1926"/>
          <cell r="Z1926">
            <v>0</v>
          </cell>
          <cell r="AA1926"/>
          <cell r="AB1926">
            <v>0</v>
          </cell>
          <cell r="AC1926"/>
          <cell r="AD1926">
            <v>0</v>
          </cell>
          <cell r="AE1926"/>
          <cell r="AF1926"/>
          <cell r="AG1926"/>
          <cell r="AH1926"/>
          <cell r="AI1926"/>
          <cell r="AJ1926"/>
          <cell r="AK1926" t="str">
            <v>OL</v>
          </cell>
          <cell r="AL1926">
            <v>151</v>
          </cell>
          <cell r="AM1926">
            <v>374</v>
          </cell>
          <cell r="AN1926" t="str">
            <v>10 Orangeline</v>
          </cell>
          <cell r="AO1926" t="str">
            <v>Southeast</v>
          </cell>
          <cell r="AP1926" t="str">
            <v>North</v>
          </cell>
          <cell r="AQ1926"/>
          <cell r="AR1926">
            <v>0</v>
          </cell>
          <cell r="AS1926">
            <v>0</v>
          </cell>
        </row>
        <row r="1927">
          <cell r="A1927" t="str">
            <v>13373C</v>
          </cell>
          <cell r="B1927" t="str">
            <v>HOOBER INC</v>
          </cell>
          <cell r="C1927" t="str">
            <v>M11340</v>
          </cell>
          <cell r="D1927" t="str">
            <v>Net 30, no pink card</v>
          </cell>
          <cell r="E1927" t="str">
            <v>2%</v>
          </cell>
          <cell r="F1927" t="str">
            <v>Yes</v>
          </cell>
          <cell r="G1927" t="str">
            <v>OH</v>
          </cell>
          <cell r="H1927">
            <v>5</v>
          </cell>
          <cell r="I1927">
            <v>0.7</v>
          </cell>
          <cell r="J1927" t="str">
            <v>Jimmy L Smith</v>
          </cell>
          <cell r="K1927" t="str">
            <v>CHESTER</v>
          </cell>
          <cell r="L1927" t="str">
            <v>VA</v>
          </cell>
          <cell r="M1927" t="str">
            <v>800-577-8858</v>
          </cell>
          <cell r="N1927"/>
          <cell r="O1927"/>
          <cell r="P1927">
            <v>0</v>
          </cell>
          <cell r="Q1927">
            <v>640</v>
          </cell>
          <cell r="R1927">
            <v>2752</v>
          </cell>
          <cell r="S1927"/>
          <cell r="T1927">
            <v>0</v>
          </cell>
          <cell r="U1927" t="str"/>
          <cell r="V1927" t="str"/>
          <cell r="W1927" t="str"/>
          <cell r="X1927" t="str"/>
          <cell r="Y1927"/>
          <cell r="Z1927">
            <v>0</v>
          </cell>
          <cell r="AA1927"/>
          <cell r="AB1927">
            <v>0</v>
          </cell>
          <cell r="AC1927"/>
          <cell r="AD1927">
            <v>0</v>
          </cell>
          <cell r="AE1927"/>
          <cell r="AF1927"/>
          <cell r="AG1927"/>
          <cell r="AH1927"/>
          <cell r="AI1927"/>
          <cell r="AJ1927"/>
          <cell r="AK1927" t="str">
            <v>OL</v>
          </cell>
          <cell r="AL1927">
            <v>151</v>
          </cell>
          <cell r="AM1927">
            <v>374</v>
          </cell>
          <cell r="AN1927" t="str">
            <v>10 Orangeline</v>
          </cell>
          <cell r="AO1927" t="str">
            <v>Southeast</v>
          </cell>
          <cell r="AP1927" t="str">
            <v>North</v>
          </cell>
          <cell r="AQ1927"/>
          <cell r="AR1927">
            <v>0</v>
          </cell>
          <cell r="AS1927">
            <v>0</v>
          </cell>
        </row>
        <row r="1928">
          <cell r="A1928">
            <v>13310</v>
          </cell>
          <cell r="B1928" t="str">
            <v>KUBOTA OF LYNCHBURG</v>
          </cell>
          <cell r="C1928" t="str">
            <v>M11265</v>
          </cell>
          <cell r="D1928" t="str">
            <v>Net 30, no pink card</v>
          </cell>
          <cell r="E1928" t="str">
            <v>2%</v>
          </cell>
          <cell r="F1928" t="str">
            <v>Yes</v>
          </cell>
          <cell r="G1928" t="str">
            <v>OH</v>
          </cell>
          <cell r="H1928">
            <v>5</v>
          </cell>
          <cell r="I1928">
            <v>0.7</v>
          </cell>
          <cell r="J1928" t="str">
            <v>Jimmy L Smith</v>
          </cell>
          <cell r="K1928" t="str">
            <v>LYNCHBURG</v>
          </cell>
          <cell r="L1928" t="str">
            <v>VA</v>
          </cell>
          <cell r="M1928" t="str">
            <v>800-577-8858</v>
          </cell>
          <cell r="N1928"/>
          <cell r="O1928">
            <v>1035</v>
          </cell>
          <cell r="P1928">
            <v>4450.5</v>
          </cell>
          <cell r="Q1928">
            <v>560</v>
          </cell>
          <cell r="R1928">
            <v>2408</v>
          </cell>
          <cell r="S1928"/>
          <cell r="T1928">
            <v>0</v>
          </cell>
          <cell r="U1928" t="str"/>
          <cell r="V1928" t="str"/>
          <cell r="W1928" t="str"/>
          <cell r="X1928" t="str"/>
          <cell r="Y1928"/>
          <cell r="Z1928">
            <v>0</v>
          </cell>
          <cell r="AA1928">
            <v>410</v>
          </cell>
          <cell r="AB1928">
            <v>1763</v>
          </cell>
          <cell r="AC1928">
            <v>410</v>
          </cell>
          <cell r="AD1928">
            <v>1763</v>
          </cell>
          <cell r="AE1928"/>
          <cell r="AF1928"/>
          <cell r="AG1928"/>
          <cell r="AH1928"/>
          <cell r="AI1928"/>
          <cell r="AJ1928">
            <v>0.02</v>
          </cell>
          <cell r="AK1928" t="str">
            <v>OL</v>
          </cell>
          <cell r="AL1928">
            <v>151</v>
          </cell>
          <cell r="AM1928">
            <v>266</v>
          </cell>
          <cell r="AN1928" t="str">
            <v>10 Orangeline</v>
          </cell>
          <cell r="AO1928" t="str">
            <v>Southeast</v>
          </cell>
          <cell r="AP1928" t="str">
            <v>North</v>
          </cell>
          <cell r="AQ1928"/>
          <cell r="AR1928">
            <v>0</v>
          </cell>
          <cell r="AS1928">
            <v>0</v>
          </cell>
        </row>
        <row r="1929">
          <cell r="A1929">
            <v>13392</v>
          </cell>
          <cell r="B1929" t="str">
            <v>PIEDMONT POWER EQUIPMENT</v>
          </cell>
          <cell r="C1929" t="str">
            <v>M10326</v>
          </cell>
          <cell r="D1929" t="str">
            <v>Net 30, no pink card</v>
          </cell>
          <cell r="E1929" t="str">
            <v>FP - Wells Fargo</v>
          </cell>
          <cell r="F1929" t="str">
            <v>Yes</v>
          </cell>
          <cell r="G1929" t="str">
            <v>OH</v>
          </cell>
          <cell r="H1929">
            <v>8</v>
          </cell>
          <cell r="I1929">
            <v>0.7</v>
          </cell>
          <cell r="J1929" t="str">
            <v>Jimmy L Smith</v>
          </cell>
          <cell r="K1929" t="str">
            <v>ORANGE</v>
          </cell>
          <cell r="L1929" t="str">
            <v>VA</v>
          </cell>
          <cell r="M1929" t="str">
            <v>800-577-8858</v>
          </cell>
          <cell r="N1929"/>
          <cell r="O1929"/>
          <cell r="P1929">
            <v>0</v>
          </cell>
          <cell r="Q1929">
            <v>650</v>
          </cell>
          <cell r="R1929">
            <v>2795</v>
          </cell>
          <cell r="S1929"/>
          <cell r="T1929">
            <v>0</v>
          </cell>
          <cell r="U1929" t="str"/>
          <cell r="V1929" t="str"/>
          <cell r="W1929" t="str"/>
          <cell r="X1929" t="str"/>
          <cell r="Y1929"/>
          <cell r="Z1929">
            <v>0</v>
          </cell>
          <cell r="AA1929"/>
          <cell r="AB1929">
            <v>0</v>
          </cell>
          <cell r="AC1929"/>
          <cell r="AD1929">
            <v>0</v>
          </cell>
          <cell r="AE1929"/>
          <cell r="AF1929"/>
          <cell r="AG1929"/>
          <cell r="AH1929"/>
          <cell r="AI1929"/>
          <cell r="AJ1929"/>
          <cell r="AK1929" t="str">
            <v>OL</v>
          </cell>
          <cell r="AL1929">
            <v>151</v>
          </cell>
          <cell r="AM1929">
            <v>75</v>
          </cell>
          <cell r="AN1929" t="str">
            <v>10 Orangeline</v>
          </cell>
          <cell r="AO1929" t="str">
            <v>Southeast</v>
          </cell>
          <cell r="AP1929" t="str">
            <v>North</v>
          </cell>
          <cell r="AQ1929"/>
          <cell r="AR1929">
            <v>0</v>
          </cell>
          <cell r="AS1929">
            <v>0</v>
          </cell>
        </row>
        <row r="1930">
          <cell r="A1930" t="str">
            <v>13392A</v>
          </cell>
          <cell r="B1930" t="str">
            <v>PIEDMONT POWER EQUIPMENT</v>
          </cell>
          <cell r="C1930" t="str">
            <v>M10326</v>
          </cell>
          <cell r="D1930" t="str">
            <v>Net 30, no pink card</v>
          </cell>
          <cell r="E1930" t="str">
            <v>FP - Wells Fargo</v>
          </cell>
          <cell r="F1930" t="str">
            <v>Yes</v>
          </cell>
          <cell r="G1930" t="str">
            <v>OH</v>
          </cell>
          <cell r="H1930">
            <v>8</v>
          </cell>
          <cell r="I1930">
            <v>0.7</v>
          </cell>
          <cell r="J1930" t="str">
            <v>Jimmy L Smith</v>
          </cell>
          <cell r="K1930" t="str">
            <v>CHARLOTTESVILLE</v>
          </cell>
          <cell r="L1930" t="str">
            <v>VA</v>
          </cell>
          <cell r="M1930" t="str">
            <v>800-577-8858</v>
          </cell>
          <cell r="N1930"/>
          <cell r="O1930"/>
          <cell r="P1930">
            <v>0</v>
          </cell>
          <cell r="Q1930">
            <v>620</v>
          </cell>
          <cell r="R1930">
            <v>2666</v>
          </cell>
          <cell r="S1930"/>
          <cell r="T1930">
            <v>0</v>
          </cell>
          <cell r="U1930" t="str"/>
          <cell r="V1930" t="str"/>
          <cell r="W1930" t="str"/>
          <cell r="X1930" t="str"/>
          <cell r="Y1930"/>
          <cell r="Z1930">
            <v>0</v>
          </cell>
          <cell r="AA1930"/>
          <cell r="AB1930">
            <v>0</v>
          </cell>
          <cell r="AC1930"/>
          <cell r="AD1930">
            <v>0</v>
          </cell>
          <cell r="AE1930"/>
          <cell r="AF1930"/>
          <cell r="AG1930"/>
          <cell r="AH1930"/>
          <cell r="AI1930"/>
          <cell r="AJ1930"/>
          <cell r="AK1930" t="str">
            <v>OL</v>
          </cell>
          <cell r="AL1930">
            <v>151</v>
          </cell>
          <cell r="AM1930">
            <v>75</v>
          </cell>
          <cell r="AN1930" t="str">
            <v>10 Orangeline</v>
          </cell>
          <cell r="AO1930" t="str">
            <v>Southeast</v>
          </cell>
          <cell r="AP1930" t="str">
            <v>North</v>
          </cell>
          <cell r="AQ1930"/>
          <cell r="AR1930">
            <v>0</v>
          </cell>
          <cell r="AS1930">
            <v>0</v>
          </cell>
        </row>
        <row r="1931">
          <cell r="A1931">
            <v>13349</v>
          </cell>
          <cell r="B1931" t="str">
            <v>POWERS TRACTOR</v>
          </cell>
          <cell r="C1931" t="str">
            <v>M11312</v>
          </cell>
          <cell r="D1931" t="str">
            <v>Net 30, no pink card</v>
          </cell>
          <cell r="E1931" t="str">
            <v>2%</v>
          </cell>
          <cell r="F1931" t="str">
            <v>Yes</v>
          </cell>
          <cell r="G1931" t="str">
            <v>OH</v>
          </cell>
          <cell r="H1931">
            <v>5</v>
          </cell>
          <cell r="I1931">
            <v>0.7</v>
          </cell>
          <cell r="J1931" t="str">
            <v>Jimmy L Smith</v>
          </cell>
          <cell r="K1931" t="str">
            <v>VINTON</v>
          </cell>
          <cell r="L1931" t="str">
            <v>VA</v>
          </cell>
          <cell r="M1931" t="str">
            <v>800-577-8858</v>
          </cell>
          <cell r="N1931"/>
          <cell r="O1931"/>
          <cell r="P1931">
            <v>0</v>
          </cell>
          <cell r="Q1931">
            <v>550</v>
          </cell>
          <cell r="R1931">
            <v>2365</v>
          </cell>
          <cell r="S1931"/>
          <cell r="T1931">
            <v>0</v>
          </cell>
          <cell r="U1931" t="str"/>
          <cell r="V1931" t="str"/>
          <cell r="W1931" t="str"/>
          <cell r="X1931" t="str"/>
          <cell r="Y1931"/>
          <cell r="Z1931">
            <v>0</v>
          </cell>
          <cell r="AA1931"/>
          <cell r="AB1931">
            <v>0</v>
          </cell>
          <cell r="AC1931"/>
          <cell r="AD1931">
            <v>0</v>
          </cell>
          <cell r="AE1931"/>
          <cell r="AF1931"/>
          <cell r="AG1931"/>
          <cell r="AH1931"/>
          <cell r="AI1931"/>
          <cell r="AJ1931"/>
          <cell r="AK1931" t="str">
            <v>OL</v>
          </cell>
          <cell r="AL1931">
            <v>151</v>
          </cell>
          <cell r="AM1931">
            <v>376</v>
          </cell>
          <cell r="AN1931" t="str">
            <v>10 Orangeline</v>
          </cell>
          <cell r="AO1931" t="str">
            <v>Southeast</v>
          </cell>
          <cell r="AP1931" t="str">
            <v>North</v>
          </cell>
          <cell r="AQ1931"/>
          <cell r="AR1931">
            <v>0</v>
          </cell>
          <cell r="AS1931">
            <v>0</v>
          </cell>
        </row>
        <row r="1932">
          <cell r="A1932">
            <v>13328</v>
          </cell>
          <cell r="B1932" t="str">
            <v>ROCKY MOUNT TRACTOR</v>
          </cell>
          <cell r="C1932" t="str">
            <v>M11250</v>
          </cell>
          <cell r="D1932" t="str">
            <v>Net 30, no pink card</v>
          </cell>
          <cell r="E1932" t="str">
            <v>2%</v>
          </cell>
          <cell r="F1932" t="str">
            <v>Yes</v>
          </cell>
          <cell r="G1932" t="str">
            <v>OH</v>
          </cell>
          <cell r="H1932">
            <v>5</v>
          </cell>
          <cell r="I1932">
            <v>0.7</v>
          </cell>
          <cell r="J1932" t="str">
            <v>Jimmy L Smith</v>
          </cell>
          <cell r="K1932" t="str">
            <v>ROCKY MOUNT</v>
          </cell>
          <cell r="L1932" t="str">
            <v>VA</v>
          </cell>
          <cell r="M1932" t="str">
            <v>800-577-8858</v>
          </cell>
          <cell r="N1932"/>
          <cell r="O1932"/>
          <cell r="P1932">
            <v>0</v>
          </cell>
          <cell r="Q1932">
            <v>520</v>
          </cell>
          <cell r="R1932">
            <v>2236</v>
          </cell>
          <cell r="S1932"/>
          <cell r="T1932">
            <v>0</v>
          </cell>
          <cell r="U1932" t="str"/>
          <cell r="V1932" t="str"/>
          <cell r="W1932" t="str"/>
          <cell r="X1932" t="str"/>
          <cell r="Y1932"/>
          <cell r="Z1932">
            <v>0</v>
          </cell>
          <cell r="AA1932">
            <v>377</v>
          </cell>
          <cell r="AB1932">
            <v>1621.1</v>
          </cell>
          <cell r="AC1932">
            <v>377</v>
          </cell>
          <cell r="AD1932">
            <v>1621.1</v>
          </cell>
          <cell r="AE1932"/>
          <cell r="AF1932"/>
          <cell r="AG1932"/>
          <cell r="AH1932"/>
          <cell r="AI1932"/>
          <cell r="AJ1932"/>
          <cell r="AK1932" t="str">
            <v>OL</v>
          </cell>
          <cell r="AL1932">
            <v>151</v>
          </cell>
          <cell r="AM1932">
            <v>376</v>
          </cell>
          <cell r="AN1932" t="str">
            <v>10 Orangeline</v>
          </cell>
          <cell r="AO1932" t="str">
            <v>Southeast</v>
          </cell>
          <cell r="AP1932" t="str">
            <v>North</v>
          </cell>
          <cell r="AQ1932"/>
          <cell r="AR1932">
            <v>0</v>
          </cell>
          <cell r="AS1932">
            <v>0</v>
          </cell>
        </row>
        <row r="1933">
          <cell r="A1933">
            <v>13380</v>
          </cell>
          <cell r="B1933" t="str">
            <v>STEVENSON TRACTOR</v>
          </cell>
          <cell r="C1933" t="str">
            <v>M11342</v>
          </cell>
          <cell r="D1933" t="str">
            <v>Net 30, no pink card</v>
          </cell>
          <cell r="E1933" t="str">
            <v>2%</v>
          </cell>
          <cell r="F1933" t="str">
            <v>Yes</v>
          </cell>
          <cell r="G1933" t="str">
            <v>OH</v>
          </cell>
          <cell r="H1933">
            <v>5</v>
          </cell>
          <cell r="I1933">
            <v>0.7</v>
          </cell>
          <cell r="J1933" t="str">
            <v>Jimmy L Smith</v>
          </cell>
          <cell r="K1933" t="str">
            <v>CHESAPEAKE</v>
          </cell>
          <cell r="L1933" t="str">
            <v>VA</v>
          </cell>
          <cell r="M1933" t="str">
            <v>800-577-8858</v>
          </cell>
          <cell r="N1933"/>
          <cell r="O1933"/>
          <cell r="P1933">
            <v>0</v>
          </cell>
          <cell r="Q1933">
            <v>670</v>
          </cell>
          <cell r="R1933">
            <v>2881</v>
          </cell>
          <cell r="S1933"/>
          <cell r="T1933">
            <v>0</v>
          </cell>
          <cell r="U1933" t="str"/>
          <cell r="V1933" t="str"/>
          <cell r="W1933" t="str"/>
          <cell r="X1933" t="str"/>
          <cell r="Y1933"/>
          <cell r="Z1933">
            <v>0</v>
          </cell>
          <cell r="AA1933"/>
          <cell r="AB1933">
            <v>0</v>
          </cell>
          <cell r="AC1933"/>
          <cell r="AD1933">
            <v>0</v>
          </cell>
          <cell r="AE1933"/>
          <cell r="AF1933"/>
          <cell r="AG1933"/>
          <cell r="AH1933"/>
          <cell r="AI1933"/>
          <cell r="AJ1933"/>
          <cell r="AK1933" t="str">
            <v>OL</v>
          </cell>
          <cell r="AL1933">
            <v>151</v>
          </cell>
          <cell r="AM1933">
            <v>324</v>
          </cell>
          <cell r="AN1933" t="str">
            <v>10 Orangeline</v>
          </cell>
          <cell r="AO1933" t="str">
            <v>Southeast</v>
          </cell>
          <cell r="AP1933" t="str">
            <v>North</v>
          </cell>
          <cell r="AQ1933"/>
          <cell r="AR1933">
            <v>0</v>
          </cell>
          <cell r="AS1933">
            <v>0</v>
          </cell>
        </row>
        <row r="1934">
          <cell r="A1934">
            <v>13338</v>
          </cell>
          <cell r="B1934" t="str">
            <v>TAYLOR FORBES EQUIP</v>
          </cell>
          <cell r="C1934" t="str">
            <v>M11286</v>
          </cell>
          <cell r="D1934" t="str">
            <v>Net 30, no pink card</v>
          </cell>
          <cell r="E1934" t="str">
            <v>2%</v>
          </cell>
          <cell r="F1934" t="str">
            <v>Yes</v>
          </cell>
          <cell r="G1934" t="str">
            <v>OH</v>
          </cell>
          <cell r="H1934">
            <v>5</v>
          </cell>
          <cell r="I1934">
            <v>0.7</v>
          </cell>
          <cell r="J1934" t="str">
            <v>Jimmy L Smith</v>
          </cell>
          <cell r="K1934" t="str">
            <v>FARMVILLE</v>
          </cell>
          <cell r="L1934" t="str">
            <v>VA</v>
          </cell>
          <cell r="M1934" t="str">
            <v>800-577-8858</v>
          </cell>
          <cell r="N1934"/>
          <cell r="O1934"/>
          <cell r="P1934">
            <v>0</v>
          </cell>
          <cell r="Q1934">
            <v>580</v>
          </cell>
          <cell r="R1934">
            <v>2494</v>
          </cell>
          <cell r="S1934"/>
          <cell r="T1934">
            <v>0</v>
          </cell>
          <cell r="U1934" t="str"/>
          <cell r="V1934" t="str"/>
          <cell r="W1934" t="str"/>
          <cell r="X1934" t="str"/>
          <cell r="Y1934"/>
          <cell r="Z1934">
            <v>0</v>
          </cell>
          <cell r="AA1934"/>
          <cell r="AB1934">
            <v>0</v>
          </cell>
          <cell r="AC1934"/>
          <cell r="AD1934">
            <v>0</v>
          </cell>
          <cell r="AE1934"/>
          <cell r="AF1934"/>
          <cell r="AG1934"/>
          <cell r="AH1934"/>
          <cell r="AI1934"/>
          <cell r="AJ1934"/>
          <cell r="AK1934" t="str">
            <v>OL</v>
          </cell>
          <cell r="AL1934">
            <v>151</v>
          </cell>
          <cell r="AM1934">
            <v>374</v>
          </cell>
          <cell r="AN1934" t="str">
            <v>10 Orangeline</v>
          </cell>
          <cell r="AO1934" t="str">
            <v>Southeast</v>
          </cell>
          <cell r="AP1934" t="str">
            <v>North</v>
          </cell>
          <cell r="AQ1934"/>
          <cell r="AR1934">
            <v>0</v>
          </cell>
          <cell r="AS1934">
            <v>0</v>
          </cell>
        </row>
        <row r="1935">
          <cell r="A1935">
            <v>13378</v>
          </cell>
          <cell r="B1935" t="str">
            <v>WOODSTOCK EQUIPMENT CO.</v>
          </cell>
          <cell r="C1935" t="str">
            <v>M11349</v>
          </cell>
          <cell r="D1935" t="str">
            <v>Net 30, no pink card</v>
          </cell>
          <cell r="E1935" t="str">
            <v>O1-Northpoint</v>
          </cell>
          <cell r="F1935" t="str">
            <v>Yes</v>
          </cell>
          <cell r="G1935" t="str">
            <v>OH</v>
          </cell>
          <cell r="H1935">
            <v>8</v>
          </cell>
          <cell r="I1935">
            <v>0.7</v>
          </cell>
          <cell r="J1935" t="str">
            <v>Jimmy L Smith</v>
          </cell>
          <cell r="K1935" t="str">
            <v>WOODSTOCK</v>
          </cell>
          <cell r="L1935" t="str">
            <v>VA</v>
          </cell>
          <cell r="M1935" t="str">
            <v>800-577-8858</v>
          </cell>
          <cell r="N1935"/>
          <cell r="O1935"/>
          <cell r="P1935">
            <v>0</v>
          </cell>
          <cell r="Q1935">
            <v>680</v>
          </cell>
          <cell r="R1935">
            <v>2924</v>
          </cell>
          <cell r="S1935"/>
          <cell r="T1935">
            <v>0</v>
          </cell>
          <cell r="U1935" t="str"/>
          <cell r="V1935" t="str"/>
          <cell r="W1935" t="str"/>
          <cell r="X1935" t="str"/>
          <cell r="Y1935"/>
          <cell r="Z1935">
            <v>0</v>
          </cell>
          <cell r="AA1935"/>
          <cell r="AB1935">
            <v>0</v>
          </cell>
          <cell r="AC1935"/>
          <cell r="AD1935">
            <v>0</v>
          </cell>
          <cell r="AE1935"/>
          <cell r="AF1935"/>
          <cell r="AG1935"/>
          <cell r="AH1935"/>
          <cell r="AI1935"/>
          <cell r="AJ1935"/>
          <cell r="AK1935" t="str">
            <v>OL</v>
          </cell>
          <cell r="AL1935">
            <v>151</v>
          </cell>
          <cell r="AM1935">
            <v>479</v>
          </cell>
          <cell r="AN1935" t="str">
            <v>10 Orangeline</v>
          </cell>
          <cell r="AO1935" t="str">
            <v>Southeast</v>
          </cell>
          <cell r="AP1935" t="str">
            <v>North</v>
          </cell>
          <cell r="AQ1935"/>
          <cell r="AR1935">
            <v>0</v>
          </cell>
          <cell r="AS1935">
            <v>0</v>
          </cell>
        </row>
        <row r="1936">
          <cell r="A1936">
            <v>13502</v>
          </cell>
          <cell r="B1936" t="str">
            <v>LAWSON BUILDING SUPPLY</v>
          </cell>
          <cell r="C1936" t="str">
            <v>M11476</v>
          </cell>
          <cell r="D1936" t="str">
            <v>Net 30, no pink card</v>
          </cell>
          <cell r="E1936">
            <v>0.02</v>
          </cell>
          <cell r="F1936" t="str">
            <v>Yes</v>
          </cell>
          <cell r="G1936" t="str">
            <v>OH</v>
          </cell>
          <cell r="H1936">
            <v>5</v>
          </cell>
          <cell r="I1936">
            <v>0.7</v>
          </cell>
          <cell r="J1936" t="str">
            <v>Jimmy L Smith</v>
          </cell>
          <cell r="K1936" t="str">
            <v>ROSE HILL</v>
          </cell>
          <cell r="L1936" t="str">
            <v>VA</v>
          </cell>
          <cell r="M1936" t="str">
            <v>800-577-8858</v>
          </cell>
          <cell r="N1936"/>
          <cell r="O1936"/>
          <cell r="P1936">
            <v>0</v>
          </cell>
          <cell r="Q1936">
            <v>450</v>
          </cell>
          <cell r="R1936">
            <v>1935</v>
          </cell>
          <cell r="S1936"/>
          <cell r="T1936">
            <v>0</v>
          </cell>
          <cell r="U1936" t="str"/>
          <cell r="V1936" t="str"/>
          <cell r="W1936" t="str"/>
          <cell r="X1936" t="str"/>
          <cell r="Y1936"/>
          <cell r="Z1936">
            <v>0</v>
          </cell>
          <cell r="AA1936"/>
          <cell r="AB1936">
            <v>0</v>
          </cell>
          <cell r="AC1936"/>
          <cell r="AD1936">
            <v>0</v>
          </cell>
          <cell r="AE1936"/>
          <cell r="AF1936"/>
          <cell r="AG1936"/>
          <cell r="AH1936"/>
          <cell r="AI1936"/>
          <cell r="AJ1936"/>
          <cell r="AK1936" t="str">
            <v>OL</v>
          </cell>
          <cell r="AL1936">
            <v>151</v>
          </cell>
          <cell r="AM1936">
            <v>229</v>
          </cell>
          <cell r="AN1936" t="str">
            <v>10 Orangeline</v>
          </cell>
          <cell r="AO1936" t="str">
            <v>Southeast</v>
          </cell>
          <cell r="AP1936" t="str">
            <v>North</v>
          </cell>
          <cell r="AQ1936"/>
          <cell r="AR1936">
            <v>0</v>
          </cell>
          <cell r="AS1936">
            <v>0</v>
          </cell>
        </row>
        <row r="1937">
          <cell r="A1937">
            <v>12039</v>
          </cell>
          <cell r="B1937" t="str">
            <v>CHAMPLAIN VALLEY</v>
          </cell>
          <cell r="C1937" t="str">
            <v>M10140</v>
          </cell>
          <cell r="D1937" t="str">
            <v>Net 30, no pink card</v>
          </cell>
          <cell r="E1937" t="str">
            <v>2%</v>
          </cell>
          <cell r="F1937" t="str">
            <v>Yes</v>
          </cell>
          <cell r="G1937" t="str">
            <v>OH</v>
          </cell>
          <cell r="H1937">
            <v>5</v>
          </cell>
          <cell r="I1937">
            <v>0.7</v>
          </cell>
          <cell r="J1937" t="str">
            <v>Jimmy L Smith</v>
          </cell>
          <cell r="K1937" t="str">
            <v>MIDDLEBURY</v>
          </cell>
          <cell r="L1937" t="str">
            <v>VT</v>
          </cell>
          <cell r="M1937" t="str">
            <v>800-577-8858</v>
          </cell>
          <cell r="N1937"/>
          <cell r="O1937">
            <v>1615</v>
          </cell>
          <cell r="P1937">
            <v>6944.5</v>
          </cell>
          <cell r="Q1937">
            <v>1234</v>
          </cell>
          <cell r="R1937">
            <v>5306.2</v>
          </cell>
          <cell r="S1937"/>
          <cell r="T1937">
            <v>0</v>
          </cell>
          <cell r="U1937">
            <v>1669</v>
          </cell>
          <cell r="V1937">
            <v>7176.7</v>
          </cell>
          <cell r="W1937">
            <v>1696</v>
          </cell>
          <cell r="X1937">
            <v>7292.7999999999993</v>
          </cell>
          <cell r="Y1937">
            <v>763</v>
          </cell>
          <cell r="Z1937">
            <v>3280.9</v>
          </cell>
          <cell r="AA1937">
            <v>763</v>
          </cell>
          <cell r="AB1937">
            <v>3280.9</v>
          </cell>
          <cell r="AC1937">
            <v>763</v>
          </cell>
          <cell r="AD1937">
            <v>3280.9</v>
          </cell>
          <cell r="AE1937"/>
          <cell r="AF1937"/>
          <cell r="AG1937"/>
          <cell r="AH1937"/>
          <cell r="AI1937"/>
          <cell r="AJ1937"/>
          <cell r="AK1937" t="str">
            <v>OL</v>
          </cell>
          <cell r="AL1937">
            <v>151</v>
          </cell>
          <cell r="AM1937">
            <v>63</v>
          </cell>
          <cell r="AN1937" t="str">
            <v>10 Orangeline</v>
          </cell>
          <cell r="AO1937" t="str">
            <v>Northeast</v>
          </cell>
          <cell r="AP1937" t="str">
            <v>North</v>
          </cell>
          <cell r="AQ1937"/>
          <cell r="AR1937">
            <v>0</v>
          </cell>
          <cell r="AS1937">
            <v>0</v>
          </cell>
        </row>
        <row r="1938">
          <cell r="A1938" t="str">
            <v>12039A</v>
          </cell>
          <cell r="B1938" t="str">
            <v>CHAMPLAIN VALLEY</v>
          </cell>
          <cell r="C1938" t="str">
            <v>M10140</v>
          </cell>
          <cell r="D1938" t="str">
            <v>Net 30, no pink card</v>
          </cell>
          <cell r="E1938" t="str">
            <v>2%</v>
          </cell>
          <cell r="F1938" t="str">
            <v>Yes</v>
          </cell>
          <cell r="G1938" t="str">
            <v>OH</v>
          </cell>
          <cell r="H1938">
            <v>5</v>
          </cell>
          <cell r="I1938">
            <v>0.7</v>
          </cell>
          <cell r="J1938" t="str">
            <v>Jimmy L Smith</v>
          </cell>
          <cell r="K1938" t="str">
            <v>DERBY</v>
          </cell>
          <cell r="L1938" t="str">
            <v>VT</v>
          </cell>
          <cell r="M1938" t="str">
            <v>800-577-8858</v>
          </cell>
          <cell r="N1938"/>
          <cell r="O1938">
            <v>1732</v>
          </cell>
          <cell r="P1938">
            <v>7447.5999999999995</v>
          </cell>
          <cell r="Q1938">
            <v>1342</v>
          </cell>
          <cell r="R1938">
            <v>5770.5999999999995</v>
          </cell>
          <cell r="S1938"/>
          <cell r="T1938">
            <v>0</v>
          </cell>
          <cell r="U1938">
            <v>1756</v>
          </cell>
          <cell r="V1938">
            <v>7550.7999999999993</v>
          </cell>
          <cell r="W1938">
            <v>1812</v>
          </cell>
          <cell r="X1938">
            <v>7791.5999999999995</v>
          </cell>
          <cell r="Y1938">
            <v>864</v>
          </cell>
          <cell r="Z1938">
            <v>3715.2</v>
          </cell>
          <cell r="AA1938">
            <v>864</v>
          </cell>
          <cell r="AB1938">
            <v>3715.2</v>
          </cell>
          <cell r="AC1938">
            <v>864</v>
          </cell>
          <cell r="AD1938">
            <v>3715.2</v>
          </cell>
          <cell r="AE1938"/>
          <cell r="AF1938"/>
          <cell r="AG1938"/>
          <cell r="AH1938"/>
          <cell r="AI1938"/>
          <cell r="AJ1938"/>
          <cell r="AK1938" t="str">
            <v>OL</v>
          </cell>
          <cell r="AL1938">
            <v>151</v>
          </cell>
          <cell r="AM1938">
            <v>63</v>
          </cell>
          <cell r="AN1938" t="str">
            <v>10 Orangeline</v>
          </cell>
          <cell r="AO1938" t="str">
            <v>Northeast</v>
          </cell>
          <cell r="AP1938" t="str">
            <v>North</v>
          </cell>
          <cell r="AQ1938"/>
          <cell r="AR1938">
            <v>0</v>
          </cell>
          <cell r="AS1938">
            <v>0</v>
          </cell>
        </row>
        <row r="1939">
          <cell r="A1939" t="str">
            <v>12039B</v>
          </cell>
          <cell r="B1939" t="str">
            <v>CHAMPLAIN VALLEY</v>
          </cell>
          <cell r="C1939" t="str">
            <v>M10140</v>
          </cell>
          <cell r="D1939" t="str">
            <v>Net 30, no pink card</v>
          </cell>
          <cell r="E1939" t="str">
            <v>2%</v>
          </cell>
          <cell r="F1939" t="str">
            <v>Yes</v>
          </cell>
          <cell r="G1939" t="str">
            <v>OH</v>
          </cell>
          <cell r="H1939">
            <v>5</v>
          </cell>
          <cell r="I1939">
            <v>0.7</v>
          </cell>
          <cell r="J1939" t="str">
            <v>Jimmy L Smith</v>
          </cell>
          <cell r="K1939" t="str">
            <v>ST. ALBANS</v>
          </cell>
          <cell r="L1939" t="str">
            <v>VT</v>
          </cell>
          <cell r="M1939" t="str">
            <v>800-577-8858</v>
          </cell>
          <cell r="N1939"/>
          <cell r="O1939">
            <v>1688</v>
          </cell>
          <cell r="P1939">
            <v>7258.4</v>
          </cell>
          <cell r="Q1939">
            <v>1291</v>
          </cell>
          <cell r="R1939">
            <v>5551.3</v>
          </cell>
          <cell r="S1939"/>
          <cell r="T1939">
            <v>0</v>
          </cell>
          <cell r="U1939">
            <v>1712</v>
          </cell>
          <cell r="V1939">
            <v>7361.5999999999995</v>
          </cell>
          <cell r="W1939">
            <v>1768</v>
          </cell>
          <cell r="X1939">
            <v>7602.4</v>
          </cell>
          <cell r="Y1939">
            <v>811</v>
          </cell>
          <cell r="Z1939">
            <v>3487.2999999999997</v>
          </cell>
          <cell r="AA1939">
            <v>811</v>
          </cell>
          <cell r="AB1939">
            <v>3487.2999999999997</v>
          </cell>
          <cell r="AC1939">
            <v>811</v>
          </cell>
          <cell r="AD1939">
            <v>3487.2999999999997</v>
          </cell>
          <cell r="AE1939"/>
          <cell r="AF1939"/>
          <cell r="AG1939"/>
          <cell r="AH1939"/>
          <cell r="AI1939"/>
          <cell r="AJ1939"/>
          <cell r="AK1939" t="str">
            <v>OL</v>
          </cell>
          <cell r="AL1939">
            <v>151</v>
          </cell>
          <cell r="AM1939">
            <v>63</v>
          </cell>
          <cell r="AN1939" t="str">
            <v>10 Orangeline</v>
          </cell>
          <cell r="AO1939" t="str">
            <v>Northeast</v>
          </cell>
          <cell r="AP1939" t="str">
            <v>North</v>
          </cell>
          <cell r="AQ1939"/>
          <cell r="AR1939">
            <v>0</v>
          </cell>
          <cell r="AS1939">
            <v>0</v>
          </cell>
        </row>
        <row r="1940">
          <cell r="A1940">
            <v>13585</v>
          </cell>
          <cell r="B1940" t="str">
            <v>DEEHAVEN INC / KITSAP</v>
          </cell>
          <cell r="C1940" t="str">
            <v>M11554</v>
          </cell>
          <cell r="D1940" t="str">
            <v>Net 30, no pink card</v>
          </cell>
          <cell r="E1940">
            <v>0.02</v>
          </cell>
          <cell r="F1940" t="str">
            <v>Yes</v>
          </cell>
          <cell r="G1940" t="str">
            <v>ID</v>
          </cell>
          <cell r="H1940">
            <v>5</v>
          </cell>
          <cell r="I1940">
            <v>0.7</v>
          </cell>
          <cell r="J1940" t="str">
            <v>Jimmy L Smith</v>
          </cell>
          <cell r="K1940" t="str">
            <v>SILVERDALE</v>
          </cell>
          <cell r="L1940" t="str">
            <v>WA</v>
          </cell>
          <cell r="M1940" t="str">
            <v>800-577-8865</v>
          </cell>
          <cell r="N1940"/>
          <cell r="O1940">
            <v>2215</v>
          </cell>
          <cell r="P1940">
            <v>9524.5</v>
          </cell>
          <cell r="Q1940"/>
          <cell r="R1940">
            <v>0</v>
          </cell>
          <cell r="S1940">
            <v>519</v>
          </cell>
          <cell r="T1940">
            <v>2231.6999999999998</v>
          </cell>
          <cell r="U1940">
            <v>2088</v>
          </cell>
          <cell r="V1940">
            <v>8978.4</v>
          </cell>
          <cell r="W1940">
            <v>2173</v>
          </cell>
          <cell r="X1940">
            <v>9343.9</v>
          </cell>
          <cell r="Y1940"/>
          <cell r="Z1940">
            <v>0</v>
          </cell>
          <cell r="AA1940"/>
          <cell r="AB1940">
            <v>0</v>
          </cell>
          <cell r="AC1940"/>
          <cell r="AD1940">
            <v>0</v>
          </cell>
          <cell r="AE1940"/>
          <cell r="AF1940"/>
          <cell r="AG1940"/>
          <cell r="AH1940"/>
          <cell r="AI1940"/>
          <cell r="AJ1940"/>
          <cell r="AK1940" t="str">
            <v>OL</v>
          </cell>
          <cell r="AL1940">
            <v>151</v>
          </cell>
          <cell r="AM1940"/>
          <cell r="AN1940" t="str">
            <v>10 Orangeline</v>
          </cell>
          <cell r="AO1940" t="str">
            <v>North West</v>
          </cell>
          <cell r="AP1940" t="str">
            <v>West</v>
          </cell>
          <cell r="AQ1940"/>
          <cell r="AR1940">
            <v>0</v>
          </cell>
          <cell r="AS1940">
            <v>0</v>
          </cell>
        </row>
        <row r="1941">
          <cell r="A1941">
            <v>13527</v>
          </cell>
          <cell r="B1941" t="str">
            <v>JENNINGS EQUIPMENT</v>
          </cell>
          <cell r="C1941" t="str">
            <v>M11498</v>
          </cell>
          <cell r="D1941" t="str">
            <v>Net 30, no pink card</v>
          </cell>
          <cell r="E1941">
            <v>0.02</v>
          </cell>
          <cell r="F1941" t="str">
            <v>Yes</v>
          </cell>
          <cell r="G1941" t="str">
            <v>ID</v>
          </cell>
          <cell r="H1941">
            <v>5</v>
          </cell>
          <cell r="I1941">
            <v>0.7</v>
          </cell>
          <cell r="J1941" t="str">
            <v>Jimmy L Smith</v>
          </cell>
          <cell r="K1941" t="str">
            <v>PUYALLUP</v>
          </cell>
          <cell r="L1941" t="str">
            <v>WA</v>
          </cell>
          <cell r="M1941" t="str">
            <v>800-577-8865</v>
          </cell>
          <cell r="N1941"/>
          <cell r="O1941">
            <v>2234</v>
          </cell>
          <cell r="P1941">
            <v>9606.1999999999989</v>
          </cell>
          <cell r="Q1941"/>
          <cell r="R1941">
            <v>0</v>
          </cell>
          <cell r="S1941">
            <v>492</v>
          </cell>
          <cell r="T1941">
            <v>2115.6</v>
          </cell>
          <cell r="U1941" t="str"/>
          <cell r="V1941" t="str"/>
          <cell r="W1941" t="str"/>
          <cell r="X1941" t="str"/>
          <cell r="Y1941"/>
          <cell r="Z1941">
            <v>0</v>
          </cell>
          <cell r="AA1941"/>
          <cell r="AB1941">
            <v>0</v>
          </cell>
          <cell r="AC1941"/>
          <cell r="AD1941">
            <v>0</v>
          </cell>
          <cell r="AE1941"/>
          <cell r="AF1941"/>
          <cell r="AG1941"/>
          <cell r="AH1941"/>
          <cell r="AI1941"/>
          <cell r="AJ1941"/>
          <cell r="AK1941" t="str">
            <v>OL</v>
          </cell>
          <cell r="AL1941">
            <v>151</v>
          </cell>
          <cell r="AM1941">
            <v>413</v>
          </cell>
          <cell r="AN1941" t="str">
            <v>10 Orangeline</v>
          </cell>
          <cell r="AO1941" t="str">
            <v>North West</v>
          </cell>
          <cell r="AP1941" t="str">
            <v>West</v>
          </cell>
          <cell r="AQ1941"/>
          <cell r="AR1941">
            <v>0</v>
          </cell>
          <cell r="AS1941">
            <v>0</v>
          </cell>
        </row>
        <row r="1942">
          <cell r="A1942" t="str">
            <v>13527A</v>
          </cell>
          <cell r="B1942" t="str">
            <v>JENNINGS EQUIPMENT</v>
          </cell>
          <cell r="C1942" t="str">
            <v>M11498</v>
          </cell>
          <cell r="D1942" t="str">
            <v>Net 30, no pink card</v>
          </cell>
          <cell r="E1942">
            <v>0.02</v>
          </cell>
          <cell r="F1942" t="str">
            <v>Yes</v>
          </cell>
          <cell r="G1942" t="str">
            <v>ID</v>
          </cell>
          <cell r="H1942">
            <v>5</v>
          </cell>
          <cell r="I1942">
            <v>0.7</v>
          </cell>
          <cell r="J1942" t="str">
            <v>Jimmy L Smith</v>
          </cell>
          <cell r="K1942" t="str">
            <v>CHEHALIS</v>
          </cell>
          <cell r="L1942" t="str">
            <v>WA</v>
          </cell>
          <cell r="M1942" t="str">
            <v>800-577-8865</v>
          </cell>
          <cell r="N1942"/>
          <cell r="O1942">
            <v>2204</v>
          </cell>
          <cell r="P1942">
            <v>9477.1999999999989</v>
          </cell>
          <cell r="Q1942"/>
          <cell r="R1942">
            <v>0</v>
          </cell>
          <cell r="S1942">
            <v>482</v>
          </cell>
          <cell r="T1942">
            <v>2072.6</v>
          </cell>
          <cell r="U1942" t="str"/>
          <cell r="V1942" t="str"/>
          <cell r="W1942" t="str"/>
          <cell r="X1942" t="str"/>
          <cell r="Y1942"/>
          <cell r="Z1942">
            <v>0</v>
          </cell>
          <cell r="AA1942"/>
          <cell r="AB1942">
            <v>0</v>
          </cell>
          <cell r="AC1942"/>
          <cell r="AD1942">
            <v>0</v>
          </cell>
          <cell r="AE1942"/>
          <cell r="AF1942"/>
          <cell r="AG1942"/>
          <cell r="AH1942"/>
          <cell r="AI1942"/>
          <cell r="AJ1942"/>
          <cell r="AK1942" t="str">
            <v>OL</v>
          </cell>
          <cell r="AL1942">
            <v>151</v>
          </cell>
          <cell r="AM1942"/>
          <cell r="AN1942" t="str">
            <v>10 Orangeline</v>
          </cell>
          <cell r="AO1942" t="str">
            <v>North West</v>
          </cell>
          <cell r="AP1942" t="str">
            <v>West</v>
          </cell>
          <cell r="AQ1942"/>
          <cell r="AR1942">
            <v>0</v>
          </cell>
          <cell r="AS1942">
            <v>0</v>
          </cell>
        </row>
        <row r="1943">
          <cell r="A1943">
            <v>13598</v>
          </cell>
          <cell r="B1943" t="str">
            <v>VALLEY TRACTOR</v>
          </cell>
          <cell r="C1943" t="str">
            <v>M11567</v>
          </cell>
          <cell r="D1943" t="str">
            <v>Net 30, no pink card</v>
          </cell>
          <cell r="E1943">
            <v>0.02</v>
          </cell>
          <cell r="F1943" t="str">
            <v>Yes</v>
          </cell>
          <cell r="G1943" t="str">
            <v>ID</v>
          </cell>
          <cell r="H1943">
            <v>5</v>
          </cell>
          <cell r="I1943">
            <v>0.7</v>
          </cell>
          <cell r="J1943" t="str">
            <v>Jimmy L Smith</v>
          </cell>
          <cell r="K1943" t="str">
            <v>EAST WENATCHEE</v>
          </cell>
          <cell r="L1943" t="str">
            <v>WA</v>
          </cell>
          <cell r="M1943" t="str">
            <v>800-577-8865</v>
          </cell>
          <cell r="N1943"/>
          <cell r="O1943">
            <v>2092</v>
          </cell>
          <cell r="P1943">
            <v>8995.6</v>
          </cell>
          <cell r="Q1943">
            <v>2652</v>
          </cell>
          <cell r="R1943">
            <v>11403.6</v>
          </cell>
          <cell r="S1943">
            <v>402</v>
          </cell>
          <cell r="T1943">
            <v>1728.6</v>
          </cell>
          <cell r="U1943" t="str"/>
          <cell r="V1943" t="str"/>
          <cell r="W1943" t="str"/>
          <cell r="X1943" t="str"/>
          <cell r="Y1943">
            <v>2231</v>
          </cell>
          <cell r="Z1943">
            <v>9593.2999999999993</v>
          </cell>
          <cell r="AA1943">
            <v>2231</v>
          </cell>
          <cell r="AB1943">
            <v>9593.2999999999993</v>
          </cell>
          <cell r="AC1943">
            <v>2231</v>
          </cell>
          <cell r="AD1943">
            <v>9593.2999999999993</v>
          </cell>
          <cell r="AE1943"/>
          <cell r="AF1943"/>
          <cell r="AG1943"/>
          <cell r="AH1943"/>
          <cell r="AI1943"/>
          <cell r="AJ1943"/>
          <cell r="AK1943" t="str">
            <v>OL</v>
          </cell>
          <cell r="AL1943">
            <v>151</v>
          </cell>
          <cell r="AM1943"/>
          <cell r="AN1943" t="str">
            <v>10 Orangeline</v>
          </cell>
          <cell r="AO1943" t="str">
            <v>North West</v>
          </cell>
          <cell r="AP1943" t="str">
            <v>West</v>
          </cell>
          <cell r="AQ1943"/>
          <cell r="AR1943">
            <v>0</v>
          </cell>
          <cell r="AS1943">
            <v>0</v>
          </cell>
        </row>
        <row r="1944">
          <cell r="A1944">
            <v>13565</v>
          </cell>
          <cell r="B1944" t="str">
            <v>SCHOLTON'S EQUIPMENT</v>
          </cell>
          <cell r="C1944" t="str">
            <v>M11542</v>
          </cell>
          <cell r="D1944" t="str">
            <v>Net 30, no pink card</v>
          </cell>
          <cell r="E1944">
            <v>0.02</v>
          </cell>
          <cell r="F1944" t="str">
            <v>Yes</v>
          </cell>
          <cell r="G1944" t="str">
            <v>ID</v>
          </cell>
          <cell r="H1944">
            <v>5</v>
          </cell>
          <cell r="I1944">
            <v>0.7</v>
          </cell>
          <cell r="J1944" t="str">
            <v>Jimmy L Smith</v>
          </cell>
          <cell r="K1944" t="str">
            <v>LYNDEN</v>
          </cell>
          <cell r="L1944" t="str">
            <v>WA</v>
          </cell>
          <cell r="M1944" t="str">
            <v>208-459-0106</v>
          </cell>
          <cell r="N1944"/>
          <cell r="O1944">
            <v>2297</v>
          </cell>
          <cell r="P1944">
            <v>9877.1</v>
          </cell>
          <cell r="Q1944"/>
          <cell r="R1944">
            <v>0</v>
          </cell>
          <cell r="S1944">
            <v>575</v>
          </cell>
          <cell r="T1944">
            <v>2472.5</v>
          </cell>
          <cell r="U1944"/>
          <cell r="V1944">
            <v>0</v>
          </cell>
          <cell r="W1944"/>
          <cell r="X1944">
            <v>0</v>
          </cell>
          <cell r="Y1944"/>
          <cell r="Z1944">
            <v>0</v>
          </cell>
          <cell r="AA1944"/>
          <cell r="AB1944" t="str">
            <v>n/a</v>
          </cell>
          <cell r="AC1944"/>
          <cell r="AD1944" t="str">
            <v>n/a</v>
          </cell>
          <cell r="AE1944"/>
          <cell r="AF1944"/>
          <cell r="AG1944"/>
          <cell r="AH1944"/>
          <cell r="AI1944"/>
          <cell r="AJ1944"/>
          <cell r="AK1944" t="str">
            <v>OL</v>
          </cell>
          <cell r="AL1944">
            <v>151</v>
          </cell>
          <cell r="AM1944">
            <v>36</v>
          </cell>
          <cell r="AN1944" t="str">
            <v>10 Orangeline</v>
          </cell>
          <cell r="AO1944" t="str">
            <v>North West</v>
          </cell>
          <cell r="AP1944" t="str">
            <v>West</v>
          </cell>
          <cell r="AQ1944"/>
          <cell r="AR1944">
            <v>0</v>
          </cell>
          <cell r="AS1944">
            <v>0</v>
          </cell>
        </row>
        <row r="1945">
          <cell r="A1945">
            <v>13423</v>
          </cell>
          <cell r="B1945" t="str">
            <v>BEAVER MACHINE</v>
          </cell>
          <cell r="C1945" t="str">
            <v>M11189</v>
          </cell>
          <cell r="D1945" t="str">
            <v>Net 30, no pink card</v>
          </cell>
          <cell r="E1945" t="str">
            <v>O1</v>
          </cell>
          <cell r="F1945" t="str">
            <v>Yes</v>
          </cell>
          <cell r="G1945" t="str">
            <v>OH</v>
          </cell>
          <cell r="H1945">
            <v>8</v>
          </cell>
          <cell r="I1945">
            <v>0.7</v>
          </cell>
          <cell r="J1945" t="str">
            <v>Jimmy L Smith</v>
          </cell>
          <cell r="K1945" t="str">
            <v xml:space="preserve">COLEMAN </v>
          </cell>
          <cell r="L1945" t="str">
            <v>WI</v>
          </cell>
          <cell r="M1945" t="str">
            <v>800-577-8865</v>
          </cell>
          <cell r="N1945"/>
          <cell r="O1945"/>
          <cell r="P1945">
            <v>0</v>
          </cell>
          <cell r="Q1945"/>
          <cell r="R1945">
            <v>0</v>
          </cell>
          <cell r="S1945"/>
          <cell r="T1945">
            <v>0</v>
          </cell>
          <cell r="U1945" t="str"/>
          <cell r="V1945" t="str"/>
          <cell r="W1945" t="str"/>
          <cell r="X1945" t="str"/>
          <cell r="Y1945">
            <v>580</v>
          </cell>
          <cell r="Z1945">
            <v>2494</v>
          </cell>
          <cell r="AA1945">
            <v>580</v>
          </cell>
          <cell r="AB1945">
            <v>2494</v>
          </cell>
          <cell r="AC1945">
            <v>580</v>
          </cell>
          <cell r="AD1945">
            <v>2494</v>
          </cell>
          <cell r="AE1945"/>
          <cell r="AF1945"/>
          <cell r="AG1945"/>
          <cell r="AH1945"/>
          <cell r="AI1945"/>
          <cell r="AJ1945"/>
          <cell r="AK1945" t="str">
            <v>OL</v>
          </cell>
          <cell r="AL1945">
            <v>151</v>
          </cell>
          <cell r="AM1945">
            <v>279</v>
          </cell>
          <cell r="AN1945" t="str">
            <v>10 Orangeline</v>
          </cell>
          <cell r="AO1945" t="str">
            <v>Midwest</v>
          </cell>
          <cell r="AP1945" t="str">
            <v>Central</v>
          </cell>
          <cell r="AQ1945"/>
          <cell r="AR1945">
            <v>0</v>
          </cell>
          <cell r="AS1945">
            <v>0</v>
          </cell>
        </row>
        <row r="1946">
          <cell r="A1946">
            <v>13441</v>
          </cell>
          <cell r="B1946" t="str">
            <v>LOCHEN CO</v>
          </cell>
          <cell r="C1946" t="str">
            <v>M11207</v>
          </cell>
          <cell r="D1946" t="str">
            <v>Net 30, no pink card</v>
          </cell>
          <cell r="E1946">
            <v>0.02</v>
          </cell>
          <cell r="F1946" t="str">
            <v>Yes</v>
          </cell>
          <cell r="G1946" t="str">
            <v>OH</v>
          </cell>
          <cell r="H1946">
            <v>5</v>
          </cell>
          <cell r="I1946">
            <v>0.7</v>
          </cell>
          <cell r="J1946" t="str">
            <v>Jimmy L Smith</v>
          </cell>
          <cell r="K1946" t="str">
            <v xml:space="preserve">NEWBURG </v>
          </cell>
          <cell r="L1946" t="str">
            <v>WI</v>
          </cell>
          <cell r="M1946" t="str">
            <v>800-577-8883</v>
          </cell>
          <cell r="N1946"/>
          <cell r="O1946"/>
          <cell r="P1946">
            <v>0</v>
          </cell>
          <cell r="Q1946"/>
          <cell r="R1946">
            <v>0</v>
          </cell>
          <cell r="S1946"/>
          <cell r="T1946">
            <v>0</v>
          </cell>
          <cell r="U1946" t="str"/>
          <cell r="V1946" t="str"/>
          <cell r="W1946" t="str"/>
          <cell r="X1946" t="str"/>
          <cell r="Y1946">
            <v>550</v>
          </cell>
          <cell r="Z1946">
            <v>2365</v>
          </cell>
          <cell r="AA1946">
            <v>550</v>
          </cell>
          <cell r="AB1946">
            <v>2365</v>
          </cell>
          <cell r="AC1946">
            <v>550</v>
          </cell>
          <cell r="AD1946">
            <v>2365</v>
          </cell>
          <cell r="AE1946"/>
          <cell r="AF1946"/>
          <cell r="AG1946"/>
          <cell r="AH1946"/>
          <cell r="AI1946"/>
          <cell r="AJ1946"/>
          <cell r="AK1946" t="str">
            <v>OL</v>
          </cell>
          <cell r="AL1946">
            <v>151</v>
          </cell>
          <cell r="AM1946">
            <v>297</v>
          </cell>
          <cell r="AN1946" t="str">
            <v>10 Orangeline</v>
          </cell>
          <cell r="AO1946" t="str">
            <v>Midwest</v>
          </cell>
          <cell r="AP1946" t="str">
            <v>Central</v>
          </cell>
          <cell r="AQ1946"/>
          <cell r="AR1946">
            <v>0</v>
          </cell>
          <cell r="AS1946">
            <v>0</v>
          </cell>
        </row>
        <row r="1947">
          <cell r="A1947">
            <v>13442</v>
          </cell>
          <cell r="B1947" t="str">
            <v>LULICH IMPL</v>
          </cell>
          <cell r="C1947" t="str">
            <v>M11208</v>
          </cell>
          <cell r="D1947" t="str">
            <v>Net 30, no pink card</v>
          </cell>
          <cell r="E1947" t="str">
            <v>2%</v>
          </cell>
          <cell r="F1947" t="str">
            <v>Yes</v>
          </cell>
          <cell r="G1947" t="str">
            <v>OH</v>
          </cell>
          <cell r="H1947">
            <v>5</v>
          </cell>
          <cell r="I1947">
            <v>0.7</v>
          </cell>
          <cell r="J1947" t="str">
            <v>Jimmy L Smith</v>
          </cell>
          <cell r="K1947" t="str">
            <v xml:space="preserve">MASON </v>
          </cell>
          <cell r="L1947" t="str">
            <v>WI</v>
          </cell>
          <cell r="M1947" t="str">
            <v>800-577-8884</v>
          </cell>
          <cell r="N1947"/>
          <cell r="O1947"/>
          <cell r="P1947">
            <v>0</v>
          </cell>
          <cell r="Q1947"/>
          <cell r="R1947">
            <v>0</v>
          </cell>
          <cell r="S1947"/>
          <cell r="T1947">
            <v>0</v>
          </cell>
          <cell r="U1947" t="str"/>
          <cell r="V1947" t="str"/>
          <cell r="W1947" t="str"/>
          <cell r="X1947" t="str"/>
          <cell r="Y1947">
            <v>770</v>
          </cell>
          <cell r="Z1947">
            <v>3311</v>
          </cell>
          <cell r="AA1947">
            <v>770</v>
          </cell>
          <cell r="AB1947">
            <v>3311</v>
          </cell>
          <cell r="AC1947">
            <v>770</v>
          </cell>
          <cell r="AD1947">
            <v>3311</v>
          </cell>
          <cell r="AE1947"/>
          <cell r="AF1947"/>
          <cell r="AG1947"/>
          <cell r="AH1947"/>
          <cell r="AI1947"/>
          <cell r="AJ1947"/>
          <cell r="AK1947" t="str">
            <v>OL</v>
          </cell>
          <cell r="AL1947">
            <v>151</v>
          </cell>
          <cell r="AM1947">
            <v>119</v>
          </cell>
          <cell r="AN1947" t="str">
            <v>10 Orangeline</v>
          </cell>
          <cell r="AO1947" t="str">
            <v>Midwest</v>
          </cell>
          <cell r="AP1947" t="str">
            <v>Central</v>
          </cell>
          <cell r="AQ1947"/>
          <cell r="AR1947">
            <v>0</v>
          </cell>
          <cell r="AS1947">
            <v>0</v>
          </cell>
        </row>
        <row r="1948">
          <cell r="A1948">
            <v>13525</v>
          </cell>
          <cell r="B1948" t="str">
            <v>REW MOTORS</v>
          </cell>
          <cell r="C1948" t="str">
            <v>M11496</v>
          </cell>
          <cell r="D1948" t="str">
            <v>Net 30, no pink card</v>
          </cell>
          <cell r="E1948" t="str">
            <v>2%</v>
          </cell>
          <cell r="F1948" t="str">
            <v>Yes</v>
          </cell>
          <cell r="G1948" t="str">
            <v>TX</v>
          </cell>
          <cell r="H1948">
            <v>5</v>
          </cell>
          <cell r="I1948">
            <v>0.7</v>
          </cell>
          <cell r="J1948" t="str">
            <v>Jimmy L Smith</v>
          </cell>
          <cell r="K1948" t="str">
            <v>BIRNAMWOOD</v>
          </cell>
          <cell r="L1948" t="str">
            <v>WI</v>
          </cell>
          <cell r="M1948" t="str">
            <v>800-577-8858</v>
          </cell>
          <cell r="N1948"/>
          <cell r="O1948"/>
          <cell r="P1948">
            <v>0</v>
          </cell>
          <cell r="Q1948"/>
          <cell r="R1948">
            <v>0</v>
          </cell>
          <cell r="S1948"/>
          <cell r="T1948">
            <v>0</v>
          </cell>
          <cell r="U1948" t="str"/>
          <cell r="V1948" t="str"/>
          <cell r="W1948" t="str"/>
          <cell r="X1948" t="str"/>
          <cell r="Y1948">
            <v>580</v>
          </cell>
          <cell r="Z1948">
            <v>2494</v>
          </cell>
          <cell r="AA1948">
            <v>580</v>
          </cell>
          <cell r="AB1948">
            <v>2494</v>
          </cell>
          <cell r="AC1948">
            <v>580</v>
          </cell>
          <cell r="AD1948">
            <v>2494</v>
          </cell>
          <cell r="AE1948"/>
          <cell r="AF1948"/>
          <cell r="AG1948"/>
          <cell r="AH1948"/>
          <cell r="AI1948"/>
          <cell r="AJ1948"/>
          <cell r="AK1948" t="str">
            <v>OL</v>
          </cell>
          <cell r="AL1948">
            <v>151</v>
          </cell>
          <cell r="AM1948">
            <v>173</v>
          </cell>
          <cell r="AN1948" t="str">
            <v>10 Orangeline</v>
          </cell>
          <cell r="AO1948" t="str">
            <v>Midwest</v>
          </cell>
          <cell r="AP1948" t="str">
            <v>Central</v>
          </cell>
          <cell r="AQ1948"/>
          <cell r="AR1948">
            <v>0</v>
          </cell>
          <cell r="AS1948">
            <v>0</v>
          </cell>
        </row>
        <row r="1949">
          <cell r="A1949">
            <v>13467</v>
          </cell>
          <cell r="B1949" t="str">
            <v>SERVICE MOTOR</v>
          </cell>
          <cell r="C1949" t="str">
            <v>M11227</v>
          </cell>
          <cell r="D1949" t="str">
            <v>Net 30, no pink card</v>
          </cell>
          <cell r="E1949">
            <v>0.02</v>
          </cell>
          <cell r="F1949" t="str">
            <v>Yes</v>
          </cell>
          <cell r="G1949" t="str">
            <v>OH</v>
          </cell>
          <cell r="H1949">
            <v>5</v>
          </cell>
          <cell r="I1949">
            <v>0.7</v>
          </cell>
          <cell r="J1949" t="str">
            <v>Jimmy L Smith</v>
          </cell>
          <cell r="K1949" t="str">
            <v>DALE</v>
          </cell>
          <cell r="L1949" t="str">
            <v>WI</v>
          </cell>
          <cell r="M1949" t="str">
            <v>800-577-8893</v>
          </cell>
          <cell r="N1949"/>
          <cell r="O1949"/>
          <cell r="P1949">
            <v>0</v>
          </cell>
          <cell r="Q1949"/>
          <cell r="R1949">
            <v>0</v>
          </cell>
          <cell r="S1949"/>
          <cell r="T1949">
            <v>0</v>
          </cell>
          <cell r="U1949" t="str"/>
          <cell r="V1949" t="str"/>
          <cell r="W1949" t="str"/>
          <cell r="X1949" t="str"/>
          <cell r="Y1949">
            <v>530</v>
          </cell>
          <cell r="Z1949">
            <v>2279</v>
          </cell>
          <cell r="AA1949">
            <v>530</v>
          </cell>
          <cell r="AB1949">
            <v>2279</v>
          </cell>
          <cell r="AC1949">
            <v>530</v>
          </cell>
          <cell r="AD1949">
            <v>2279</v>
          </cell>
          <cell r="AE1949"/>
          <cell r="AF1949"/>
          <cell r="AG1949"/>
          <cell r="AH1949"/>
          <cell r="AI1949"/>
          <cell r="AJ1949"/>
          <cell r="AK1949" t="str">
            <v>OL</v>
          </cell>
          <cell r="AL1949">
            <v>151</v>
          </cell>
          <cell r="AM1949">
            <v>18</v>
          </cell>
          <cell r="AN1949" t="str">
            <v>10 Orangeline</v>
          </cell>
          <cell r="AO1949" t="str">
            <v>Midwest</v>
          </cell>
          <cell r="AP1949" t="str">
            <v>Central</v>
          </cell>
          <cell r="AQ1949"/>
          <cell r="AR1949">
            <v>0</v>
          </cell>
          <cell r="AS1949">
            <v>0</v>
          </cell>
        </row>
        <row r="1950">
          <cell r="A1950">
            <v>13451</v>
          </cell>
          <cell r="B1950" t="str">
            <v>POWERSPORTS CO</v>
          </cell>
          <cell r="C1950" t="str">
            <v>M11217</v>
          </cell>
          <cell r="D1950" t="str">
            <v>Net 30, no pink card</v>
          </cell>
          <cell r="E1950" t="str">
            <v>FP</v>
          </cell>
          <cell r="F1950" t="str">
            <v>Yes</v>
          </cell>
          <cell r="G1950" t="str">
            <v>OH</v>
          </cell>
          <cell r="H1950">
            <v>8</v>
          </cell>
          <cell r="I1950">
            <v>0.7</v>
          </cell>
          <cell r="J1950" t="str">
            <v>Jimmy L Smith</v>
          </cell>
          <cell r="K1950" t="str">
            <v>BEAVER DAM</v>
          </cell>
          <cell r="L1950" t="str">
            <v>WI</v>
          </cell>
          <cell r="M1950" t="str">
            <v>800-577-8893</v>
          </cell>
          <cell r="N1950"/>
          <cell r="O1950"/>
          <cell r="P1950">
            <v>0</v>
          </cell>
          <cell r="Q1950"/>
          <cell r="R1950">
            <v>0</v>
          </cell>
          <cell r="S1950"/>
          <cell r="T1950">
            <v>0</v>
          </cell>
          <cell r="U1950" t="str"/>
          <cell r="V1950" t="str"/>
          <cell r="W1950" t="str"/>
          <cell r="X1950" t="str"/>
          <cell r="Y1950">
            <v>490</v>
          </cell>
          <cell r="Z1950">
            <v>2107</v>
          </cell>
          <cell r="AA1950">
            <v>490</v>
          </cell>
          <cell r="AB1950">
            <v>2107</v>
          </cell>
          <cell r="AC1950">
            <v>490</v>
          </cell>
          <cell r="AD1950">
            <v>2107</v>
          </cell>
          <cell r="AE1950"/>
          <cell r="AF1950"/>
          <cell r="AG1950"/>
          <cell r="AH1950"/>
          <cell r="AI1950"/>
          <cell r="AJ1950"/>
          <cell r="AK1950" t="str">
            <v>OL</v>
          </cell>
          <cell r="AL1950">
            <v>151</v>
          </cell>
          <cell r="AM1950">
            <v>297</v>
          </cell>
          <cell r="AN1950" t="str">
            <v>10 Orangeline</v>
          </cell>
          <cell r="AO1950" t="str">
            <v>Midwest</v>
          </cell>
          <cell r="AP1950" t="str">
            <v>Central</v>
          </cell>
          <cell r="AQ1950"/>
          <cell r="AR1950">
            <v>0</v>
          </cell>
          <cell r="AS1950">
            <v>0</v>
          </cell>
        </row>
        <row r="1951">
          <cell r="A1951">
            <v>13412</v>
          </cell>
          <cell r="B1951" t="str">
            <v>STATE EQIPMENT</v>
          </cell>
          <cell r="C1951" t="str">
            <v>M11377</v>
          </cell>
          <cell r="D1951" t="str">
            <v>Net 30, no pink card</v>
          </cell>
          <cell r="E1951" t="str">
            <v>2%</v>
          </cell>
          <cell r="F1951" t="str">
            <v>Yes</v>
          </cell>
          <cell r="G1951" t="str">
            <v>OH</v>
          </cell>
          <cell r="H1951">
            <v>5</v>
          </cell>
          <cell r="I1951">
            <v>0.7</v>
          </cell>
          <cell r="J1951" t="str">
            <v>Jimmy L Smith</v>
          </cell>
          <cell r="K1951" t="str">
            <v>CROSS LANES</v>
          </cell>
          <cell r="L1951" t="str">
            <v>WV</v>
          </cell>
          <cell r="M1951" t="str">
            <v>800-577-8858</v>
          </cell>
          <cell r="N1951" t="str">
            <v>Spares on ALL Trailers</v>
          </cell>
          <cell r="O1951"/>
          <cell r="P1951">
            <v>0</v>
          </cell>
          <cell r="Q1951">
            <v>630</v>
          </cell>
          <cell r="R1951">
            <v>2709</v>
          </cell>
          <cell r="S1951"/>
          <cell r="T1951">
            <v>0</v>
          </cell>
          <cell r="U1951" t="str"/>
          <cell r="V1951" t="str"/>
          <cell r="W1951" t="str"/>
          <cell r="X1951" t="str"/>
          <cell r="Y1951">
            <v>172</v>
          </cell>
          <cell r="Z1951">
            <v>739.6</v>
          </cell>
          <cell r="AA1951">
            <v>172</v>
          </cell>
          <cell r="AB1951">
            <v>739.6</v>
          </cell>
          <cell r="AC1951">
            <v>172</v>
          </cell>
          <cell r="AD1951">
            <v>739.6</v>
          </cell>
          <cell r="AE1951"/>
          <cell r="AF1951"/>
          <cell r="AG1951"/>
          <cell r="AH1951"/>
          <cell r="AI1951"/>
          <cell r="AJ1951"/>
          <cell r="AK1951" t="str">
            <v>OL</v>
          </cell>
          <cell r="AL1951">
            <v>151</v>
          </cell>
          <cell r="AM1951">
            <v>73</v>
          </cell>
          <cell r="AN1951" t="str">
            <v>10 Orangeline</v>
          </cell>
          <cell r="AO1951" t="str">
            <v>Southeast</v>
          </cell>
          <cell r="AP1951" t="str">
            <v>West</v>
          </cell>
          <cell r="AQ1951"/>
          <cell r="AR1951">
            <v>0</v>
          </cell>
          <cell r="AS1951">
            <v>0</v>
          </cell>
        </row>
        <row r="1952">
          <cell r="A1952">
            <v>13393</v>
          </cell>
          <cell r="B1952" t="str">
            <v>CHEYENNE KUBOTA</v>
          </cell>
          <cell r="C1952" t="str">
            <v>M11106</v>
          </cell>
          <cell r="D1952" t="str">
            <v>Net 30, no pink card</v>
          </cell>
          <cell r="E1952" t="str">
            <v>2%</v>
          </cell>
          <cell r="F1952" t="str">
            <v>Yes</v>
          </cell>
          <cell r="G1952" t="str">
            <v>TX</v>
          </cell>
          <cell r="H1952">
            <v>5</v>
          </cell>
          <cell r="I1952">
            <v>0.7</v>
          </cell>
          <cell r="J1952" t="str">
            <v>Lane Davis</v>
          </cell>
          <cell r="K1952" t="str">
            <v>CHEYENNE</v>
          </cell>
          <cell r="L1952" t="str">
            <v>WY</v>
          </cell>
          <cell r="M1952" t="str">
            <v>800-577-8858</v>
          </cell>
          <cell r="N1952" t="str">
            <v>Spares on ALL Trailers</v>
          </cell>
          <cell r="O1952">
            <v>1150</v>
          </cell>
          <cell r="P1952">
            <v>4945</v>
          </cell>
          <cell r="Q1952"/>
          <cell r="R1952">
            <v>0</v>
          </cell>
          <cell r="S1952"/>
          <cell r="T1952">
            <v>0</v>
          </cell>
          <cell r="U1952" t="str"/>
          <cell r="V1952" t="str"/>
          <cell r="W1952" t="str"/>
          <cell r="X1952" t="str"/>
          <cell r="Y1952"/>
          <cell r="Z1952">
            <v>0</v>
          </cell>
          <cell r="AA1952"/>
          <cell r="AB1952" t="str">
            <v>n/a</v>
          </cell>
          <cell r="AC1952"/>
          <cell r="AD1952" t="str">
            <v>n/a</v>
          </cell>
          <cell r="AE1952"/>
          <cell r="AF1952"/>
          <cell r="AG1952"/>
          <cell r="AH1952"/>
          <cell r="AI1952"/>
          <cell r="AJ1952">
            <v>0.02</v>
          </cell>
          <cell r="AK1952" t="str">
            <v>OL</v>
          </cell>
          <cell r="AL1952">
            <v>275</v>
          </cell>
          <cell r="AM1952">
            <v>77</v>
          </cell>
          <cell r="AN1952" t="str">
            <v>10 Orangeline</v>
          </cell>
          <cell r="AO1952" t="str">
            <v>North West</v>
          </cell>
          <cell r="AP1952" t="str">
            <v>West</v>
          </cell>
          <cell r="AQ1952"/>
          <cell r="AR1952">
            <v>0</v>
          </cell>
          <cell r="AS1952">
            <v>0</v>
          </cell>
        </row>
        <row r="1953">
          <cell r="A1953"/>
          <cell r="B1953"/>
          <cell r="C1953"/>
          <cell r="D1953"/>
          <cell r="E1953"/>
          <cell r="F1953"/>
          <cell r="G1953"/>
          <cell r="H1953"/>
          <cell r="I1953">
            <v>0.7</v>
          </cell>
          <cell r="J1953"/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>
            <v>0</v>
          </cell>
          <cell r="W1953" t="str"/>
          <cell r="X1953" t="str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 t="str"/>
          <cell r="AN1953"/>
          <cell r="AO1953"/>
          <cell r="AQ1953"/>
          <cell r="AR1953">
            <v>0</v>
          </cell>
          <cell r="AS1953">
            <v>0</v>
          </cell>
        </row>
        <row r="1954">
          <cell r="A1954"/>
          <cell r="B1954"/>
          <cell r="C1954"/>
          <cell r="D1954"/>
          <cell r="E1954"/>
          <cell r="F1954"/>
          <cell r="G1954"/>
          <cell r="H1954"/>
          <cell r="I1954">
            <v>0.7</v>
          </cell>
          <cell r="J1954"/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>
            <v>0</v>
          </cell>
          <cell r="W1954" t="str"/>
          <cell r="X1954" t="str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 t="str"/>
          <cell r="AN1954"/>
          <cell r="AO1954"/>
          <cell r="AQ1954"/>
          <cell r="AR1954">
            <v>0</v>
          </cell>
          <cell r="AS1954">
            <v>0</v>
          </cell>
        </row>
        <row r="1955">
          <cell r="A1955"/>
          <cell r="B1955"/>
          <cell r="C1955"/>
          <cell r="D1955"/>
          <cell r="E1955"/>
          <cell r="F1955"/>
          <cell r="G1955"/>
          <cell r="H1955"/>
          <cell r="I1955">
            <v>0.7</v>
          </cell>
          <cell r="J1955"/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>
            <v>0</v>
          </cell>
          <cell r="W1955" t="str"/>
          <cell r="X1955" t="str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 t="str"/>
          <cell r="AN1955"/>
          <cell r="AO1955"/>
          <cell r="AQ1955"/>
          <cell r="AR1955">
            <v>0</v>
          </cell>
          <cell r="AS1955">
            <v>0</v>
          </cell>
        </row>
        <row r="1956">
          <cell r="A1956"/>
          <cell r="B1956"/>
          <cell r="C1956"/>
          <cell r="D1956"/>
          <cell r="E1956"/>
          <cell r="F1956"/>
          <cell r="G1956"/>
          <cell r="H1956"/>
          <cell r="I1956">
            <v>0.7</v>
          </cell>
          <cell r="J1956"/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>
            <v>0</v>
          </cell>
          <cell r="W1956" t="str"/>
          <cell r="X1956" t="str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 t="str"/>
          <cell r="AN1956"/>
          <cell r="AO1956"/>
          <cell r="AQ1956"/>
          <cell r="AR1956">
            <v>0</v>
          </cell>
          <cell r="AS1956">
            <v>0</v>
          </cell>
        </row>
        <row r="1957">
          <cell r="A1957"/>
          <cell r="B1957"/>
          <cell r="C1957"/>
          <cell r="D1957"/>
          <cell r="E1957"/>
          <cell r="F1957"/>
          <cell r="G1957"/>
          <cell r="H1957"/>
          <cell r="I1957">
            <v>0.7</v>
          </cell>
          <cell r="J1957"/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>
            <v>0</v>
          </cell>
          <cell r="W1957" t="str"/>
          <cell r="X1957" t="str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 t="str"/>
          <cell r="AN1957"/>
          <cell r="AO1957"/>
          <cell r="AQ1957"/>
          <cell r="AR1957">
            <v>0</v>
          </cell>
          <cell r="AS1957">
            <v>0</v>
          </cell>
        </row>
        <row r="1958">
          <cell r="A1958"/>
          <cell r="B1958"/>
          <cell r="C1958"/>
          <cell r="D1958"/>
          <cell r="E1958"/>
          <cell r="F1958"/>
          <cell r="G1958"/>
          <cell r="H1958"/>
          <cell r="I1958">
            <v>0.7</v>
          </cell>
          <cell r="J1958"/>
          <cell r="K1958"/>
          <cell r="L1958"/>
          <cell r="M1958"/>
          <cell r="N1958"/>
          <cell r="O1958"/>
          <cell r="P1958">
            <v>0</v>
          </cell>
          <cell r="Q1958"/>
          <cell r="R1958">
            <v>0</v>
          </cell>
          <cell r="S1958"/>
          <cell r="T1958">
            <v>0</v>
          </cell>
          <cell r="U1958" t="str"/>
          <cell r="V1958" t="str"/>
          <cell r="W1958" t="str"/>
          <cell r="X1958" t="str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 t="str"/>
          <cell r="AN1958"/>
          <cell r="AO1958"/>
          <cell r="AQ1958"/>
          <cell r="AR1958">
            <v>0</v>
          </cell>
          <cell r="AS1958">
            <v>0</v>
          </cell>
        </row>
      </sheetData>
      <sheetData sheetId="1"/>
      <sheetData sheetId="2">
        <row r="1">
          <cell r="A1" t="str">
            <v>Item Code</v>
          </cell>
          <cell r="B1" t="str">
            <v>Description 1</v>
          </cell>
          <cell r="C1" t="str">
            <v>List</v>
          </cell>
          <cell r="D1"/>
          <cell r="E1" t="str">
            <v>Weight</v>
          </cell>
          <cell r="F1" t="str">
            <v>Major</v>
          </cell>
          <cell r="G1" t="str">
            <v>Surcharge</v>
          </cell>
          <cell r="H1" t="str">
            <v>Freight Surcharge =</v>
          </cell>
          <cell r="I1">
            <v>0</v>
          </cell>
          <cell r="J1" t="str">
            <v>Min Freight =</v>
          </cell>
          <cell r="K1">
            <v>1200</v>
          </cell>
          <cell r="L1"/>
          <cell r="M1"/>
          <cell r="N1"/>
          <cell r="O1"/>
          <cell r="P1"/>
          <cell r="Q1"/>
          <cell r="R1"/>
        </row>
        <row r="2">
          <cell r="A2" t="str">
            <v>10CH-16</v>
          </cell>
          <cell r="B2" t="str">
            <v>SRAMPS, SPMT</v>
          </cell>
          <cell r="C2">
            <v>6300.75</v>
          </cell>
          <cell r="D2">
            <v>0.2</v>
          </cell>
          <cell r="E2">
            <v>1970</v>
          </cell>
          <cell r="F2">
            <v>25</v>
          </cell>
          <cell r="G2">
            <v>0.03</v>
          </cell>
          <cell r="J2" t="str">
            <v>OL Min Freight =</v>
          </cell>
          <cell r="K2">
            <v>1200</v>
          </cell>
          <cell r="L2"/>
          <cell r="M2"/>
          <cell r="N2"/>
          <cell r="O2"/>
          <cell r="P2"/>
          <cell r="Q2"/>
          <cell r="R2"/>
        </row>
        <row r="3">
          <cell r="A3" t="str">
            <v>10CH-18</v>
          </cell>
          <cell r="B3" t="str">
            <v>SRAMPS, SPMT</v>
          </cell>
          <cell r="C3">
            <v>6105.26</v>
          </cell>
          <cell r="D3">
            <v>0.2</v>
          </cell>
          <cell r="E3">
            <v>2125</v>
          </cell>
          <cell r="F3">
            <v>25</v>
          </cell>
          <cell r="G3"/>
          <cell r="L3"/>
          <cell r="M3"/>
          <cell r="N3"/>
          <cell r="O3"/>
          <cell r="P3"/>
          <cell r="Q3"/>
          <cell r="R3"/>
        </row>
        <row r="4">
          <cell r="A4" t="str">
            <v>10CH-18BK5FUR</v>
          </cell>
          <cell r="B4" t="str">
            <v>Flat Deck, 5FUR</v>
          </cell>
          <cell r="C4">
            <v>6616.54</v>
          </cell>
          <cell r="D4">
            <v>0.2</v>
          </cell>
          <cell r="E4">
            <v>2320</v>
          </cell>
          <cell r="F4">
            <v>25</v>
          </cell>
          <cell r="G4"/>
          <cell r="L4"/>
          <cell r="M4"/>
          <cell r="N4"/>
          <cell r="O4"/>
          <cell r="P4"/>
          <cell r="Q4"/>
          <cell r="R4"/>
        </row>
        <row r="5">
          <cell r="A5" t="str">
            <v>10CH-18BKDT</v>
          </cell>
          <cell r="B5" t="str">
            <v>DT, SRAMPS, SPMT</v>
          </cell>
          <cell r="C5">
            <v>6451.13</v>
          </cell>
          <cell r="D5">
            <v>0.2</v>
          </cell>
          <cell r="E5">
            <v>2320</v>
          </cell>
          <cell r="F5">
            <v>25</v>
          </cell>
          <cell r="G5"/>
          <cell r="L5"/>
          <cell r="M5"/>
          <cell r="N5"/>
          <cell r="O5"/>
          <cell r="P5"/>
          <cell r="Q5"/>
          <cell r="R5"/>
        </row>
        <row r="6">
          <cell r="A6" t="str">
            <v>10CH-18BKDT5FUR</v>
          </cell>
          <cell r="B6" t="str">
            <v>DT, 5FUR, SPMT</v>
          </cell>
          <cell r="C6">
            <v>6616.54</v>
          </cell>
          <cell r="D6">
            <v>0.2</v>
          </cell>
          <cell r="E6">
            <v>2320</v>
          </cell>
          <cell r="F6">
            <v>25</v>
          </cell>
          <cell r="G6"/>
          <cell r="L6"/>
          <cell r="M6"/>
          <cell r="N6"/>
          <cell r="O6"/>
          <cell r="P6"/>
          <cell r="Q6"/>
          <cell r="R6"/>
        </row>
        <row r="7">
          <cell r="A7" t="str">
            <v>10CH-20</v>
          </cell>
          <cell r="B7" t="str">
            <v>SRAMPS, SPMT</v>
          </cell>
          <cell r="C7">
            <v>6225.56</v>
          </cell>
          <cell r="D7">
            <v>0.2</v>
          </cell>
          <cell r="E7">
            <v>2280</v>
          </cell>
          <cell r="F7">
            <v>25</v>
          </cell>
          <cell r="G7"/>
          <cell r="L7"/>
          <cell r="M7"/>
          <cell r="N7"/>
          <cell r="O7"/>
          <cell r="P7"/>
          <cell r="Q7"/>
          <cell r="R7"/>
        </row>
        <row r="8">
          <cell r="A8" t="str">
            <v>10CH-20BK</v>
          </cell>
          <cell r="B8" t="str">
            <v>SRAMPS, SPMT</v>
          </cell>
          <cell r="C8">
            <v>6225.56</v>
          </cell>
          <cell r="D8">
            <v>0.2</v>
          </cell>
          <cell r="E8">
            <v>2280</v>
          </cell>
          <cell r="F8">
            <v>25</v>
          </cell>
          <cell r="G8"/>
          <cell r="L8"/>
          <cell r="M8"/>
          <cell r="N8"/>
          <cell r="O8"/>
          <cell r="P8"/>
          <cell r="Q8"/>
          <cell r="R8"/>
        </row>
        <row r="9">
          <cell r="A9" t="str">
            <v>10CH-20BK5FUR</v>
          </cell>
          <cell r="B9" t="str">
            <v>Flat Deck, 5FUR</v>
          </cell>
          <cell r="C9">
            <v>6736.84</v>
          </cell>
          <cell r="D9">
            <v>0.2</v>
          </cell>
          <cell r="E9">
            <v>2320</v>
          </cell>
          <cell r="F9">
            <v>25</v>
          </cell>
          <cell r="G9"/>
          <cell r="L9"/>
          <cell r="M9"/>
          <cell r="N9"/>
          <cell r="O9"/>
          <cell r="P9"/>
          <cell r="Q9"/>
          <cell r="R9"/>
        </row>
        <row r="10">
          <cell r="A10" t="str">
            <v>10CH-20BKDT</v>
          </cell>
          <cell r="B10" t="str">
            <v>DT, SRAMPS, SPMT</v>
          </cell>
          <cell r="C10">
            <v>6571.43</v>
          </cell>
          <cell r="D10">
            <v>0.2</v>
          </cell>
          <cell r="E10">
            <v>2320</v>
          </cell>
          <cell r="F10">
            <v>25</v>
          </cell>
          <cell r="G10"/>
          <cell r="L10"/>
          <cell r="M10"/>
          <cell r="N10"/>
          <cell r="O10"/>
          <cell r="P10"/>
          <cell r="Q10"/>
          <cell r="R10"/>
        </row>
        <row r="11">
          <cell r="A11" t="str">
            <v>10CH-20BKDT5FUR</v>
          </cell>
          <cell r="B11" t="str">
            <v>DT, 5FUR, SPMT</v>
          </cell>
          <cell r="C11">
            <v>6736.84</v>
          </cell>
          <cell r="D11">
            <v>0.2</v>
          </cell>
          <cell r="E11">
            <v>2320</v>
          </cell>
          <cell r="F11">
            <v>25</v>
          </cell>
          <cell r="G11"/>
          <cell r="L11"/>
          <cell r="M11"/>
          <cell r="N11"/>
          <cell r="O11"/>
          <cell r="P11"/>
          <cell r="Q11"/>
          <cell r="R11"/>
        </row>
        <row r="12">
          <cell r="A12" t="str">
            <v>10DM-18</v>
          </cell>
          <cell r="B12" t="str"/>
          <cell r="C12">
            <v>7774.44</v>
          </cell>
          <cell r="D12">
            <v>0.2</v>
          </cell>
          <cell r="E12">
            <v>2480</v>
          </cell>
          <cell r="F12">
            <v>25</v>
          </cell>
          <cell r="G12"/>
          <cell r="L12"/>
          <cell r="M12"/>
          <cell r="N12"/>
          <cell r="O12"/>
          <cell r="P12"/>
          <cell r="Q12"/>
          <cell r="R12"/>
        </row>
        <row r="13">
          <cell r="A13" t="str">
            <v>10DM-18BK</v>
          </cell>
          <cell r="B13" t="str"/>
          <cell r="C13">
            <v>7774.44</v>
          </cell>
          <cell r="D13">
            <v>0.2</v>
          </cell>
          <cell r="E13">
            <v>2480</v>
          </cell>
          <cell r="F13">
            <v>25</v>
          </cell>
          <cell r="G13"/>
          <cell r="L13"/>
          <cell r="M13"/>
          <cell r="N13"/>
          <cell r="O13"/>
          <cell r="P13"/>
          <cell r="Q13"/>
          <cell r="R13"/>
        </row>
        <row r="14">
          <cell r="A14" t="str">
            <v>10DM-20</v>
          </cell>
          <cell r="B14" t="str"/>
          <cell r="C14">
            <v>7894.74</v>
          </cell>
          <cell r="D14">
            <v>0.2</v>
          </cell>
          <cell r="E14">
            <v>2630</v>
          </cell>
          <cell r="F14">
            <v>25</v>
          </cell>
          <cell r="G14"/>
          <cell r="L14"/>
          <cell r="M14"/>
          <cell r="N14"/>
          <cell r="O14"/>
          <cell r="P14"/>
          <cell r="Q14"/>
          <cell r="R14"/>
        </row>
        <row r="15">
          <cell r="A15" t="str">
            <v>10DM-20BK</v>
          </cell>
          <cell r="B15" t="str"/>
          <cell r="C15">
            <v>7894.74</v>
          </cell>
          <cell r="D15">
            <v>0.2</v>
          </cell>
          <cell r="E15">
            <v>2630</v>
          </cell>
          <cell r="F15">
            <v>25</v>
          </cell>
          <cell r="G15"/>
          <cell r="L15"/>
          <cell r="M15"/>
          <cell r="N15"/>
          <cell r="O15"/>
          <cell r="P15"/>
          <cell r="Q15"/>
          <cell r="R15"/>
        </row>
        <row r="16">
          <cell r="A16" t="str">
            <v>10DM-22</v>
          </cell>
          <cell r="B16" t="str"/>
          <cell r="C16">
            <v>8180.45</v>
          </cell>
          <cell r="D16">
            <v>0.2</v>
          </cell>
          <cell r="E16">
            <v>2790</v>
          </cell>
          <cell r="F16">
            <v>25</v>
          </cell>
          <cell r="G16"/>
          <cell r="L16"/>
          <cell r="M16"/>
          <cell r="N16"/>
          <cell r="O16"/>
          <cell r="P16"/>
          <cell r="Q16"/>
          <cell r="R16"/>
        </row>
        <row r="17">
          <cell r="A17" t="str">
            <v>10DM-22BK</v>
          </cell>
          <cell r="B17" t="str"/>
          <cell r="C17">
            <v>8180.45</v>
          </cell>
          <cell r="D17">
            <v>0.2</v>
          </cell>
          <cell r="E17">
            <v>2790</v>
          </cell>
          <cell r="F17">
            <v>25</v>
          </cell>
          <cell r="G17"/>
          <cell r="L17"/>
          <cell r="M17"/>
          <cell r="N17"/>
          <cell r="O17"/>
          <cell r="P17"/>
          <cell r="Q17"/>
          <cell r="R17"/>
        </row>
        <row r="18">
          <cell r="A18" t="str">
            <v>10ET-18BK-KR</v>
          </cell>
          <cell r="B18" t="str">
            <v>3' DT, 5' FUR</v>
          </cell>
          <cell r="C18">
            <v>6827.07</v>
          </cell>
          <cell r="D18">
            <v>0.2</v>
          </cell>
          <cell r="E18">
            <v>2420</v>
          </cell>
          <cell r="F18">
            <v>40</v>
          </cell>
          <cell r="G18"/>
          <cell r="L18"/>
          <cell r="M18"/>
          <cell r="N18"/>
          <cell r="O18"/>
          <cell r="P18"/>
          <cell r="Q18"/>
          <cell r="R18"/>
        </row>
        <row r="19">
          <cell r="A19" t="str">
            <v>10ET-18BK-MR</v>
          </cell>
          <cell r="B19" t="str">
            <v>3' DT, Mega Ramps</v>
          </cell>
          <cell r="C19">
            <v>7548.87</v>
          </cell>
          <cell r="D19">
            <v>0.2</v>
          </cell>
          <cell r="E19">
            <v>2420</v>
          </cell>
          <cell r="F19">
            <v>40</v>
          </cell>
          <cell r="G19"/>
          <cell r="L19"/>
          <cell r="M19"/>
          <cell r="N19"/>
          <cell r="O19"/>
          <cell r="P19"/>
          <cell r="Q19"/>
          <cell r="R19"/>
        </row>
        <row r="20">
          <cell r="A20" t="str">
            <v>10ET-18KR</v>
          </cell>
          <cell r="B20" t="str"/>
          <cell r="C20">
            <v>6827.07</v>
          </cell>
          <cell r="D20">
            <v>0.2</v>
          </cell>
          <cell r="E20">
            <v>2420</v>
          </cell>
          <cell r="F20">
            <v>40</v>
          </cell>
          <cell r="G20"/>
          <cell r="L20"/>
          <cell r="M20"/>
          <cell r="N20"/>
          <cell r="O20"/>
          <cell r="P20"/>
          <cell r="Q20"/>
          <cell r="R20"/>
        </row>
        <row r="21">
          <cell r="A21" t="str">
            <v>10ET-20BK-KR</v>
          </cell>
          <cell r="B21" t="str">
            <v>3' DT, 5' FUR</v>
          </cell>
          <cell r="C21">
            <v>7022.56</v>
          </cell>
          <cell r="D21">
            <v>0.2</v>
          </cell>
          <cell r="E21">
            <v>2520</v>
          </cell>
          <cell r="F21">
            <v>40</v>
          </cell>
          <cell r="G21"/>
          <cell r="L21"/>
          <cell r="M21"/>
          <cell r="N21"/>
          <cell r="O21"/>
          <cell r="P21"/>
          <cell r="Q21"/>
          <cell r="R21"/>
        </row>
        <row r="22">
          <cell r="A22" t="str">
            <v>10ET-20BK-MR</v>
          </cell>
          <cell r="B22" t="str">
            <v>3' DT, Mega Ramps</v>
          </cell>
          <cell r="C22">
            <v>7744.36</v>
          </cell>
          <cell r="D22">
            <v>0.2</v>
          </cell>
          <cell r="E22">
            <v>2520</v>
          </cell>
          <cell r="F22">
            <v>40</v>
          </cell>
          <cell r="G22"/>
          <cell r="L22"/>
          <cell r="M22"/>
          <cell r="N22"/>
          <cell r="O22"/>
          <cell r="P22"/>
          <cell r="Q22"/>
          <cell r="R22"/>
        </row>
        <row r="23">
          <cell r="A23" t="str">
            <v>10ET-20KR</v>
          </cell>
          <cell r="B23" t="str"/>
          <cell r="C23">
            <v>7022.56</v>
          </cell>
          <cell r="D23">
            <v>0.2</v>
          </cell>
          <cell r="E23">
            <v>2520</v>
          </cell>
          <cell r="F23">
            <v>40</v>
          </cell>
          <cell r="G23"/>
          <cell r="L23"/>
          <cell r="M23"/>
          <cell r="N23"/>
          <cell r="O23"/>
          <cell r="P23"/>
          <cell r="Q23"/>
          <cell r="R23"/>
        </row>
        <row r="24">
          <cell r="A24" t="str">
            <v>10LR-18</v>
          </cell>
          <cell r="B24" t="str">
            <v>Discontinued SKU</v>
          </cell>
          <cell r="C24">
            <v>9864.66</v>
          </cell>
          <cell r="D24">
            <v>0.2</v>
          </cell>
          <cell r="E24">
            <v>2740</v>
          </cell>
          <cell r="F24">
            <v>30</v>
          </cell>
          <cell r="G24"/>
          <cell r="L24"/>
          <cell r="M24"/>
          <cell r="N24"/>
          <cell r="O24"/>
          <cell r="P24"/>
          <cell r="Q24"/>
          <cell r="R24"/>
        </row>
        <row r="25">
          <cell r="A25" t="str">
            <v>10LR-18BK</v>
          </cell>
          <cell r="B25" t="str">
            <v>RLB, WERack, ENEX2</v>
          </cell>
          <cell r="C25">
            <v>10165.41</v>
          </cell>
          <cell r="D25">
            <v>0.2</v>
          </cell>
          <cell r="E25">
            <v>2740</v>
          </cell>
          <cell r="F25">
            <v>30</v>
          </cell>
          <cell r="G25"/>
          <cell r="L25"/>
          <cell r="M25"/>
          <cell r="N25"/>
          <cell r="O25"/>
          <cell r="P25"/>
          <cell r="Q25"/>
          <cell r="R25"/>
        </row>
        <row r="26">
          <cell r="A26" t="str">
            <v>10LR-18BK-P4</v>
          </cell>
          <cell r="B26" t="str">
            <v>RLB, WERack, ENEX4</v>
          </cell>
          <cell r="C26">
            <v>11669.17</v>
          </cell>
          <cell r="D26">
            <v>0.2</v>
          </cell>
          <cell r="E26">
            <v>2740</v>
          </cell>
          <cell r="F26">
            <v>30</v>
          </cell>
          <cell r="G26"/>
          <cell r="L26"/>
          <cell r="M26"/>
          <cell r="N26"/>
          <cell r="O26"/>
          <cell r="P26"/>
          <cell r="Q26"/>
          <cell r="R26"/>
        </row>
        <row r="27">
          <cell r="A27" t="str">
            <v>10LR-20</v>
          </cell>
          <cell r="B27" t="str">
            <v>Discontinued SKU</v>
          </cell>
          <cell r="C27">
            <v>9969.92</v>
          </cell>
          <cell r="D27">
            <v>0.2</v>
          </cell>
          <cell r="E27">
            <v>2860</v>
          </cell>
          <cell r="F27">
            <v>30</v>
          </cell>
          <cell r="G27"/>
          <cell r="L27"/>
          <cell r="M27"/>
          <cell r="N27"/>
          <cell r="O27"/>
          <cell r="P27"/>
          <cell r="Q27"/>
          <cell r="R27"/>
        </row>
        <row r="28">
          <cell r="A28" t="str">
            <v>10LR-20BK</v>
          </cell>
          <cell r="B28" t="str">
            <v>RLB, WERack, ENEX2</v>
          </cell>
          <cell r="C28">
            <v>10270.68</v>
          </cell>
          <cell r="D28">
            <v>0.2</v>
          </cell>
          <cell r="E28">
            <v>2860</v>
          </cell>
          <cell r="F28">
            <v>30</v>
          </cell>
          <cell r="G28"/>
          <cell r="L28"/>
          <cell r="M28"/>
          <cell r="N28"/>
          <cell r="O28"/>
          <cell r="P28"/>
          <cell r="Q28"/>
          <cell r="R28"/>
        </row>
        <row r="29">
          <cell r="A29" t="str">
            <v>10LR-20BK-P4</v>
          </cell>
          <cell r="B29" t="str">
            <v>RLB, WERack, ENEX4</v>
          </cell>
          <cell r="C29">
            <v>11774.44</v>
          </cell>
          <cell r="D29">
            <v>0.2</v>
          </cell>
          <cell r="E29">
            <v>3140</v>
          </cell>
          <cell r="F29">
            <v>30</v>
          </cell>
          <cell r="G29"/>
          <cell r="L29"/>
          <cell r="M29"/>
          <cell r="N29"/>
          <cell r="O29"/>
          <cell r="P29"/>
          <cell r="Q29"/>
          <cell r="R29"/>
        </row>
        <row r="30">
          <cell r="A30" t="str">
            <v>10LX-12C2A</v>
          </cell>
          <cell r="B30" t="str">
            <v>6SIR, TARP</v>
          </cell>
          <cell r="C30">
            <v>10451.129999999999</v>
          </cell>
          <cell r="D30">
            <v>0.2</v>
          </cell>
          <cell r="E30">
            <v>3230</v>
          </cell>
          <cell r="F30">
            <v>70</v>
          </cell>
          <cell r="G30"/>
          <cell r="L30"/>
          <cell r="M30"/>
          <cell r="N30"/>
          <cell r="O30"/>
          <cell r="P30"/>
          <cell r="Q30"/>
          <cell r="R30"/>
        </row>
        <row r="31">
          <cell r="A31" t="str">
            <v>10LX-12C2A-BK</v>
          </cell>
          <cell r="B31" t="str">
            <v>6SIR, TARP</v>
          </cell>
          <cell r="C31">
            <v>10451.129999999999</v>
          </cell>
          <cell r="D31">
            <v>0.2</v>
          </cell>
          <cell r="E31">
            <v>3230</v>
          </cell>
          <cell r="F31">
            <v>70</v>
          </cell>
          <cell r="G31"/>
          <cell r="L31"/>
          <cell r="M31"/>
          <cell r="N31"/>
          <cell r="O31"/>
          <cell r="P31"/>
          <cell r="Q31"/>
          <cell r="R31"/>
        </row>
        <row r="32">
          <cell r="A32" t="str">
            <v>10PI-12</v>
          </cell>
          <cell r="B32" t="str"/>
          <cell r="C32">
            <v>7067.67</v>
          </cell>
          <cell r="D32">
            <v>0.2</v>
          </cell>
          <cell r="E32">
            <v>2140</v>
          </cell>
          <cell r="F32">
            <v>20</v>
          </cell>
          <cell r="G32"/>
          <cell r="L32"/>
          <cell r="M32"/>
          <cell r="N32"/>
          <cell r="O32"/>
          <cell r="P32"/>
          <cell r="Q32"/>
          <cell r="R32"/>
        </row>
        <row r="33">
          <cell r="A33" t="str">
            <v>10PI-16</v>
          </cell>
          <cell r="B33" t="str"/>
          <cell r="C33">
            <v>6601.5</v>
          </cell>
          <cell r="D33">
            <v>0.2</v>
          </cell>
          <cell r="E33">
            <v>2260</v>
          </cell>
          <cell r="F33">
            <v>20</v>
          </cell>
          <cell r="G33"/>
          <cell r="L33"/>
          <cell r="M33"/>
          <cell r="N33"/>
          <cell r="O33"/>
          <cell r="P33"/>
          <cell r="Q33"/>
          <cell r="R33"/>
        </row>
        <row r="34">
          <cell r="A34" t="str">
            <v>10PI-16BK</v>
          </cell>
          <cell r="B34" t="str"/>
          <cell r="C34">
            <v>6601.5</v>
          </cell>
          <cell r="D34">
            <v>0.2</v>
          </cell>
          <cell r="E34">
            <v>2260</v>
          </cell>
          <cell r="F34">
            <v>20</v>
          </cell>
          <cell r="G34"/>
          <cell r="L34"/>
          <cell r="M34"/>
          <cell r="N34"/>
          <cell r="O34"/>
          <cell r="P34"/>
          <cell r="Q34"/>
          <cell r="R34"/>
        </row>
        <row r="35">
          <cell r="A35" t="str">
            <v>10PI-16BK4HDIR</v>
          </cell>
          <cell r="B35" t="str">
            <v>4' HDIRG</v>
          </cell>
          <cell r="C35">
            <v>7097.74</v>
          </cell>
          <cell r="D35">
            <v>0.2</v>
          </cell>
          <cell r="E35">
            <v>2360</v>
          </cell>
          <cell r="F35">
            <v>20</v>
          </cell>
          <cell r="G35"/>
          <cell r="L35"/>
          <cell r="M35"/>
          <cell r="N35"/>
          <cell r="O35"/>
          <cell r="P35"/>
          <cell r="Q35"/>
          <cell r="R35"/>
        </row>
        <row r="36">
          <cell r="A36" t="str">
            <v>10PI-16BK5FUR</v>
          </cell>
          <cell r="B36" t="str">
            <v>FUR5</v>
          </cell>
          <cell r="C36">
            <v>6706.77</v>
          </cell>
          <cell r="D36">
            <v>0.2</v>
          </cell>
          <cell r="E36">
            <v>2310</v>
          </cell>
          <cell r="F36">
            <v>20</v>
          </cell>
          <cell r="G36"/>
          <cell r="L36"/>
          <cell r="M36"/>
          <cell r="N36"/>
          <cell r="O36"/>
          <cell r="P36"/>
          <cell r="Q36"/>
          <cell r="R36"/>
        </row>
        <row r="37">
          <cell r="A37" t="str">
            <v>10PI-18</v>
          </cell>
          <cell r="B37" t="str"/>
          <cell r="C37">
            <v>6721.8</v>
          </cell>
          <cell r="D37">
            <v>0.2</v>
          </cell>
          <cell r="E37">
            <v>2320</v>
          </cell>
          <cell r="F37">
            <v>20</v>
          </cell>
          <cell r="G37"/>
          <cell r="L37"/>
          <cell r="M37"/>
          <cell r="N37"/>
          <cell r="O37"/>
          <cell r="P37"/>
          <cell r="Q37"/>
          <cell r="R37"/>
        </row>
        <row r="38">
          <cell r="A38" t="str">
            <v>10PI-18BK</v>
          </cell>
          <cell r="B38" t="str"/>
          <cell r="C38">
            <v>6721.8</v>
          </cell>
          <cell r="D38">
            <v>0.2</v>
          </cell>
          <cell r="E38">
            <v>2320</v>
          </cell>
          <cell r="F38">
            <v>20</v>
          </cell>
          <cell r="G38"/>
          <cell r="L38"/>
          <cell r="M38"/>
          <cell r="N38"/>
          <cell r="O38"/>
          <cell r="P38"/>
          <cell r="Q38"/>
          <cell r="R38"/>
        </row>
        <row r="39">
          <cell r="A39" t="str">
            <v>10PI-18BK4HDIR</v>
          </cell>
          <cell r="B39" t="str">
            <v>4' HDIRG</v>
          </cell>
          <cell r="C39">
            <v>7218.05</v>
          </cell>
          <cell r="D39">
            <v>0.2</v>
          </cell>
          <cell r="E39">
            <v>2420</v>
          </cell>
          <cell r="F39">
            <v>20</v>
          </cell>
          <cell r="G39"/>
          <cell r="L39"/>
          <cell r="M39"/>
          <cell r="N39"/>
          <cell r="O39"/>
          <cell r="P39"/>
          <cell r="Q39"/>
          <cell r="R39"/>
        </row>
        <row r="40">
          <cell r="A40" t="str">
            <v>10PI-18BK5FUR</v>
          </cell>
          <cell r="B40" t="str">
            <v>FUR5</v>
          </cell>
          <cell r="C40">
            <v>6827.07</v>
          </cell>
          <cell r="D40">
            <v>0.2</v>
          </cell>
          <cell r="E40">
            <v>2370</v>
          </cell>
          <cell r="F40">
            <v>20</v>
          </cell>
          <cell r="G40"/>
          <cell r="L40"/>
          <cell r="M40"/>
          <cell r="N40"/>
          <cell r="O40"/>
          <cell r="P40"/>
          <cell r="Q40"/>
          <cell r="R40"/>
        </row>
        <row r="41">
          <cell r="A41" t="str">
            <v>10PI-20</v>
          </cell>
          <cell r="B41" t="str"/>
          <cell r="C41">
            <v>6827.07</v>
          </cell>
          <cell r="D41">
            <v>0.2</v>
          </cell>
          <cell r="E41">
            <v>2380</v>
          </cell>
          <cell r="F41">
            <v>20</v>
          </cell>
          <cell r="G41"/>
          <cell r="L41"/>
          <cell r="M41"/>
          <cell r="N41"/>
          <cell r="O41"/>
          <cell r="P41"/>
          <cell r="Q41"/>
          <cell r="R41"/>
        </row>
        <row r="42">
          <cell r="A42" t="str">
            <v>10PI-20BK</v>
          </cell>
          <cell r="B42" t="str"/>
          <cell r="C42">
            <v>6827.07</v>
          </cell>
          <cell r="D42">
            <v>0.2</v>
          </cell>
          <cell r="E42">
            <v>2380</v>
          </cell>
          <cell r="F42">
            <v>20</v>
          </cell>
          <cell r="G42"/>
          <cell r="L42"/>
          <cell r="M42"/>
          <cell r="N42"/>
          <cell r="O42"/>
          <cell r="P42"/>
          <cell r="Q42"/>
          <cell r="R42"/>
        </row>
        <row r="43">
          <cell r="A43" t="str">
            <v>10PI-20BK4HDIR</v>
          </cell>
          <cell r="B43" t="str">
            <v>4' HDIRG</v>
          </cell>
          <cell r="C43">
            <v>7323.31</v>
          </cell>
          <cell r="D43">
            <v>0.2</v>
          </cell>
          <cell r="E43">
            <v>2480</v>
          </cell>
          <cell r="F43">
            <v>20</v>
          </cell>
          <cell r="G43"/>
          <cell r="L43"/>
          <cell r="M43"/>
          <cell r="N43"/>
          <cell r="O43"/>
          <cell r="P43"/>
          <cell r="Q43"/>
          <cell r="R43"/>
        </row>
        <row r="44">
          <cell r="A44" t="str">
            <v>10PI-20BK5FUR</v>
          </cell>
          <cell r="B44" t="str">
            <v>FUR5</v>
          </cell>
          <cell r="C44">
            <v>6932.33</v>
          </cell>
          <cell r="D44">
            <v>0.2</v>
          </cell>
          <cell r="E44">
            <v>2430</v>
          </cell>
          <cell r="F44">
            <v>20</v>
          </cell>
          <cell r="G44"/>
          <cell r="L44"/>
          <cell r="M44"/>
          <cell r="N44"/>
          <cell r="O44"/>
          <cell r="P44"/>
          <cell r="Q44"/>
          <cell r="R44"/>
        </row>
        <row r="45">
          <cell r="A45" t="str">
            <v>10TV-16</v>
          </cell>
          <cell r="B45" t="str"/>
          <cell r="C45">
            <v>9744.36</v>
          </cell>
          <cell r="D45">
            <v>0.2</v>
          </cell>
          <cell r="E45">
            <v>2220</v>
          </cell>
          <cell r="F45">
            <v>30</v>
          </cell>
          <cell r="G45"/>
          <cell r="L45"/>
          <cell r="M45"/>
          <cell r="N45"/>
          <cell r="O45"/>
          <cell r="P45"/>
          <cell r="Q45"/>
          <cell r="R45"/>
        </row>
        <row r="46">
          <cell r="A46" t="str">
            <v>10TV-16BK</v>
          </cell>
          <cell r="B46" t="str">
            <v>Vanguard, RG4, SPMT</v>
          </cell>
          <cell r="C46">
            <v>9744.36</v>
          </cell>
          <cell r="D46">
            <v>0.2</v>
          </cell>
          <cell r="E46">
            <v>2220</v>
          </cell>
          <cell r="F46">
            <v>30</v>
          </cell>
          <cell r="G46"/>
          <cell r="L46"/>
          <cell r="M46"/>
          <cell r="N46"/>
          <cell r="O46"/>
          <cell r="P46"/>
          <cell r="Q46"/>
          <cell r="R46"/>
        </row>
        <row r="47">
          <cell r="A47" t="str">
            <v>10TV-18</v>
          </cell>
          <cell r="B47" t="str"/>
          <cell r="C47">
            <v>9624.06</v>
          </cell>
          <cell r="D47">
            <v>0.2</v>
          </cell>
          <cell r="E47">
            <v>2350</v>
          </cell>
          <cell r="F47">
            <v>30</v>
          </cell>
          <cell r="G47"/>
          <cell r="L47"/>
          <cell r="M47"/>
          <cell r="N47"/>
          <cell r="O47"/>
          <cell r="P47"/>
          <cell r="Q47"/>
          <cell r="R47"/>
        </row>
        <row r="48">
          <cell r="A48" t="str">
            <v>10TV-18BK</v>
          </cell>
          <cell r="B48" t="str">
            <v>Vanguard, RG4, SPMT</v>
          </cell>
          <cell r="C48">
            <v>9624.06</v>
          </cell>
          <cell r="D48">
            <v>0.2</v>
          </cell>
          <cell r="E48">
            <v>2475</v>
          </cell>
          <cell r="F48">
            <v>30</v>
          </cell>
          <cell r="G48"/>
          <cell r="L48"/>
          <cell r="M48"/>
          <cell r="N48"/>
          <cell r="O48"/>
          <cell r="P48"/>
          <cell r="Q48"/>
          <cell r="R48"/>
        </row>
        <row r="49">
          <cell r="A49" t="str">
            <v>10TV-20</v>
          </cell>
          <cell r="B49" t="str"/>
          <cell r="C49">
            <v>9744.36</v>
          </cell>
          <cell r="D49">
            <v>0.2</v>
          </cell>
          <cell r="E49">
            <v>2475</v>
          </cell>
          <cell r="F49">
            <v>30</v>
          </cell>
          <cell r="G49"/>
          <cell r="L49"/>
          <cell r="M49"/>
          <cell r="N49"/>
          <cell r="O49"/>
          <cell r="P49"/>
          <cell r="Q49"/>
          <cell r="R49"/>
        </row>
        <row r="50">
          <cell r="A50" t="str">
            <v>10TV-20BK</v>
          </cell>
          <cell r="B50" t="str">
            <v>Vanguard, RG4, SPMT</v>
          </cell>
          <cell r="C50">
            <v>9744.36</v>
          </cell>
          <cell r="D50">
            <v>0.2</v>
          </cell>
          <cell r="E50">
            <v>2630</v>
          </cell>
          <cell r="F50">
            <v>30</v>
          </cell>
          <cell r="G50"/>
          <cell r="L50"/>
          <cell r="M50"/>
          <cell r="N50"/>
          <cell r="O50"/>
          <cell r="P50"/>
          <cell r="Q50"/>
          <cell r="R50"/>
        </row>
        <row r="51">
          <cell r="A51" t="str">
            <v>12SR-12XLBK6SIR</v>
          </cell>
          <cell r="B51" t="str">
            <v>6SIR, SPMT, DISCONTINUED</v>
          </cell>
          <cell r="C51">
            <v>11894.74</v>
          </cell>
          <cell r="D51">
            <v>0.2</v>
          </cell>
          <cell r="E51">
            <v>3410</v>
          </cell>
          <cell r="F51">
            <v>70</v>
          </cell>
          <cell r="G51"/>
          <cell r="L51"/>
          <cell r="M51"/>
          <cell r="N51"/>
          <cell r="O51"/>
          <cell r="P51"/>
          <cell r="Q51"/>
          <cell r="R51"/>
        </row>
        <row r="52">
          <cell r="A52" t="str">
            <v>13BN</v>
          </cell>
          <cell r="B52" t="str">
            <v>ROLLOFF BIN</v>
          </cell>
          <cell r="C52">
            <v>4660.1499999999996</v>
          </cell>
          <cell r="D52">
            <v>0.2</v>
          </cell>
          <cell r="E52">
            <v>2280</v>
          </cell>
          <cell r="F52">
            <v>75</v>
          </cell>
          <cell r="G52"/>
          <cell r="L52"/>
          <cell r="M52"/>
          <cell r="N52"/>
          <cell r="O52"/>
          <cell r="P52"/>
          <cell r="Q52"/>
          <cell r="R52"/>
        </row>
        <row r="53">
          <cell r="A53" t="str">
            <v>14EB-18D2A</v>
          </cell>
          <cell r="B53" t="str"/>
          <cell r="C53">
            <v>7203.01</v>
          </cell>
          <cell r="D53">
            <v>0.2</v>
          </cell>
          <cell r="E53">
            <v>2860</v>
          </cell>
          <cell r="F53">
            <v>40</v>
          </cell>
          <cell r="G53"/>
          <cell r="L53"/>
          <cell r="M53"/>
          <cell r="N53"/>
          <cell r="O53"/>
          <cell r="P53"/>
          <cell r="Q53"/>
          <cell r="R53"/>
        </row>
        <row r="54">
          <cell r="A54" t="str">
            <v>14EB-18D2A-KRBK</v>
          </cell>
          <cell r="B54" t="str">
            <v>DT, FUR5</v>
          </cell>
          <cell r="C54">
            <v>7203.01</v>
          </cell>
          <cell r="D54">
            <v>0.2</v>
          </cell>
          <cell r="E54">
            <v>2860</v>
          </cell>
          <cell r="F54">
            <v>40</v>
          </cell>
          <cell r="G54"/>
          <cell r="L54"/>
          <cell r="M54"/>
          <cell r="N54"/>
          <cell r="O54"/>
          <cell r="P54"/>
          <cell r="Q54"/>
          <cell r="R54"/>
        </row>
        <row r="55">
          <cell r="A55" t="str">
            <v>14EB-20D2A</v>
          </cell>
          <cell r="B55" t="str"/>
          <cell r="C55">
            <v>7383.46</v>
          </cell>
          <cell r="D55">
            <v>0.2</v>
          </cell>
          <cell r="E55">
            <v>3020</v>
          </cell>
          <cell r="F55">
            <v>40</v>
          </cell>
          <cell r="G55"/>
          <cell r="L55"/>
          <cell r="M55"/>
          <cell r="N55"/>
          <cell r="O55"/>
          <cell r="P55"/>
          <cell r="Q55"/>
          <cell r="R55"/>
        </row>
        <row r="56">
          <cell r="A56" t="str">
            <v>14EB-20D2A-KRBK</v>
          </cell>
          <cell r="B56" t="str">
            <v>DT, FUR5</v>
          </cell>
          <cell r="C56">
            <v>7383.46</v>
          </cell>
          <cell r="D56">
            <v>0.2</v>
          </cell>
          <cell r="E56">
            <v>3020</v>
          </cell>
          <cell r="F56">
            <v>40</v>
          </cell>
          <cell r="G56"/>
          <cell r="L56"/>
          <cell r="M56"/>
          <cell r="N56"/>
          <cell r="O56"/>
          <cell r="P56"/>
          <cell r="Q56"/>
          <cell r="R56"/>
        </row>
        <row r="57">
          <cell r="A57" t="str">
            <v>14EB-22D2A</v>
          </cell>
          <cell r="B57" t="str"/>
          <cell r="C57">
            <v>7563.91</v>
          </cell>
          <cell r="D57">
            <v>0.2</v>
          </cell>
          <cell r="E57">
            <v>3150</v>
          </cell>
          <cell r="F57">
            <v>40</v>
          </cell>
          <cell r="G57"/>
          <cell r="L57"/>
          <cell r="M57"/>
          <cell r="N57"/>
          <cell r="O57"/>
          <cell r="P57"/>
          <cell r="Q57"/>
          <cell r="R57"/>
        </row>
        <row r="58">
          <cell r="A58" t="str">
            <v>14EB-22D2A-KRBK</v>
          </cell>
          <cell r="B58" t="str">
            <v>DT, FUR5</v>
          </cell>
          <cell r="C58">
            <v>7563.91</v>
          </cell>
          <cell r="D58">
            <v>0.2</v>
          </cell>
          <cell r="E58">
            <v>3150</v>
          </cell>
          <cell r="F58">
            <v>40</v>
          </cell>
          <cell r="G58"/>
          <cell r="L58"/>
          <cell r="M58"/>
          <cell r="N58"/>
          <cell r="O58"/>
          <cell r="P58"/>
          <cell r="Q58"/>
          <cell r="R58"/>
        </row>
        <row r="59">
          <cell r="A59" t="str">
            <v>14EH-16D3A</v>
          </cell>
          <cell r="B59" t="str"/>
          <cell r="C59">
            <v>8481.2000000000007</v>
          </cell>
          <cell r="D59">
            <v>0.2</v>
          </cell>
          <cell r="E59">
            <v>2860</v>
          </cell>
          <cell r="F59">
            <v>40</v>
          </cell>
          <cell r="G59"/>
          <cell r="L59"/>
          <cell r="M59"/>
          <cell r="N59"/>
          <cell r="O59"/>
          <cell r="P59"/>
          <cell r="Q59"/>
          <cell r="R59"/>
        </row>
        <row r="60">
          <cell r="A60" t="str">
            <v>14EH-16D3A-KRBK</v>
          </cell>
          <cell r="B60" t="str">
            <v>DT, KNEE RAMPS</v>
          </cell>
          <cell r="C60">
            <v>8481.2000000000007</v>
          </cell>
          <cell r="D60">
            <v>0.2</v>
          </cell>
          <cell r="E60">
            <v>2860</v>
          </cell>
          <cell r="F60">
            <v>40</v>
          </cell>
          <cell r="G60"/>
          <cell r="L60"/>
          <cell r="M60"/>
          <cell r="N60"/>
          <cell r="O60"/>
          <cell r="P60"/>
          <cell r="Q60"/>
          <cell r="R60"/>
        </row>
        <row r="61">
          <cell r="A61" t="str">
            <v>14EH-16D3A-MRBK</v>
          </cell>
          <cell r="B61" t="str">
            <v>DT, MEGA RAMPS</v>
          </cell>
          <cell r="C61">
            <v>9203</v>
          </cell>
          <cell r="D61">
            <v>0.2</v>
          </cell>
          <cell r="E61">
            <v>3060</v>
          </cell>
          <cell r="F61">
            <v>40</v>
          </cell>
          <cell r="G61"/>
          <cell r="L61"/>
          <cell r="M61"/>
          <cell r="N61"/>
          <cell r="O61"/>
          <cell r="P61"/>
          <cell r="Q61"/>
          <cell r="R61"/>
        </row>
        <row r="62">
          <cell r="A62" t="str">
            <v>14EH-18D3A</v>
          </cell>
          <cell r="B62" t="str"/>
          <cell r="C62">
            <v>8691.73</v>
          </cell>
          <cell r="D62">
            <v>0.2</v>
          </cell>
          <cell r="E62">
            <v>3020</v>
          </cell>
          <cell r="F62">
            <v>40</v>
          </cell>
          <cell r="G62"/>
          <cell r="L62"/>
          <cell r="M62"/>
          <cell r="N62"/>
          <cell r="O62"/>
          <cell r="P62"/>
          <cell r="Q62"/>
          <cell r="R62"/>
        </row>
        <row r="63">
          <cell r="A63" t="str">
            <v>14EH-18D3A-KRBK</v>
          </cell>
          <cell r="B63" t="str">
            <v>DT, KNEE RAMPS</v>
          </cell>
          <cell r="C63">
            <v>8691.73</v>
          </cell>
          <cell r="D63">
            <v>0.2</v>
          </cell>
          <cell r="E63">
            <v>3020</v>
          </cell>
          <cell r="F63">
            <v>40</v>
          </cell>
          <cell r="G63"/>
          <cell r="L63"/>
          <cell r="M63"/>
          <cell r="N63"/>
          <cell r="O63"/>
          <cell r="P63"/>
          <cell r="Q63"/>
          <cell r="R63"/>
        </row>
        <row r="64">
          <cell r="A64" t="str">
            <v>14EH-18D3A-MRBK</v>
          </cell>
          <cell r="B64" t="str">
            <v>DT, MEGA RAMPS</v>
          </cell>
          <cell r="C64">
            <v>9413.5300000000007</v>
          </cell>
          <cell r="D64">
            <v>0.2</v>
          </cell>
          <cell r="E64">
            <v>3220</v>
          </cell>
          <cell r="F64">
            <v>40</v>
          </cell>
          <cell r="G64"/>
          <cell r="L64"/>
          <cell r="M64"/>
          <cell r="N64"/>
          <cell r="O64"/>
          <cell r="P64"/>
          <cell r="Q64"/>
          <cell r="R64"/>
        </row>
        <row r="65">
          <cell r="A65" t="str">
            <v>14EH-20D3A</v>
          </cell>
          <cell r="B65" t="str"/>
          <cell r="C65">
            <v>8902.25</v>
          </cell>
          <cell r="D65">
            <v>0.2</v>
          </cell>
          <cell r="E65">
            <v>3150</v>
          </cell>
          <cell r="F65">
            <v>40</v>
          </cell>
          <cell r="G65"/>
          <cell r="L65"/>
          <cell r="M65"/>
          <cell r="N65"/>
          <cell r="O65"/>
          <cell r="P65"/>
          <cell r="Q65"/>
          <cell r="R65"/>
        </row>
        <row r="66">
          <cell r="A66" t="str">
            <v>14EH-20D3A-KRBK</v>
          </cell>
          <cell r="B66" t="str">
            <v>DT, KNEE RAMPS</v>
          </cell>
          <cell r="C66">
            <v>8902.26</v>
          </cell>
          <cell r="D66">
            <v>0.2</v>
          </cell>
          <cell r="E66">
            <v>3150</v>
          </cell>
          <cell r="F66">
            <v>40</v>
          </cell>
          <cell r="G66"/>
          <cell r="L66"/>
          <cell r="M66"/>
          <cell r="N66"/>
          <cell r="O66"/>
          <cell r="P66"/>
          <cell r="Q66"/>
          <cell r="R66"/>
        </row>
        <row r="67">
          <cell r="A67" t="str">
            <v>14EH-20D3A-MRBK</v>
          </cell>
          <cell r="B67" t="str">
            <v>DT, MEGA RAMPS</v>
          </cell>
          <cell r="C67">
            <v>9624.06</v>
          </cell>
          <cell r="D67">
            <v>0.2</v>
          </cell>
          <cell r="E67">
            <v>3350</v>
          </cell>
          <cell r="F67">
            <v>40</v>
          </cell>
          <cell r="G67"/>
          <cell r="L67"/>
          <cell r="M67"/>
          <cell r="N67"/>
          <cell r="O67"/>
          <cell r="P67"/>
          <cell r="Q67"/>
          <cell r="R67"/>
        </row>
        <row r="68">
          <cell r="A68" t="str">
            <v>14EH-22D3A</v>
          </cell>
          <cell r="B68" t="str"/>
          <cell r="C68">
            <v>9157.89</v>
          </cell>
          <cell r="D68">
            <v>0.2</v>
          </cell>
          <cell r="E68">
            <v>3300</v>
          </cell>
          <cell r="F68">
            <v>40</v>
          </cell>
          <cell r="G68"/>
          <cell r="L68"/>
          <cell r="M68"/>
          <cell r="N68"/>
          <cell r="O68"/>
          <cell r="P68"/>
          <cell r="Q68"/>
          <cell r="R68"/>
        </row>
        <row r="69">
          <cell r="A69" t="str">
            <v>14EH-22D3A-KRBK</v>
          </cell>
          <cell r="B69" t="str">
            <v>DT, KNEE RAMPS</v>
          </cell>
          <cell r="C69">
            <v>9157.89</v>
          </cell>
          <cell r="D69">
            <v>0.2</v>
          </cell>
          <cell r="E69">
            <v>3300</v>
          </cell>
          <cell r="F69">
            <v>40</v>
          </cell>
          <cell r="G69"/>
          <cell r="L69"/>
          <cell r="M69"/>
          <cell r="N69"/>
          <cell r="O69"/>
          <cell r="P69"/>
          <cell r="Q69"/>
          <cell r="R69"/>
        </row>
        <row r="70">
          <cell r="A70" t="str">
            <v>14EH-22D3A-MRBK</v>
          </cell>
          <cell r="B70" t="str">
            <v>DT, MEGA RAMPS</v>
          </cell>
          <cell r="C70">
            <v>9879.7000000000007</v>
          </cell>
          <cell r="D70">
            <v>0.2</v>
          </cell>
          <cell r="E70">
            <v>3500</v>
          </cell>
          <cell r="F70">
            <v>40</v>
          </cell>
          <cell r="G70"/>
          <cell r="L70"/>
          <cell r="M70"/>
          <cell r="N70"/>
          <cell r="O70"/>
          <cell r="P70"/>
          <cell r="Q70"/>
          <cell r="R70"/>
        </row>
        <row r="71">
          <cell r="A71" t="str">
            <v>14EH-24D3A</v>
          </cell>
          <cell r="B71" t="str"/>
          <cell r="C71">
            <v>9383.4500000000007</v>
          </cell>
          <cell r="D71">
            <v>0.2</v>
          </cell>
          <cell r="E71">
            <v>3480</v>
          </cell>
          <cell r="F71">
            <v>40</v>
          </cell>
          <cell r="G71"/>
          <cell r="L71"/>
          <cell r="M71"/>
          <cell r="N71"/>
          <cell r="O71"/>
          <cell r="P71"/>
          <cell r="Q71"/>
          <cell r="R71"/>
        </row>
        <row r="72">
          <cell r="A72" t="str">
            <v>14EH-24D3A-KRBK</v>
          </cell>
          <cell r="B72" t="str">
            <v>DT, KNEE RAMPS</v>
          </cell>
          <cell r="C72">
            <v>9383.4599999999991</v>
          </cell>
          <cell r="D72">
            <v>0.2</v>
          </cell>
          <cell r="E72">
            <v>3480</v>
          </cell>
          <cell r="F72">
            <v>40</v>
          </cell>
          <cell r="G72"/>
          <cell r="L72"/>
          <cell r="M72"/>
          <cell r="N72"/>
          <cell r="O72"/>
          <cell r="P72"/>
          <cell r="Q72"/>
          <cell r="R72"/>
        </row>
        <row r="73">
          <cell r="A73" t="str">
            <v>14EH-24D3A-MRBK</v>
          </cell>
          <cell r="B73" t="str">
            <v>DT, MEGA RAMPS</v>
          </cell>
          <cell r="C73">
            <v>10105.26</v>
          </cell>
          <cell r="D73">
            <v>0.2</v>
          </cell>
          <cell r="E73">
            <v>3680</v>
          </cell>
          <cell r="F73">
            <v>40</v>
          </cell>
          <cell r="G73"/>
          <cell r="L73"/>
          <cell r="M73"/>
          <cell r="N73"/>
          <cell r="O73"/>
          <cell r="P73"/>
          <cell r="Q73"/>
          <cell r="R73"/>
        </row>
        <row r="74">
          <cell r="A74" t="str">
            <v>14EHG-20D3A</v>
          </cell>
          <cell r="B74" t="str"/>
          <cell r="C74">
            <v>11338.34</v>
          </cell>
          <cell r="D74">
            <v>0.2</v>
          </cell>
          <cell r="E74">
            <v>3530</v>
          </cell>
          <cell r="F74">
            <v>40</v>
          </cell>
          <cell r="G74"/>
          <cell r="L74"/>
          <cell r="M74"/>
          <cell r="N74"/>
          <cell r="O74"/>
          <cell r="P74"/>
          <cell r="Q74"/>
          <cell r="R74"/>
        </row>
        <row r="75">
          <cell r="A75" t="str">
            <v>14EHG-22D3A</v>
          </cell>
          <cell r="B75" t="str"/>
          <cell r="C75">
            <v>11593.98</v>
          </cell>
          <cell r="D75">
            <v>0.2</v>
          </cell>
          <cell r="E75">
            <v>3690</v>
          </cell>
          <cell r="F75">
            <v>40</v>
          </cell>
          <cell r="G75"/>
          <cell r="L75"/>
          <cell r="M75"/>
          <cell r="N75"/>
          <cell r="O75"/>
          <cell r="P75"/>
          <cell r="Q75"/>
          <cell r="R75"/>
        </row>
        <row r="76">
          <cell r="A76" t="str">
            <v>14EHG-24D3A</v>
          </cell>
          <cell r="B76" t="str"/>
          <cell r="C76">
            <v>11819.55</v>
          </cell>
          <cell r="D76">
            <v>0.2</v>
          </cell>
          <cell r="E76">
            <v>3870</v>
          </cell>
          <cell r="F76">
            <v>40</v>
          </cell>
          <cell r="G76"/>
          <cell r="L76"/>
          <cell r="M76"/>
          <cell r="N76"/>
          <cell r="O76"/>
          <cell r="P76"/>
          <cell r="Q76"/>
          <cell r="R76"/>
        </row>
        <row r="77">
          <cell r="A77" t="str">
            <v>14ET-18BK5RSR</v>
          </cell>
          <cell r="B77" t="str">
            <v>5' RSR</v>
          </cell>
          <cell r="C77">
            <v>8240.6</v>
          </cell>
          <cell r="D77">
            <v>0.2</v>
          </cell>
          <cell r="E77">
            <v>2740</v>
          </cell>
          <cell r="F77">
            <v>40</v>
          </cell>
          <cell r="G77"/>
          <cell r="L77"/>
          <cell r="M77"/>
          <cell r="N77"/>
          <cell r="O77"/>
          <cell r="P77"/>
          <cell r="Q77"/>
          <cell r="R77"/>
        </row>
        <row r="78">
          <cell r="A78" t="str">
            <v>14ET-20BK5RSR</v>
          </cell>
          <cell r="B78" t="str">
            <v>5' RSR</v>
          </cell>
          <cell r="C78">
            <v>8421.0499999999993</v>
          </cell>
          <cell r="D78">
            <v>0.2</v>
          </cell>
          <cell r="E78">
            <v>2940</v>
          </cell>
          <cell r="F78">
            <v>40</v>
          </cell>
          <cell r="G78"/>
          <cell r="L78"/>
          <cell r="M78"/>
          <cell r="N78"/>
          <cell r="O78"/>
          <cell r="P78"/>
          <cell r="Q78"/>
          <cell r="R78"/>
        </row>
        <row r="79">
          <cell r="A79" t="str">
            <v>14FT-16</v>
          </cell>
          <cell r="B79" t="str"/>
          <cell r="C79">
            <v>10375.94</v>
          </cell>
          <cell r="D79">
            <v>0.2</v>
          </cell>
          <cell r="E79">
            <v>3090</v>
          </cell>
          <cell r="F79">
            <v>45</v>
          </cell>
          <cell r="G79"/>
          <cell r="L79"/>
          <cell r="M79"/>
          <cell r="N79"/>
          <cell r="O79"/>
          <cell r="P79"/>
          <cell r="Q79"/>
          <cell r="R79"/>
        </row>
        <row r="80">
          <cell r="A80" t="str">
            <v>14FT-16BK</v>
          </cell>
          <cell r="B80" t="str"/>
          <cell r="C80">
            <v>10375.94</v>
          </cell>
          <cell r="D80">
            <v>0.2</v>
          </cell>
          <cell r="E80">
            <v>3090</v>
          </cell>
          <cell r="F80">
            <v>45</v>
          </cell>
          <cell r="G80"/>
          <cell r="L80"/>
          <cell r="M80"/>
          <cell r="N80"/>
          <cell r="O80"/>
          <cell r="P80"/>
          <cell r="Q80"/>
          <cell r="R80"/>
        </row>
        <row r="81">
          <cell r="A81" t="str">
            <v>14FT-18</v>
          </cell>
          <cell r="B81" t="str"/>
          <cell r="C81">
            <v>10571.43</v>
          </cell>
          <cell r="D81">
            <v>0.2</v>
          </cell>
          <cell r="E81">
            <v>3290</v>
          </cell>
          <cell r="F81">
            <v>45</v>
          </cell>
          <cell r="G81"/>
          <cell r="L81"/>
          <cell r="M81"/>
          <cell r="N81"/>
          <cell r="O81"/>
          <cell r="P81"/>
          <cell r="Q81"/>
          <cell r="R81"/>
        </row>
        <row r="82">
          <cell r="A82" t="str">
            <v>14FT-18BK</v>
          </cell>
          <cell r="B82" t="str"/>
          <cell r="C82">
            <v>10571.43</v>
          </cell>
          <cell r="D82">
            <v>0.2</v>
          </cell>
          <cell r="E82">
            <v>3290</v>
          </cell>
          <cell r="F82">
            <v>45</v>
          </cell>
          <cell r="G82"/>
          <cell r="L82"/>
          <cell r="M82"/>
          <cell r="N82"/>
          <cell r="O82"/>
          <cell r="P82"/>
          <cell r="Q82"/>
          <cell r="R82"/>
        </row>
        <row r="83">
          <cell r="A83" t="str">
            <v>14FT-20</v>
          </cell>
          <cell r="B83" t="str"/>
          <cell r="C83">
            <v>10796.99</v>
          </cell>
          <cell r="D83">
            <v>0.2</v>
          </cell>
          <cell r="E83">
            <v>3490</v>
          </cell>
          <cell r="F83">
            <v>45</v>
          </cell>
          <cell r="G83"/>
          <cell r="L83"/>
          <cell r="M83"/>
          <cell r="N83"/>
          <cell r="O83"/>
          <cell r="P83"/>
          <cell r="Q83"/>
          <cell r="R83"/>
        </row>
        <row r="84">
          <cell r="A84" t="str">
            <v>14FT-20BK</v>
          </cell>
          <cell r="B84" t="str"/>
          <cell r="C84">
            <v>10796.99</v>
          </cell>
          <cell r="D84">
            <v>0.2</v>
          </cell>
          <cell r="E84">
            <v>3490</v>
          </cell>
          <cell r="F84">
            <v>45</v>
          </cell>
          <cell r="G84"/>
          <cell r="L84"/>
          <cell r="M84"/>
          <cell r="N84"/>
          <cell r="O84"/>
          <cell r="P84"/>
          <cell r="Q84"/>
          <cell r="R84"/>
        </row>
        <row r="85">
          <cell r="A85" t="str">
            <v>14GN-20STA</v>
          </cell>
          <cell r="B85" t="str">
            <v>SPARE (incl)</v>
          </cell>
          <cell r="C85">
            <v>12090.23</v>
          </cell>
          <cell r="D85">
            <v>0.2</v>
          </cell>
          <cell r="E85">
            <v>4430</v>
          </cell>
          <cell r="F85">
            <v>60</v>
          </cell>
          <cell r="G85"/>
          <cell r="L85"/>
          <cell r="M85"/>
          <cell r="N85"/>
          <cell r="O85"/>
          <cell r="P85"/>
          <cell r="Q85"/>
          <cell r="R85"/>
        </row>
        <row r="86">
          <cell r="A86" t="str">
            <v>14GN-22STA</v>
          </cell>
          <cell r="B86" t="str">
            <v>SPARE (incl)</v>
          </cell>
          <cell r="C86">
            <v>12324.81</v>
          </cell>
          <cell r="D86">
            <v>0.2</v>
          </cell>
          <cell r="E86">
            <v>4680</v>
          </cell>
          <cell r="F86">
            <v>60</v>
          </cell>
          <cell r="G86"/>
          <cell r="L86"/>
          <cell r="M86"/>
          <cell r="N86"/>
          <cell r="O86"/>
          <cell r="P86"/>
          <cell r="Q86"/>
          <cell r="R86"/>
        </row>
        <row r="87">
          <cell r="A87" t="str">
            <v>14GN-25D5A</v>
          </cell>
          <cell r="B87" t="str">
            <v>SPARE (incl)</v>
          </cell>
          <cell r="C87">
            <v>12706.77</v>
          </cell>
          <cell r="D87">
            <v>0.2</v>
          </cell>
          <cell r="E87">
            <v>5310</v>
          </cell>
          <cell r="F87">
            <v>60</v>
          </cell>
          <cell r="G87"/>
          <cell r="L87"/>
          <cell r="M87"/>
          <cell r="N87"/>
          <cell r="O87"/>
          <cell r="P87"/>
          <cell r="Q87"/>
          <cell r="R87"/>
        </row>
        <row r="88">
          <cell r="A88" t="str">
            <v>14GN-25D5A-FRBK</v>
          </cell>
          <cell r="B88" t="str">
            <v>SPARE (incl)</v>
          </cell>
          <cell r="C88">
            <v>12706.77</v>
          </cell>
          <cell r="D88">
            <v>0.2</v>
          </cell>
          <cell r="E88">
            <v>4850</v>
          </cell>
          <cell r="F88">
            <v>60</v>
          </cell>
          <cell r="G88"/>
          <cell r="L88"/>
          <cell r="M88"/>
          <cell r="N88"/>
          <cell r="O88"/>
          <cell r="P88"/>
          <cell r="Q88"/>
          <cell r="R88"/>
        </row>
        <row r="89">
          <cell r="A89" t="str">
            <v>14GN-25D5A-MRBK</v>
          </cell>
          <cell r="B89" t="str">
            <v>MR, SPARE (incl)</v>
          </cell>
          <cell r="C89">
            <v>13834.59</v>
          </cell>
          <cell r="D89">
            <v>0.2</v>
          </cell>
          <cell r="E89">
            <v>5310</v>
          </cell>
          <cell r="F89">
            <v>60</v>
          </cell>
          <cell r="G89"/>
          <cell r="L89"/>
          <cell r="M89"/>
          <cell r="N89"/>
          <cell r="O89"/>
          <cell r="P89"/>
          <cell r="Q89"/>
          <cell r="R89"/>
        </row>
        <row r="90">
          <cell r="A90" t="str">
            <v>14GN-25STA</v>
          </cell>
          <cell r="B90" t="str">
            <v>SPARE (incl)</v>
          </cell>
          <cell r="C90">
            <v>12676.69</v>
          </cell>
          <cell r="D90">
            <v>0.2</v>
          </cell>
          <cell r="E90">
            <v>5050</v>
          </cell>
          <cell r="F90">
            <v>60</v>
          </cell>
          <cell r="G90"/>
          <cell r="L90"/>
          <cell r="M90"/>
          <cell r="N90"/>
          <cell r="O90"/>
          <cell r="P90"/>
          <cell r="Q90"/>
          <cell r="R90"/>
        </row>
        <row r="91">
          <cell r="A91" t="str">
            <v>14GN-27D5A</v>
          </cell>
          <cell r="B91" t="str">
            <v>SPARE (incl)</v>
          </cell>
          <cell r="C91">
            <v>12932.33</v>
          </cell>
          <cell r="D91">
            <v>0.2</v>
          </cell>
          <cell r="E91">
            <v>5630</v>
          </cell>
          <cell r="F91">
            <v>60</v>
          </cell>
          <cell r="G91"/>
          <cell r="L91"/>
          <cell r="M91"/>
          <cell r="N91"/>
          <cell r="O91"/>
          <cell r="P91"/>
          <cell r="Q91"/>
          <cell r="R91"/>
        </row>
        <row r="92">
          <cell r="A92" t="str">
            <v>14GN-27D5A-FRBK</v>
          </cell>
          <cell r="B92" t="str">
            <v>SPARE (incl)</v>
          </cell>
          <cell r="C92">
            <v>12932.33</v>
          </cell>
          <cell r="D92">
            <v>0.2</v>
          </cell>
          <cell r="E92">
            <v>5170</v>
          </cell>
          <cell r="F92">
            <v>60</v>
          </cell>
          <cell r="G92"/>
          <cell r="L92"/>
          <cell r="M92"/>
          <cell r="N92"/>
          <cell r="O92"/>
          <cell r="P92"/>
          <cell r="Q92"/>
          <cell r="R92"/>
        </row>
        <row r="93">
          <cell r="A93" t="str">
            <v>14GN-27D5A-MRBK</v>
          </cell>
          <cell r="B93" t="str">
            <v>MR, SPARE (incl)</v>
          </cell>
          <cell r="C93">
            <v>14060.15</v>
          </cell>
          <cell r="D93">
            <v>0.2</v>
          </cell>
          <cell r="E93">
            <v>5630</v>
          </cell>
          <cell r="F93">
            <v>60</v>
          </cell>
          <cell r="G93"/>
          <cell r="L93"/>
          <cell r="M93"/>
          <cell r="N93"/>
          <cell r="O93"/>
          <cell r="P93"/>
          <cell r="Q93"/>
          <cell r="R93"/>
        </row>
        <row r="94">
          <cell r="A94" t="str">
            <v>14GN-28STA</v>
          </cell>
          <cell r="B94" t="str">
            <v>SPARE (incl)</v>
          </cell>
          <cell r="C94">
            <v>12932.33</v>
          </cell>
          <cell r="D94">
            <v>0.2</v>
          </cell>
          <cell r="E94">
            <v>5430</v>
          </cell>
          <cell r="F94">
            <v>60</v>
          </cell>
          <cell r="G94"/>
          <cell r="L94"/>
          <cell r="M94"/>
          <cell r="N94"/>
          <cell r="O94"/>
          <cell r="P94"/>
          <cell r="Q94"/>
          <cell r="R94"/>
        </row>
        <row r="95">
          <cell r="A95" t="str">
            <v>14GN-30D5A</v>
          </cell>
          <cell r="B95" t="str">
            <v>SPARE (incl)</v>
          </cell>
          <cell r="C95">
            <v>13293.23</v>
          </cell>
          <cell r="D95">
            <v>0.2</v>
          </cell>
          <cell r="E95">
            <v>6000</v>
          </cell>
          <cell r="F95">
            <v>60</v>
          </cell>
          <cell r="G95"/>
          <cell r="L95"/>
          <cell r="M95"/>
          <cell r="N95"/>
          <cell r="O95"/>
          <cell r="P95"/>
          <cell r="Q95"/>
          <cell r="R95"/>
        </row>
        <row r="96">
          <cell r="A96" t="str">
            <v>14GN-30D5A-FRBK</v>
          </cell>
          <cell r="B96" t="str">
            <v>SPARE (incl)</v>
          </cell>
          <cell r="C96">
            <v>13293.23</v>
          </cell>
          <cell r="D96">
            <v>0.2</v>
          </cell>
          <cell r="E96">
            <v>5540</v>
          </cell>
          <cell r="F96">
            <v>60</v>
          </cell>
          <cell r="G96"/>
          <cell r="L96"/>
          <cell r="M96"/>
          <cell r="N96"/>
          <cell r="O96"/>
          <cell r="P96"/>
          <cell r="Q96"/>
          <cell r="R96"/>
        </row>
        <row r="97">
          <cell r="A97" t="str">
            <v>14GN-30D5A-MRBK</v>
          </cell>
          <cell r="B97" t="str">
            <v>MR, SPARE (incl)</v>
          </cell>
          <cell r="C97">
            <v>14421.05</v>
          </cell>
          <cell r="D97">
            <v>0.2</v>
          </cell>
          <cell r="E97">
            <v>6000</v>
          </cell>
          <cell r="F97">
            <v>60</v>
          </cell>
          <cell r="G97"/>
          <cell r="L97"/>
          <cell r="M97"/>
          <cell r="N97"/>
          <cell r="O97"/>
          <cell r="P97"/>
          <cell r="Q97"/>
          <cell r="R97"/>
        </row>
        <row r="98">
          <cell r="A98" t="str">
            <v>14GN-30STA</v>
          </cell>
          <cell r="B98" t="str">
            <v>SPARE (incl)</v>
          </cell>
          <cell r="C98">
            <v>13263.16</v>
          </cell>
          <cell r="D98">
            <v>0.2</v>
          </cell>
          <cell r="E98">
            <v>5680</v>
          </cell>
          <cell r="F98">
            <v>60</v>
          </cell>
          <cell r="G98"/>
          <cell r="L98"/>
          <cell r="M98"/>
          <cell r="N98"/>
          <cell r="O98"/>
          <cell r="P98"/>
          <cell r="Q98"/>
          <cell r="R98"/>
        </row>
        <row r="99">
          <cell r="A99" t="str">
            <v>14GN-33D5A</v>
          </cell>
          <cell r="B99" t="str">
            <v>SPARE (incl)</v>
          </cell>
          <cell r="C99">
            <v>13639.1</v>
          </cell>
          <cell r="D99">
            <v>0.2</v>
          </cell>
          <cell r="E99">
            <v>6500</v>
          </cell>
          <cell r="F99">
            <v>60</v>
          </cell>
          <cell r="G99"/>
          <cell r="L99"/>
          <cell r="M99"/>
          <cell r="N99"/>
          <cell r="O99"/>
          <cell r="P99"/>
          <cell r="Q99"/>
          <cell r="R99"/>
        </row>
        <row r="100">
          <cell r="A100" t="str">
            <v>14GN-33D5A-FRBK</v>
          </cell>
          <cell r="B100" t="str">
            <v>SPARE (incl)</v>
          </cell>
          <cell r="C100">
            <v>13639.1</v>
          </cell>
          <cell r="D100">
            <v>0.2</v>
          </cell>
          <cell r="E100">
            <v>5910</v>
          </cell>
          <cell r="F100">
            <v>60</v>
          </cell>
          <cell r="G100"/>
          <cell r="L100"/>
          <cell r="M100"/>
          <cell r="N100"/>
          <cell r="O100"/>
          <cell r="P100"/>
          <cell r="Q100"/>
          <cell r="R100"/>
        </row>
        <row r="101">
          <cell r="A101" t="str">
            <v>14GN-33D5A-MRBK</v>
          </cell>
          <cell r="B101" t="str">
            <v>MR, SPARE (incl)</v>
          </cell>
          <cell r="C101">
            <v>14766.92</v>
          </cell>
          <cell r="D101">
            <v>0.2</v>
          </cell>
          <cell r="E101">
            <v>6500</v>
          </cell>
          <cell r="F101">
            <v>60</v>
          </cell>
          <cell r="G101"/>
          <cell r="L101"/>
          <cell r="M101"/>
          <cell r="N101"/>
          <cell r="O101"/>
          <cell r="P101"/>
          <cell r="Q101"/>
          <cell r="R101"/>
        </row>
        <row r="102">
          <cell r="A102" t="str">
            <v>14GN-35D5A</v>
          </cell>
          <cell r="B102" t="str">
            <v>SPARE (incl)</v>
          </cell>
          <cell r="C102">
            <v>13864.66</v>
          </cell>
          <cell r="D102">
            <v>0.2</v>
          </cell>
          <cell r="E102">
            <v>6620</v>
          </cell>
          <cell r="F102">
            <v>60</v>
          </cell>
          <cell r="G102"/>
          <cell r="L102"/>
          <cell r="M102"/>
          <cell r="N102"/>
          <cell r="O102"/>
          <cell r="P102"/>
          <cell r="Q102"/>
          <cell r="R102"/>
        </row>
        <row r="103">
          <cell r="A103" t="str">
            <v>14GN-35D5A-MRBK</v>
          </cell>
          <cell r="B103" t="str">
            <v>MR, SPARE (incl)</v>
          </cell>
          <cell r="C103">
            <v>14992.48</v>
          </cell>
          <cell r="D103">
            <v>0.2</v>
          </cell>
          <cell r="E103">
            <v>6620</v>
          </cell>
          <cell r="F103">
            <v>60</v>
          </cell>
          <cell r="G103"/>
          <cell r="L103"/>
          <cell r="M103"/>
          <cell r="N103"/>
          <cell r="O103"/>
          <cell r="P103"/>
          <cell r="Q103"/>
          <cell r="R103"/>
        </row>
        <row r="104">
          <cell r="A104" t="str">
            <v>14GN-35STA</v>
          </cell>
          <cell r="B104" t="str">
            <v>MR, SPARE (incl)</v>
          </cell>
          <cell r="C104">
            <v>13819.55</v>
          </cell>
          <cell r="D104">
            <v>0.2</v>
          </cell>
          <cell r="E104">
            <v>6300</v>
          </cell>
          <cell r="F104">
            <v>60</v>
          </cell>
          <cell r="G104"/>
          <cell r="L104"/>
          <cell r="M104"/>
          <cell r="N104"/>
          <cell r="O104"/>
          <cell r="P104"/>
          <cell r="Q104"/>
          <cell r="R104"/>
        </row>
        <row r="105">
          <cell r="A105" t="str">
            <v>14GN-40D5A</v>
          </cell>
          <cell r="B105" t="str">
            <v>SPARE (incl)</v>
          </cell>
          <cell r="C105">
            <v>14436.09</v>
          </cell>
          <cell r="D105">
            <v>0.2</v>
          </cell>
          <cell r="E105">
            <v>6555</v>
          </cell>
          <cell r="F105">
            <v>60</v>
          </cell>
          <cell r="G105"/>
          <cell r="L105"/>
          <cell r="M105"/>
          <cell r="N105"/>
          <cell r="O105"/>
          <cell r="P105"/>
          <cell r="Q105"/>
          <cell r="R105"/>
        </row>
        <row r="106">
          <cell r="A106" t="str">
            <v>14GN-40D5A-MRBK</v>
          </cell>
          <cell r="B106" t="str">
            <v>MR, SPARE (incl)</v>
          </cell>
          <cell r="C106">
            <v>15563.91</v>
          </cell>
          <cell r="D106">
            <v>0.2</v>
          </cell>
          <cell r="E106">
            <v>7190</v>
          </cell>
          <cell r="F106">
            <v>60</v>
          </cell>
          <cell r="G106"/>
          <cell r="L106"/>
          <cell r="M106"/>
          <cell r="N106"/>
          <cell r="O106"/>
          <cell r="P106"/>
          <cell r="Q106"/>
          <cell r="R106"/>
        </row>
        <row r="107">
          <cell r="A107" t="str">
            <v>14GN-40D5A-MRBK-SWT</v>
          </cell>
          <cell r="B107" t="str">
            <v>MR, SPARE (incl)</v>
          </cell>
          <cell r="C107">
            <v>15834.59</v>
          </cell>
          <cell r="D107">
            <v>0.2</v>
          </cell>
          <cell r="E107">
            <v>7190</v>
          </cell>
          <cell r="F107">
            <v>60</v>
          </cell>
          <cell r="G107"/>
          <cell r="L107"/>
          <cell r="M107"/>
          <cell r="N107"/>
          <cell r="O107"/>
          <cell r="P107"/>
          <cell r="Q107"/>
          <cell r="R107"/>
        </row>
        <row r="108">
          <cell r="A108" t="str">
            <v>14GN-40STA</v>
          </cell>
          <cell r="B108" t="str">
            <v>SPARE (incl)</v>
          </cell>
          <cell r="C108">
            <v>14406.02</v>
          </cell>
          <cell r="D108">
            <v>0.2</v>
          </cell>
          <cell r="E108">
            <v>6760</v>
          </cell>
          <cell r="F108">
            <v>60</v>
          </cell>
          <cell r="G108"/>
          <cell r="L108"/>
          <cell r="M108"/>
          <cell r="N108"/>
          <cell r="O108"/>
          <cell r="P108"/>
          <cell r="Q108"/>
          <cell r="R108"/>
        </row>
        <row r="109">
          <cell r="A109" t="str">
            <v>14GN-40STA-S8BK</v>
          </cell>
          <cell r="B109" t="str">
            <v>8SIR, SPARE (incl)</v>
          </cell>
          <cell r="C109">
            <v>14842.11</v>
          </cell>
          <cell r="D109">
            <v>0.2</v>
          </cell>
          <cell r="E109">
            <v>7000</v>
          </cell>
          <cell r="F109">
            <v>60</v>
          </cell>
          <cell r="G109"/>
          <cell r="L109"/>
          <cell r="M109"/>
          <cell r="N109"/>
          <cell r="O109"/>
          <cell r="P109"/>
          <cell r="Q109"/>
          <cell r="R109"/>
        </row>
        <row r="110">
          <cell r="A110" t="str">
            <v>14GN-40STA-S8BK-SWT</v>
          </cell>
          <cell r="B110" t="str">
            <v>8SIR, SPARE (incl)</v>
          </cell>
          <cell r="C110">
            <v>15248.12</v>
          </cell>
          <cell r="D110">
            <v>0.2</v>
          </cell>
          <cell r="E110">
            <v>7000</v>
          </cell>
          <cell r="F110">
            <v>60</v>
          </cell>
          <cell r="G110"/>
          <cell r="L110"/>
          <cell r="M110"/>
          <cell r="N110"/>
          <cell r="O110"/>
          <cell r="P110"/>
          <cell r="Q110"/>
          <cell r="R110"/>
        </row>
        <row r="111">
          <cell r="A111" t="str">
            <v>14GP-20</v>
          </cell>
          <cell r="B111" t="str">
            <v>SPARE (incl), Discontinued SKU</v>
          </cell>
          <cell r="C111">
            <v>12451.13</v>
          </cell>
          <cell r="D111">
            <v>0.2</v>
          </cell>
          <cell r="E111">
            <v>3450</v>
          </cell>
          <cell r="F111">
            <v>20</v>
          </cell>
          <cell r="G111"/>
          <cell r="L111"/>
          <cell r="M111"/>
          <cell r="N111"/>
          <cell r="O111"/>
          <cell r="P111"/>
          <cell r="Q111"/>
          <cell r="R111"/>
        </row>
        <row r="112">
          <cell r="A112" t="str">
            <v>14GP-20BK</v>
          </cell>
          <cell r="B112" t="str">
            <v>SPARE (incl), Discontinued SKU</v>
          </cell>
          <cell r="C112">
            <v>12451.13</v>
          </cell>
          <cell r="D112">
            <v>0.2</v>
          </cell>
          <cell r="E112">
            <v>3450</v>
          </cell>
          <cell r="F112">
            <v>20</v>
          </cell>
          <cell r="G112"/>
          <cell r="L112"/>
          <cell r="M112"/>
          <cell r="N112"/>
          <cell r="O112"/>
          <cell r="P112"/>
          <cell r="Q112"/>
          <cell r="R112"/>
        </row>
        <row r="113">
          <cell r="A113" t="str">
            <v>14GP-20BK5FUR</v>
          </cell>
          <cell r="B113" t="str">
            <v>SPARE (incl), Discontinued SKU</v>
          </cell>
          <cell r="C113">
            <v>12751.88</v>
          </cell>
          <cell r="D113">
            <v>0.2</v>
          </cell>
          <cell r="E113">
            <v>3650</v>
          </cell>
          <cell r="F113">
            <v>20</v>
          </cell>
          <cell r="G113"/>
          <cell r="L113"/>
          <cell r="M113"/>
          <cell r="N113"/>
          <cell r="O113"/>
          <cell r="P113"/>
          <cell r="Q113"/>
          <cell r="R113"/>
        </row>
        <row r="114">
          <cell r="A114" t="str">
            <v>14GP-24</v>
          </cell>
          <cell r="B114" t="str">
            <v>SPARE (incl), Discontinued SKU</v>
          </cell>
          <cell r="C114">
            <v>12676.69</v>
          </cell>
          <cell r="D114">
            <v>0.2</v>
          </cell>
          <cell r="E114">
            <v>3850</v>
          </cell>
          <cell r="F114">
            <v>20</v>
          </cell>
          <cell r="G114"/>
          <cell r="L114"/>
          <cell r="M114"/>
          <cell r="N114"/>
          <cell r="O114"/>
          <cell r="P114"/>
          <cell r="Q114"/>
          <cell r="R114"/>
        </row>
        <row r="115">
          <cell r="A115" t="str">
            <v>14GP-24BK</v>
          </cell>
          <cell r="B115" t="str">
            <v>SPARE (incl), Discontinued SKU</v>
          </cell>
          <cell r="C115">
            <v>12676.69</v>
          </cell>
          <cell r="D115">
            <v>0.2</v>
          </cell>
          <cell r="E115">
            <v>3850</v>
          </cell>
          <cell r="F115">
            <v>20</v>
          </cell>
          <cell r="G115"/>
          <cell r="L115"/>
          <cell r="M115"/>
          <cell r="N115"/>
          <cell r="O115"/>
          <cell r="P115"/>
          <cell r="Q115"/>
          <cell r="R115"/>
        </row>
        <row r="116">
          <cell r="A116" t="str">
            <v>14GP-24BK5FUR</v>
          </cell>
          <cell r="B116" t="str">
            <v>SPARE (incl), Discontinued SKU</v>
          </cell>
          <cell r="C116">
            <v>12977.44</v>
          </cell>
          <cell r="D116">
            <v>0.2</v>
          </cell>
          <cell r="E116">
            <v>4050</v>
          </cell>
          <cell r="F116">
            <v>20</v>
          </cell>
          <cell r="G116"/>
          <cell r="L116"/>
          <cell r="M116"/>
          <cell r="N116"/>
          <cell r="O116"/>
          <cell r="P116"/>
          <cell r="Q116"/>
          <cell r="R116"/>
        </row>
        <row r="117">
          <cell r="A117" t="str">
            <v>14GT-14</v>
          </cell>
          <cell r="B117" t="str">
            <v>TARP(included)</v>
          </cell>
          <cell r="C117">
            <v>14120.3</v>
          </cell>
          <cell r="D117">
            <v>0.2</v>
          </cell>
          <cell r="E117">
            <v>4650</v>
          </cell>
          <cell r="F117">
            <v>70</v>
          </cell>
          <cell r="G117"/>
          <cell r="L117"/>
          <cell r="M117"/>
          <cell r="N117"/>
          <cell r="O117"/>
          <cell r="P117"/>
          <cell r="Q117"/>
          <cell r="R117"/>
        </row>
        <row r="118">
          <cell r="A118" t="str">
            <v>14GT-14BK6-P3</v>
          </cell>
          <cell r="B118" t="str">
            <v>HS3, 6SIR, TARP(incl)</v>
          </cell>
          <cell r="C118">
            <v>15669.17</v>
          </cell>
          <cell r="D118">
            <v>0.2</v>
          </cell>
          <cell r="E118">
            <v>4955</v>
          </cell>
          <cell r="F118">
            <v>70</v>
          </cell>
          <cell r="G118"/>
          <cell r="L118"/>
          <cell r="M118"/>
          <cell r="N118"/>
          <cell r="O118"/>
          <cell r="P118"/>
          <cell r="Q118"/>
          <cell r="R118"/>
        </row>
        <row r="119">
          <cell r="A119" t="str">
            <v>14GT-14BK6-P4</v>
          </cell>
          <cell r="B119" t="str">
            <v>HS4, 6SIR, TARP(incl)</v>
          </cell>
          <cell r="C119">
            <v>16045.11</v>
          </cell>
          <cell r="D119">
            <v>0.2</v>
          </cell>
          <cell r="E119">
            <v>5240</v>
          </cell>
          <cell r="F119">
            <v>70</v>
          </cell>
          <cell r="G119"/>
          <cell r="L119"/>
          <cell r="M119"/>
          <cell r="N119"/>
          <cell r="O119"/>
          <cell r="P119"/>
          <cell r="Q119"/>
          <cell r="R119"/>
        </row>
        <row r="120">
          <cell r="A120" t="str">
            <v>14GT-14BK6SIR</v>
          </cell>
          <cell r="B120" t="str">
            <v>6SIR, TARP(included)</v>
          </cell>
          <cell r="C120">
            <v>14691.73</v>
          </cell>
          <cell r="D120">
            <v>0.2</v>
          </cell>
          <cell r="E120">
            <v>4650</v>
          </cell>
          <cell r="F120">
            <v>70</v>
          </cell>
          <cell r="G120"/>
          <cell r="L120"/>
          <cell r="M120"/>
          <cell r="N120"/>
          <cell r="O120"/>
          <cell r="P120"/>
          <cell r="Q120"/>
          <cell r="R120"/>
        </row>
        <row r="121">
          <cell r="A121" t="str">
            <v>14GT-16</v>
          </cell>
          <cell r="B121" t="str">
            <v>TARP(included)</v>
          </cell>
          <cell r="C121">
            <v>14992.48</v>
          </cell>
          <cell r="D121">
            <v>0.2</v>
          </cell>
          <cell r="E121">
            <v>5110</v>
          </cell>
          <cell r="F121">
            <v>70</v>
          </cell>
          <cell r="G121"/>
          <cell r="L121"/>
          <cell r="M121"/>
          <cell r="N121"/>
          <cell r="O121"/>
          <cell r="P121"/>
          <cell r="Q121"/>
          <cell r="R121"/>
        </row>
        <row r="122">
          <cell r="A122" t="str">
            <v>14GT-16BK6-P3</v>
          </cell>
          <cell r="B122" t="str">
            <v>HS3, 6SIR, TARP(incl)</v>
          </cell>
          <cell r="C122">
            <v>16541.349999999999</v>
          </cell>
          <cell r="D122">
            <v>0.2</v>
          </cell>
          <cell r="E122">
            <v>5585</v>
          </cell>
          <cell r="F122">
            <v>70</v>
          </cell>
          <cell r="G122"/>
          <cell r="L122"/>
          <cell r="M122"/>
          <cell r="N122"/>
          <cell r="O122"/>
          <cell r="P122"/>
          <cell r="Q122"/>
          <cell r="R122"/>
        </row>
        <row r="123">
          <cell r="A123" t="str">
            <v>14GT-16BK6-P4</v>
          </cell>
          <cell r="B123" t="str">
            <v>HS4, 6SIR, TARP(incl)</v>
          </cell>
          <cell r="C123">
            <v>16917.29</v>
          </cell>
          <cell r="D123">
            <v>0.2</v>
          </cell>
          <cell r="E123">
            <v>5890</v>
          </cell>
          <cell r="F123">
            <v>70</v>
          </cell>
          <cell r="G123"/>
          <cell r="L123"/>
          <cell r="M123"/>
          <cell r="N123"/>
          <cell r="O123"/>
          <cell r="P123"/>
          <cell r="Q123"/>
          <cell r="R123"/>
        </row>
        <row r="124">
          <cell r="A124" t="str">
            <v>14GT-16BK6SIR</v>
          </cell>
          <cell r="B124" t="str">
            <v>6SIR, TARP(included)</v>
          </cell>
          <cell r="C124">
            <v>15563.91</v>
          </cell>
          <cell r="D124">
            <v>0.2</v>
          </cell>
          <cell r="E124">
            <v>5110</v>
          </cell>
          <cell r="F124">
            <v>70</v>
          </cell>
          <cell r="G124"/>
          <cell r="L124"/>
          <cell r="M124"/>
          <cell r="N124"/>
          <cell r="O124"/>
          <cell r="P124"/>
          <cell r="Q124"/>
          <cell r="R124"/>
        </row>
        <row r="125">
          <cell r="A125" t="str">
            <v>14GX-14</v>
          </cell>
          <cell r="B125" t="str">
            <v>TARP(included)</v>
          </cell>
          <cell r="C125">
            <v>13864.66</v>
          </cell>
          <cell r="D125">
            <v>0.2</v>
          </cell>
          <cell r="E125">
            <v>4640</v>
          </cell>
          <cell r="F125">
            <v>70</v>
          </cell>
          <cell r="G125"/>
          <cell r="L125"/>
          <cell r="M125"/>
          <cell r="N125"/>
          <cell r="O125"/>
          <cell r="P125"/>
          <cell r="Q125"/>
          <cell r="R125"/>
        </row>
        <row r="126">
          <cell r="A126" t="str">
            <v>14GX-14BK6-P3</v>
          </cell>
          <cell r="B126" t="str">
            <v>HS3, 6SIR, SPMT, TARP(included)</v>
          </cell>
          <cell r="C126">
            <v>17187.97</v>
          </cell>
          <cell r="D126">
            <v>0.2</v>
          </cell>
          <cell r="E126">
            <v>5110</v>
          </cell>
          <cell r="F126">
            <v>70</v>
          </cell>
          <cell r="G126"/>
          <cell r="L126"/>
          <cell r="M126"/>
          <cell r="N126"/>
          <cell r="O126"/>
          <cell r="P126"/>
          <cell r="Q126"/>
          <cell r="R126"/>
        </row>
        <row r="127">
          <cell r="A127" t="str">
            <v>14GX-14BK6-P4</v>
          </cell>
          <cell r="B127" t="str">
            <v>HS4, 6SIR, SPMT, TARP(included)</v>
          </cell>
          <cell r="C127">
            <v>15789.47</v>
          </cell>
          <cell r="D127">
            <v>0.2</v>
          </cell>
          <cell r="E127">
            <v>5390</v>
          </cell>
          <cell r="F127">
            <v>70</v>
          </cell>
          <cell r="G127"/>
          <cell r="L127"/>
          <cell r="M127"/>
          <cell r="N127"/>
          <cell r="O127"/>
          <cell r="P127"/>
          <cell r="Q127"/>
          <cell r="R127"/>
        </row>
        <row r="128">
          <cell r="A128" t="str">
            <v>14GX-14BK6SIRPD</v>
          </cell>
          <cell r="B128" t="str">
            <v>6SIR, SPMT, TARP(included)</v>
          </cell>
          <cell r="C128">
            <v>14436.09</v>
          </cell>
          <cell r="D128">
            <v>0.2</v>
          </cell>
          <cell r="E128">
            <v>4805</v>
          </cell>
          <cell r="F128">
            <v>70</v>
          </cell>
          <cell r="G128"/>
          <cell r="L128"/>
          <cell r="M128"/>
          <cell r="N128"/>
          <cell r="O128"/>
          <cell r="P128"/>
          <cell r="Q128"/>
          <cell r="R128"/>
        </row>
        <row r="129">
          <cell r="A129" t="str">
            <v>14GX-16</v>
          </cell>
          <cell r="B129" t="str">
            <v>6SIR, TARP(incl)</v>
          </cell>
          <cell r="C129">
            <v>14736.84</v>
          </cell>
          <cell r="D129">
            <v>0.2</v>
          </cell>
          <cell r="E129">
            <v>5000</v>
          </cell>
          <cell r="F129">
            <v>70</v>
          </cell>
          <cell r="G129"/>
          <cell r="L129"/>
          <cell r="M129"/>
          <cell r="N129"/>
          <cell r="O129"/>
          <cell r="P129"/>
          <cell r="Q129"/>
          <cell r="R129"/>
        </row>
        <row r="130">
          <cell r="A130" t="str">
            <v>14GX-16BK6-P3</v>
          </cell>
          <cell r="B130" t="str">
            <v>HS3, 6SIR, SPMT, TARP(included)</v>
          </cell>
          <cell r="C130">
            <v>18060.150000000001</v>
          </cell>
          <cell r="D130">
            <v>0.2</v>
          </cell>
          <cell r="E130">
            <v>5475</v>
          </cell>
          <cell r="F130">
            <v>70</v>
          </cell>
          <cell r="G130"/>
          <cell r="L130"/>
          <cell r="M130"/>
          <cell r="N130"/>
          <cell r="O130"/>
          <cell r="P130"/>
          <cell r="Q130"/>
          <cell r="R130"/>
        </row>
        <row r="131">
          <cell r="A131" t="str">
            <v>14GX-16BK6-P4</v>
          </cell>
          <cell r="B131" t="str">
            <v>HS4, 6SIR, SPMT, TARP(included)</v>
          </cell>
          <cell r="C131">
            <v>16661.650000000001</v>
          </cell>
          <cell r="D131">
            <v>0.2</v>
          </cell>
          <cell r="E131">
            <v>5780</v>
          </cell>
          <cell r="F131">
            <v>70</v>
          </cell>
          <cell r="G131"/>
          <cell r="L131"/>
          <cell r="M131"/>
          <cell r="N131"/>
          <cell r="O131"/>
          <cell r="P131"/>
          <cell r="Q131"/>
          <cell r="R131"/>
        </row>
        <row r="132">
          <cell r="A132" t="str">
            <v>14GX-16BK6SIRPD</v>
          </cell>
          <cell r="B132" t="str">
            <v>6SIR, SPMT, TARP(included)</v>
          </cell>
          <cell r="C132">
            <v>15308.27</v>
          </cell>
          <cell r="D132">
            <v>0.2</v>
          </cell>
          <cell r="E132">
            <v>5165</v>
          </cell>
          <cell r="F132">
            <v>70</v>
          </cell>
          <cell r="G132"/>
          <cell r="L132"/>
          <cell r="M132"/>
          <cell r="N132"/>
          <cell r="O132"/>
          <cell r="P132"/>
          <cell r="Q132"/>
          <cell r="R132"/>
        </row>
        <row r="133">
          <cell r="A133" t="str">
            <v>14LD-14</v>
          </cell>
          <cell r="B133" t="str">
            <v>SPARE (incl), Discontinued SKU</v>
          </cell>
          <cell r="C133">
            <v>0</v>
          </cell>
          <cell r="D133">
            <v>0.2</v>
          </cell>
          <cell r="E133">
            <v>3555</v>
          </cell>
          <cell r="F133">
            <v>70</v>
          </cell>
          <cell r="G133"/>
          <cell r="L133"/>
          <cell r="M133"/>
          <cell r="N133"/>
          <cell r="O133"/>
          <cell r="P133"/>
          <cell r="Q133"/>
          <cell r="R133"/>
        </row>
        <row r="134">
          <cell r="A134" t="str">
            <v>14LD-14BK</v>
          </cell>
          <cell r="B134" t="str">
            <v>SPARE (incl), Discontinued SKU</v>
          </cell>
          <cell r="C134">
            <v>12676.69</v>
          </cell>
          <cell r="D134">
            <v>0.2</v>
          </cell>
          <cell r="E134">
            <v>3555</v>
          </cell>
          <cell r="F134">
            <v>70</v>
          </cell>
          <cell r="G134"/>
          <cell r="L134"/>
          <cell r="M134"/>
          <cell r="N134"/>
          <cell r="O134"/>
          <cell r="P134"/>
          <cell r="Q134"/>
          <cell r="R134"/>
        </row>
        <row r="135">
          <cell r="A135" t="str">
            <v>14LD-14BK6SIRPD</v>
          </cell>
          <cell r="B135" t="str">
            <v>SPARE (incl), Discontinued SKU</v>
          </cell>
          <cell r="C135">
            <v>0</v>
          </cell>
          <cell r="D135">
            <v>0.2</v>
          </cell>
          <cell r="E135">
            <v>3720</v>
          </cell>
          <cell r="F135">
            <v>70</v>
          </cell>
          <cell r="G135"/>
          <cell r="L135"/>
          <cell r="M135"/>
          <cell r="N135"/>
          <cell r="O135"/>
          <cell r="P135"/>
          <cell r="Q135"/>
          <cell r="R135"/>
        </row>
        <row r="136">
          <cell r="A136" t="str">
            <v>14LP-12</v>
          </cell>
          <cell r="B136" t="str">
            <v>TARP(included)</v>
          </cell>
          <cell r="C136">
            <v>11203.01</v>
          </cell>
          <cell r="D136">
            <v>0.2</v>
          </cell>
          <cell r="E136">
            <v>3870</v>
          </cell>
          <cell r="F136">
            <v>70</v>
          </cell>
          <cell r="G136"/>
          <cell r="L136"/>
          <cell r="M136"/>
          <cell r="N136"/>
          <cell r="O136"/>
          <cell r="P136"/>
          <cell r="Q136"/>
          <cell r="R136"/>
        </row>
        <row r="137">
          <cell r="A137" t="str">
            <v>14LP-12BK6-12KHJ</v>
          </cell>
          <cell r="B137" t="str">
            <v>12KHJ, 6SIR, TARP(incl)</v>
          </cell>
          <cell r="C137">
            <v>12496.24</v>
          </cell>
          <cell r="D137">
            <v>0.2</v>
          </cell>
          <cell r="E137">
            <v>4035</v>
          </cell>
          <cell r="F137">
            <v>70</v>
          </cell>
          <cell r="G137"/>
          <cell r="L137"/>
          <cell r="M137"/>
          <cell r="N137"/>
          <cell r="O137"/>
          <cell r="P137"/>
          <cell r="Q137"/>
          <cell r="R137"/>
        </row>
        <row r="138">
          <cell r="A138" t="str">
            <v>14LP-12BK6-12KHJ-P4</v>
          </cell>
          <cell r="B138" t="str">
            <v>12KHJ, HS4, 6SIR, TARP(incl)</v>
          </cell>
          <cell r="C138">
            <v>13849.62</v>
          </cell>
          <cell r="D138">
            <v>0.2</v>
          </cell>
          <cell r="E138">
            <v>4520</v>
          </cell>
          <cell r="F138">
            <v>70</v>
          </cell>
          <cell r="G138"/>
          <cell r="L138"/>
          <cell r="M138"/>
          <cell r="N138"/>
          <cell r="O138"/>
          <cell r="P138"/>
          <cell r="Q138"/>
          <cell r="R138"/>
        </row>
        <row r="139">
          <cell r="A139" t="str">
            <v>14LP-12BK6-P3</v>
          </cell>
          <cell r="B139" t="str">
            <v>3' Sides, 6SIR, SPMT, TARP</v>
          </cell>
          <cell r="C139">
            <v>12751.88</v>
          </cell>
          <cell r="D139">
            <v>0.2</v>
          </cell>
          <cell r="E139">
            <v>4285</v>
          </cell>
          <cell r="F139">
            <v>70</v>
          </cell>
          <cell r="G139"/>
          <cell r="L139"/>
          <cell r="M139"/>
          <cell r="N139"/>
          <cell r="O139"/>
          <cell r="P139"/>
          <cell r="Q139"/>
          <cell r="R139"/>
        </row>
        <row r="140">
          <cell r="A140" t="str">
            <v>14LP-12BK6-P4</v>
          </cell>
          <cell r="B140" t="str">
            <v>4' Sides, 6SIR, SPMT, TARP</v>
          </cell>
          <cell r="C140">
            <v>13127.82</v>
          </cell>
          <cell r="D140">
            <v>0.2</v>
          </cell>
          <cell r="E140">
            <v>4520</v>
          </cell>
          <cell r="F140">
            <v>70</v>
          </cell>
          <cell r="G140"/>
          <cell r="L140"/>
          <cell r="M140"/>
          <cell r="N140"/>
          <cell r="O140"/>
          <cell r="P140"/>
          <cell r="Q140"/>
          <cell r="R140"/>
        </row>
        <row r="141">
          <cell r="A141" t="str">
            <v>14LP-12BK6SIRPD</v>
          </cell>
          <cell r="B141" t="str">
            <v>6SIR, SPMT, TARP</v>
          </cell>
          <cell r="C141">
            <v>11774.44</v>
          </cell>
          <cell r="D141">
            <v>0.2</v>
          </cell>
          <cell r="E141">
            <v>4035</v>
          </cell>
          <cell r="F141">
            <v>70</v>
          </cell>
          <cell r="G141"/>
          <cell r="L141"/>
          <cell r="M141"/>
          <cell r="N141"/>
          <cell r="O141"/>
          <cell r="P141"/>
          <cell r="Q141"/>
          <cell r="R141"/>
        </row>
        <row r="142">
          <cell r="A142" t="str">
            <v>14LP-14</v>
          </cell>
          <cell r="B142" t="str">
            <v>TARP(included)</v>
          </cell>
          <cell r="C142">
            <v>12075.19</v>
          </cell>
          <cell r="D142">
            <v>0.2</v>
          </cell>
          <cell r="E142">
            <v>4180</v>
          </cell>
          <cell r="F142">
            <v>70</v>
          </cell>
          <cell r="G142"/>
          <cell r="L142"/>
          <cell r="M142"/>
          <cell r="N142"/>
          <cell r="O142"/>
          <cell r="P142"/>
          <cell r="Q142"/>
          <cell r="R142"/>
        </row>
        <row r="143">
          <cell r="A143" t="str">
            <v>14LP-14BK6-12KHJ</v>
          </cell>
          <cell r="B143" t="str">
            <v>12KHJ, 6SIR, TARP(incl)</v>
          </cell>
          <cell r="C143">
            <v>13368.42</v>
          </cell>
          <cell r="D143">
            <v>0.2</v>
          </cell>
          <cell r="E143">
            <v>4345</v>
          </cell>
          <cell r="F143">
            <v>70</v>
          </cell>
          <cell r="G143"/>
          <cell r="L143"/>
          <cell r="M143"/>
          <cell r="N143"/>
          <cell r="O143"/>
          <cell r="P143"/>
          <cell r="Q143"/>
          <cell r="R143"/>
        </row>
        <row r="144">
          <cell r="A144" t="str">
            <v>14LP-14BK6-12KHJ-P4</v>
          </cell>
          <cell r="B144" t="str">
            <v>12KHJ, HS4, 6SIR, TARP(incl)</v>
          </cell>
          <cell r="C144">
            <v>14721.8</v>
          </cell>
          <cell r="D144">
            <v>0.2</v>
          </cell>
          <cell r="E144">
            <v>4930</v>
          </cell>
          <cell r="F144">
            <v>70</v>
          </cell>
          <cell r="G144"/>
          <cell r="L144"/>
          <cell r="M144"/>
          <cell r="N144"/>
          <cell r="O144"/>
          <cell r="P144"/>
          <cell r="Q144"/>
          <cell r="R144"/>
        </row>
        <row r="145">
          <cell r="A145" t="str">
            <v>14LP-14BK6-P3</v>
          </cell>
          <cell r="B145" t="str">
            <v>3' Sides, 6SIR, SPMT, TARP</v>
          </cell>
          <cell r="C145">
            <v>13624.06</v>
          </cell>
          <cell r="D145">
            <v>0.2</v>
          </cell>
          <cell r="E145">
            <v>4645</v>
          </cell>
          <cell r="F145">
            <v>70</v>
          </cell>
          <cell r="G145"/>
          <cell r="L145"/>
          <cell r="M145"/>
          <cell r="N145"/>
          <cell r="O145"/>
          <cell r="P145"/>
          <cell r="Q145"/>
          <cell r="R145"/>
        </row>
        <row r="146">
          <cell r="A146" t="str">
            <v>14LP-14BK6-P4</v>
          </cell>
          <cell r="B146" t="str">
            <v>4' Sides, 6SIR, SPMT, TARP</v>
          </cell>
          <cell r="C146">
            <v>14000</v>
          </cell>
          <cell r="D146">
            <v>0.2</v>
          </cell>
          <cell r="E146">
            <v>4930</v>
          </cell>
          <cell r="F146">
            <v>70</v>
          </cell>
          <cell r="G146"/>
          <cell r="L146"/>
          <cell r="M146"/>
          <cell r="N146"/>
          <cell r="O146"/>
          <cell r="P146"/>
          <cell r="Q146"/>
          <cell r="R146"/>
        </row>
        <row r="147">
          <cell r="A147" t="str">
            <v>14LP-14BK6SIRPD</v>
          </cell>
          <cell r="B147" t="str">
            <v>6SIR, SPMT, TARP</v>
          </cell>
          <cell r="C147">
            <v>12646.62</v>
          </cell>
          <cell r="D147">
            <v>0.2</v>
          </cell>
          <cell r="E147">
            <v>4345</v>
          </cell>
          <cell r="F147">
            <v>70</v>
          </cell>
          <cell r="G147"/>
          <cell r="L147"/>
          <cell r="M147"/>
          <cell r="N147"/>
          <cell r="O147"/>
          <cell r="P147"/>
          <cell r="Q147"/>
          <cell r="R147"/>
        </row>
        <row r="148">
          <cell r="A148" t="str">
            <v>14LP-14BL6-P4</v>
          </cell>
          <cell r="B148" t="str">
            <v>4' Sides, 6SIR, SPMT, TARP</v>
          </cell>
          <cell r="C148">
            <v>14563.91</v>
          </cell>
          <cell r="D148">
            <v>0.2</v>
          </cell>
          <cell r="E148">
            <v>4930</v>
          </cell>
          <cell r="F148">
            <v>70</v>
          </cell>
          <cell r="G148"/>
          <cell r="L148"/>
          <cell r="M148"/>
          <cell r="N148"/>
          <cell r="O148"/>
          <cell r="P148"/>
          <cell r="Q148"/>
          <cell r="R148"/>
        </row>
        <row r="149">
          <cell r="A149" t="str">
            <v>14LP-14BL6SIRPD</v>
          </cell>
          <cell r="B149" t="str">
            <v>6SIR, SPMT, TARP</v>
          </cell>
          <cell r="C149">
            <v>13210.53</v>
          </cell>
          <cell r="D149">
            <v>0.2</v>
          </cell>
          <cell r="E149">
            <v>4345</v>
          </cell>
          <cell r="F149">
            <v>70</v>
          </cell>
          <cell r="G149"/>
          <cell r="L149"/>
          <cell r="M149"/>
          <cell r="N149"/>
          <cell r="O149"/>
          <cell r="P149"/>
          <cell r="Q149"/>
          <cell r="R149"/>
        </row>
        <row r="150">
          <cell r="A150" t="str">
            <v>14LP-14DT6-P4</v>
          </cell>
          <cell r="B150" t="str">
            <v>4' Sides, 6SIR, SPMT, TARP</v>
          </cell>
          <cell r="C150">
            <v>14563.91</v>
          </cell>
          <cell r="D150">
            <v>0.2</v>
          </cell>
          <cell r="E150">
            <v>4930</v>
          </cell>
          <cell r="F150">
            <v>70</v>
          </cell>
          <cell r="G150"/>
          <cell r="L150"/>
          <cell r="M150"/>
          <cell r="N150"/>
          <cell r="O150"/>
          <cell r="P150"/>
          <cell r="Q150"/>
          <cell r="R150"/>
        </row>
        <row r="151">
          <cell r="A151" t="str">
            <v>14LP-14DT6SIRPD</v>
          </cell>
          <cell r="B151" t="str">
            <v>6SIR, SPMT, TARP</v>
          </cell>
          <cell r="C151">
            <v>13210.53</v>
          </cell>
          <cell r="D151">
            <v>0.2</v>
          </cell>
          <cell r="E151">
            <v>4345</v>
          </cell>
          <cell r="F151">
            <v>70</v>
          </cell>
          <cell r="G151"/>
          <cell r="L151"/>
          <cell r="M151"/>
          <cell r="N151"/>
          <cell r="O151"/>
          <cell r="P151"/>
          <cell r="Q151"/>
          <cell r="R151"/>
        </row>
        <row r="152">
          <cell r="A152" t="str">
            <v>14LP-14GR6-P4</v>
          </cell>
          <cell r="B152" t="str"/>
          <cell r="C152">
            <v>15488.72</v>
          </cell>
          <cell r="D152">
            <v>0.2</v>
          </cell>
          <cell r="E152">
            <v>4930</v>
          </cell>
          <cell r="F152">
            <v>70</v>
          </cell>
          <cell r="G152"/>
          <cell r="L152"/>
          <cell r="M152"/>
          <cell r="N152"/>
          <cell r="O152"/>
          <cell r="P152"/>
          <cell r="Q152"/>
          <cell r="R152"/>
        </row>
        <row r="153">
          <cell r="A153" t="str">
            <v>14LP-14GY6-P4</v>
          </cell>
          <cell r="B153" t="str">
            <v>4' Sides, 6SIR, SPMT, TARP</v>
          </cell>
          <cell r="C153">
            <v>14563.91</v>
          </cell>
          <cell r="D153">
            <v>0.2</v>
          </cell>
          <cell r="E153">
            <v>4930</v>
          </cell>
          <cell r="F153">
            <v>70</v>
          </cell>
          <cell r="G153"/>
          <cell r="L153"/>
          <cell r="M153"/>
          <cell r="N153"/>
          <cell r="O153"/>
          <cell r="P153"/>
          <cell r="Q153"/>
          <cell r="R153"/>
        </row>
        <row r="154">
          <cell r="A154" t="str">
            <v>14LP-14GY6SIRPD</v>
          </cell>
          <cell r="B154" t="str">
            <v>6SIR, SPMT, TARP</v>
          </cell>
          <cell r="C154">
            <v>13210.53</v>
          </cell>
          <cell r="D154">
            <v>0.2</v>
          </cell>
          <cell r="E154">
            <v>4345</v>
          </cell>
          <cell r="F154">
            <v>70</v>
          </cell>
          <cell r="G154"/>
          <cell r="L154"/>
          <cell r="M154"/>
          <cell r="N154"/>
          <cell r="O154"/>
          <cell r="P154"/>
          <cell r="Q154"/>
          <cell r="R154"/>
        </row>
        <row r="155">
          <cell r="A155" t="str">
            <v>14LP-14SG6-P4</v>
          </cell>
          <cell r="B155" t="str">
            <v>4' Sides, 6SIR, SPMT, TARP</v>
          </cell>
          <cell r="C155">
            <v>14563.91</v>
          </cell>
          <cell r="D155">
            <v>0.2</v>
          </cell>
          <cell r="E155">
            <v>4930</v>
          </cell>
          <cell r="F155">
            <v>70</v>
          </cell>
          <cell r="G155"/>
          <cell r="L155"/>
          <cell r="M155"/>
          <cell r="N155"/>
          <cell r="O155"/>
          <cell r="P155"/>
          <cell r="Q155"/>
          <cell r="R155"/>
        </row>
        <row r="156">
          <cell r="A156" t="str">
            <v>14LP-14SG6SIRPD</v>
          </cell>
          <cell r="B156" t="str">
            <v>6SIR, SPMT, TARP</v>
          </cell>
          <cell r="C156">
            <v>13210.53</v>
          </cell>
          <cell r="D156">
            <v>0.2</v>
          </cell>
          <cell r="E156">
            <v>4345</v>
          </cell>
          <cell r="F156">
            <v>70</v>
          </cell>
          <cell r="G156"/>
          <cell r="L156"/>
          <cell r="M156"/>
          <cell r="N156"/>
          <cell r="O156"/>
          <cell r="P156"/>
          <cell r="Q156"/>
          <cell r="R156"/>
        </row>
        <row r="157">
          <cell r="A157" t="str">
            <v>14LP-14WH6-P4</v>
          </cell>
          <cell r="B157" t="str">
            <v>4' Sides, 6SIR, SPMT, TARP</v>
          </cell>
          <cell r="C157">
            <v>14563.91</v>
          </cell>
          <cell r="D157">
            <v>0.2</v>
          </cell>
          <cell r="E157">
            <v>4930</v>
          </cell>
          <cell r="F157">
            <v>70</v>
          </cell>
          <cell r="G157"/>
          <cell r="L157"/>
          <cell r="M157"/>
          <cell r="N157"/>
          <cell r="O157"/>
          <cell r="P157"/>
          <cell r="Q157"/>
          <cell r="R157"/>
        </row>
        <row r="158">
          <cell r="A158" t="str">
            <v>14LP-14WH6SIRPD</v>
          </cell>
          <cell r="B158" t="str">
            <v>6SIR, SPMT, TARP</v>
          </cell>
          <cell r="C158">
            <v>13210.53</v>
          </cell>
          <cell r="D158">
            <v>0.2</v>
          </cell>
          <cell r="E158">
            <v>4345</v>
          </cell>
          <cell r="F158">
            <v>70</v>
          </cell>
          <cell r="G158"/>
          <cell r="L158"/>
          <cell r="M158"/>
          <cell r="N158"/>
          <cell r="O158"/>
          <cell r="P158"/>
          <cell r="Q158"/>
          <cell r="R158"/>
        </row>
        <row r="159">
          <cell r="A159" t="str">
            <v>14LP-16</v>
          </cell>
          <cell r="B159" t="str">
            <v>TARP(included)</v>
          </cell>
          <cell r="C159">
            <v>12947.37</v>
          </cell>
          <cell r="D159">
            <v>0.2</v>
          </cell>
          <cell r="E159">
            <v>4250</v>
          </cell>
          <cell r="F159">
            <v>70</v>
          </cell>
          <cell r="G159"/>
          <cell r="L159"/>
          <cell r="M159"/>
          <cell r="N159"/>
          <cell r="O159"/>
          <cell r="P159"/>
          <cell r="Q159"/>
          <cell r="R159"/>
        </row>
        <row r="160">
          <cell r="A160" t="str">
            <v>14LP-16BK6-12KHJ</v>
          </cell>
          <cell r="B160" t="str">
            <v>12KHJ, 6SIR, TARP(incl)</v>
          </cell>
          <cell r="C160">
            <v>14240.6</v>
          </cell>
          <cell r="D160">
            <v>0.2</v>
          </cell>
          <cell r="E160">
            <v>4805</v>
          </cell>
          <cell r="F160">
            <v>70</v>
          </cell>
          <cell r="G160"/>
          <cell r="L160"/>
          <cell r="M160"/>
          <cell r="N160"/>
          <cell r="O160"/>
          <cell r="P160"/>
          <cell r="Q160"/>
          <cell r="R160"/>
        </row>
        <row r="161">
          <cell r="A161" t="str">
            <v>14LP-16BK6-12KHJ-P4</v>
          </cell>
          <cell r="B161" t="str">
            <v>12KHJ, HS4, 6SIR, TARP(incl)</v>
          </cell>
          <cell r="C161">
            <v>15593.98</v>
          </cell>
          <cell r="D161">
            <v>0.2</v>
          </cell>
          <cell r="E161">
            <v>5420</v>
          </cell>
          <cell r="F161">
            <v>70</v>
          </cell>
          <cell r="G161"/>
          <cell r="L161"/>
          <cell r="M161"/>
          <cell r="N161"/>
          <cell r="O161"/>
          <cell r="P161"/>
          <cell r="Q161"/>
          <cell r="R161"/>
        </row>
        <row r="162">
          <cell r="A162" t="str">
            <v>14LP-16BK6-P3</v>
          </cell>
          <cell r="B162" t="str">
            <v>3' Sides, 6SIR, SPMT, TARP</v>
          </cell>
          <cell r="C162">
            <v>14496.24</v>
          </cell>
          <cell r="D162">
            <v>0.2</v>
          </cell>
          <cell r="E162">
            <v>5115</v>
          </cell>
          <cell r="F162">
            <v>70</v>
          </cell>
          <cell r="G162"/>
          <cell r="L162"/>
          <cell r="M162"/>
          <cell r="N162"/>
          <cell r="O162"/>
          <cell r="P162"/>
          <cell r="Q162"/>
          <cell r="R162"/>
        </row>
        <row r="163">
          <cell r="A163" t="str">
            <v>14LP-16BK6-P4</v>
          </cell>
          <cell r="B163" t="str">
            <v>4' Sides, 6SIR, SPMT, TARP</v>
          </cell>
          <cell r="C163">
            <v>14872.18</v>
          </cell>
          <cell r="D163">
            <v>0.2</v>
          </cell>
          <cell r="E163">
            <v>5420</v>
          </cell>
          <cell r="F163">
            <v>70</v>
          </cell>
          <cell r="G163"/>
          <cell r="L163"/>
          <cell r="M163"/>
          <cell r="N163"/>
          <cell r="O163"/>
          <cell r="P163"/>
          <cell r="Q163"/>
          <cell r="R163"/>
        </row>
        <row r="164">
          <cell r="A164" t="str">
            <v>14LP-16BK6SIRPD</v>
          </cell>
          <cell r="B164" t="str">
            <v>6SIR, SPMT, TARP</v>
          </cell>
          <cell r="C164">
            <v>13518.8</v>
          </cell>
          <cell r="D164">
            <v>0.2</v>
          </cell>
          <cell r="E164">
            <v>4805</v>
          </cell>
          <cell r="F164">
            <v>70</v>
          </cell>
          <cell r="G164"/>
          <cell r="L164"/>
          <cell r="M164"/>
          <cell r="N164"/>
          <cell r="O164"/>
          <cell r="P164"/>
          <cell r="Q164"/>
          <cell r="R164"/>
        </row>
        <row r="165">
          <cell r="A165" t="str">
            <v>14LP-16BL6SIRPD</v>
          </cell>
          <cell r="B165" t="str">
            <v>6SIR, SPMT, TARP</v>
          </cell>
          <cell r="C165">
            <v>15007.52</v>
          </cell>
          <cell r="D165">
            <v>0.2</v>
          </cell>
          <cell r="E165">
            <v>4805</v>
          </cell>
          <cell r="F165">
            <v>70</v>
          </cell>
          <cell r="G165"/>
          <cell r="L165"/>
          <cell r="M165"/>
          <cell r="N165"/>
          <cell r="O165"/>
          <cell r="P165"/>
          <cell r="Q165"/>
          <cell r="R165"/>
        </row>
        <row r="166">
          <cell r="A166" t="str">
            <v>14LP-16DT6SIRPD</v>
          </cell>
          <cell r="B166" t="str">
            <v>6SIR, SPMT, TARP</v>
          </cell>
          <cell r="C166">
            <v>14082.71</v>
          </cell>
          <cell r="D166">
            <v>0.2</v>
          </cell>
          <cell r="E166">
            <v>4805</v>
          </cell>
          <cell r="F166">
            <v>70</v>
          </cell>
          <cell r="G166"/>
          <cell r="L166"/>
          <cell r="M166"/>
          <cell r="N166"/>
          <cell r="O166"/>
          <cell r="P166"/>
          <cell r="Q166"/>
          <cell r="R166"/>
        </row>
        <row r="167">
          <cell r="A167" t="str">
            <v>14LP-16GY6SIRPD</v>
          </cell>
          <cell r="B167" t="str">
            <v>6SIR, SPMT, TARP</v>
          </cell>
          <cell r="C167">
            <v>14082.71</v>
          </cell>
          <cell r="D167">
            <v>0.2</v>
          </cell>
          <cell r="E167">
            <v>4805</v>
          </cell>
          <cell r="F167">
            <v>70</v>
          </cell>
          <cell r="G167"/>
          <cell r="L167"/>
          <cell r="M167"/>
          <cell r="N167"/>
          <cell r="O167"/>
          <cell r="P167"/>
          <cell r="Q167"/>
          <cell r="R167"/>
        </row>
        <row r="168">
          <cell r="A168" t="str">
            <v>14LP-16SG6SIRPD</v>
          </cell>
          <cell r="B168" t="str">
            <v>6SIR, SPMT, TARP</v>
          </cell>
          <cell r="C168">
            <v>14082.71</v>
          </cell>
          <cell r="D168">
            <v>0.2</v>
          </cell>
          <cell r="E168">
            <v>4805</v>
          </cell>
          <cell r="F168">
            <v>70</v>
          </cell>
          <cell r="G168"/>
          <cell r="L168"/>
          <cell r="M168"/>
          <cell r="N168"/>
          <cell r="O168"/>
          <cell r="P168"/>
          <cell r="Q168"/>
          <cell r="R168"/>
        </row>
        <row r="169">
          <cell r="A169" t="str">
            <v>14LP-16WH6SIRPD</v>
          </cell>
          <cell r="B169" t="str">
            <v>6SIR, SPMT, TARP</v>
          </cell>
          <cell r="C169">
            <v>14082.71</v>
          </cell>
          <cell r="D169">
            <v>0.2</v>
          </cell>
          <cell r="E169">
            <v>4805</v>
          </cell>
          <cell r="F169">
            <v>70</v>
          </cell>
          <cell r="G169"/>
          <cell r="L169"/>
          <cell r="M169"/>
          <cell r="N169"/>
          <cell r="O169"/>
          <cell r="P169"/>
          <cell r="Q169"/>
          <cell r="R169"/>
        </row>
        <row r="170">
          <cell r="A170" t="str">
            <v>14LX-12C2A</v>
          </cell>
          <cell r="B170" t="str">
            <v>6SIR, SPMT, TARP</v>
          </cell>
          <cell r="C170">
            <v>10827.07</v>
          </cell>
          <cell r="D170">
            <v>0.2</v>
          </cell>
          <cell r="E170">
            <v>3430</v>
          </cell>
          <cell r="F170">
            <v>70</v>
          </cell>
          <cell r="G170"/>
          <cell r="L170"/>
          <cell r="M170"/>
          <cell r="N170"/>
          <cell r="O170"/>
          <cell r="P170"/>
          <cell r="Q170"/>
          <cell r="R170"/>
        </row>
        <row r="171">
          <cell r="A171" t="str">
            <v>14LX-12C2A-BK</v>
          </cell>
          <cell r="B171" t="str">
            <v>6SIR, SPMT, TARP</v>
          </cell>
          <cell r="C171">
            <v>10827.07</v>
          </cell>
          <cell r="D171">
            <v>0.2</v>
          </cell>
          <cell r="E171">
            <v>3430</v>
          </cell>
          <cell r="F171">
            <v>70</v>
          </cell>
          <cell r="G171"/>
          <cell r="L171"/>
          <cell r="M171"/>
          <cell r="N171"/>
          <cell r="O171"/>
          <cell r="P171"/>
          <cell r="Q171"/>
          <cell r="R171"/>
        </row>
        <row r="172">
          <cell r="A172" t="str">
            <v>14LX-12C4A</v>
          </cell>
          <cell r="B172" t="str">
            <v>HS4, 6SIR, SPMT, Tarp (incl)</v>
          </cell>
          <cell r="C172">
            <v>12067.67</v>
          </cell>
          <cell r="D172">
            <v>0.2</v>
          </cell>
          <cell r="E172">
            <v>3890</v>
          </cell>
          <cell r="F172">
            <v>70</v>
          </cell>
          <cell r="G172"/>
          <cell r="L172"/>
          <cell r="M172"/>
          <cell r="N172"/>
          <cell r="O172"/>
          <cell r="P172"/>
          <cell r="Q172"/>
          <cell r="R172"/>
        </row>
        <row r="173">
          <cell r="A173" t="str">
            <v>14LX-12C4A-BK</v>
          </cell>
          <cell r="B173" t="str">
            <v>HS4, 6SIR, SPMT, Tarp (incl)</v>
          </cell>
          <cell r="C173">
            <v>12067.67</v>
          </cell>
          <cell r="D173">
            <v>0.2</v>
          </cell>
          <cell r="E173">
            <v>3890</v>
          </cell>
          <cell r="F173">
            <v>70</v>
          </cell>
          <cell r="G173"/>
          <cell r="L173"/>
          <cell r="M173"/>
          <cell r="N173"/>
          <cell r="O173"/>
          <cell r="P173"/>
          <cell r="Q173"/>
          <cell r="R173"/>
        </row>
        <row r="174">
          <cell r="A174" t="str">
            <v>14LX-14C2A</v>
          </cell>
          <cell r="B174" t="str">
            <v>6SIR, SPMT, TARP</v>
          </cell>
          <cell r="C174">
            <v>11127.82</v>
          </cell>
          <cell r="D174">
            <v>0.2</v>
          </cell>
          <cell r="E174">
            <v>3660</v>
          </cell>
          <cell r="F174">
            <v>70</v>
          </cell>
          <cell r="G174"/>
          <cell r="L174"/>
          <cell r="M174"/>
          <cell r="N174"/>
          <cell r="O174"/>
          <cell r="P174"/>
          <cell r="Q174"/>
          <cell r="R174"/>
        </row>
        <row r="175">
          <cell r="A175" t="str">
            <v>14LX-14C2A-BK</v>
          </cell>
          <cell r="B175" t="str">
            <v>6SIR, SPMT, TARP</v>
          </cell>
          <cell r="C175">
            <v>11127.82</v>
          </cell>
          <cell r="D175">
            <v>0.2</v>
          </cell>
          <cell r="E175">
            <v>3660</v>
          </cell>
          <cell r="F175">
            <v>70</v>
          </cell>
          <cell r="G175"/>
          <cell r="L175"/>
          <cell r="M175"/>
          <cell r="N175"/>
          <cell r="O175"/>
          <cell r="P175"/>
          <cell r="Q175"/>
          <cell r="R175"/>
        </row>
        <row r="176">
          <cell r="A176" t="str">
            <v>14LX-14C4A</v>
          </cell>
          <cell r="B176" t="str">
            <v>HS4, 6SIR, SPMT, Tarp (incl)</v>
          </cell>
          <cell r="C176">
            <v>12368.42</v>
          </cell>
          <cell r="D176">
            <v>0.2</v>
          </cell>
          <cell r="E176">
            <v>4190</v>
          </cell>
          <cell r="F176">
            <v>70</v>
          </cell>
          <cell r="G176"/>
          <cell r="L176"/>
          <cell r="M176"/>
          <cell r="N176"/>
          <cell r="O176"/>
          <cell r="P176"/>
          <cell r="Q176"/>
          <cell r="R176"/>
        </row>
        <row r="177">
          <cell r="A177" t="str">
            <v>14LX-14C4A-BK</v>
          </cell>
          <cell r="B177" t="str">
            <v>HS4, 6SIR, SPMT, Tarp (incl)</v>
          </cell>
          <cell r="C177">
            <v>12368.42</v>
          </cell>
          <cell r="D177">
            <v>0.2</v>
          </cell>
          <cell r="E177">
            <v>4190</v>
          </cell>
          <cell r="F177">
            <v>70</v>
          </cell>
          <cell r="G177"/>
          <cell r="L177"/>
          <cell r="M177"/>
          <cell r="N177"/>
          <cell r="O177"/>
          <cell r="P177"/>
          <cell r="Q177"/>
          <cell r="R177"/>
        </row>
        <row r="178">
          <cell r="A178" t="str">
            <v>14OA-16</v>
          </cell>
          <cell r="B178" t="str"/>
          <cell r="C178">
            <v>9894.74</v>
          </cell>
          <cell r="D178">
            <v>0.2</v>
          </cell>
          <cell r="E178">
            <v>3250</v>
          </cell>
          <cell r="F178">
            <v>40</v>
          </cell>
          <cell r="G178"/>
          <cell r="L178"/>
          <cell r="M178"/>
          <cell r="N178"/>
          <cell r="O178"/>
          <cell r="P178"/>
          <cell r="Q178"/>
          <cell r="R178"/>
        </row>
        <row r="179">
          <cell r="A179" t="str">
            <v>14OA-16BK-8SIR</v>
          </cell>
          <cell r="B179" t="str">
            <v>8SIR</v>
          </cell>
          <cell r="C179">
            <v>10330.83</v>
          </cell>
          <cell r="D179">
            <v>0.2</v>
          </cell>
          <cell r="E179">
            <v>3250</v>
          </cell>
          <cell r="F179">
            <v>40</v>
          </cell>
          <cell r="G179"/>
          <cell r="L179"/>
          <cell r="M179"/>
          <cell r="N179"/>
          <cell r="O179"/>
          <cell r="P179"/>
          <cell r="Q179"/>
          <cell r="R179"/>
        </row>
        <row r="180">
          <cell r="A180" t="str">
            <v>14OA-16STA</v>
          </cell>
          <cell r="B180" t="str"/>
          <cell r="C180">
            <v>9548.8700000000008</v>
          </cell>
          <cell r="D180">
            <v>0.2</v>
          </cell>
          <cell r="E180">
            <v>3250</v>
          </cell>
          <cell r="F180">
            <v>40</v>
          </cell>
          <cell r="G180"/>
          <cell r="L180"/>
          <cell r="M180"/>
          <cell r="N180"/>
          <cell r="O180"/>
          <cell r="P180"/>
          <cell r="Q180"/>
          <cell r="R180"/>
        </row>
        <row r="181">
          <cell r="A181" t="str">
            <v>14OA-16STA-S8BK</v>
          </cell>
          <cell r="B181" t="str">
            <v>8SIR</v>
          </cell>
          <cell r="C181">
            <v>9984.9599999999991</v>
          </cell>
          <cell r="D181">
            <v>0.2</v>
          </cell>
          <cell r="E181">
            <v>3250</v>
          </cell>
          <cell r="F181">
            <v>40</v>
          </cell>
          <cell r="G181"/>
          <cell r="L181"/>
          <cell r="M181"/>
          <cell r="N181"/>
          <cell r="O181"/>
          <cell r="P181"/>
          <cell r="Q181"/>
          <cell r="R181"/>
        </row>
        <row r="182">
          <cell r="A182" t="str">
            <v>14OA-17+3</v>
          </cell>
          <cell r="B182" t="str">
            <v>3' DT, 5' FUR</v>
          </cell>
          <cell r="C182">
            <v>10541.35</v>
          </cell>
          <cell r="D182">
            <v>0.2</v>
          </cell>
          <cell r="E182">
            <v>3680</v>
          </cell>
          <cell r="F182">
            <v>40</v>
          </cell>
          <cell r="G182"/>
          <cell r="L182"/>
          <cell r="M182"/>
          <cell r="N182"/>
          <cell r="O182"/>
          <cell r="P182"/>
          <cell r="Q182"/>
          <cell r="R182"/>
        </row>
        <row r="183">
          <cell r="A183" t="str">
            <v>14OA-17BK+3</v>
          </cell>
          <cell r="B183" t="str">
            <v>3' DT, 5' FUR</v>
          </cell>
          <cell r="C183">
            <v>10541.35</v>
          </cell>
          <cell r="D183">
            <v>0.2</v>
          </cell>
          <cell r="E183">
            <v>3680</v>
          </cell>
          <cell r="F183">
            <v>40</v>
          </cell>
          <cell r="G183"/>
          <cell r="L183"/>
          <cell r="M183"/>
          <cell r="N183"/>
          <cell r="O183"/>
          <cell r="P183"/>
          <cell r="Q183"/>
          <cell r="R183"/>
        </row>
        <row r="184">
          <cell r="A184" t="str">
            <v>14OA-18</v>
          </cell>
          <cell r="B184" t="str"/>
          <cell r="C184">
            <v>10120.299999999999</v>
          </cell>
          <cell r="D184">
            <v>0.2</v>
          </cell>
          <cell r="E184">
            <v>3450</v>
          </cell>
          <cell r="F184">
            <v>40</v>
          </cell>
          <cell r="G184"/>
          <cell r="L184"/>
          <cell r="M184"/>
          <cell r="N184"/>
          <cell r="O184"/>
          <cell r="P184"/>
          <cell r="Q184"/>
          <cell r="R184"/>
        </row>
        <row r="185">
          <cell r="A185" t="str">
            <v>14OA-18BK-8SIR</v>
          </cell>
          <cell r="B185" t="str">
            <v>8SIR</v>
          </cell>
          <cell r="C185">
            <v>10556.39</v>
          </cell>
          <cell r="D185">
            <v>0.2</v>
          </cell>
          <cell r="E185">
            <v>3650</v>
          </cell>
          <cell r="F185">
            <v>40</v>
          </cell>
          <cell r="G185"/>
          <cell r="L185"/>
          <cell r="M185"/>
          <cell r="N185"/>
          <cell r="O185"/>
          <cell r="P185"/>
          <cell r="Q185"/>
          <cell r="R185"/>
        </row>
        <row r="186">
          <cell r="A186" t="str">
            <v>14OA-18STA</v>
          </cell>
          <cell r="B186" t="str"/>
          <cell r="C186">
            <v>9774.44</v>
          </cell>
          <cell r="D186">
            <v>0.2</v>
          </cell>
          <cell r="E186">
            <v>3450</v>
          </cell>
          <cell r="F186">
            <v>40</v>
          </cell>
          <cell r="G186"/>
          <cell r="L186"/>
          <cell r="M186"/>
          <cell r="N186"/>
          <cell r="O186"/>
          <cell r="P186"/>
          <cell r="Q186"/>
          <cell r="R186"/>
        </row>
        <row r="187">
          <cell r="A187" t="str">
            <v>14OA-18STA-S8BK</v>
          </cell>
          <cell r="B187" t="str">
            <v>8SIR</v>
          </cell>
          <cell r="C187">
            <v>10210.530000000001</v>
          </cell>
          <cell r="D187">
            <v>0.2</v>
          </cell>
          <cell r="E187">
            <v>3450</v>
          </cell>
          <cell r="F187">
            <v>40</v>
          </cell>
          <cell r="G187"/>
          <cell r="L187"/>
          <cell r="M187"/>
          <cell r="N187"/>
          <cell r="O187"/>
          <cell r="P187"/>
          <cell r="Q187"/>
          <cell r="R187"/>
        </row>
        <row r="188">
          <cell r="A188" t="str">
            <v>14OA-19+3</v>
          </cell>
          <cell r="B188" t="str">
            <v>3' DT, 5' FUR</v>
          </cell>
          <cell r="C188">
            <v>10766.92</v>
          </cell>
          <cell r="D188">
            <v>0.2</v>
          </cell>
          <cell r="E188">
            <v>3890</v>
          </cell>
          <cell r="F188">
            <v>40</v>
          </cell>
          <cell r="G188"/>
          <cell r="L188"/>
          <cell r="M188"/>
          <cell r="N188"/>
          <cell r="O188"/>
          <cell r="P188"/>
          <cell r="Q188"/>
          <cell r="R188"/>
        </row>
        <row r="189">
          <cell r="A189" t="str">
            <v>14OA-19BK+3</v>
          </cell>
          <cell r="B189" t="str">
            <v>3' DT, 5' FUR</v>
          </cell>
          <cell r="C189">
            <v>10766.92</v>
          </cell>
          <cell r="D189">
            <v>0.2</v>
          </cell>
          <cell r="E189">
            <v>3890</v>
          </cell>
          <cell r="F189">
            <v>40</v>
          </cell>
          <cell r="G189"/>
          <cell r="L189"/>
          <cell r="M189"/>
          <cell r="N189"/>
          <cell r="O189"/>
          <cell r="P189"/>
          <cell r="Q189"/>
          <cell r="R189"/>
        </row>
        <row r="190">
          <cell r="A190" t="str">
            <v>14OA-20</v>
          </cell>
          <cell r="B190" t="str"/>
          <cell r="C190">
            <v>10345.86</v>
          </cell>
          <cell r="D190">
            <v>0.2</v>
          </cell>
          <cell r="E190">
            <v>3650</v>
          </cell>
          <cell r="F190">
            <v>40</v>
          </cell>
          <cell r="G190"/>
          <cell r="L190"/>
          <cell r="M190"/>
          <cell r="N190"/>
          <cell r="O190"/>
          <cell r="P190"/>
          <cell r="Q190"/>
          <cell r="R190"/>
        </row>
        <row r="191">
          <cell r="A191" t="str">
            <v>14OA-20BK-8SIR</v>
          </cell>
          <cell r="B191" t="str">
            <v>8SIR</v>
          </cell>
          <cell r="C191">
            <v>10781.95</v>
          </cell>
          <cell r="D191">
            <v>0.2</v>
          </cell>
          <cell r="E191">
            <v>3650</v>
          </cell>
          <cell r="F191">
            <v>40</v>
          </cell>
          <cell r="G191"/>
          <cell r="L191"/>
          <cell r="M191"/>
          <cell r="N191"/>
          <cell r="O191"/>
          <cell r="P191"/>
          <cell r="Q191"/>
          <cell r="R191"/>
        </row>
        <row r="192">
          <cell r="A192" t="str">
            <v>14OA-20D3A</v>
          </cell>
          <cell r="B192" t="str"/>
          <cell r="C192">
            <v>10270.68</v>
          </cell>
          <cell r="D192">
            <v>0.2</v>
          </cell>
          <cell r="E192">
            <v>3680</v>
          </cell>
          <cell r="F192">
            <v>40</v>
          </cell>
          <cell r="G192"/>
          <cell r="L192"/>
          <cell r="M192"/>
          <cell r="N192"/>
          <cell r="O192"/>
          <cell r="P192"/>
          <cell r="Q192"/>
          <cell r="R192"/>
        </row>
        <row r="193">
          <cell r="A193" t="str">
            <v>14OA-20D3A-FRBK</v>
          </cell>
          <cell r="B193" t="str">
            <v>3'DT, 5'FUR</v>
          </cell>
          <cell r="C193">
            <v>10000</v>
          </cell>
          <cell r="D193">
            <v>0.2</v>
          </cell>
          <cell r="E193">
            <v>3680</v>
          </cell>
          <cell r="F193">
            <v>40</v>
          </cell>
          <cell r="G193"/>
          <cell r="L193"/>
          <cell r="M193"/>
          <cell r="N193"/>
          <cell r="O193"/>
          <cell r="P193"/>
          <cell r="Q193"/>
          <cell r="R193"/>
        </row>
        <row r="194">
          <cell r="A194" t="str">
            <v>14OA-20STA</v>
          </cell>
          <cell r="B194" t="str"/>
          <cell r="C194">
            <v>10000</v>
          </cell>
          <cell r="D194">
            <v>0.2</v>
          </cell>
          <cell r="E194">
            <v>3650</v>
          </cell>
          <cell r="F194">
            <v>40</v>
          </cell>
          <cell r="G194"/>
          <cell r="L194"/>
          <cell r="M194"/>
          <cell r="N194"/>
          <cell r="O194"/>
          <cell r="P194"/>
          <cell r="Q194"/>
          <cell r="R194"/>
        </row>
        <row r="195">
          <cell r="A195" t="str">
            <v>14OA-20STA-S8BK</v>
          </cell>
          <cell r="B195" t="str">
            <v>8SIR</v>
          </cell>
          <cell r="C195">
            <v>10436.09</v>
          </cell>
          <cell r="D195">
            <v>0.2</v>
          </cell>
          <cell r="E195">
            <v>3650</v>
          </cell>
          <cell r="F195">
            <v>40</v>
          </cell>
          <cell r="G195"/>
          <cell r="L195"/>
          <cell r="M195"/>
          <cell r="N195"/>
          <cell r="O195"/>
          <cell r="P195"/>
          <cell r="Q195"/>
          <cell r="R195"/>
        </row>
        <row r="196">
          <cell r="A196" t="str">
            <v>14OA-21+3</v>
          </cell>
          <cell r="B196" t="str">
            <v>3' DT, 5' FUR</v>
          </cell>
          <cell r="C196">
            <v>10992.48</v>
          </cell>
          <cell r="D196">
            <v>0.2</v>
          </cell>
          <cell r="E196">
            <v>4180</v>
          </cell>
          <cell r="F196">
            <v>40</v>
          </cell>
          <cell r="G196"/>
          <cell r="L196"/>
          <cell r="M196"/>
          <cell r="N196"/>
          <cell r="O196"/>
          <cell r="P196"/>
          <cell r="Q196"/>
          <cell r="R196"/>
        </row>
        <row r="197">
          <cell r="A197" t="str">
            <v>14OA-21BK+3</v>
          </cell>
          <cell r="B197" t="str">
            <v>3' DT, 5' FUR</v>
          </cell>
          <cell r="C197">
            <v>10992.48</v>
          </cell>
          <cell r="D197">
            <v>0.2</v>
          </cell>
          <cell r="E197">
            <v>4180</v>
          </cell>
          <cell r="F197">
            <v>40</v>
          </cell>
          <cell r="G197"/>
          <cell r="L197"/>
          <cell r="M197"/>
          <cell r="N197"/>
          <cell r="O197"/>
          <cell r="P197"/>
          <cell r="Q197"/>
          <cell r="R197"/>
        </row>
        <row r="198">
          <cell r="A198" t="str">
            <v>14OA-22</v>
          </cell>
          <cell r="B198" t="str"/>
          <cell r="C198">
            <v>10571.43</v>
          </cell>
          <cell r="D198">
            <v>0.2</v>
          </cell>
          <cell r="E198">
            <v>3850</v>
          </cell>
          <cell r="F198">
            <v>40</v>
          </cell>
          <cell r="G198"/>
          <cell r="L198"/>
          <cell r="M198"/>
          <cell r="N198"/>
          <cell r="O198"/>
          <cell r="P198"/>
          <cell r="Q198"/>
          <cell r="R198"/>
        </row>
        <row r="199">
          <cell r="A199" t="str">
            <v>14OA-22BK-8SIR</v>
          </cell>
          <cell r="B199" t="str"/>
          <cell r="C199">
            <v>11390.98</v>
          </cell>
          <cell r="D199">
            <v>0.2</v>
          </cell>
          <cell r="E199">
            <v>3850</v>
          </cell>
          <cell r="F199">
            <v>40</v>
          </cell>
          <cell r="G199"/>
          <cell r="L199"/>
          <cell r="M199"/>
          <cell r="N199"/>
          <cell r="O199"/>
          <cell r="P199"/>
          <cell r="Q199"/>
          <cell r="R199"/>
        </row>
        <row r="200">
          <cell r="A200" t="str">
            <v>14OA-22D3A</v>
          </cell>
          <cell r="B200" t="str"/>
          <cell r="C200">
            <v>10496.24</v>
          </cell>
          <cell r="D200">
            <v>0.2</v>
          </cell>
          <cell r="E200">
            <v>3890</v>
          </cell>
          <cell r="F200">
            <v>40</v>
          </cell>
          <cell r="G200"/>
          <cell r="L200"/>
          <cell r="M200"/>
          <cell r="N200"/>
          <cell r="O200"/>
          <cell r="P200"/>
          <cell r="Q200"/>
          <cell r="R200"/>
        </row>
        <row r="201">
          <cell r="A201" t="str">
            <v>14OA-22D3A-FRBK</v>
          </cell>
          <cell r="B201" t="str">
            <v>3'DT, 5'FUR</v>
          </cell>
          <cell r="C201">
            <v>10496.24</v>
          </cell>
          <cell r="D201">
            <v>0.2</v>
          </cell>
          <cell r="E201">
            <v>3890</v>
          </cell>
          <cell r="F201">
            <v>40</v>
          </cell>
          <cell r="G201"/>
          <cell r="L201"/>
          <cell r="M201"/>
          <cell r="N201"/>
          <cell r="O201"/>
          <cell r="P201"/>
          <cell r="Q201"/>
          <cell r="R201"/>
        </row>
        <row r="202">
          <cell r="A202" t="str">
            <v>14OA-22STA</v>
          </cell>
          <cell r="B202" t="str"/>
          <cell r="C202">
            <v>10225.56</v>
          </cell>
          <cell r="D202">
            <v>0.2</v>
          </cell>
          <cell r="E202">
            <v>3850</v>
          </cell>
          <cell r="F202">
            <v>40</v>
          </cell>
          <cell r="G202"/>
          <cell r="L202"/>
          <cell r="M202"/>
          <cell r="N202"/>
          <cell r="O202"/>
          <cell r="P202"/>
          <cell r="Q202"/>
          <cell r="R202"/>
        </row>
        <row r="203">
          <cell r="A203" t="str">
            <v>14OA-22STA-S8BK</v>
          </cell>
          <cell r="B203" t="str">
            <v>8SIR</v>
          </cell>
          <cell r="C203">
            <v>10661.65</v>
          </cell>
          <cell r="D203">
            <v>0.2</v>
          </cell>
          <cell r="E203">
            <v>3850</v>
          </cell>
          <cell r="F203">
            <v>40</v>
          </cell>
          <cell r="G203"/>
          <cell r="L203"/>
          <cell r="M203"/>
          <cell r="N203"/>
          <cell r="O203"/>
          <cell r="P203"/>
          <cell r="Q203"/>
          <cell r="R203"/>
        </row>
        <row r="204">
          <cell r="A204" t="str">
            <v>14OA-24</v>
          </cell>
          <cell r="B204" t="str"/>
          <cell r="C204">
            <v>10796.99</v>
          </cell>
          <cell r="D204">
            <v>0.2</v>
          </cell>
          <cell r="E204">
            <v>4050</v>
          </cell>
          <cell r="F204">
            <v>40</v>
          </cell>
          <cell r="G204"/>
          <cell r="L204"/>
          <cell r="M204"/>
          <cell r="N204"/>
          <cell r="O204"/>
          <cell r="P204"/>
          <cell r="Q204"/>
          <cell r="R204"/>
        </row>
        <row r="205">
          <cell r="A205" t="str">
            <v>14OA-24BK-8SIR</v>
          </cell>
          <cell r="B205" t="str">
            <v>8SIR</v>
          </cell>
          <cell r="C205">
            <v>11233.08</v>
          </cell>
          <cell r="D205">
            <v>0.2</v>
          </cell>
          <cell r="E205">
            <v>4050</v>
          </cell>
          <cell r="F205">
            <v>40</v>
          </cell>
          <cell r="G205"/>
          <cell r="L205"/>
          <cell r="M205"/>
          <cell r="N205"/>
          <cell r="O205"/>
          <cell r="P205"/>
          <cell r="Q205"/>
          <cell r="R205"/>
        </row>
        <row r="206">
          <cell r="A206" t="str">
            <v>14OA-24D3A</v>
          </cell>
          <cell r="B206" t="str"/>
          <cell r="C206">
            <v>10721.8</v>
          </cell>
          <cell r="D206">
            <v>0.2</v>
          </cell>
          <cell r="E206">
            <v>4180</v>
          </cell>
          <cell r="F206">
            <v>40</v>
          </cell>
          <cell r="G206"/>
          <cell r="L206"/>
          <cell r="M206"/>
          <cell r="N206"/>
          <cell r="O206"/>
          <cell r="P206"/>
          <cell r="Q206"/>
          <cell r="R206"/>
        </row>
        <row r="207">
          <cell r="A207" t="str">
            <v>14OA-24D3A-FRBK</v>
          </cell>
          <cell r="B207" t="str">
            <v>3'DT, 5'FUR</v>
          </cell>
          <cell r="C207">
            <v>10721.8</v>
          </cell>
          <cell r="D207">
            <v>0.2</v>
          </cell>
          <cell r="E207">
            <v>4180</v>
          </cell>
          <cell r="F207">
            <v>40</v>
          </cell>
          <cell r="G207"/>
          <cell r="L207"/>
          <cell r="M207"/>
          <cell r="N207"/>
          <cell r="O207"/>
          <cell r="P207"/>
          <cell r="Q207"/>
          <cell r="R207"/>
        </row>
        <row r="208">
          <cell r="A208" t="str">
            <v>14OA-24STA</v>
          </cell>
          <cell r="B208" t="str"/>
          <cell r="C208">
            <v>10451.129999999999</v>
          </cell>
          <cell r="D208">
            <v>0.2</v>
          </cell>
          <cell r="E208">
            <v>4050</v>
          </cell>
          <cell r="F208">
            <v>40</v>
          </cell>
          <cell r="G208"/>
          <cell r="L208"/>
          <cell r="M208"/>
          <cell r="N208"/>
          <cell r="O208"/>
          <cell r="P208"/>
          <cell r="Q208"/>
          <cell r="R208"/>
        </row>
        <row r="209">
          <cell r="A209" t="str">
            <v>14OA-24STA-S8BK</v>
          </cell>
          <cell r="B209" t="str">
            <v>8SIR</v>
          </cell>
          <cell r="C209">
            <v>10887.22</v>
          </cell>
          <cell r="D209">
            <v>0.2</v>
          </cell>
          <cell r="E209">
            <v>4050</v>
          </cell>
          <cell r="F209">
            <v>40</v>
          </cell>
          <cell r="G209"/>
          <cell r="L209"/>
          <cell r="M209"/>
          <cell r="N209"/>
          <cell r="O209"/>
          <cell r="P209"/>
          <cell r="Q209"/>
          <cell r="R209"/>
        </row>
        <row r="210">
          <cell r="A210" t="str">
            <v>14OD-14</v>
          </cell>
          <cell r="B210" t="str">
            <v>6SIR, TARP(inc), Discontinued model</v>
          </cell>
          <cell r="C210">
            <v>16015.04</v>
          </cell>
          <cell r="D210">
            <v>0.2</v>
          </cell>
          <cell r="E210">
            <v>4550</v>
          </cell>
          <cell r="F210">
            <v>70</v>
          </cell>
          <cell r="G210"/>
          <cell r="L210"/>
          <cell r="M210"/>
          <cell r="N210"/>
          <cell r="O210"/>
          <cell r="P210"/>
          <cell r="Q210"/>
          <cell r="R210"/>
        </row>
        <row r="211">
          <cell r="A211" t="str">
            <v>14OD-14GN</v>
          </cell>
          <cell r="B211" t="str">
            <v>6SIR, TARP(inc), Discontinued model</v>
          </cell>
          <cell r="C211">
            <v>17518.8</v>
          </cell>
          <cell r="D211">
            <v>0.2</v>
          </cell>
          <cell r="E211">
            <v>5070</v>
          </cell>
          <cell r="F211">
            <v>70</v>
          </cell>
          <cell r="G211"/>
          <cell r="L211"/>
          <cell r="M211"/>
          <cell r="N211"/>
          <cell r="O211"/>
          <cell r="P211"/>
          <cell r="Q211"/>
          <cell r="R211"/>
        </row>
        <row r="212">
          <cell r="A212" t="str">
            <v>14OE-18STA</v>
          </cell>
          <cell r="B212" t="str"/>
          <cell r="C212">
            <v>7909.77</v>
          </cell>
          <cell r="D212">
            <v>0.2</v>
          </cell>
          <cell r="E212">
            <v>3160</v>
          </cell>
          <cell r="F212">
            <v>40</v>
          </cell>
          <cell r="G212"/>
          <cell r="L212"/>
          <cell r="M212"/>
          <cell r="N212"/>
          <cell r="O212"/>
          <cell r="P212"/>
          <cell r="Q212"/>
          <cell r="R212"/>
        </row>
        <row r="213">
          <cell r="A213" t="str">
            <v>14OE-18STA-S8BK</v>
          </cell>
          <cell r="B213" t="str">
            <v>8SIR</v>
          </cell>
          <cell r="C213">
            <v>8345.86</v>
          </cell>
          <cell r="D213">
            <v>0.2</v>
          </cell>
          <cell r="E213">
            <v>3160</v>
          </cell>
          <cell r="F213">
            <v>40</v>
          </cell>
          <cell r="G213"/>
          <cell r="L213"/>
          <cell r="M213"/>
          <cell r="N213"/>
          <cell r="O213"/>
          <cell r="P213"/>
          <cell r="Q213"/>
          <cell r="R213"/>
        </row>
        <row r="214">
          <cell r="A214" t="str">
            <v>14OE-20STA</v>
          </cell>
          <cell r="B214" t="str"/>
          <cell r="C214">
            <v>8135.34</v>
          </cell>
          <cell r="D214">
            <v>0.2</v>
          </cell>
          <cell r="E214">
            <v>3360</v>
          </cell>
          <cell r="F214">
            <v>40</v>
          </cell>
          <cell r="G214"/>
          <cell r="L214"/>
          <cell r="M214"/>
          <cell r="N214"/>
          <cell r="O214"/>
          <cell r="P214"/>
          <cell r="Q214"/>
          <cell r="R214"/>
        </row>
        <row r="215">
          <cell r="A215" t="str">
            <v>14OE-20STA-S8BK</v>
          </cell>
          <cell r="B215" t="str">
            <v>8SIR</v>
          </cell>
          <cell r="C215">
            <v>8571.43</v>
          </cell>
          <cell r="D215">
            <v>0.2</v>
          </cell>
          <cell r="E215">
            <v>3360</v>
          </cell>
          <cell r="F215">
            <v>40</v>
          </cell>
          <cell r="G215"/>
          <cell r="L215"/>
          <cell r="M215"/>
          <cell r="N215"/>
          <cell r="O215"/>
          <cell r="P215"/>
          <cell r="Q215"/>
          <cell r="R215"/>
        </row>
        <row r="216">
          <cell r="A216" t="str">
            <v>14OE-22STA</v>
          </cell>
          <cell r="B216" t="str"/>
          <cell r="C216">
            <v>8360.9</v>
          </cell>
          <cell r="D216">
            <v>0.2</v>
          </cell>
          <cell r="E216">
            <v>3600</v>
          </cell>
          <cell r="F216">
            <v>40</v>
          </cell>
          <cell r="G216"/>
          <cell r="L216"/>
          <cell r="M216"/>
          <cell r="N216"/>
          <cell r="O216"/>
          <cell r="P216"/>
          <cell r="Q216"/>
          <cell r="R216"/>
        </row>
        <row r="217">
          <cell r="A217" t="str">
            <v>14OE-22STA-S8BK</v>
          </cell>
          <cell r="B217" t="str">
            <v>8SIR</v>
          </cell>
          <cell r="C217">
            <v>8796.99</v>
          </cell>
          <cell r="D217">
            <v>0.2</v>
          </cell>
          <cell r="E217">
            <v>3600</v>
          </cell>
          <cell r="F217">
            <v>40</v>
          </cell>
          <cell r="G217"/>
          <cell r="L217"/>
          <cell r="M217"/>
          <cell r="N217"/>
          <cell r="O217"/>
          <cell r="P217"/>
          <cell r="Q217"/>
          <cell r="R217"/>
        </row>
        <row r="218">
          <cell r="A218" t="str">
            <v>14OT-22</v>
          </cell>
          <cell r="B218" t="str">
            <v>22' OA TILT DECK</v>
          </cell>
          <cell r="C218">
            <v>13834.59</v>
          </cell>
          <cell r="D218">
            <v>0.2</v>
          </cell>
          <cell r="E218">
            <v>4745</v>
          </cell>
          <cell r="F218">
            <v>45</v>
          </cell>
          <cell r="G218"/>
          <cell r="L218"/>
          <cell r="M218"/>
          <cell r="N218"/>
          <cell r="O218"/>
          <cell r="P218"/>
          <cell r="Q218"/>
          <cell r="R218"/>
        </row>
        <row r="219">
          <cell r="A219" t="str">
            <v>14OT-22BK</v>
          </cell>
          <cell r="B219" t="str">
            <v>22' OA TILT DECK</v>
          </cell>
          <cell r="C219">
            <v>13834.59</v>
          </cell>
          <cell r="D219">
            <v>0.2</v>
          </cell>
          <cell r="E219">
            <v>4745</v>
          </cell>
          <cell r="F219">
            <v>45</v>
          </cell>
          <cell r="G219"/>
          <cell r="L219"/>
          <cell r="M219"/>
          <cell r="N219"/>
          <cell r="O219"/>
          <cell r="P219"/>
          <cell r="Q219"/>
          <cell r="R219"/>
        </row>
        <row r="220">
          <cell r="A220" t="str">
            <v>14OT-22GN</v>
          </cell>
          <cell r="B220" t="str">
            <v>22' OA TILT DECK GOOSENECK</v>
          </cell>
          <cell r="C220">
            <v>15939.85</v>
          </cell>
          <cell r="D220">
            <v>0.2</v>
          </cell>
          <cell r="E220">
            <v>4970</v>
          </cell>
          <cell r="F220">
            <v>45</v>
          </cell>
          <cell r="G220"/>
          <cell r="L220"/>
          <cell r="M220"/>
          <cell r="N220"/>
          <cell r="O220"/>
          <cell r="P220"/>
          <cell r="Q220"/>
          <cell r="R220"/>
        </row>
        <row r="221">
          <cell r="A221" t="str">
            <v>14OT-24</v>
          </cell>
          <cell r="B221" t="str">
            <v>24' OA TILT DECK</v>
          </cell>
          <cell r="C221">
            <v>14045.11</v>
          </cell>
          <cell r="D221">
            <v>0.2</v>
          </cell>
          <cell r="E221">
            <v>4950</v>
          </cell>
          <cell r="F221">
            <v>45</v>
          </cell>
          <cell r="G221"/>
          <cell r="L221"/>
          <cell r="M221"/>
          <cell r="N221"/>
          <cell r="O221"/>
          <cell r="P221"/>
          <cell r="Q221"/>
          <cell r="R221"/>
        </row>
        <row r="222">
          <cell r="A222" t="str">
            <v>14OT-24BK</v>
          </cell>
          <cell r="B222" t="str">
            <v>24' OA TILT DECK</v>
          </cell>
          <cell r="C222">
            <v>14045.11</v>
          </cell>
          <cell r="D222">
            <v>0.2</v>
          </cell>
          <cell r="E222">
            <v>4950</v>
          </cell>
          <cell r="F222">
            <v>45</v>
          </cell>
          <cell r="G222"/>
          <cell r="L222"/>
          <cell r="M222"/>
          <cell r="N222"/>
          <cell r="O222"/>
          <cell r="P222"/>
          <cell r="Q222"/>
          <cell r="R222"/>
        </row>
        <row r="223">
          <cell r="A223" t="str">
            <v>14OT-24GN</v>
          </cell>
          <cell r="B223" t="str">
            <v>24' OA TILT DECK GOOSENECK</v>
          </cell>
          <cell r="C223">
            <v>16135.34</v>
          </cell>
          <cell r="D223">
            <v>0.2</v>
          </cell>
          <cell r="E223">
            <v>5175</v>
          </cell>
          <cell r="F223">
            <v>45</v>
          </cell>
          <cell r="G223"/>
          <cell r="L223"/>
          <cell r="M223"/>
          <cell r="N223"/>
          <cell r="O223"/>
          <cell r="P223"/>
          <cell r="Q223"/>
          <cell r="R223"/>
        </row>
        <row r="224">
          <cell r="A224" t="str">
            <v>14OT-26</v>
          </cell>
          <cell r="B224" t="str">
            <v>26' OA TILT DECK</v>
          </cell>
          <cell r="C224">
            <v>14240.6</v>
          </cell>
          <cell r="D224">
            <v>0.2</v>
          </cell>
          <cell r="E224">
            <v>5290</v>
          </cell>
          <cell r="F224">
            <v>45</v>
          </cell>
          <cell r="G224"/>
          <cell r="L224"/>
          <cell r="M224"/>
          <cell r="N224"/>
          <cell r="O224"/>
          <cell r="P224"/>
          <cell r="Q224"/>
          <cell r="R224"/>
        </row>
        <row r="225">
          <cell r="A225" t="str">
            <v>14OT-26BK</v>
          </cell>
          <cell r="B225" t="str">
            <v>26' OA TILT DECK</v>
          </cell>
          <cell r="C225">
            <v>14240.6</v>
          </cell>
          <cell r="D225">
            <v>0.2</v>
          </cell>
          <cell r="E225">
            <v>5290</v>
          </cell>
          <cell r="F225">
            <v>45</v>
          </cell>
          <cell r="G225"/>
          <cell r="L225"/>
          <cell r="M225"/>
          <cell r="N225"/>
          <cell r="O225"/>
          <cell r="P225"/>
          <cell r="Q225"/>
          <cell r="R225"/>
        </row>
        <row r="226">
          <cell r="A226" t="str">
            <v>14OT-26GN</v>
          </cell>
          <cell r="B226" t="str"/>
          <cell r="C226">
            <v>16345.86</v>
          </cell>
          <cell r="D226">
            <v>0.2</v>
          </cell>
          <cell r="E226">
            <v>5155</v>
          </cell>
          <cell r="F226">
            <v>45</v>
          </cell>
          <cell r="G226"/>
          <cell r="L226"/>
          <cell r="M226"/>
          <cell r="N226"/>
          <cell r="O226"/>
          <cell r="P226"/>
          <cell r="Q226"/>
          <cell r="R226"/>
        </row>
        <row r="227">
          <cell r="A227" t="str">
            <v>14PH-20</v>
          </cell>
          <cell r="B227" t="str">
            <v>SPARE (incl)</v>
          </cell>
          <cell r="C227">
            <v>11278.2</v>
          </cell>
          <cell r="D227">
            <v>0.2</v>
          </cell>
          <cell r="E227">
            <v>3680</v>
          </cell>
          <cell r="F227">
            <v>80</v>
          </cell>
          <cell r="G227"/>
          <cell r="L227"/>
          <cell r="M227"/>
          <cell r="N227"/>
          <cell r="O227"/>
          <cell r="P227"/>
          <cell r="Q227"/>
          <cell r="R227"/>
        </row>
        <row r="228">
          <cell r="A228" t="str">
            <v>14PH-20+5</v>
          </cell>
          <cell r="B228" t="str">
            <v>SPARE (incl)</v>
          </cell>
          <cell r="C228">
            <v>11398.5</v>
          </cell>
          <cell r="D228">
            <v>0.2</v>
          </cell>
          <cell r="E228">
            <v>4580</v>
          </cell>
          <cell r="F228">
            <v>80</v>
          </cell>
          <cell r="G228"/>
          <cell r="L228"/>
          <cell r="M228"/>
          <cell r="N228"/>
          <cell r="O228"/>
          <cell r="P228"/>
          <cell r="Q228"/>
          <cell r="R228"/>
        </row>
        <row r="229">
          <cell r="A229" t="str">
            <v>14PH-20BK+5</v>
          </cell>
          <cell r="B229" t="str">
            <v>SPARE (incl)</v>
          </cell>
          <cell r="C229">
            <v>11398.5</v>
          </cell>
          <cell r="D229">
            <v>0.2</v>
          </cell>
          <cell r="E229">
            <v>4580</v>
          </cell>
          <cell r="F229">
            <v>80</v>
          </cell>
          <cell r="G229"/>
          <cell r="L229"/>
          <cell r="M229"/>
          <cell r="N229"/>
          <cell r="O229"/>
          <cell r="P229"/>
          <cell r="Q229"/>
          <cell r="R229"/>
        </row>
        <row r="230">
          <cell r="A230" t="str">
            <v>14PH-20BK+5MR</v>
          </cell>
          <cell r="B230" t="str">
            <v>MEGA RAMPS, SPARE (incl)</v>
          </cell>
          <cell r="C230">
            <v>12902.26</v>
          </cell>
          <cell r="D230">
            <v>0.2</v>
          </cell>
          <cell r="E230">
            <v>4580</v>
          </cell>
          <cell r="F230">
            <v>80</v>
          </cell>
          <cell r="G230"/>
          <cell r="L230"/>
          <cell r="M230"/>
          <cell r="N230"/>
          <cell r="O230"/>
          <cell r="P230"/>
          <cell r="Q230"/>
          <cell r="R230"/>
        </row>
        <row r="231">
          <cell r="A231" t="str">
            <v>14PH-25</v>
          </cell>
          <cell r="B231" t="str">
            <v>SPARE (incl)</v>
          </cell>
          <cell r="C231">
            <v>11849.62</v>
          </cell>
          <cell r="D231">
            <v>0.2</v>
          </cell>
          <cell r="E231">
            <v>4180</v>
          </cell>
          <cell r="F231">
            <v>80</v>
          </cell>
          <cell r="G231"/>
          <cell r="L231"/>
          <cell r="M231"/>
          <cell r="N231"/>
          <cell r="O231"/>
          <cell r="P231"/>
          <cell r="Q231"/>
          <cell r="R231"/>
        </row>
        <row r="232">
          <cell r="A232" t="str">
            <v>14PH-25+5</v>
          </cell>
          <cell r="B232" t="str">
            <v>SPARE (incl)</v>
          </cell>
          <cell r="C232">
            <v>11969.92</v>
          </cell>
          <cell r="D232">
            <v>0.2</v>
          </cell>
          <cell r="E232">
            <v>5080</v>
          </cell>
          <cell r="F232">
            <v>80</v>
          </cell>
          <cell r="G232"/>
          <cell r="L232"/>
          <cell r="M232"/>
          <cell r="N232"/>
          <cell r="O232"/>
          <cell r="P232"/>
          <cell r="Q232"/>
          <cell r="R232"/>
        </row>
        <row r="233">
          <cell r="A233" t="str">
            <v>14PH-25BK+5</v>
          </cell>
          <cell r="B233" t="str">
            <v>SPARE (incl)</v>
          </cell>
          <cell r="C233">
            <v>11969.92</v>
          </cell>
          <cell r="D233">
            <v>0.2</v>
          </cell>
          <cell r="E233">
            <v>5080</v>
          </cell>
          <cell r="F233">
            <v>80</v>
          </cell>
          <cell r="G233"/>
          <cell r="L233"/>
          <cell r="M233"/>
          <cell r="N233"/>
          <cell r="O233"/>
          <cell r="P233"/>
          <cell r="Q233"/>
          <cell r="R233"/>
        </row>
        <row r="234">
          <cell r="A234" t="str">
            <v>14PH-25BK+5MR</v>
          </cell>
          <cell r="B234" t="str">
            <v>MEGA RAMPS, SPARE (incl)</v>
          </cell>
          <cell r="C234">
            <v>13473.68</v>
          </cell>
          <cell r="D234">
            <v>0.2</v>
          </cell>
          <cell r="E234">
            <v>5080</v>
          </cell>
          <cell r="F234">
            <v>80</v>
          </cell>
          <cell r="G234"/>
          <cell r="L234"/>
          <cell r="M234"/>
          <cell r="N234"/>
          <cell r="O234"/>
          <cell r="P234"/>
          <cell r="Q234"/>
          <cell r="R234"/>
        </row>
        <row r="235">
          <cell r="A235" t="str">
            <v>14PH-30</v>
          </cell>
          <cell r="B235" t="str">
            <v>Discontinued SKU</v>
          </cell>
          <cell r="C235">
            <v>12421.05</v>
          </cell>
          <cell r="D235">
            <v>0.2</v>
          </cell>
          <cell r="E235">
            <v>4680</v>
          </cell>
          <cell r="F235">
            <v>80</v>
          </cell>
          <cell r="G235"/>
          <cell r="L235"/>
          <cell r="M235"/>
          <cell r="N235"/>
          <cell r="O235"/>
          <cell r="P235"/>
          <cell r="Q235"/>
          <cell r="R235"/>
        </row>
        <row r="236">
          <cell r="A236" t="str">
            <v>14PI-16</v>
          </cell>
          <cell r="B236" t="str"/>
          <cell r="C236">
            <v>7729.32</v>
          </cell>
          <cell r="D236">
            <v>0.2</v>
          </cell>
          <cell r="E236">
            <v>2740</v>
          </cell>
          <cell r="F236">
            <v>20</v>
          </cell>
          <cell r="G236"/>
          <cell r="L236"/>
          <cell r="M236"/>
          <cell r="N236"/>
          <cell r="O236"/>
          <cell r="P236"/>
          <cell r="Q236"/>
          <cell r="R236"/>
        </row>
        <row r="237">
          <cell r="A237" t="str">
            <v>14PI-16BK</v>
          </cell>
          <cell r="B237" t="str"/>
          <cell r="C237">
            <v>7729.32</v>
          </cell>
          <cell r="D237">
            <v>0.2</v>
          </cell>
          <cell r="E237">
            <v>2740</v>
          </cell>
          <cell r="F237">
            <v>20</v>
          </cell>
          <cell r="G237"/>
          <cell r="L237"/>
          <cell r="M237"/>
          <cell r="N237"/>
          <cell r="O237"/>
          <cell r="P237"/>
          <cell r="Q237"/>
          <cell r="R237"/>
        </row>
        <row r="238">
          <cell r="A238" t="str">
            <v>14PI-16BK5FUR</v>
          </cell>
          <cell r="B238" t="str">
            <v>FUR5</v>
          </cell>
          <cell r="C238">
            <v>7834.59</v>
          </cell>
          <cell r="D238">
            <v>0.2</v>
          </cell>
          <cell r="E238">
            <v>2940</v>
          </cell>
          <cell r="F238">
            <v>20</v>
          </cell>
          <cell r="G238"/>
          <cell r="L238"/>
          <cell r="M238"/>
          <cell r="N238"/>
          <cell r="O238"/>
          <cell r="P238"/>
          <cell r="Q238"/>
          <cell r="R238"/>
        </row>
        <row r="239">
          <cell r="A239" t="str">
            <v>14PI-18</v>
          </cell>
          <cell r="B239" t="str"/>
          <cell r="C239">
            <v>7849.62</v>
          </cell>
          <cell r="D239">
            <v>0.2</v>
          </cell>
          <cell r="E239">
            <v>2890</v>
          </cell>
          <cell r="F239">
            <v>20</v>
          </cell>
          <cell r="G239"/>
          <cell r="L239"/>
          <cell r="M239"/>
          <cell r="N239"/>
          <cell r="O239"/>
          <cell r="P239"/>
          <cell r="Q239"/>
          <cell r="R239"/>
        </row>
        <row r="240">
          <cell r="A240" t="str">
            <v>14PI-18BK</v>
          </cell>
          <cell r="B240" t="str"/>
          <cell r="C240">
            <v>7849.62</v>
          </cell>
          <cell r="D240">
            <v>0.2</v>
          </cell>
          <cell r="E240">
            <v>2890</v>
          </cell>
          <cell r="F240">
            <v>20</v>
          </cell>
          <cell r="G240"/>
          <cell r="L240"/>
          <cell r="M240"/>
          <cell r="N240"/>
          <cell r="O240"/>
          <cell r="P240"/>
          <cell r="Q240"/>
          <cell r="R240"/>
        </row>
        <row r="241">
          <cell r="A241" t="str">
            <v>14PI-18BK5FUR</v>
          </cell>
          <cell r="B241" t="str">
            <v>FUR5</v>
          </cell>
          <cell r="C241">
            <v>7954.89</v>
          </cell>
          <cell r="D241">
            <v>0.2</v>
          </cell>
          <cell r="E241">
            <v>3090</v>
          </cell>
          <cell r="F241">
            <v>20</v>
          </cell>
          <cell r="G241"/>
          <cell r="L241"/>
          <cell r="M241"/>
          <cell r="N241"/>
          <cell r="O241"/>
          <cell r="P241"/>
          <cell r="Q241"/>
          <cell r="R241"/>
        </row>
        <row r="242">
          <cell r="A242" t="str">
            <v>14PI-20</v>
          </cell>
          <cell r="B242" t="str"/>
          <cell r="C242">
            <v>7969.92</v>
          </cell>
          <cell r="D242">
            <v>0.2</v>
          </cell>
          <cell r="E242">
            <v>3040</v>
          </cell>
          <cell r="F242">
            <v>20</v>
          </cell>
          <cell r="G242"/>
          <cell r="L242"/>
          <cell r="M242"/>
          <cell r="N242"/>
          <cell r="O242"/>
          <cell r="P242"/>
          <cell r="Q242"/>
          <cell r="R242"/>
        </row>
        <row r="243">
          <cell r="A243" t="str">
            <v>14PI-20BK</v>
          </cell>
          <cell r="B243" t="str"/>
          <cell r="C243">
            <v>7969.92</v>
          </cell>
          <cell r="D243">
            <v>0.2</v>
          </cell>
          <cell r="E243">
            <v>3040</v>
          </cell>
          <cell r="F243">
            <v>20</v>
          </cell>
          <cell r="G243"/>
          <cell r="L243"/>
          <cell r="M243"/>
          <cell r="N243"/>
          <cell r="O243"/>
          <cell r="P243"/>
          <cell r="Q243"/>
          <cell r="R243"/>
        </row>
        <row r="244">
          <cell r="A244" t="str">
            <v>14PI-20BK4HDIR</v>
          </cell>
          <cell r="B244" t="str">
            <v>4' HDIR GATE</v>
          </cell>
          <cell r="C244">
            <v>8466.17</v>
          </cell>
          <cell r="D244">
            <v>0.2</v>
          </cell>
          <cell r="E244">
            <v>3240</v>
          </cell>
          <cell r="F244">
            <v>20</v>
          </cell>
          <cell r="G244"/>
          <cell r="L244"/>
          <cell r="M244"/>
          <cell r="N244"/>
          <cell r="O244"/>
          <cell r="P244"/>
          <cell r="Q244"/>
          <cell r="R244"/>
        </row>
        <row r="245">
          <cell r="A245" t="str">
            <v>14PI-20BK5FUR</v>
          </cell>
          <cell r="B245" t="str">
            <v>FUR5</v>
          </cell>
          <cell r="C245">
            <v>8075.19</v>
          </cell>
          <cell r="D245">
            <v>0.2</v>
          </cell>
          <cell r="E245">
            <v>3240</v>
          </cell>
          <cell r="F245">
            <v>20</v>
          </cell>
          <cell r="G245"/>
          <cell r="L245"/>
          <cell r="M245"/>
          <cell r="N245"/>
          <cell r="O245"/>
          <cell r="P245"/>
          <cell r="Q245"/>
          <cell r="R245"/>
        </row>
        <row r="246">
          <cell r="A246" t="str">
            <v>14PI-25</v>
          </cell>
          <cell r="B246" t="str"/>
          <cell r="C246">
            <v>0</v>
          </cell>
          <cell r="D246">
            <v>0.2</v>
          </cell>
          <cell r="E246">
            <v>3415</v>
          </cell>
          <cell r="F246">
            <v>20</v>
          </cell>
          <cell r="G246"/>
          <cell r="L246"/>
          <cell r="M246"/>
          <cell r="N246"/>
          <cell r="O246"/>
          <cell r="P246"/>
          <cell r="Q246"/>
          <cell r="R246"/>
        </row>
        <row r="247">
          <cell r="A247" t="str">
            <v>14RB-14</v>
          </cell>
          <cell r="B247" t="str">
            <v>Roll-Off Dump, w/ Tarp</v>
          </cell>
          <cell r="C247">
            <v>13007.52</v>
          </cell>
          <cell r="D247">
            <v>0.2</v>
          </cell>
          <cell r="E247">
            <v>3310</v>
          </cell>
          <cell r="F247">
            <v>70</v>
          </cell>
          <cell r="G247"/>
          <cell r="L247"/>
          <cell r="M247"/>
          <cell r="N247"/>
          <cell r="O247"/>
          <cell r="P247"/>
          <cell r="Q247"/>
          <cell r="R247"/>
        </row>
        <row r="248">
          <cell r="A248" t="str">
            <v>14RB-14BK</v>
          </cell>
          <cell r="B248" t="str">
            <v>Roll-Off Dump, w/ Tarp</v>
          </cell>
          <cell r="C248">
            <v>13007.52</v>
          </cell>
          <cell r="D248">
            <v>0.2</v>
          </cell>
          <cell r="E248">
            <v>3310</v>
          </cell>
          <cell r="F248">
            <v>70</v>
          </cell>
          <cell r="G248"/>
          <cell r="L248"/>
          <cell r="M248"/>
          <cell r="N248"/>
          <cell r="O248"/>
          <cell r="P248"/>
          <cell r="Q248"/>
          <cell r="R248"/>
        </row>
        <row r="249">
          <cell r="A249" t="str">
            <v>14RD-14</v>
          </cell>
          <cell r="B249" t="str">
            <v>GN Roll-Off Dump, w/ Tarp</v>
          </cell>
          <cell r="C249">
            <v>14135.34</v>
          </cell>
          <cell r="D249">
            <v>0.2</v>
          </cell>
          <cell r="E249">
            <v>3760</v>
          </cell>
          <cell r="F249">
            <v>70</v>
          </cell>
          <cell r="G249"/>
          <cell r="L249"/>
          <cell r="M249"/>
          <cell r="N249"/>
          <cell r="O249"/>
          <cell r="P249"/>
          <cell r="Q249"/>
          <cell r="R249"/>
        </row>
        <row r="250">
          <cell r="A250" t="str">
            <v>14RD-14BK</v>
          </cell>
          <cell r="B250" t="str">
            <v>GN Roll-Off Dump, w/ Tarp</v>
          </cell>
          <cell r="C250">
            <v>14135.34</v>
          </cell>
          <cell r="D250">
            <v>0.2</v>
          </cell>
          <cell r="E250">
            <v>3760</v>
          </cell>
          <cell r="F250">
            <v>70</v>
          </cell>
          <cell r="G250"/>
          <cell r="L250"/>
          <cell r="M250"/>
          <cell r="N250"/>
          <cell r="O250"/>
          <cell r="P250"/>
          <cell r="Q250"/>
          <cell r="R250"/>
        </row>
        <row r="251">
          <cell r="A251" t="str">
            <v>14TD-14</v>
          </cell>
          <cell r="B251" t="str">
            <v>TARP(included)</v>
          </cell>
          <cell r="C251">
            <v>12842.11</v>
          </cell>
          <cell r="D251">
            <v>0.2</v>
          </cell>
          <cell r="E251">
            <v>3970</v>
          </cell>
          <cell r="F251">
            <v>70</v>
          </cell>
          <cell r="G251"/>
          <cell r="L251"/>
          <cell r="M251"/>
          <cell r="N251"/>
          <cell r="O251"/>
          <cell r="P251"/>
          <cell r="Q251"/>
          <cell r="R251"/>
        </row>
        <row r="252">
          <cell r="A252" t="str">
            <v>14TD-14BK6-P3</v>
          </cell>
          <cell r="B252" t="str">
            <v>HS3, 6SIR, TARP(incl)</v>
          </cell>
          <cell r="C252">
            <v>14390.98</v>
          </cell>
          <cell r="D252">
            <v>0.2</v>
          </cell>
          <cell r="E252">
            <v>3970</v>
          </cell>
          <cell r="F252">
            <v>70</v>
          </cell>
          <cell r="G252"/>
          <cell r="L252"/>
          <cell r="M252"/>
          <cell r="N252"/>
          <cell r="O252"/>
          <cell r="P252"/>
          <cell r="Q252"/>
          <cell r="R252"/>
        </row>
        <row r="253">
          <cell r="A253" t="str">
            <v>14TD-14BK6-P4</v>
          </cell>
          <cell r="B253" t="str">
            <v>HS4, 6SIR, TARP(incl)</v>
          </cell>
          <cell r="C253">
            <v>14766.92</v>
          </cell>
          <cell r="D253">
            <v>0.2</v>
          </cell>
          <cell r="E253">
            <v>3970</v>
          </cell>
          <cell r="F253">
            <v>70</v>
          </cell>
          <cell r="G253"/>
          <cell r="L253"/>
          <cell r="M253"/>
          <cell r="N253"/>
          <cell r="O253"/>
          <cell r="P253"/>
          <cell r="Q253"/>
          <cell r="R253"/>
        </row>
        <row r="254">
          <cell r="A254" t="str">
            <v>14TD-14BK6SIR</v>
          </cell>
          <cell r="B254" t="str">
            <v>6SIR, TARP(included)</v>
          </cell>
          <cell r="C254">
            <v>13413.53</v>
          </cell>
          <cell r="D254">
            <v>0.2</v>
          </cell>
          <cell r="E254">
            <v>3970</v>
          </cell>
          <cell r="F254">
            <v>70</v>
          </cell>
          <cell r="G254"/>
          <cell r="L254"/>
          <cell r="M254"/>
          <cell r="N254"/>
          <cell r="O254"/>
          <cell r="P254"/>
          <cell r="Q254"/>
          <cell r="R254"/>
        </row>
        <row r="255">
          <cell r="A255" t="str">
            <v>14TD-14C2A</v>
          </cell>
          <cell r="B255" t="str"/>
          <cell r="C255">
            <v>12842.11</v>
          </cell>
          <cell r="D255">
            <v>0.2</v>
          </cell>
          <cell r="E255">
            <v>4030</v>
          </cell>
          <cell r="F255">
            <v>70</v>
          </cell>
          <cell r="G255"/>
          <cell r="L255"/>
          <cell r="M255"/>
          <cell r="N255"/>
          <cell r="O255"/>
          <cell r="P255"/>
          <cell r="Q255"/>
          <cell r="R255"/>
        </row>
        <row r="256">
          <cell r="A256" t="str">
            <v>14TD-14C2A-BK</v>
          </cell>
          <cell r="B256" t="str">
            <v>Telescopic, 6SIR, Tarp</v>
          </cell>
          <cell r="C256">
            <v>13413.53</v>
          </cell>
          <cell r="D256">
            <v>0.2</v>
          </cell>
          <cell r="E256">
            <v>4030</v>
          </cell>
          <cell r="F256">
            <v>70</v>
          </cell>
          <cell r="G256"/>
          <cell r="L256"/>
          <cell r="M256"/>
          <cell r="N256"/>
          <cell r="O256"/>
          <cell r="P256"/>
          <cell r="Q256"/>
          <cell r="R256"/>
        </row>
        <row r="257">
          <cell r="A257" t="str">
            <v>14TD-14C2A-XBK</v>
          </cell>
          <cell r="B257" t="str">
            <v>6SIR, Arm Tarp, 5WCH, HydJack, TU(G)</v>
          </cell>
          <cell r="C257">
            <v>14917.29</v>
          </cell>
          <cell r="D257">
            <v>0.2</v>
          </cell>
          <cell r="E257">
            <v>4030</v>
          </cell>
          <cell r="F257">
            <v>70</v>
          </cell>
          <cell r="G257"/>
          <cell r="L257"/>
          <cell r="M257"/>
          <cell r="N257"/>
          <cell r="O257"/>
          <cell r="P257"/>
          <cell r="Q257"/>
          <cell r="R257"/>
        </row>
        <row r="258">
          <cell r="A258" t="str">
            <v>14TD-14C4A</v>
          </cell>
          <cell r="B258" t="str"/>
          <cell r="C258">
            <v>14195.49</v>
          </cell>
          <cell r="D258">
            <v>0.2</v>
          </cell>
          <cell r="E258">
            <v>4570</v>
          </cell>
          <cell r="F258">
            <v>70</v>
          </cell>
          <cell r="G258"/>
          <cell r="L258"/>
          <cell r="M258"/>
          <cell r="N258"/>
          <cell r="O258"/>
          <cell r="P258"/>
          <cell r="Q258"/>
          <cell r="R258"/>
        </row>
        <row r="259">
          <cell r="A259" t="str">
            <v>14TD-14C4A-BK</v>
          </cell>
          <cell r="B259" t="str">
            <v>Telescopic, HS4, 6SIR, Tarp</v>
          </cell>
          <cell r="C259">
            <v>14766.92</v>
          </cell>
          <cell r="D259">
            <v>0.2</v>
          </cell>
          <cell r="E259">
            <v>4570</v>
          </cell>
          <cell r="F259">
            <v>70</v>
          </cell>
          <cell r="G259"/>
          <cell r="L259"/>
          <cell r="M259"/>
          <cell r="N259"/>
          <cell r="O259"/>
          <cell r="P259"/>
          <cell r="Q259"/>
          <cell r="R259"/>
        </row>
        <row r="260">
          <cell r="A260" t="str">
            <v>14TD-14C4A-XBK</v>
          </cell>
          <cell r="B260" t="str">
            <v>HS4, 6SIR, Arm Tarp, 5WCH, HydJack, TU(G)</v>
          </cell>
          <cell r="C260">
            <v>16270.68</v>
          </cell>
          <cell r="D260">
            <v>0.2</v>
          </cell>
          <cell r="E260">
            <v>4570</v>
          </cell>
          <cell r="F260">
            <v>70</v>
          </cell>
          <cell r="G260"/>
          <cell r="L260"/>
          <cell r="M260"/>
          <cell r="N260"/>
          <cell r="O260"/>
          <cell r="P260"/>
          <cell r="Q260"/>
          <cell r="R260"/>
        </row>
        <row r="261">
          <cell r="A261" t="str">
            <v>14TD-16</v>
          </cell>
          <cell r="B261" t="str">
            <v>TARP(included)</v>
          </cell>
          <cell r="C261">
            <v>13714.29</v>
          </cell>
          <cell r="D261">
            <v>0.2</v>
          </cell>
          <cell r="E261">
            <v>4430</v>
          </cell>
          <cell r="F261">
            <v>70</v>
          </cell>
          <cell r="G261"/>
          <cell r="L261"/>
          <cell r="M261"/>
          <cell r="N261"/>
          <cell r="O261"/>
          <cell r="P261"/>
          <cell r="Q261"/>
          <cell r="R261"/>
        </row>
        <row r="262">
          <cell r="A262" t="str">
            <v>14TD-16BK6-P3</v>
          </cell>
          <cell r="B262" t="str">
            <v>HS3, 6SIR, TARP(incl)</v>
          </cell>
          <cell r="C262">
            <v>15263.16</v>
          </cell>
          <cell r="D262">
            <v>0.2</v>
          </cell>
          <cell r="E262">
            <v>4430</v>
          </cell>
          <cell r="F262">
            <v>70</v>
          </cell>
          <cell r="G262"/>
          <cell r="L262"/>
          <cell r="M262"/>
          <cell r="N262"/>
          <cell r="O262"/>
          <cell r="P262"/>
          <cell r="Q262"/>
          <cell r="R262"/>
        </row>
        <row r="263">
          <cell r="A263" t="str">
            <v>14TD-16BK6-P4</v>
          </cell>
          <cell r="B263" t="str">
            <v>HS4, 6SIR, TARP(incl)</v>
          </cell>
          <cell r="C263">
            <v>15639.1</v>
          </cell>
          <cell r="D263">
            <v>0.2</v>
          </cell>
          <cell r="E263">
            <v>4430</v>
          </cell>
          <cell r="F263">
            <v>70</v>
          </cell>
          <cell r="G263"/>
          <cell r="L263"/>
          <cell r="M263"/>
          <cell r="N263"/>
          <cell r="O263"/>
          <cell r="P263"/>
          <cell r="Q263"/>
          <cell r="R263"/>
        </row>
        <row r="264">
          <cell r="A264" t="str">
            <v>14TD-16BK6SIR</v>
          </cell>
          <cell r="B264" t="str">
            <v>6SIR, TARP(included)</v>
          </cell>
          <cell r="C264">
            <v>14285.71</v>
          </cell>
          <cell r="D264">
            <v>0.2</v>
          </cell>
          <cell r="E264">
            <v>4430</v>
          </cell>
          <cell r="F264">
            <v>70</v>
          </cell>
          <cell r="G264"/>
          <cell r="L264"/>
          <cell r="M264"/>
          <cell r="N264"/>
          <cell r="O264"/>
          <cell r="P264"/>
          <cell r="Q264"/>
          <cell r="R264"/>
        </row>
        <row r="265">
          <cell r="A265" t="str">
            <v>14TD-16C2A-BK</v>
          </cell>
          <cell r="B265" t="str">
            <v>Telescopic, 6SIR, Tarp</v>
          </cell>
          <cell r="C265">
            <v>14285.71</v>
          </cell>
          <cell r="D265">
            <v>0.2</v>
          </cell>
          <cell r="E265">
            <v>4300</v>
          </cell>
          <cell r="F265">
            <v>70</v>
          </cell>
          <cell r="G265"/>
          <cell r="L265"/>
          <cell r="M265"/>
          <cell r="N265"/>
          <cell r="O265"/>
          <cell r="P265"/>
          <cell r="Q265"/>
          <cell r="R265"/>
        </row>
        <row r="266">
          <cell r="A266" t="str">
            <v>14TD-16C4A-BK</v>
          </cell>
          <cell r="B266" t="str">
            <v>Telescopic, HS4, 6SIR, Tarp</v>
          </cell>
          <cell r="C266">
            <v>15639.1</v>
          </cell>
          <cell r="D266">
            <v>0.2</v>
          </cell>
          <cell r="E266">
            <v>4890</v>
          </cell>
          <cell r="F266">
            <v>70</v>
          </cell>
          <cell r="G266"/>
          <cell r="L266"/>
          <cell r="M266"/>
          <cell r="N266"/>
          <cell r="O266"/>
          <cell r="P266"/>
          <cell r="Q266"/>
          <cell r="R266"/>
        </row>
        <row r="267">
          <cell r="A267" t="str">
            <v>14TL-20</v>
          </cell>
          <cell r="B267" t="str"/>
          <cell r="C267">
            <v>10000</v>
          </cell>
          <cell r="D267">
            <v>0.2</v>
          </cell>
          <cell r="E267">
            <v>3460</v>
          </cell>
          <cell r="F267">
            <v>45</v>
          </cell>
          <cell r="G267"/>
          <cell r="L267"/>
          <cell r="M267"/>
          <cell r="N267"/>
          <cell r="O267"/>
          <cell r="P267"/>
          <cell r="Q267"/>
          <cell r="R267"/>
        </row>
        <row r="268">
          <cell r="A268" t="str">
            <v>14TL-20BK</v>
          </cell>
          <cell r="B268" t="str"/>
          <cell r="C268">
            <v>10000</v>
          </cell>
          <cell r="D268">
            <v>0.2</v>
          </cell>
          <cell r="E268">
            <v>3460</v>
          </cell>
          <cell r="F268">
            <v>45</v>
          </cell>
          <cell r="G268"/>
          <cell r="L268"/>
          <cell r="M268"/>
          <cell r="N268"/>
          <cell r="O268"/>
          <cell r="P268"/>
          <cell r="Q268"/>
          <cell r="R268"/>
        </row>
        <row r="269">
          <cell r="A269" t="str">
            <v>14TL-20GN</v>
          </cell>
          <cell r="B269" t="str"/>
          <cell r="C269">
            <v>12015.04</v>
          </cell>
          <cell r="D269">
            <v>0.2</v>
          </cell>
          <cell r="E269">
            <v>3460</v>
          </cell>
          <cell r="F269">
            <v>45</v>
          </cell>
          <cell r="G269"/>
          <cell r="L269"/>
          <cell r="M269"/>
          <cell r="N269"/>
          <cell r="O269"/>
          <cell r="P269"/>
          <cell r="Q269"/>
          <cell r="R269"/>
        </row>
        <row r="270">
          <cell r="A270" t="str">
            <v>14TL-22</v>
          </cell>
          <cell r="B270" t="str"/>
          <cell r="C270">
            <v>10210.530000000001</v>
          </cell>
          <cell r="D270">
            <v>0.2</v>
          </cell>
          <cell r="E270">
            <v>3660</v>
          </cell>
          <cell r="F270">
            <v>45</v>
          </cell>
          <cell r="G270"/>
          <cell r="L270"/>
          <cell r="M270"/>
          <cell r="N270"/>
          <cell r="O270"/>
          <cell r="P270"/>
          <cell r="Q270"/>
          <cell r="R270"/>
        </row>
        <row r="271">
          <cell r="A271" t="str">
            <v>14TL-22BK</v>
          </cell>
          <cell r="B271" t="str"/>
          <cell r="C271">
            <v>10210.530000000001</v>
          </cell>
          <cell r="D271">
            <v>0.2</v>
          </cell>
          <cell r="E271">
            <v>3660</v>
          </cell>
          <cell r="F271">
            <v>45</v>
          </cell>
          <cell r="G271"/>
          <cell r="L271"/>
          <cell r="M271"/>
          <cell r="N271"/>
          <cell r="O271"/>
          <cell r="P271"/>
          <cell r="Q271"/>
          <cell r="R271"/>
        </row>
        <row r="272">
          <cell r="A272" t="str">
            <v>14TL-22GN</v>
          </cell>
          <cell r="B272" t="str"/>
          <cell r="C272">
            <v>12751.88</v>
          </cell>
          <cell r="D272">
            <v>0.2</v>
          </cell>
          <cell r="E272">
            <v>3660</v>
          </cell>
          <cell r="F272">
            <v>45</v>
          </cell>
          <cell r="G272"/>
          <cell r="L272"/>
          <cell r="M272"/>
          <cell r="N272"/>
          <cell r="O272"/>
          <cell r="P272"/>
          <cell r="Q272"/>
          <cell r="R272"/>
        </row>
        <row r="273">
          <cell r="A273" t="str">
            <v>14TL-24GN</v>
          </cell>
          <cell r="B273" t="str"/>
          <cell r="C273">
            <v>13703.76</v>
          </cell>
          <cell r="D273">
            <v>0.2</v>
          </cell>
          <cell r="E273">
            <v>4660</v>
          </cell>
          <cell r="F273">
            <v>45</v>
          </cell>
          <cell r="G273"/>
          <cell r="L273"/>
          <cell r="M273"/>
          <cell r="N273"/>
          <cell r="O273"/>
          <cell r="P273"/>
          <cell r="Q273"/>
          <cell r="R273"/>
        </row>
        <row r="274">
          <cell r="A274" t="str">
            <v>14XD-14C2A</v>
          </cell>
          <cell r="B274" t="str"/>
          <cell r="C274">
            <v>14556.39</v>
          </cell>
          <cell r="D274">
            <v>0.2</v>
          </cell>
          <cell r="E274">
            <v>4180</v>
          </cell>
          <cell r="F274">
            <v>70</v>
          </cell>
          <cell r="G274"/>
          <cell r="L274"/>
          <cell r="M274"/>
          <cell r="N274"/>
          <cell r="O274"/>
          <cell r="P274"/>
          <cell r="Q274"/>
          <cell r="R274"/>
        </row>
        <row r="275">
          <cell r="A275" t="str">
            <v>14XD-14C2A-BK</v>
          </cell>
          <cell r="B275" t="str">
            <v>6SIR, Spec Tarp, LR-G tires, 15,400# GVWR</v>
          </cell>
          <cell r="C275">
            <v>14556.39</v>
          </cell>
          <cell r="D275">
            <v>0.2</v>
          </cell>
          <cell r="E275">
            <v>4345</v>
          </cell>
          <cell r="F275">
            <v>70</v>
          </cell>
          <cell r="G275"/>
          <cell r="L275"/>
          <cell r="M275"/>
          <cell r="N275"/>
          <cell r="O275"/>
          <cell r="P275"/>
          <cell r="Q275"/>
          <cell r="R275"/>
        </row>
        <row r="276">
          <cell r="A276" t="str">
            <v>14XD-14C2A-BK-12KHJ</v>
          </cell>
          <cell r="B276" t="str">
            <v>6SIR, Spec Tarp, LR-G tires, 12KHDJ</v>
          </cell>
          <cell r="C276">
            <v>15390.98</v>
          </cell>
          <cell r="D276">
            <v>0.2</v>
          </cell>
          <cell r="E276">
            <v>4345</v>
          </cell>
          <cell r="F276">
            <v>70</v>
          </cell>
          <cell r="G276"/>
          <cell r="L276"/>
          <cell r="M276"/>
          <cell r="N276"/>
          <cell r="O276"/>
          <cell r="P276"/>
          <cell r="Q276"/>
          <cell r="R276"/>
        </row>
        <row r="277">
          <cell r="A277" t="str">
            <v>14XD-14C4A</v>
          </cell>
          <cell r="B277" t="str"/>
          <cell r="C277">
            <v>15909.77</v>
          </cell>
          <cell r="D277">
            <v>0.2</v>
          </cell>
          <cell r="E277">
            <v>4345</v>
          </cell>
          <cell r="F277">
            <v>70</v>
          </cell>
          <cell r="G277"/>
          <cell r="L277"/>
          <cell r="M277"/>
          <cell r="N277"/>
          <cell r="O277"/>
          <cell r="P277"/>
          <cell r="Q277"/>
          <cell r="R277"/>
        </row>
        <row r="278">
          <cell r="A278" t="str">
            <v>14XD-14C4A-BK</v>
          </cell>
          <cell r="B278" t="str">
            <v>HS4, 6SIR, Spec Tarp, LR-G tires, 15,400#</v>
          </cell>
          <cell r="C278">
            <v>15909.77</v>
          </cell>
          <cell r="D278">
            <v>0.2</v>
          </cell>
          <cell r="E278">
            <v>4345</v>
          </cell>
          <cell r="F278">
            <v>70</v>
          </cell>
          <cell r="G278"/>
          <cell r="L278"/>
          <cell r="M278"/>
          <cell r="N278"/>
          <cell r="O278"/>
          <cell r="P278"/>
          <cell r="Q278"/>
          <cell r="R278"/>
        </row>
        <row r="279">
          <cell r="A279" t="str">
            <v>14XD-16C2A</v>
          </cell>
          <cell r="B279" t="str"/>
          <cell r="C279">
            <v>15368.42</v>
          </cell>
          <cell r="D279">
            <v>0.2</v>
          </cell>
          <cell r="E279">
            <v>4630</v>
          </cell>
          <cell r="F279">
            <v>70</v>
          </cell>
          <cell r="G279"/>
          <cell r="L279"/>
          <cell r="M279"/>
          <cell r="N279"/>
          <cell r="O279"/>
          <cell r="P279"/>
          <cell r="Q279"/>
          <cell r="R279"/>
        </row>
        <row r="280">
          <cell r="A280" t="str">
            <v>14XD-16C2A-BK</v>
          </cell>
          <cell r="B280" t="str">
            <v>6SIR, Spec Tarp, LR-G tires, 15,400# GVWR</v>
          </cell>
          <cell r="C280">
            <v>15368.42</v>
          </cell>
          <cell r="D280">
            <v>0.2</v>
          </cell>
          <cell r="E280">
            <v>4805</v>
          </cell>
          <cell r="F280">
            <v>70</v>
          </cell>
          <cell r="G280"/>
          <cell r="L280"/>
          <cell r="M280"/>
          <cell r="N280"/>
          <cell r="O280"/>
          <cell r="P280"/>
          <cell r="Q280"/>
          <cell r="R280"/>
        </row>
        <row r="281">
          <cell r="A281" t="str">
            <v>14XD-16C2A-BK-12KHJ</v>
          </cell>
          <cell r="B281" t="str">
            <v>6SIR, Spec Tarp, LR-G tires, 12KHDJ</v>
          </cell>
          <cell r="C281">
            <v>16203.01</v>
          </cell>
          <cell r="D281">
            <v>0.2</v>
          </cell>
          <cell r="E281">
            <v>4805</v>
          </cell>
          <cell r="F281">
            <v>70</v>
          </cell>
          <cell r="G281"/>
          <cell r="L281"/>
          <cell r="M281"/>
          <cell r="N281"/>
          <cell r="O281"/>
          <cell r="P281"/>
          <cell r="Q281"/>
          <cell r="R281"/>
        </row>
        <row r="282">
          <cell r="A282" t="str">
            <v>14XD-16C4A</v>
          </cell>
          <cell r="B282" t="str"/>
          <cell r="C282">
            <v>16721.8</v>
          </cell>
          <cell r="D282">
            <v>0.2</v>
          </cell>
          <cell r="E282">
            <v>4805</v>
          </cell>
          <cell r="F282">
            <v>70</v>
          </cell>
          <cell r="G282"/>
          <cell r="L282"/>
          <cell r="M282"/>
          <cell r="N282"/>
          <cell r="O282"/>
          <cell r="P282"/>
          <cell r="Q282"/>
          <cell r="R282"/>
        </row>
        <row r="283">
          <cell r="A283" t="str">
            <v>14XD-16C4A-BK</v>
          </cell>
          <cell r="B283" t="str">
            <v>HS4, 6SIR, Spec Tarp, LR-G tires, 15,400#</v>
          </cell>
          <cell r="C283">
            <v>16721.8</v>
          </cell>
          <cell r="D283">
            <v>0.2</v>
          </cell>
          <cell r="E283">
            <v>4805</v>
          </cell>
          <cell r="F283">
            <v>70</v>
          </cell>
          <cell r="G283"/>
          <cell r="L283"/>
          <cell r="M283"/>
          <cell r="N283"/>
          <cell r="O283"/>
          <cell r="P283"/>
          <cell r="Q283"/>
          <cell r="R283"/>
        </row>
        <row r="284">
          <cell r="A284" t="str">
            <v>16EH-18D3A</v>
          </cell>
          <cell r="B284" t="str"/>
          <cell r="C284">
            <v>12075.19</v>
          </cell>
          <cell r="D284">
            <v>0.2</v>
          </cell>
          <cell r="E284">
            <v>3190</v>
          </cell>
          <cell r="F284">
            <v>40</v>
          </cell>
          <cell r="G284"/>
          <cell r="L284"/>
          <cell r="M284"/>
          <cell r="N284"/>
          <cell r="O284"/>
          <cell r="P284"/>
          <cell r="Q284"/>
          <cell r="R284"/>
        </row>
        <row r="285">
          <cell r="A285" t="str">
            <v>16EH-18D3A-KRBK</v>
          </cell>
          <cell r="B285" t="str">
            <v>DT, KNEE RAMPS</v>
          </cell>
          <cell r="C285">
            <v>12075.19</v>
          </cell>
          <cell r="D285">
            <v>0.2</v>
          </cell>
          <cell r="E285">
            <v>3190</v>
          </cell>
          <cell r="F285">
            <v>40</v>
          </cell>
          <cell r="G285"/>
          <cell r="L285"/>
          <cell r="M285"/>
          <cell r="N285"/>
          <cell r="O285"/>
          <cell r="P285"/>
          <cell r="Q285"/>
          <cell r="R285"/>
        </row>
        <row r="286">
          <cell r="A286" t="str">
            <v>16EH-18D3A-MRBK</v>
          </cell>
          <cell r="B286" t="str">
            <v>DT, MEGA RAMPS</v>
          </cell>
          <cell r="C286">
            <v>12947.37</v>
          </cell>
          <cell r="D286">
            <v>0.2</v>
          </cell>
          <cell r="E286">
            <v>3390</v>
          </cell>
          <cell r="F286">
            <v>40</v>
          </cell>
          <cell r="G286"/>
          <cell r="L286"/>
          <cell r="M286"/>
          <cell r="N286"/>
          <cell r="O286"/>
          <cell r="P286"/>
          <cell r="Q286"/>
          <cell r="R286"/>
        </row>
        <row r="287">
          <cell r="A287" t="str">
            <v>16EH-20D3A</v>
          </cell>
          <cell r="B287" t="str"/>
          <cell r="C287">
            <v>12285.71</v>
          </cell>
          <cell r="D287">
            <v>0.2</v>
          </cell>
          <cell r="E287">
            <v>3320</v>
          </cell>
          <cell r="F287">
            <v>40</v>
          </cell>
          <cell r="G287"/>
          <cell r="L287"/>
          <cell r="M287"/>
          <cell r="N287"/>
          <cell r="O287"/>
          <cell r="P287"/>
          <cell r="Q287"/>
          <cell r="R287"/>
        </row>
        <row r="288">
          <cell r="A288" t="str">
            <v>16EH-20D3A-KRBK</v>
          </cell>
          <cell r="B288" t="str">
            <v>DT, KNEE RAMPS</v>
          </cell>
          <cell r="C288">
            <v>12285.71</v>
          </cell>
          <cell r="D288">
            <v>0.2</v>
          </cell>
          <cell r="E288">
            <v>3200</v>
          </cell>
          <cell r="F288">
            <v>40</v>
          </cell>
          <cell r="G288"/>
          <cell r="L288"/>
          <cell r="M288"/>
          <cell r="N288"/>
          <cell r="O288"/>
          <cell r="P288"/>
          <cell r="Q288"/>
          <cell r="R288"/>
        </row>
        <row r="289">
          <cell r="A289" t="str">
            <v>16EH-20D3A-MRBK</v>
          </cell>
          <cell r="B289" t="str">
            <v>DT, MEGA RAMPS</v>
          </cell>
          <cell r="C289">
            <v>13157.89</v>
          </cell>
          <cell r="D289">
            <v>0.2</v>
          </cell>
          <cell r="E289">
            <v>3400</v>
          </cell>
          <cell r="F289">
            <v>40</v>
          </cell>
          <cell r="G289"/>
          <cell r="L289"/>
          <cell r="M289"/>
          <cell r="N289"/>
          <cell r="O289"/>
          <cell r="P289"/>
          <cell r="Q289"/>
          <cell r="R289"/>
        </row>
        <row r="290">
          <cell r="A290" t="str">
            <v>16EH-22D3A</v>
          </cell>
          <cell r="B290" t="str"/>
          <cell r="C290">
            <v>12541.35</v>
          </cell>
          <cell r="D290">
            <v>0.2</v>
          </cell>
          <cell r="E290">
            <v>3480</v>
          </cell>
          <cell r="F290">
            <v>40</v>
          </cell>
          <cell r="G290"/>
          <cell r="L290"/>
          <cell r="M290"/>
          <cell r="N290"/>
          <cell r="O290"/>
          <cell r="P290"/>
          <cell r="Q290"/>
          <cell r="R290"/>
        </row>
        <row r="291">
          <cell r="A291" t="str">
            <v>16EH-22D3A-KRBK</v>
          </cell>
          <cell r="B291" t="str">
            <v>DT, KNEE RAMPS</v>
          </cell>
          <cell r="C291">
            <v>12541.35</v>
          </cell>
          <cell r="D291">
            <v>0.2</v>
          </cell>
          <cell r="E291">
            <v>3480</v>
          </cell>
          <cell r="F291">
            <v>40</v>
          </cell>
          <cell r="G291"/>
          <cell r="L291"/>
          <cell r="M291"/>
          <cell r="N291"/>
          <cell r="O291"/>
          <cell r="P291"/>
          <cell r="Q291"/>
          <cell r="R291"/>
        </row>
        <row r="292">
          <cell r="A292" t="str">
            <v>16EH-22D3A-MRBK</v>
          </cell>
          <cell r="B292" t="str">
            <v>DT, MEGA RAMPS</v>
          </cell>
          <cell r="C292">
            <v>13413.53</v>
          </cell>
          <cell r="D292">
            <v>0.2</v>
          </cell>
          <cell r="E292">
            <v>3680</v>
          </cell>
          <cell r="F292">
            <v>40</v>
          </cell>
          <cell r="G292"/>
          <cell r="L292"/>
          <cell r="M292"/>
          <cell r="N292"/>
          <cell r="O292"/>
          <cell r="P292"/>
          <cell r="Q292"/>
          <cell r="R292"/>
        </row>
        <row r="293">
          <cell r="A293" t="str">
            <v>16EH-24D3A</v>
          </cell>
          <cell r="B293" t="str"/>
          <cell r="C293">
            <v>12766.92</v>
          </cell>
          <cell r="D293">
            <v>0.2</v>
          </cell>
          <cell r="E293">
            <v>3650</v>
          </cell>
          <cell r="F293">
            <v>40</v>
          </cell>
          <cell r="G293"/>
          <cell r="L293"/>
          <cell r="M293"/>
          <cell r="N293"/>
          <cell r="O293"/>
          <cell r="P293"/>
          <cell r="Q293"/>
          <cell r="R293"/>
        </row>
        <row r="294">
          <cell r="A294" t="str">
            <v>16EH-24D3A-KRBK</v>
          </cell>
          <cell r="B294" t="str">
            <v>DT, KNEE RAMPS</v>
          </cell>
          <cell r="C294">
            <v>12766.92</v>
          </cell>
          <cell r="D294">
            <v>0.2</v>
          </cell>
          <cell r="E294">
            <v>3650</v>
          </cell>
          <cell r="F294">
            <v>40</v>
          </cell>
          <cell r="G294"/>
          <cell r="L294"/>
          <cell r="M294"/>
          <cell r="N294"/>
          <cell r="O294"/>
          <cell r="P294"/>
          <cell r="Q294"/>
          <cell r="R294"/>
        </row>
        <row r="295">
          <cell r="A295" t="str">
            <v>16EH-24D3A-MRBK</v>
          </cell>
          <cell r="B295" t="str">
            <v>DT, MEGA RAMPS</v>
          </cell>
          <cell r="C295">
            <v>13639.1</v>
          </cell>
          <cell r="D295">
            <v>0.2</v>
          </cell>
          <cell r="E295">
            <v>3850</v>
          </cell>
          <cell r="F295">
            <v>40</v>
          </cell>
          <cell r="G295"/>
          <cell r="L295"/>
          <cell r="M295"/>
          <cell r="N295"/>
          <cell r="O295"/>
          <cell r="P295"/>
          <cell r="Q295"/>
          <cell r="R295"/>
        </row>
        <row r="296">
          <cell r="A296" t="str">
            <v>16EHG-20D3A</v>
          </cell>
          <cell r="B296" t="str">
            <v>GN STYLE</v>
          </cell>
          <cell r="C296">
            <v>14721.8</v>
          </cell>
          <cell r="D296">
            <v>0.2</v>
          </cell>
          <cell r="E296">
            <v>3700</v>
          </cell>
          <cell r="F296">
            <v>40</v>
          </cell>
          <cell r="G296"/>
          <cell r="L296"/>
          <cell r="M296"/>
          <cell r="N296"/>
          <cell r="O296"/>
          <cell r="P296"/>
          <cell r="Q296"/>
          <cell r="R296"/>
        </row>
        <row r="297">
          <cell r="A297" t="str">
            <v>16EHG-22D3A</v>
          </cell>
          <cell r="B297" t="str">
            <v>GN STYLE</v>
          </cell>
          <cell r="C297">
            <v>14977.44</v>
          </cell>
          <cell r="D297">
            <v>0.2</v>
          </cell>
          <cell r="E297">
            <v>3860</v>
          </cell>
          <cell r="F297">
            <v>40</v>
          </cell>
          <cell r="G297"/>
          <cell r="L297"/>
          <cell r="M297"/>
          <cell r="N297"/>
          <cell r="O297"/>
          <cell r="P297"/>
          <cell r="Q297"/>
          <cell r="R297"/>
        </row>
        <row r="298">
          <cell r="A298" t="str">
            <v>16EHG-24D3A</v>
          </cell>
          <cell r="B298" t="str">
            <v>GN STYLE</v>
          </cell>
          <cell r="C298">
            <v>15203.01</v>
          </cell>
          <cell r="D298">
            <v>0.2</v>
          </cell>
          <cell r="E298">
            <v>4040</v>
          </cell>
          <cell r="F298">
            <v>40</v>
          </cell>
          <cell r="G298"/>
          <cell r="L298"/>
          <cell r="M298"/>
          <cell r="N298"/>
          <cell r="O298"/>
          <cell r="P298"/>
          <cell r="Q298"/>
          <cell r="R298"/>
        </row>
        <row r="299">
          <cell r="A299" t="str">
            <v>16GN-20</v>
          </cell>
          <cell r="B299" t="str">
            <v>SPARE (incl)</v>
          </cell>
          <cell r="C299">
            <v>19278.2</v>
          </cell>
          <cell r="D299">
            <v>0.2</v>
          </cell>
          <cell r="E299">
            <v>4707</v>
          </cell>
          <cell r="F299">
            <v>60</v>
          </cell>
          <cell r="G299"/>
          <cell r="L299"/>
          <cell r="M299"/>
          <cell r="N299"/>
          <cell r="O299"/>
          <cell r="P299"/>
          <cell r="Q299"/>
          <cell r="R299"/>
        </row>
        <row r="300">
          <cell r="A300" t="str">
            <v>16GN-20+5</v>
          </cell>
          <cell r="B300" t="str">
            <v>SPARE (incl), Discontinued SKU</v>
          </cell>
          <cell r="C300">
            <v>17046.62</v>
          </cell>
          <cell r="D300">
            <v>0.2</v>
          </cell>
          <cell r="E300">
            <v>5670</v>
          </cell>
          <cell r="F300">
            <v>60</v>
          </cell>
          <cell r="G300"/>
          <cell r="L300"/>
          <cell r="M300"/>
          <cell r="N300"/>
          <cell r="O300"/>
          <cell r="P300"/>
          <cell r="Q300"/>
          <cell r="R300"/>
        </row>
        <row r="301">
          <cell r="A301" t="str">
            <v>16GN-20BK+5</v>
          </cell>
          <cell r="B301" t="str">
            <v>SPARE (incl), Discontinued SKU</v>
          </cell>
          <cell r="C301">
            <v>17046.62</v>
          </cell>
          <cell r="D301">
            <v>0.2</v>
          </cell>
          <cell r="E301">
            <v>5670</v>
          </cell>
          <cell r="F301">
            <v>60</v>
          </cell>
          <cell r="G301"/>
          <cell r="L301"/>
          <cell r="M301"/>
          <cell r="N301"/>
          <cell r="O301"/>
          <cell r="P301"/>
          <cell r="Q301"/>
          <cell r="R301"/>
        </row>
        <row r="302">
          <cell r="A302" t="str">
            <v>16GN-20BK+5MR</v>
          </cell>
          <cell r="B302" t="str">
            <v>MR, SPARE (incl), Discontinued SKU</v>
          </cell>
          <cell r="C302">
            <v>18219.55</v>
          </cell>
          <cell r="D302">
            <v>0.2</v>
          </cell>
          <cell r="E302">
            <v>6082</v>
          </cell>
          <cell r="F302">
            <v>60</v>
          </cell>
          <cell r="G302"/>
          <cell r="L302"/>
          <cell r="M302"/>
          <cell r="N302"/>
          <cell r="O302"/>
          <cell r="P302"/>
          <cell r="Q302"/>
          <cell r="R302"/>
        </row>
        <row r="303">
          <cell r="A303" t="str">
            <v>16GN-20STA</v>
          </cell>
          <cell r="B303" t="str">
            <v>SPARE (incl)</v>
          </cell>
          <cell r="C303">
            <v>14466.17</v>
          </cell>
          <cell r="D303">
            <v>0.2</v>
          </cell>
          <cell r="E303">
            <v>4707</v>
          </cell>
          <cell r="F303">
            <v>60</v>
          </cell>
          <cell r="G303"/>
          <cell r="L303"/>
          <cell r="M303"/>
          <cell r="N303"/>
          <cell r="O303"/>
          <cell r="P303"/>
          <cell r="Q303"/>
          <cell r="R303"/>
        </row>
        <row r="304">
          <cell r="A304" t="str">
            <v>16GN-22</v>
          </cell>
          <cell r="B304" t="str">
            <v>SPARE (incl)</v>
          </cell>
          <cell r="C304">
            <v>18977.439999999999</v>
          </cell>
          <cell r="D304">
            <v>0.2</v>
          </cell>
          <cell r="E304">
            <v>4879</v>
          </cell>
          <cell r="F304">
            <v>60</v>
          </cell>
          <cell r="G304"/>
          <cell r="L304"/>
          <cell r="M304"/>
          <cell r="N304"/>
          <cell r="O304"/>
          <cell r="P304"/>
          <cell r="Q304"/>
          <cell r="R304"/>
        </row>
        <row r="305">
          <cell r="A305" t="str">
            <v>16GN-22+5</v>
          </cell>
          <cell r="B305" t="str">
            <v>SPARE (incl), Discontinued SKU</v>
          </cell>
          <cell r="C305">
            <v>17281.2</v>
          </cell>
          <cell r="D305">
            <v>0.2</v>
          </cell>
          <cell r="E305">
            <v>5842</v>
          </cell>
          <cell r="F305">
            <v>60</v>
          </cell>
          <cell r="G305"/>
          <cell r="L305"/>
          <cell r="M305"/>
          <cell r="N305"/>
          <cell r="O305"/>
          <cell r="P305"/>
          <cell r="Q305"/>
          <cell r="R305"/>
        </row>
        <row r="306">
          <cell r="A306" t="str">
            <v>16GN-22STA</v>
          </cell>
          <cell r="B306" t="str">
            <v>SPARE (incl)</v>
          </cell>
          <cell r="C306">
            <v>14700.75</v>
          </cell>
          <cell r="D306">
            <v>0.2</v>
          </cell>
          <cell r="E306">
            <v>4879</v>
          </cell>
          <cell r="F306">
            <v>60</v>
          </cell>
          <cell r="G306"/>
          <cell r="L306"/>
          <cell r="M306"/>
          <cell r="N306"/>
          <cell r="O306"/>
          <cell r="P306"/>
          <cell r="Q306"/>
          <cell r="R306"/>
        </row>
        <row r="307">
          <cell r="A307" t="str">
            <v>16GN-25</v>
          </cell>
          <cell r="B307" t="str">
            <v>SPARE (incl)</v>
          </cell>
          <cell r="C307">
            <v>17015.34</v>
          </cell>
          <cell r="D307">
            <v>0.2</v>
          </cell>
          <cell r="E307">
            <v>5181</v>
          </cell>
          <cell r="F307">
            <v>60</v>
          </cell>
          <cell r="G307"/>
          <cell r="L307"/>
          <cell r="M307"/>
          <cell r="N307"/>
          <cell r="O307"/>
          <cell r="P307"/>
          <cell r="Q307"/>
          <cell r="R307"/>
        </row>
        <row r="308">
          <cell r="A308" t="str">
            <v>16GN-25+5</v>
          </cell>
          <cell r="B308" t="str">
            <v>SPARE (incl), Discontinued SKU</v>
          </cell>
          <cell r="C308">
            <v>17640.900000000001</v>
          </cell>
          <cell r="D308">
            <v>0.2</v>
          </cell>
          <cell r="E308">
            <v>6144</v>
          </cell>
          <cell r="F308">
            <v>60</v>
          </cell>
          <cell r="G308"/>
          <cell r="L308"/>
          <cell r="M308"/>
          <cell r="N308"/>
          <cell r="O308"/>
          <cell r="P308"/>
          <cell r="Q308"/>
          <cell r="R308"/>
        </row>
        <row r="309">
          <cell r="A309" t="str">
            <v>16GN-25BK+5</v>
          </cell>
          <cell r="B309" t="str">
            <v>SPARE (incl), Discontinued SKU</v>
          </cell>
          <cell r="C309">
            <v>17640.900000000001</v>
          </cell>
          <cell r="D309">
            <v>0.2</v>
          </cell>
          <cell r="E309">
            <v>6144</v>
          </cell>
          <cell r="F309">
            <v>60</v>
          </cell>
          <cell r="G309"/>
          <cell r="L309"/>
          <cell r="M309"/>
          <cell r="N309"/>
          <cell r="O309"/>
          <cell r="P309"/>
          <cell r="Q309"/>
          <cell r="R309"/>
        </row>
        <row r="310">
          <cell r="A310" t="str">
            <v>16GN-25BK+5MR</v>
          </cell>
          <cell r="B310" t="str">
            <v>MR, SPARE (incl), Discontinued SKU</v>
          </cell>
          <cell r="C310">
            <v>18813.830000000002</v>
          </cell>
          <cell r="D310">
            <v>0.2</v>
          </cell>
          <cell r="E310">
            <v>6556</v>
          </cell>
          <cell r="F310">
            <v>60</v>
          </cell>
          <cell r="G310"/>
          <cell r="L310"/>
          <cell r="M310"/>
          <cell r="N310"/>
          <cell r="O310"/>
          <cell r="P310"/>
          <cell r="Q310"/>
          <cell r="R310"/>
        </row>
        <row r="311">
          <cell r="A311" t="str">
            <v>16GN-25D5A</v>
          </cell>
          <cell r="B311" t="str">
            <v>SPARE (incl)</v>
          </cell>
          <cell r="C311">
            <v>15082.71</v>
          </cell>
          <cell r="D311">
            <v>0.2</v>
          </cell>
          <cell r="E311">
            <v>5540</v>
          </cell>
          <cell r="F311">
            <v>60</v>
          </cell>
          <cell r="G311"/>
          <cell r="L311"/>
          <cell r="M311"/>
          <cell r="N311"/>
          <cell r="O311"/>
          <cell r="P311"/>
          <cell r="Q311"/>
          <cell r="R311"/>
        </row>
        <row r="312">
          <cell r="A312" t="str">
            <v>16GN-25D5A-FRBK</v>
          </cell>
          <cell r="B312" t="str">
            <v>SPARE (incl)</v>
          </cell>
          <cell r="C312">
            <v>15082.71</v>
          </cell>
          <cell r="D312">
            <v>0.2</v>
          </cell>
          <cell r="E312">
            <v>5080</v>
          </cell>
          <cell r="F312">
            <v>60</v>
          </cell>
          <cell r="G312"/>
          <cell r="L312"/>
          <cell r="M312"/>
          <cell r="N312"/>
          <cell r="O312"/>
          <cell r="P312"/>
          <cell r="Q312"/>
          <cell r="R312"/>
        </row>
        <row r="313">
          <cell r="A313" t="str">
            <v>16GN-25D5A-MRBK</v>
          </cell>
          <cell r="B313" t="str">
            <v>MR, SPARE (incl)</v>
          </cell>
          <cell r="C313">
            <v>16210.53</v>
          </cell>
          <cell r="D313">
            <v>0.2</v>
          </cell>
          <cell r="E313">
            <v>5540</v>
          </cell>
          <cell r="F313">
            <v>60</v>
          </cell>
          <cell r="G313"/>
          <cell r="L313"/>
          <cell r="M313"/>
          <cell r="N313"/>
          <cell r="O313"/>
          <cell r="P313"/>
          <cell r="Q313"/>
          <cell r="R313"/>
        </row>
        <row r="314">
          <cell r="A314" t="str">
            <v>16GN-25STA</v>
          </cell>
          <cell r="B314" t="str">
            <v>SPARE (incl)</v>
          </cell>
          <cell r="C314">
            <v>15052.63</v>
          </cell>
          <cell r="D314">
            <v>0.2</v>
          </cell>
          <cell r="E314">
            <v>5181</v>
          </cell>
          <cell r="F314">
            <v>60</v>
          </cell>
          <cell r="G314"/>
          <cell r="L314"/>
          <cell r="M314"/>
          <cell r="N314"/>
          <cell r="O314"/>
          <cell r="P314"/>
          <cell r="Q314"/>
          <cell r="R314"/>
        </row>
        <row r="315">
          <cell r="A315" t="str">
            <v>16GN-27D5A</v>
          </cell>
          <cell r="B315" t="str">
            <v>SPARE (incl)</v>
          </cell>
          <cell r="C315">
            <v>15308.27</v>
          </cell>
          <cell r="D315">
            <v>0.2</v>
          </cell>
          <cell r="E315">
            <v>6144</v>
          </cell>
          <cell r="F315">
            <v>60</v>
          </cell>
          <cell r="G315"/>
          <cell r="L315"/>
          <cell r="M315"/>
          <cell r="N315"/>
          <cell r="O315"/>
          <cell r="P315"/>
          <cell r="Q315"/>
          <cell r="R315"/>
        </row>
        <row r="316">
          <cell r="A316" t="str">
            <v>16GN-28+5</v>
          </cell>
          <cell r="B316" t="str">
            <v>SPARE (incl), Discontinued SKU</v>
          </cell>
          <cell r="C316">
            <v>18000.599999999999</v>
          </cell>
          <cell r="D316">
            <v>0.2</v>
          </cell>
          <cell r="E316">
            <v>6388</v>
          </cell>
          <cell r="F316">
            <v>60</v>
          </cell>
          <cell r="G316"/>
          <cell r="L316"/>
          <cell r="M316"/>
          <cell r="N316"/>
          <cell r="O316"/>
          <cell r="P316"/>
          <cell r="Q316"/>
          <cell r="R316"/>
        </row>
        <row r="317">
          <cell r="A317" t="str">
            <v>16GN-28BK+5</v>
          </cell>
          <cell r="B317" t="str">
            <v>SPARE (incl), Discontinued SKU</v>
          </cell>
          <cell r="C317">
            <v>18000.599999999999</v>
          </cell>
          <cell r="D317">
            <v>0.2</v>
          </cell>
          <cell r="E317">
            <v>6388</v>
          </cell>
          <cell r="F317">
            <v>60</v>
          </cell>
          <cell r="G317"/>
          <cell r="L317"/>
          <cell r="M317"/>
          <cell r="N317"/>
          <cell r="O317"/>
          <cell r="P317"/>
          <cell r="Q317"/>
          <cell r="R317"/>
        </row>
        <row r="318">
          <cell r="A318" t="str">
            <v>16GN-28BK+5MR</v>
          </cell>
          <cell r="B318" t="str">
            <v>MR, SPARE (incl), Discontinued SKU</v>
          </cell>
          <cell r="C318">
            <v>19173.53</v>
          </cell>
          <cell r="D318">
            <v>0.2</v>
          </cell>
          <cell r="E318">
            <v>6800</v>
          </cell>
          <cell r="F318">
            <v>60</v>
          </cell>
          <cell r="G318"/>
          <cell r="L318"/>
          <cell r="M318"/>
          <cell r="N318"/>
          <cell r="O318"/>
          <cell r="P318"/>
          <cell r="Q318"/>
          <cell r="R318"/>
        </row>
        <row r="319">
          <cell r="A319" t="str">
            <v>16GN-28STA</v>
          </cell>
          <cell r="B319" t="str">
            <v>SPARE (incl)</v>
          </cell>
          <cell r="C319">
            <v>15404.51</v>
          </cell>
          <cell r="D319">
            <v>0.2</v>
          </cell>
          <cell r="E319">
            <v>5700</v>
          </cell>
          <cell r="F319">
            <v>60</v>
          </cell>
          <cell r="G319"/>
          <cell r="L319"/>
          <cell r="M319"/>
          <cell r="N319"/>
          <cell r="O319"/>
          <cell r="P319"/>
          <cell r="Q319"/>
          <cell r="R319"/>
        </row>
        <row r="320">
          <cell r="A320" t="str">
            <v>16GN-30</v>
          </cell>
          <cell r="B320" t="str">
            <v>SPARE (incl)</v>
          </cell>
          <cell r="C320">
            <v>17609.62</v>
          </cell>
          <cell r="D320">
            <v>0.2</v>
          </cell>
          <cell r="E320">
            <v>5626</v>
          </cell>
          <cell r="F320">
            <v>60</v>
          </cell>
          <cell r="G320"/>
          <cell r="L320"/>
          <cell r="M320"/>
          <cell r="N320"/>
          <cell r="O320"/>
          <cell r="P320"/>
          <cell r="Q320"/>
          <cell r="R320"/>
        </row>
        <row r="321">
          <cell r="A321" t="str">
            <v>16GN-30+5</v>
          </cell>
          <cell r="B321" t="str">
            <v>SPARE (incl), Discontinued SKU</v>
          </cell>
          <cell r="C321">
            <v>18235.189999999999</v>
          </cell>
          <cell r="D321">
            <v>0.2</v>
          </cell>
          <cell r="E321">
            <v>6589</v>
          </cell>
          <cell r="F321">
            <v>60</v>
          </cell>
          <cell r="G321"/>
          <cell r="L321"/>
          <cell r="M321"/>
          <cell r="N321"/>
          <cell r="O321"/>
          <cell r="P321"/>
          <cell r="Q321"/>
          <cell r="R321"/>
        </row>
        <row r="322">
          <cell r="A322" t="str">
            <v>16GN-30BK+5</v>
          </cell>
          <cell r="B322" t="str">
            <v>SPARE (incl), Discontinued SKU</v>
          </cell>
          <cell r="C322">
            <v>18235.189999999999</v>
          </cell>
          <cell r="D322">
            <v>0.2</v>
          </cell>
          <cell r="E322">
            <v>6589</v>
          </cell>
          <cell r="F322">
            <v>60</v>
          </cell>
          <cell r="G322"/>
          <cell r="L322"/>
          <cell r="M322"/>
          <cell r="N322"/>
          <cell r="O322"/>
          <cell r="P322"/>
          <cell r="Q322"/>
          <cell r="R322"/>
        </row>
        <row r="323">
          <cell r="A323" t="str">
            <v>16GN-30BK+5MR</v>
          </cell>
          <cell r="B323" t="str">
            <v>MR, SPARE (incl), Discontinued SKU</v>
          </cell>
          <cell r="C323">
            <v>19408.12</v>
          </cell>
          <cell r="D323">
            <v>0.2</v>
          </cell>
          <cell r="E323">
            <v>7001</v>
          </cell>
          <cell r="F323">
            <v>60</v>
          </cell>
          <cell r="G323"/>
          <cell r="L323"/>
          <cell r="M323"/>
          <cell r="N323"/>
          <cell r="O323"/>
          <cell r="P323"/>
          <cell r="Q323"/>
          <cell r="R323"/>
        </row>
        <row r="324">
          <cell r="A324" t="str">
            <v>16GN-30D5A</v>
          </cell>
          <cell r="B324" t="str">
            <v>SPARE (incl)</v>
          </cell>
          <cell r="C324">
            <v>15669.17</v>
          </cell>
          <cell r="D324">
            <v>0.2</v>
          </cell>
          <cell r="E324">
            <v>6170</v>
          </cell>
          <cell r="F324">
            <v>60</v>
          </cell>
          <cell r="G324"/>
          <cell r="L324"/>
          <cell r="M324"/>
          <cell r="N324"/>
          <cell r="O324"/>
          <cell r="P324"/>
          <cell r="Q324"/>
          <cell r="R324"/>
        </row>
        <row r="325">
          <cell r="A325" t="str">
            <v>16GN-30D5A-FRBK</v>
          </cell>
          <cell r="B325" t="str">
            <v>SPARE (incl)</v>
          </cell>
          <cell r="C325">
            <v>15669.17</v>
          </cell>
          <cell r="D325">
            <v>0.2</v>
          </cell>
          <cell r="E325">
            <v>5710</v>
          </cell>
          <cell r="F325">
            <v>60</v>
          </cell>
          <cell r="G325"/>
          <cell r="L325"/>
          <cell r="M325"/>
          <cell r="N325"/>
          <cell r="O325"/>
          <cell r="P325"/>
          <cell r="Q325"/>
          <cell r="R325"/>
        </row>
        <row r="326">
          <cell r="A326" t="str">
            <v>16GN-30D5A-MRBK</v>
          </cell>
          <cell r="B326" t="str">
            <v>MR, SPARE (incl)</v>
          </cell>
          <cell r="C326">
            <v>16796.990000000002</v>
          </cell>
          <cell r="D326">
            <v>0.2</v>
          </cell>
          <cell r="E326">
            <v>6170</v>
          </cell>
          <cell r="F326">
            <v>60</v>
          </cell>
          <cell r="G326"/>
          <cell r="L326"/>
          <cell r="M326"/>
          <cell r="N326"/>
          <cell r="O326"/>
          <cell r="P326"/>
          <cell r="Q326"/>
          <cell r="R326"/>
        </row>
        <row r="327">
          <cell r="A327" t="str">
            <v>16GN-30STA</v>
          </cell>
          <cell r="B327" t="str">
            <v>SPARE (incl)</v>
          </cell>
          <cell r="C327">
            <v>15639.1</v>
          </cell>
          <cell r="D327">
            <v>0.2</v>
          </cell>
          <cell r="E327">
            <v>5626</v>
          </cell>
          <cell r="F327">
            <v>60</v>
          </cell>
          <cell r="G327"/>
          <cell r="L327"/>
          <cell r="M327"/>
          <cell r="N327"/>
          <cell r="O327"/>
          <cell r="P327"/>
          <cell r="Q327"/>
          <cell r="R327"/>
        </row>
        <row r="328">
          <cell r="A328" t="str">
            <v>16GN-33D5A</v>
          </cell>
          <cell r="B328" t="str">
            <v>SPARE (incl)</v>
          </cell>
          <cell r="C328">
            <v>16030.08</v>
          </cell>
          <cell r="D328">
            <v>0.2</v>
          </cell>
          <cell r="E328">
            <v>6570</v>
          </cell>
          <cell r="F328">
            <v>60</v>
          </cell>
          <cell r="G328"/>
          <cell r="L328"/>
          <cell r="M328"/>
          <cell r="N328"/>
          <cell r="O328"/>
          <cell r="P328"/>
          <cell r="Q328"/>
          <cell r="R328"/>
        </row>
        <row r="329">
          <cell r="A329" t="str">
            <v>16GN-33D5A-FRBK</v>
          </cell>
          <cell r="B329" t="str">
            <v>SPARE (incl)</v>
          </cell>
          <cell r="C329">
            <v>16030.08</v>
          </cell>
          <cell r="D329">
            <v>0.2</v>
          </cell>
          <cell r="E329">
            <v>6080</v>
          </cell>
          <cell r="F329">
            <v>60</v>
          </cell>
          <cell r="G329"/>
          <cell r="L329"/>
          <cell r="M329"/>
          <cell r="N329"/>
          <cell r="O329"/>
          <cell r="P329"/>
          <cell r="Q329"/>
          <cell r="R329"/>
        </row>
        <row r="330">
          <cell r="A330" t="str">
            <v>16GN-33D5A-MRBK</v>
          </cell>
          <cell r="B330" t="str">
            <v>MR, SPARE (incl)</v>
          </cell>
          <cell r="C330">
            <v>17157.89</v>
          </cell>
          <cell r="D330">
            <v>0.2</v>
          </cell>
          <cell r="E330">
            <v>6570</v>
          </cell>
          <cell r="F330">
            <v>60</v>
          </cell>
          <cell r="G330"/>
          <cell r="L330"/>
          <cell r="M330"/>
          <cell r="N330"/>
          <cell r="O330"/>
          <cell r="P330"/>
          <cell r="Q330"/>
          <cell r="R330"/>
        </row>
        <row r="331">
          <cell r="A331" t="str">
            <v>16GN-35</v>
          </cell>
          <cell r="B331" t="str">
            <v>SPARE (incl)</v>
          </cell>
          <cell r="C331">
            <v>18188.27</v>
          </cell>
          <cell r="D331">
            <v>0.2</v>
          </cell>
          <cell r="E331">
            <v>6072</v>
          </cell>
          <cell r="F331">
            <v>60</v>
          </cell>
          <cell r="G331"/>
          <cell r="L331"/>
          <cell r="M331"/>
          <cell r="N331"/>
          <cell r="O331"/>
          <cell r="P331"/>
          <cell r="Q331"/>
          <cell r="R331"/>
        </row>
        <row r="332">
          <cell r="A332" t="str">
            <v>16GN-35+5</v>
          </cell>
          <cell r="B332" t="str">
            <v>SPARE (incl), Discontinued SKU</v>
          </cell>
          <cell r="C332">
            <v>18813.830000000002</v>
          </cell>
          <cell r="D332">
            <v>0.2</v>
          </cell>
          <cell r="E332">
            <v>7035</v>
          </cell>
          <cell r="F332">
            <v>60</v>
          </cell>
          <cell r="G332"/>
          <cell r="L332"/>
          <cell r="M332"/>
          <cell r="N332"/>
          <cell r="O332"/>
          <cell r="P332"/>
          <cell r="Q332"/>
          <cell r="R332"/>
        </row>
        <row r="333">
          <cell r="A333" t="str">
            <v>16GN-35BK+5</v>
          </cell>
          <cell r="B333" t="str">
            <v>SPARE (incl), Discontinued SKU</v>
          </cell>
          <cell r="C333">
            <v>18813.830000000002</v>
          </cell>
          <cell r="D333">
            <v>0.2</v>
          </cell>
          <cell r="E333">
            <v>7035</v>
          </cell>
          <cell r="F333">
            <v>60</v>
          </cell>
          <cell r="G333"/>
          <cell r="L333"/>
          <cell r="M333"/>
          <cell r="N333"/>
          <cell r="O333"/>
          <cell r="P333"/>
          <cell r="Q333"/>
          <cell r="R333"/>
        </row>
        <row r="334">
          <cell r="A334" t="str">
            <v>16GN-35BK+5MR</v>
          </cell>
          <cell r="B334" t="str">
            <v>MR, SPARE (incl), Discontinued SKU</v>
          </cell>
          <cell r="C334">
            <v>19986.77</v>
          </cell>
          <cell r="D334">
            <v>0.2</v>
          </cell>
          <cell r="E334">
            <v>7447</v>
          </cell>
          <cell r="F334">
            <v>60</v>
          </cell>
          <cell r="G334"/>
          <cell r="L334"/>
          <cell r="M334"/>
          <cell r="N334"/>
          <cell r="O334"/>
          <cell r="P334"/>
          <cell r="Q334"/>
          <cell r="R334"/>
        </row>
        <row r="335">
          <cell r="A335" t="str">
            <v>16GN-35D5A</v>
          </cell>
          <cell r="B335" t="str">
            <v>SPARE (incl)</v>
          </cell>
          <cell r="C335">
            <v>16270.68</v>
          </cell>
          <cell r="D335">
            <v>0.2</v>
          </cell>
          <cell r="E335">
            <v>6790</v>
          </cell>
          <cell r="F335">
            <v>60</v>
          </cell>
          <cell r="G335"/>
          <cell r="L335"/>
          <cell r="M335"/>
          <cell r="N335"/>
          <cell r="O335"/>
          <cell r="P335"/>
          <cell r="Q335"/>
          <cell r="R335"/>
        </row>
        <row r="336">
          <cell r="A336" t="str">
            <v>16GN-35D5A-FRBK</v>
          </cell>
          <cell r="B336" t="str">
            <v>SPARE (incl)</v>
          </cell>
          <cell r="C336">
            <v>16270.68</v>
          </cell>
          <cell r="D336">
            <v>0.2</v>
          </cell>
          <cell r="E336">
            <v>6330</v>
          </cell>
          <cell r="F336">
            <v>60</v>
          </cell>
          <cell r="G336"/>
          <cell r="L336"/>
          <cell r="M336"/>
          <cell r="N336"/>
          <cell r="O336"/>
          <cell r="P336"/>
          <cell r="Q336"/>
          <cell r="R336"/>
        </row>
        <row r="337">
          <cell r="A337" t="str">
            <v>16GN-35D5A-MRBK</v>
          </cell>
          <cell r="B337" t="str">
            <v>MR, SPARE (incl)</v>
          </cell>
          <cell r="C337">
            <v>17398.5</v>
          </cell>
          <cell r="D337">
            <v>0.2</v>
          </cell>
          <cell r="E337">
            <v>6790</v>
          </cell>
          <cell r="F337">
            <v>60</v>
          </cell>
          <cell r="G337"/>
          <cell r="L337"/>
          <cell r="M337"/>
          <cell r="N337"/>
          <cell r="O337"/>
          <cell r="P337"/>
          <cell r="Q337"/>
          <cell r="R337"/>
        </row>
        <row r="338">
          <cell r="A338" t="str">
            <v>16GN-35STA</v>
          </cell>
          <cell r="B338" t="str"/>
          <cell r="C338">
            <v>16225.56</v>
          </cell>
          <cell r="D338">
            <v>0.2</v>
          </cell>
          <cell r="E338">
            <v>6072</v>
          </cell>
          <cell r="F338">
            <v>60</v>
          </cell>
          <cell r="G338"/>
          <cell r="L338"/>
          <cell r="M338"/>
          <cell r="N338"/>
          <cell r="O338"/>
          <cell r="P338"/>
          <cell r="Q338"/>
          <cell r="R338"/>
        </row>
        <row r="339">
          <cell r="A339" t="str">
            <v>16GN-36</v>
          </cell>
          <cell r="B339" t="str">
            <v>SPARE (incl)</v>
          </cell>
          <cell r="C339">
            <v>18313.38</v>
          </cell>
          <cell r="D339">
            <v>0.2</v>
          </cell>
          <cell r="E339">
            <v>5992</v>
          </cell>
          <cell r="F339">
            <v>60</v>
          </cell>
          <cell r="G339"/>
          <cell r="L339"/>
          <cell r="M339"/>
          <cell r="N339"/>
          <cell r="O339"/>
          <cell r="P339"/>
          <cell r="Q339"/>
          <cell r="R339"/>
        </row>
        <row r="340">
          <cell r="A340" t="str">
            <v>16GN-40</v>
          </cell>
          <cell r="B340" t="str">
            <v>SPARE (incl)</v>
          </cell>
          <cell r="C340">
            <v>18782.560000000001</v>
          </cell>
          <cell r="D340">
            <v>0.2</v>
          </cell>
          <cell r="E340">
            <v>6365</v>
          </cell>
          <cell r="F340">
            <v>60</v>
          </cell>
          <cell r="G340"/>
          <cell r="L340"/>
          <cell r="M340"/>
          <cell r="N340"/>
          <cell r="O340"/>
          <cell r="P340"/>
          <cell r="Q340"/>
          <cell r="R340"/>
        </row>
        <row r="341">
          <cell r="A341" t="str">
            <v>16GN-40BK8SIR</v>
          </cell>
          <cell r="B341" t="str">
            <v>SPARE (incl)</v>
          </cell>
          <cell r="C341">
            <v>18782.560000000001</v>
          </cell>
          <cell r="D341">
            <v>0.2</v>
          </cell>
          <cell r="E341">
            <v>6601</v>
          </cell>
          <cell r="F341">
            <v>60</v>
          </cell>
          <cell r="G341"/>
          <cell r="L341"/>
          <cell r="M341"/>
          <cell r="N341"/>
          <cell r="O341"/>
          <cell r="P341"/>
          <cell r="Q341"/>
          <cell r="R341"/>
        </row>
        <row r="342">
          <cell r="A342" t="str">
            <v>16GN-40D5A</v>
          </cell>
          <cell r="B342" t="str">
            <v>SPARE (incl)</v>
          </cell>
          <cell r="C342">
            <v>16842.11</v>
          </cell>
          <cell r="D342">
            <v>0.2</v>
          </cell>
          <cell r="E342">
            <v>7380</v>
          </cell>
          <cell r="F342">
            <v>60</v>
          </cell>
          <cell r="G342"/>
          <cell r="L342"/>
          <cell r="M342"/>
          <cell r="N342"/>
          <cell r="O342"/>
          <cell r="P342"/>
          <cell r="Q342"/>
          <cell r="R342"/>
        </row>
        <row r="343">
          <cell r="A343" t="str">
            <v>16GN-40D5A-FRBK</v>
          </cell>
          <cell r="B343" t="str">
            <v>SPARE (incl)</v>
          </cell>
          <cell r="C343">
            <v>16842.11</v>
          </cell>
          <cell r="D343">
            <v>0.2</v>
          </cell>
          <cell r="E343">
            <v>6950</v>
          </cell>
          <cell r="F343">
            <v>60</v>
          </cell>
          <cell r="G343"/>
          <cell r="L343"/>
          <cell r="M343"/>
          <cell r="N343"/>
          <cell r="O343"/>
          <cell r="P343"/>
          <cell r="Q343"/>
          <cell r="R343"/>
        </row>
        <row r="344">
          <cell r="A344" t="str">
            <v>16GN-40D5A-FRBK-SWT</v>
          </cell>
          <cell r="B344" t="str">
            <v>SPARE (incl)</v>
          </cell>
          <cell r="C344">
            <v>16842.11</v>
          </cell>
          <cell r="D344">
            <v>0.2</v>
          </cell>
          <cell r="E344">
            <v>6950</v>
          </cell>
          <cell r="F344">
            <v>60</v>
          </cell>
          <cell r="G344"/>
          <cell r="L344"/>
          <cell r="M344"/>
          <cell r="N344"/>
          <cell r="O344"/>
          <cell r="P344"/>
          <cell r="Q344"/>
          <cell r="R344"/>
        </row>
        <row r="345">
          <cell r="A345" t="str">
            <v>16GN-40D5A-MRBK</v>
          </cell>
          <cell r="B345" t="str">
            <v>MR, SPARE (incl)</v>
          </cell>
          <cell r="C345">
            <v>17969.919999999998</v>
          </cell>
          <cell r="D345">
            <v>0.2</v>
          </cell>
          <cell r="E345">
            <v>7380</v>
          </cell>
          <cell r="F345">
            <v>60</v>
          </cell>
          <cell r="G345"/>
          <cell r="L345"/>
          <cell r="M345"/>
          <cell r="N345"/>
          <cell r="O345"/>
          <cell r="P345"/>
          <cell r="Q345"/>
          <cell r="R345"/>
        </row>
        <row r="346">
          <cell r="A346" t="str">
            <v>16GN-40D5A-MRBK-SWT</v>
          </cell>
          <cell r="B346" t="str">
            <v>MR, SPARE (incl)</v>
          </cell>
          <cell r="C346">
            <v>18240.599999999999</v>
          </cell>
          <cell r="D346">
            <v>0.2</v>
          </cell>
          <cell r="E346">
            <v>7380</v>
          </cell>
          <cell r="F346">
            <v>60</v>
          </cell>
          <cell r="G346"/>
          <cell r="L346"/>
          <cell r="M346"/>
          <cell r="N346"/>
          <cell r="O346"/>
          <cell r="P346"/>
          <cell r="Q346"/>
          <cell r="R346"/>
        </row>
        <row r="347">
          <cell r="A347" t="str">
            <v>16GN-40STA</v>
          </cell>
          <cell r="B347" t="str">
            <v>SPARE (incl)</v>
          </cell>
          <cell r="C347">
            <v>16812.03</v>
          </cell>
          <cell r="D347">
            <v>0.2</v>
          </cell>
          <cell r="E347">
            <v>6920</v>
          </cell>
          <cell r="F347">
            <v>60</v>
          </cell>
          <cell r="G347"/>
          <cell r="L347"/>
          <cell r="M347"/>
          <cell r="N347"/>
          <cell r="O347"/>
          <cell r="P347"/>
          <cell r="Q347"/>
          <cell r="R347"/>
        </row>
        <row r="348">
          <cell r="A348" t="str">
            <v>16GN-40STA-S8BK</v>
          </cell>
          <cell r="B348" t="str">
            <v>8SIR, SPARE (incl)</v>
          </cell>
          <cell r="C348">
            <v>17248.12</v>
          </cell>
          <cell r="D348">
            <v>0.2</v>
          </cell>
          <cell r="E348">
            <v>7220</v>
          </cell>
          <cell r="F348">
            <v>60</v>
          </cell>
          <cell r="G348"/>
          <cell r="L348"/>
          <cell r="M348"/>
          <cell r="N348"/>
          <cell r="O348"/>
          <cell r="P348"/>
          <cell r="Q348"/>
          <cell r="R348"/>
        </row>
        <row r="349">
          <cell r="A349" t="str">
            <v>16GN-40STA-S8BK-SWT</v>
          </cell>
          <cell r="B349" t="str">
            <v>8SIR, SPARE (incl)</v>
          </cell>
          <cell r="C349">
            <v>17654.14</v>
          </cell>
          <cell r="D349">
            <v>0.2</v>
          </cell>
          <cell r="E349">
            <v>7220</v>
          </cell>
          <cell r="F349">
            <v>60</v>
          </cell>
          <cell r="G349"/>
          <cell r="L349"/>
          <cell r="M349"/>
          <cell r="N349"/>
          <cell r="O349"/>
          <cell r="P349"/>
          <cell r="Q349"/>
          <cell r="R349"/>
        </row>
        <row r="350">
          <cell r="A350" t="str">
            <v>16GX-14</v>
          </cell>
          <cell r="B350" t="str"/>
          <cell r="C350">
            <v>17127.82</v>
          </cell>
          <cell r="D350">
            <v>0.2</v>
          </cell>
          <cell r="E350">
            <v>4980</v>
          </cell>
          <cell r="F350">
            <v>70</v>
          </cell>
          <cell r="G350"/>
          <cell r="L350"/>
          <cell r="M350"/>
          <cell r="N350"/>
          <cell r="O350"/>
          <cell r="P350"/>
          <cell r="Q350"/>
          <cell r="R350"/>
        </row>
        <row r="351">
          <cell r="A351" t="str">
            <v>16GX-14BK6-P3</v>
          </cell>
          <cell r="B351" t="str">
            <v>HS4, 6SIR, SPMT, TARP(included)</v>
          </cell>
          <cell r="C351">
            <v>21699.25</v>
          </cell>
          <cell r="D351">
            <v>0.2</v>
          </cell>
          <cell r="E351">
            <v>4650</v>
          </cell>
          <cell r="F351">
            <v>70</v>
          </cell>
          <cell r="G351"/>
          <cell r="L351"/>
          <cell r="M351"/>
          <cell r="N351"/>
          <cell r="O351"/>
          <cell r="P351"/>
          <cell r="Q351"/>
          <cell r="R351"/>
        </row>
        <row r="352">
          <cell r="A352" t="str">
            <v>16GX-14BK6-P4</v>
          </cell>
          <cell r="B352" t="str">
            <v>HS4, 6SIR, SPMT, TARP(included)</v>
          </cell>
          <cell r="C352">
            <v>19052.63</v>
          </cell>
          <cell r="D352">
            <v>0.2</v>
          </cell>
          <cell r="E352">
            <v>4650</v>
          </cell>
          <cell r="F352">
            <v>70</v>
          </cell>
          <cell r="G352"/>
          <cell r="L352"/>
          <cell r="M352"/>
          <cell r="N352"/>
          <cell r="O352"/>
          <cell r="P352"/>
          <cell r="Q352"/>
          <cell r="R352"/>
        </row>
        <row r="353">
          <cell r="A353" t="str">
            <v>16GX-14BK6SIRPD</v>
          </cell>
          <cell r="B353" t="str">
            <v>6SIR, SPMT, TARP(included)</v>
          </cell>
          <cell r="C353">
            <v>17699.25</v>
          </cell>
          <cell r="D353">
            <v>0.2</v>
          </cell>
          <cell r="E353">
            <v>4650</v>
          </cell>
          <cell r="F353">
            <v>70</v>
          </cell>
          <cell r="G353"/>
          <cell r="L353"/>
          <cell r="M353"/>
          <cell r="N353"/>
          <cell r="O353"/>
          <cell r="P353"/>
          <cell r="Q353"/>
          <cell r="R353"/>
        </row>
        <row r="354">
          <cell r="A354" t="str">
            <v>16GX-16</v>
          </cell>
          <cell r="B354" t="str"/>
          <cell r="C354">
            <v>18030.080000000002</v>
          </cell>
          <cell r="D354">
            <v>0.2</v>
          </cell>
          <cell r="E354">
            <v>5280</v>
          </cell>
          <cell r="F354">
            <v>70</v>
          </cell>
          <cell r="G354"/>
          <cell r="L354"/>
          <cell r="M354"/>
          <cell r="N354"/>
          <cell r="O354"/>
          <cell r="P354"/>
          <cell r="Q354"/>
          <cell r="R354"/>
        </row>
        <row r="355">
          <cell r="A355" t="str">
            <v>16GX-16BK6-P3</v>
          </cell>
          <cell r="B355" t="str">
            <v>HS4, 6SIR, SPMT, TARP(included)</v>
          </cell>
          <cell r="C355">
            <v>22571.43</v>
          </cell>
          <cell r="D355">
            <v>0.2</v>
          </cell>
          <cell r="E355">
            <v>5940</v>
          </cell>
          <cell r="F355">
            <v>70</v>
          </cell>
          <cell r="G355"/>
          <cell r="L355"/>
          <cell r="M355"/>
          <cell r="N355"/>
          <cell r="O355"/>
          <cell r="P355"/>
          <cell r="Q355"/>
          <cell r="R355"/>
        </row>
        <row r="356">
          <cell r="A356" t="str">
            <v>16GX-16BK6-P4</v>
          </cell>
          <cell r="B356" t="str">
            <v>HS4, 6SIR, SPMT, TARP(included)</v>
          </cell>
          <cell r="C356">
            <v>19954.89</v>
          </cell>
          <cell r="D356">
            <v>0.2</v>
          </cell>
          <cell r="E356">
            <v>5940</v>
          </cell>
          <cell r="F356">
            <v>70</v>
          </cell>
          <cell r="G356"/>
          <cell r="L356"/>
          <cell r="M356"/>
          <cell r="N356"/>
          <cell r="O356"/>
          <cell r="P356"/>
          <cell r="Q356"/>
          <cell r="R356"/>
        </row>
        <row r="357">
          <cell r="A357" t="str">
            <v>16GX-16BK6SIRPD</v>
          </cell>
          <cell r="B357" t="str">
            <v>6SIR, SPMT, TARP(included)</v>
          </cell>
          <cell r="C357">
            <v>18601.5</v>
          </cell>
          <cell r="D357">
            <v>0.2</v>
          </cell>
          <cell r="E357">
            <v>5940</v>
          </cell>
          <cell r="F357">
            <v>70</v>
          </cell>
          <cell r="G357"/>
          <cell r="L357"/>
          <cell r="M357"/>
          <cell r="N357"/>
          <cell r="O357"/>
          <cell r="P357"/>
          <cell r="Q357"/>
          <cell r="R357"/>
        </row>
        <row r="358">
          <cell r="A358" t="str">
            <v>16LP-14</v>
          </cell>
          <cell r="B358" t="str">
            <v>TARP(included)</v>
          </cell>
          <cell r="C358">
            <v>15759.4</v>
          </cell>
          <cell r="D358">
            <v>0.2</v>
          </cell>
          <cell r="E358">
            <v>4500</v>
          </cell>
          <cell r="F358">
            <v>70</v>
          </cell>
          <cell r="G358"/>
          <cell r="L358"/>
          <cell r="M358"/>
          <cell r="N358"/>
          <cell r="O358"/>
          <cell r="P358"/>
          <cell r="Q358"/>
          <cell r="R358"/>
        </row>
        <row r="359">
          <cell r="A359" t="str">
            <v>16LP-14BK6-12KHJ</v>
          </cell>
          <cell r="B359" t="str">
            <v>12KHJ, 6SIR, TARP(incl)</v>
          </cell>
          <cell r="C359">
            <v>17052.63</v>
          </cell>
          <cell r="D359">
            <v>0.2</v>
          </cell>
          <cell r="E359">
            <v>4500</v>
          </cell>
          <cell r="F359">
            <v>70</v>
          </cell>
          <cell r="G359"/>
          <cell r="L359"/>
          <cell r="M359"/>
          <cell r="N359"/>
          <cell r="O359"/>
          <cell r="P359"/>
          <cell r="Q359"/>
          <cell r="R359"/>
        </row>
        <row r="360">
          <cell r="A360" t="str">
            <v>16LP-14BK6-12KHJ-P4</v>
          </cell>
          <cell r="B360" t="str">
            <v>12KHJ, HS4, 6SIR, TARP(incl)</v>
          </cell>
          <cell r="C360">
            <v>18406.02</v>
          </cell>
          <cell r="D360">
            <v>0.2</v>
          </cell>
          <cell r="E360">
            <v>4500</v>
          </cell>
          <cell r="F360">
            <v>70</v>
          </cell>
          <cell r="G360"/>
          <cell r="L360"/>
          <cell r="M360"/>
          <cell r="N360"/>
          <cell r="O360"/>
          <cell r="P360"/>
          <cell r="Q360"/>
          <cell r="R360"/>
        </row>
        <row r="361">
          <cell r="A361" t="str">
            <v>16LP-14BK6-P3</v>
          </cell>
          <cell r="B361" t="str">
            <v>3' Sides, 6SIR, SPMT, TARP</v>
          </cell>
          <cell r="C361">
            <v>20195.490000000002</v>
          </cell>
          <cell r="D361">
            <v>0.2</v>
          </cell>
          <cell r="E361">
            <v>4700</v>
          </cell>
          <cell r="F361">
            <v>70</v>
          </cell>
          <cell r="G361"/>
          <cell r="L361"/>
          <cell r="M361"/>
          <cell r="N361"/>
          <cell r="O361"/>
          <cell r="P361"/>
          <cell r="Q361"/>
          <cell r="R361"/>
        </row>
        <row r="362">
          <cell r="A362" t="str">
            <v>16LP-14BK6-P4</v>
          </cell>
          <cell r="B362" t="str">
            <v>4' Sides, 6SIR, SPMT, TARP</v>
          </cell>
          <cell r="C362">
            <v>17684.21</v>
          </cell>
          <cell r="D362">
            <v>0.2</v>
          </cell>
          <cell r="E362">
            <v>4900</v>
          </cell>
          <cell r="F362">
            <v>70</v>
          </cell>
          <cell r="G362"/>
          <cell r="L362"/>
          <cell r="M362"/>
          <cell r="N362"/>
          <cell r="O362"/>
          <cell r="P362"/>
          <cell r="Q362"/>
          <cell r="R362"/>
        </row>
        <row r="363">
          <cell r="A363" t="str">
            <v>16LP-14BK6SIRPD</v>
          </cell>
          <cell r="B363" t="str">
            <v>6SIR, SPMT, TARP(included)</v>
          </cell>
          <cell r="C363">
            <v>16330.83</v>
          </cell>
          <cell r="D363">
            <v>0.2</v>
          </cell>
          <cell r="E363">
            <v>4500</v>
          </cell>
          <cell r="F363">
            <v>70</v>
          </cell>
          <cell r="G363"/>
          <cell r="L363"/>
          <cell r="M363"/>
          <cell r="N363"/>
          <cell r="O363"/>
          <cell r="P363"/>
          <cell r="Q363"/>
          <cell r="R363"/>
        </row>
        <row r="364">
          <cell r="A364" t="str">
            <v>16LP-16</v>
          </cell>
          <cell r="B364" t="str">
            <v>TARP(included)</v>
          </cell>
          <cell r="C364">
            <v>16631.580000000002</v>
          </cell>
          <cell r="D364">
            <v>0.2</v>
          </cell>
          <cell r="E364">
            <v>4950</v>
          </cell>
          <cell r="F364">
            <v>70</v>
          </cell>
          <cell r="G364"/>
          <cell r="L364"/>
          <cell r="M364"/>
          <cell r="N364"/>
          <cell r="O364"/>
          <cell r="P364"/>
          <cell r="Q364"/>
          <cell r="R364"/>
        </row>
        <row r="365">
          <cell r="A365" t="str">
            <v>16LP-16BK6-12KHJ</v>
          </cell>
          <cell r="B365" t="str">
            <v>12KHJ, 6SIR, TARP(incl)</v>
          </cell>
          <cell r="C365">
            <v>17924.810000000001</v>
          </cell>
          <cell r="D365">
            <v>0.2</v>
          </cell>
          <cell r="E365">
            <v>4950</v>
          </cell>
          <cell r="F365">
            <v>70</v>
          </cell>
          <cell r="G365"/>
          <cell r="L365"/>
          <cell r="M365"/>
          <cell r="N365"/>
          <cell r="O365"/>
          <cell r="P365"/>
          <cell r="Q365"/>
          <cell r="R365"/>
        </row>
        <row r="366">
          <cell r="A366" t="str">
            <v>16LP-16BK6-12KHJ-P4</v>
          </cell>
          <cell r="B366" t="str">
            <v>12KHJ, HS4, 6SIR, TARP(incl)</v>
          </cell>
          <cell r="C366">
            <v>19278.2</v>
          </cell>
          <cell r="D366">
            <v>0.2</v>
          </cell>
          <cell r="E366">
            <v>4950</v>
          </cell>
          <cell r="F366">
            <v>70</v>
          </cell>
          <cell r="G366"/>
          <cell r="L366"/>
          <cell r="M366"/>
          <cell r="N366"/>
          <cell r="O366"/>
          <cell r="P366"/>
          <cell r="Q366"/>
          <cell r="R366"/>
        </row>
        <row r="367">
          <cell r="A367" t="str">
            <v>16LP-16BK6-P3</v>
          </cell>
          <cell r="B367" t="str">
            <v>3' Sides, 6SIR, SPMT, TARP</v>
          </cell>
          <cell r="C367">
            <v>21067.67</v>
          </cell>
          <cell r="D367">
            <v>0.2</v>
          </cell>
          <cell r="E367">
            <v>5175</v>
          </cell>
          <cell r="F367">
            <v>70</v>
          </cell>
          <cell r="G367"/>
          <cell r="L367"/>
          <cell r="M367"/>
          <cell r="N367"/>
          <cell r="O367"/>
          <cell r="P367"/>
          <cell r="Q367"/>
          <cell r="R367"/>
        </row>
        <row r="368">
          <cell r="A368" t="str">
            <v>16LP-16BK6-P4</v>
          </cell>
          <cell r="B368" t="str">
            <v>4' Sides, 6SIR, SPMT, TARP</v>
          </cell>
          <cell r="C368">
            <v>18556.39</v>
          </cell>
          <cell r="D368">
            <v>0.2</v>
          </cell>
          <cell r="E368">
            <v>5400</v>
          </cell>
          <cell r="F368">
            <v>70</v>
          </cell>
          <cell r="G368"/>
          <cell r="L368"/>
          <cell r="M368"/>
          <cell r="N368"/>
          <cell r="O368"/>
          <cell r="P368"/>
          <cell r="Q368"/>
          <cell r="R368"/>
        </row>
        <row r="369">
          <cell r="A369" t="str">
            <v>16LP-16BK6SIRPD</v>
          </cell>
          <cell r="B369" t="str">
            <v>6SIR, SPMT, TARP</v>
          </cell>
          <cell r="C369">
            <v>17203.009999999998</v>
          </cell>
          <cell r="D369">
            <v>0.2</v>
          </cell>
          <cell r="E369">
            <v>4950</v>
          </cell>
          <cell r="F369">
            <v>70</v>
          </cell>
          <cell r="G369"/>
          <cell r="L369"/>
          <cell r="M369"/>
          <cell r="N369"/>
          <cell r="O369"/>
          <cell r="P369"/>
          <cell r="Q369"/>
          <cell r="R369"/>
        </row>
        <row r="370">
          <cell r="A370" t="str">
            <v>16OA-16STA</v>
          </cell>
          <cell r="B370" t="str"/>
          <cell r="C370">
            <v>12887.22</v>
          </cell>
          <cell r="D370">
            <v>0.2</v>
          </cell>
          <cell r="E370">
            <v>3850</v>
          </cell>
          <cell r="F370">
            <v>40</v>
          </cell>
          <cell r="G370"/>
          <cell r="L370"/>
          <cell r="M370"/>
          <cell r="N370"/>
          <cell r="O370"/>
          <cell r="P370"/>
          <cell r="Q370"/>
          <cell r="R370"/>
        </row>
        <row r="371">
          <cell r="A371" t="str">
            <v>16OA-16STA-S8BK</v>
          </cell>
          <cell r="B371" t="str">
            <v>8SIR</v>
          </cell>
          <cell r="C371">
            <v>13323.31</v>
          </cell>
          <cell r="D371">
            <v>0.2</v>
          </cell>
          <cell r="E371">
            <v>3850</v>
          </cell>
          <cell r="F371">
            <v>40</v>
          </cell>
          <cell r="G371"/>
          <cell r="L371"/>
          <cell r="M371"/>
          <cell r="N371"/>
          <cell r="O371"/>
          <cell r="P371"/>
          <cell r="Q371"/>
          <cell r="R371"/>
        </row>
        <row r="372">
          <cell r="A372" t="str">
            <v>16OA-18STA</v>
          </cell>
          <cell r="B372" t="str"/>
          <cell r="C372">
            <v>13112.78</v>
          </cell>
          <cell r="D372">
            <v>0.2</v>
          </cell>
          <cell r="E372">
            <v>3870</v>
          </cell>
          <cell r="F372">
            <v>40</v>
          </cell>
          <cell r="G372"/>
          <cell r="L372"/>
          <cell r="M372"/>
          <cell r="N372"/>
          <cell r="O372"/>
          <cell r="P372"/>
          <cell r="Q372"/>
          <cell r="R372"/>
        </row>
        <row r="373">
          <cell r="A373" t="str">
            <v>16OA-18STA-S8BK</v>
          </cell>
          <cell r="B373" t="str">
            <v>8SIR</v>
          </cell>
          <cell r="C373">
            <v>13548.87</v>
          </cell>
          <cell r="D373">
            <v>0.2</v>
          </cell>
          <cell r="E373">
            <v>3870</v>
          </cell>
          <cell r="F373">
            <v>40</v>
          </cell>
          <cell r="G373"/>
          <cell r="L373"/>
          <cell r="M373"/>
          <cell r="N373"/>
          <cell r="O373"/>
          <cell r="P373"/>
          <cell r="Q373"/>
          <cell r="R373"/>
        </row>
        <row r="374">
          <cell r="A374" t="str">
            <v>16OA-20</v>
          </cell>
          <cell r="B374" t="str"/>
          <cell r="C374">
            <v>14540.75</v>
          </cell>
          <cell r="D374">
            <v>0.2</v>
          </cell>
          <cell r="E374">
            <v>3650</v>
          </cell>
          <cell r="F374">
            <v>40</v>
          </cell>
          <cell r="G374"/>
          <cell r="L374"/>
          <cell r="M374"/>
          <cell r="N374"/>
          <cell r="O374"/>
          <cell r="P374"/>
          <cell r="Q374"/>
          <cell r="R374"/>
        </row>
        <row r="375">
          <cell r="A375" t="str">
            <v>16OA-20BK-8SIR</v>
          </cell>
          <cell r="B375" t="str">
            <v>8SIR</v>
          </cell>
          <cell r="C375">
            <v>15172.93</v>
          </cell>
          <cell r="D375">
            <v>0.2</v>
          </cell>
          <cell r="E375">
            <v>3650</v>
          </cell>
          <cell r="F375">
            <v>40</v>
          </cell>
          <cell r="G375"/>
          <cell r="L375"/>
          <cell r="M375"/>
          <cell r="N375"/>
          <cell r="O375"/>
          <cell r="P375"/>
          <cell r="Q375"/>
          <cell r="R375"/>
        </row>
        <row r="376">
          <cell r="A376" t="str">
            <v>16OA-20D3A</v>
          </cell>
          <cell r="B376" t="str">
            <v>3' DT, 5' FUR</v>
          </cell>
          <cell r="C376">
            <v>13894.74</v>
          </cell>
          <cell r="D376">
            <v>0.2</v>
          </cell>
          <cell r="E376">
            <v>4100</v>
          </cell>
          <cell r="F376">
            <v>40</v>
          </cell>
          <cell r="G376"/>
          <cell r="L376"/>
          <cell r="M376"/>
          <cell r="N376"/>
          <cell r="O376"/>
          <cell r="P376"/>
          <cell r="Q376"/>
          <cell r="R376"/>
        </row>
        <row r="377">
          <cell r="A377" t="str">
            <v>16OA-20D3A-FRBK</v>
          </cell>
          <cell r="B377" t="str">
            <v>3' DT, 5' FUR</v>
          </cell>
          <cell r="C377">
            <v>13894.74</v>
          </cell>
          <cell r="D377">
            <v>0.2</v>
          </cell>
          <cell r="E377">
            <v>4100</v>
          </cell>
          <cell r="F377">
            <v>40</v>
          </cell>
          <cell r="G377"/>
          <cell r="L377"/>
          <cell r="M377"/>
          <cell r="N377"/>
          <cell r="O377"/>
          <cell r="P377"/>
          <cell r="Q377"/>
          <cell r="R377"/>
        </row>
        <row r="378">
          <cell r="A378" t="str">
            <v>16OA-20STA</v>
          </cell>
          <cell r="B378" t="str"/>
          <cell r="C378">
            <v>13338.35</v>
          </cell>
          <cell r="D378">
            <v>0.2</v>
          </cell>
          <cell r="E378">
            <v>4070</v>
          </cell>
          <cell r="F378">
            <v>40</v>
          </cell>
          <cell r="G378"/>
          <cell r="L378"/>
          <cell r="M378"/>
          <cell r="N378"/>
          <cell r="O378"/>
          <cell r="P378"/>
          <cell r="Q378"/>
          <cell r="R378"/>
        </row>
        <row r="379">
          <cell r="A379" t="str">
            <v>16OA-20STA-S8BK</v>
          </cell>
          <cell r="B379" t="str">
            <v>8SIR</v>
          </cell>
          <cell r="C379">
            <v>13774.44</v>
          </cell>
          <cell r="D379">
            <v>0.2</v>
          </cell>
          <cell r="E379">
            <v>4070</v>
          </cell>
          <cell r="F379">
            <v>40</v>
          </cell>
          <cell r="G379"/>
          <cell r="L379"/>
          <cell r="M379"/>
          <cell r="N379"/>
          <cell r="O379"/>
          <cell r="P379"/>
          <cell r="Q379"/>
          <cell r="R379"/>
        </row>
        <row r="380">
          <cell r="A380" t="str">
            <v>16OA-22D3A</v>
          </cell>
          <cell r="B380" t="str">
            <v>3' DT, 5' FUR</v>
          </cell>
          <cell r="C380">
            <v>14135.34</v>
          </cell>
          <cell r="D380">
            <v>0.2</v>
          </cell>
          <cell r="E380">
            <v>4220</v>
          </cell>
          <cell r="F380">
            <v>40</v>
          </cell>
          <cell r="G380"/>
          <cell r="L380"/>
          <cell r="M380"/>
          <cell r="N380"/>
          <cell r="O380"/>
          <cell r="P380"/>
          <cell r="Q380"/>
          <cell r="R380"/>
        </row>
        <row r="381">
          <cell r="A381" t="str">
            <v>16OA-22D3A-FRBK</v>
          </cell>
          <cell r="B381" t="str">
            <v>3' DT, 5' FUR</v>
          </cell>
          <cell r="C381">
            <v>14135.34</v>
          </cell>
          <cell r="D381">
            <v>0.2</v>
          </cell>
          <cell r="E381">
            <v>4100</v>
          </cell>
          <cell r="F381">
            <v>40</v>
          </cell>
          <cell r="G381"/>
          <cell r="L381"/>
          <cell r="M381"/>
          <cell r="N381"/>
          <cell r="O381"/>
          <cell r="P381"/>
          <cell r="Q381"/>
          <cell r="R381"/>
        </row>
        <row r="382">
          <cell r="A382" t="str">
            <v>16OA-22STA</v>
          </cell>
          <cell r="B382" t="str"/>
          <cell r="C382">
            <v>13563.91</v>
          </cell>
          <cell r="D382">
            <v>0.2</v>
          </cell>
          <cell r="E382">
            <v>4270</v>
          </cell>
          <cell r="F382">
            <v>40</v>
          </cell>
          <cell r="G382"/>
          <cell r="L382"/>
          <cell r="M382"/>
          <cell r="N382"/>
          <cell r="O382"/>
          <cell r="P382"/>
          <cell r="Q382"/>
          <cell r="R382"/>
        </row>
        <row r="383">
          <cell r="A383" t="str">
            <v>16OA-22STA-S8BK</v>
          </cell>
          <cell r="B383" t="str">
            <v>8SIR</v>
          </cell>
          <cell r="C383">
            <v>14000</v>
          </cell>
          <cell r="D383">
            <v>0.2</v>
          </cell>
          <cell r="E383">
            <v>4270</v>
          </cell>
          <cell r="F383">
            <v>40</v>
          </cell>
          <cell r="G383"/>
          <cell r="L383"/>
          <cell r="M383"/>
          <cell r="N383"/>
          <cell r="O383"/>
          <cell r="P383"/>
          <cell r="Q383"/>
          <cell r="R383"/>
        </row>
        <row r="384">
          <cell r="A384" t="str">
            <v>16OA-24D3A</v>
          </cell>
          <cell r="B384" t="str">
            <v>3' DT, 5' FUR</v>
          </cell>
          <cell r="C384">
            <v>14360.9</v>
          </cell>
          <cell r="D384">
            <v>0.2</v>
          </cell>
          <cell r="E384">
            <v>4600</v>
          </cell>
          <cell r="F384">
            <v>40</v>
          </cell>
          <cell r="G384"/>
          <cell r="L384"/>
          <cell r="M384"/>
          <cell r="N384"/>
          <cell r="O384"/>
          <cell r="P384"/>
          <cell r="Q384"/>
          <cell r="R384"/>
        </row>
        <row r="385">
          <cell r="A385" t="str">
            <v>16OA-24D3A-FRBK</v>
          </cell>
          <cell r="B385" t="str">
            <v>3' DT, 5' FUR</v>
          </cell>
          <cell r="C385">
            <v>14360.9</v>
          </cell>
          <cell r="D385">
            <v>0.2</v>
          </cell>
          <cell r="E385">
            <v>4600</v>
          </cell>
          <cell r="F385">
            <v>40</v>
          </cell>
          <cell r="G385"/>
          <cell r="L385"/>
          <cell r="M385"/>
          <cell r="N385"/>
          <cell r="O385"/>
          <cell r="P385"/>
          <cell r="Q385"/>
          <cell r="R385"/>
        </row>
        <row r="386">
          <cell r="A386" t="str">
            <v>16OA-24STA</v>
          </cell>
          <cell r="B386" t="str"/>
          <cell r="C386">
            <v>13789.47</v>
          </cell>
          <cell r="D386">
            <v>0.2</v>
          </cell>
          <cell r="E386">
            <v>4470</v>
          </cell>
          <cell r="F386">
            <v>40</v>
          </cell>
          <cell r="G386"/>
          <cell r="L386"/>
          <cell r="M386"/>
          <cell r="N386"/>
          <cell r="O386"/>
          <cell r="P386"/>
          <cell r="Q386"/>
          <cell r="R386"/>
        </row>
        <row r="387">
          <cell r="A387" t="str">
            <v>16OA-24STA-S8BK</v>
          </cell>
          <cell r="B387" t="str">
            <v>8SIR</v>
          </cell>
          <cell r="C387">
            <v>14225.56</v>
          </cell>
          <cell r="D387">
            <v>0.2</v>
          </cell>
          <cell r="E387">
            <v>4470</v>
          </cell>
          <cell r="F387">
            <v>40</v>
          </cell>
          <cell r="G387"/>
          <cell r="L387"/>
          <cell r="M387"/>
          <cell r="N387"/>
          <cell r="O387"/>
          <cell r="P387"/>
          <cell r="Q387"/>
          <cell r="R387"/>
        </row>
        <row r="388">
          <cell r="A388" t="str">
            <v>16OT-22</v>
          </cell>
          <cell r="B388" t="str">
            <v>22' OA TILT DECK</v>
          </cell>
          <cell r="C388">
            <v>16150.38</v>
          </cell>
          <cell r="D388">
            <v>0.2</v>
          </cell>
          <cell r="E388">
            <v>4915</v>
          </cell>
          <cell r="F388">
            <v>45</v>
          </cell>
          <cell r="G388"/>
          <cell r="L388"/>
          <cell r="M388"/>
          <cell r="N388"/>
          <cell r="O388"/>
          <cell r="P388"/>
          <cell r="Q388"/>
          <cell r="R388"/>
        </row>
        <row r="389">
          <cell r="A389" t="str">
            <v>16OT-22BK</v>
          </cell>
          <cell r="B389" t="str">
            <v>22' OA TILT DECK</v>
          </cell>
          <cell r="C389">
            <v>16150.38</v>
          </cell>
          <cell r="D389">
            <v>0.2</v>
          </cell>
          <cell r="E389">
            <v>4745</v>
          </cell>
          <cell r="F389">
            <v>45</v>
          </cell>
          <cell r="G389"/>
          <cell r="L389"/>
          <cell r="M389"/>
          <cell r="N389"/>
          <cell r="O389"/>
          <cell r="P389"/>
          <cell r="Q389"/>
          <cell r="R389"/>
        </row>
        <row r="390">
          <cell r="A390" t="str">
            <v>16OT-22GN</v>
          </cell>
          <cell r="B390" t="str">
            <v>22' OA TILT DECK GOOSENECK</v>
          </cell>
          <cell r="C390">
            <v>18255.64</v>
          </cell>
          <cell r="D390">
            <v>0.2</v>
          </cell>
          <cell r="E390">
            <v>5140</v>
          </cell>
          <cell r="F390">
            <v>45</v>
          </cell>
          <cell r="G390"/>
          <cell r="L390"/>
          <cell r="M390"/>
          <cell r="N390"/>
          <cell r="O390"/>
          <cell r="P390"/>
          <cell r="Q390"/>
          <cell r="R390"/>
        </row>
        <row r="391">
          <cell r="A391" t="str">
            <v>16OT-24</v>
          </cell>
          <cell r="B391" t="str">
            <v>24' OA TILT DECK</v>
          </cell>
          <cell r="C391">
            <v>16360.9</v>
          </cell>
          <cell r="D391">
            <v>0.2</v>
          </cell>
          <cell r="E391">
            <v>5120</v>
          </cell>
          <cell r="F391">
            <v>45</v>
          </cell>
          <cell r="G391"/>
          <cell r="L391"/>
          <cell r="M391"/>
          <cell r="N391"/>
          <cell r="O391"/>
          <cell r="P391"/>
          <cell r="Q391"/>
          <cell r="R391"/>
        </row>
        <row r="392">
          <cell r="A392" t="str">
            <v>16OT-24BK</v>
          </cell>
          <cell r="B392" t="str">
            <v>24' OA TILT DECK</v>
          </cell>
          <cell r="C392">
            <v>16360.9</v>
          </cell>
          <cell r="D392">
            <v>0.2</v>
          </cell>
          <cell r="E392">
            <v>4950</v>
          </cell>
          <cell r="F392">
            <v>45</v>
          </cell>
          <cell r="G392"/>
          <cell r="L392"/>
          <cell r="M392"/>
          <cell r="N392"/>
          <cell r="O392"/>
          <cell r="P392"/>
          <cell r="Q392"/>
          <cell r="R392"/>
        </row>
        <row r="393">
          <cell r="A393" t="str">
            <v>16OT-24GN</v>
          </cell>
          <cell r="B393" t="str">
            <v>24' OA TILT DECK GOOSENECK</v>
          </cell>
          <cell r="C393">
            <v>18451.13</v>
          </cell>
          <cell r="D393">
            <v>0.2</v>
          </cell>
          <cell r="E393">
            <v>5345</v>
          </cell>
          <cell r="F393">
            <v>45</v>
          </cell>
          <cell r="G393"/>
          <cell r="L393"/>
          <cell r="M393"/>
          <cell r="N393"/>
          <cell r="O393"/>
          <cell r="P393"/>
          <cell r="Q393"/>
          <cell r="R393"/>
        </row>
        <row r="394">
          <cell r="A394" t="str">
            <v>16OT-26</v>
          </cell>
          <cell r="B394" t="str">
            <v>26' OA TILT DECK</v>
          </cell>
          <cell r="C394">
            <v>16556.39</v>
          </cell>
          <cell r="D394">
            <v>0.2</v>
          </cell>
          <cell r="E394">
            <v>5460</v>
          </cell>
          <cell r="F394">
            <v>45</v>
          </cell>
          <cell r="G394"/>
          <cell r="L394"/>
          <cell r="M394"/>
          <cell r="N394"/>
          <cell r="O394"/>
          <cell r="P394"/>
          <cell r="Q394"/>
          <cell r="R394"/>
        </row>
        <row r="395">
          <cell r="A395" t="str">
            <v>16OT-26BK</v>
          </cell>
          <cell r="B395" t="str">
            <v>26' OA TILT DECK</v>
          </cell>
          <cell r="C395">
            <v>16556.39</v>
          </cell>
          <cell r="D395">
            <v>0.2</v>
          </cell>
          <cell r="E395">
            <v>5290</v>
          </cell>
          <cell r="F395">
            <v>45</v>
          </cell>
          <cell r="G395"/>
          <cell r="L395"/>
          <cell r="M395"/>
          <cell r="N395"/>
          <cell r="O395"/>
          <cell r="P395"/>
          <cell r="Q395"/>
          <cell r="R395"/>
        </row>
        <row r="396">
          <cell r="A396" t="str">
            <v>16OT-26GN</v>
          </cell>
          <cell r="B396" t="str"/>
          <cell r="C396">
            <v>18661.650000000001</v>
          </cell>
          <cell r="D396">
            <v>0.2</v>
          </cell>
          <cell r="E396">
            <v>5685</v>
          </cell>
          <cell r="F396">
            <v>45</v>
          </cell>
          <cell r="G396"/>
          <cell r="L396"/>
          <cell r="M396"/>
          <cell r="N396"/>
          <cell r="O396"/>
          <cell r="P396"/>
          <cell r="Q396"/>
          <cell r="R396"/>
        </row>
        <row r="397">
          <cell r="A397" t="str">
            <v>16PH-20+5</v>
          </cell>
          <cell r="B397" t="str"/>
          <cell r="C397">
            <v>15482.71</v>
          </cell>
          <cell r="D397">
            <v>0.2</v>
          </cell>
          <cell r="E397">
            <v>5070</v>
          </cell>
          <cell r="F397">
            <v>80</v>
          </cell>
          <cell r="G397"/>
          <cell r="L397"/>
          <cell r="M397"/>
          <cell r="N397"/>
          <cell r="O397"/>
          <cell r="P397"/>
          <cell r="Q397"/>
          <cell r="R397"/>
        </row>
        <row r="398">
          <cell r="A398" t="str">
            <v>16PI-20</v>
          </cell>
          <cell r="B398" t="str"/>
          <cell r="C398">
            <v>11244</v>
          </cell>
          <cell r="D398">
            <v>0.2</v>
          </cell>
          <cell r="E398">
            <v>3530</v>
          </cell>
          <cell r="F398">
            <v>20</v>
          </cell>
          <cell r="G398"/>
          <cell r="L398"/>
          <cell r="M398"/>
          <cell r="N398"/>
          <cell r="O398"/>
          <cell r="P398"/>
          <cell r="Q398"/>
          <cell r="R398"/>
        </row>
        <row r="399">
          <cell r="A399" t="str">
            <v>16RB-14</v>
          </cell>
          <cell r="B399" t="str">
            <v>Roll-Off Dump, w/ Tarp</v>
          </cell>
          <cell r="C399">
            <v>16390.98</v>
          </cell>
          <cell r="D399">
            <v>0.2</v>
          </cell>
          <cell r="E399">
            <v>3310</v>
          </cell>
          <cell r="F399">
            <v>70</v>
          </cell>
          <cell r="G399"/>
          <cell r="L399"/>
          <cell r="M399"/>
          <cell r="N399"/>
          <cell r="O399"/>
          <cell r="P399"/>
          <cell r="Q399"/>
          <cell r="R399"/>
        </row>
        <row r="400">
          <cell r="A400" t="str">
            <v>16RB-14BK</v>
          </cell>
          <cell r="B400" t="str">
            <v>Roll-Off Dump, w/ Tarp</v>
          </cell>
          <cell r="C400">
            <v>16390.98</v>
          </cell>
          <cell r="D400">
            <v>0.2</v>
          </cell>
          <cell r="E400">
            <v>3310</v>
          </cell>
          <cell r="F400">
            <v>70</v>
          </cell>
          <cell r="G400"/>
          <cell r="L400"/>
          <cell r="M400"/>
          <cell r="N400"/>
          <cell r="O400"/>
          <cell r="P400"/>
          <cell r="Q400"/>
          <cell r="R400"/>
        </row>
        <row r="401">
          <cell r="A401" t="str">
            <v>16RD-14</v>
          </cell>
          <cell r="B401" t="str">
            <v>GN Roll-Off Dump, w/ Tarp</v>
          </cell>
          <cell r="C401">
            <v>18496.240000000002</v>
          </cell>
          <cell r="D401">
            <v>0.2</v>
          </cell>
          <cell r="E401">
            <v>3760</v>
          </cell>
          <cell r="F401">
            <v>70</v>
          </cell>
          <cell r="G401"/>
          <cell r="L401"/>
          <cell r="M401"/>
          <cell r="N401"/>
          <cell r="O401"/>
          <cell r="P401"/>
          <cell r="Q401"/>
          <cell r="R401"/>
        </row>
        <row r="402">
          <cell r="A402" t="str">
            <v>16RD-14BK</v>
          </cell>
          <cell r="B402" t="str">
            <v>GN Roll-Off Dump, w/ Tarp</v>
          </cell>
          <cell r="C402">
            <v>18496.240000000002</v>
          </cell>
          <cell r="D402">
            <v>0.2</v>
          </cell>
          <cell r="E402">
            <v>3760</v>
          </cell>
          <cell r="F402">
            <v>70</v>
          </cell>
          <cell r="G402"/>
          <cell r="L402"/>
          <cell r="M402"/>
          <cell r="N402"/>
          <cell r="O402"/>
          <cell r="P402"/>
          <cell r="Q402"/>
          <cell r="R402"/>
        </row>
        <row r="403">
          <cell r="A403" t="str">
            <v>16TD-14C2A</v>
          </cell>
          <cell r="B403" t="str"/>
          <cell r="C403">
            <v>16766.919999999998</v>
          </cell>
          <cell r="D403">
            <v>0.2</v>
          </cell>
          <cell r="E403">
            <v>4400</v>
          </cell>
          <cell r="F403">
            <v>70</v>
          </cell>
          <cell r="G403"/>
          <cell r="L403"/>
          <cell r="M403"/>
          <cell r="N403"/>
          <cell r="O403"/>
          <cell r="P403"/>
          <cell r="Q403"/>
          <cell r="R403"/>
        </row>
        <row r="404">
          <cell r="A404" t="str">
            <v>16TD-14C2A-BK</v>
          </cell>
          <cell r="B404" t="str">
            <v>Telescopic, 6SIR, Tarp</v>
          </cell>
          <cell r="C404">
            <v>17338.34</v>
          </cell>
          <cell r="D404">
            <v>0.2</v>
          </cell>
          <cell r="E404">
            <v>4400</v>
          </cell>
          <cell r="F404">
            <v>70</v>
          </cell>
          <cell r="G404"/>
          <cell r="L404"/>
          <cell r="M404"/>
          <cell r="N404"/>
          <cell r="O404"/>
          <cell r="P404"/>
          <cell r="Q404"/>
          <cell r="R404"/>
        </row>
        <row r="405">
          <cell r="A405" t="str">
            <v>16TD-14C2A-ES-BK</v>
          </cell>
          <cell r="B405" t="str">
            <v>21K Wallace Coupler, Ramps, Tarp, Grommets</v>
          </cell>
          <cell r="C405">
            <v>15384.33</v>
          </cell>
          <cell r="D405">
            <v>0.1</v>
          </cell>
          <cell r="E405">
            <v>4400</v>
          </cell>
          <cell r="F405">
            <v>70</v>
          </cell>
          <cell r="G405"/>
          <cell r="L405"/>
          <cell r="M405"/>
          <cell r="N405"/>
          <cell r="O405"/>
          <cell r="P405"/>
          <cell r="Q405"/>
          <cell r="R405"/>
        </row>
        <row r="406">
          <cell r="A406" t="str">
            <v>16TD-14C4A</v>
          </cell>
          <cell r="B406" t="str"/>
          <cell r="C406">
            <v>18120.3</v>
          </cell>
          <cell r="D406">
            <v>0.2</v>
          </cell>
          <cell r="E406">
            <v>4940</v>
          </cell>
          <cell r="F406">
            <v>70</v>
          </cell>
          <cell r="G406"/>
          <cell r="L406"/>
          <cell r="M406"/>
          <cell r="N406"/>
          <cell r="O406"/>
          <cell r="P406"/>
          <cell r="Q406"/>
          <cell r="R406"/>
        </row>
        <row r="407">
          <cell r="A407" t="str">
            <v>16TD-14C4A-BK</v>
          </cell>
          <cell r="B407" t="str">
            <v>Telescopic, HS4, 6SIR, Tarp</v>
          </cell>
          <cell r="C407">
            <v>18691.73</v>
          </cell>
          <cell r="D407">
            <v>0.2</v>
          </cell>
          <cell r="E407">
            <v>4940</v>
          </cell>
          <cell r="F407">
            <v>70</v>
          </cell>
          <cell r="G407"/>
          <cell r="L407"/>
          <cell r="M407"/>
          <cell r="N407"/>
          <cell r="O407"/>
          <cell r="P407"/>
          <cell r="Q407"/>
          <cell r="R407"/>
        </row>
        <row r="408">
          <cell r="A408" t="str">
            <v>16TD-16BK6SIR</v>
          </cell>
          <cell r="B408" t="str">
            <v>6SIR, Tarp (incl)</v>
          </cell>
          <cell r="C408">
            <v>20581.05</v>
          </cell>
          <cell r="D408">
            <v>0.2</v>
          </cell>
          <cell r="E408">
            <v>4430</v>
          </cell>
          <cell r="F408">
            <v>70</v>
          </cell>
          <cell r="G408"/>
          <cell r="L408"/>
          <cell r="M408"/>
          <cell r="N408"/>
          <cell r="O408"/>
          <cell r="P408"/>
          <cell r="Q408"/>
          <cell r="R408"/>
        </row>
        <row r="409">
          <cell r="A409" t="str">
            <v>16TL-20</v>
          </cell>
          <cell r="B409"/>
          <cell r="C409">
            <v>13308.27</v>
          </cell>
          <cell r="D409">
            <v>0.2</v>
          </cell>
          <cell r="E409">
            <v>4080</v>
          </cell>
          <cell r="F409">
            <v>45</v>
          </cell>
          <cell r="G409"/>
          <cell r="L409"/>
          <cell r="M409"/>
          <cell r="N409"/>
          <cell r="O409"/>
          <cell r="P409"/>
          <cell r="Q409"/>
          <cell r="R409"/>
        </row>
        <row r="410">
          <cell r="A410" t="str">
            <v>16TL-20BK</v>
          </cell>
          <cell r="B410" t="str"/>
          <cell r="C410">
            <v>13308.27</v>
          </cell>
          <cell r="D410">
            <v>0.2</v>
          </cell>
          <cell r="E410">
            <v>4080</v>
          </cell>
          <cell r="F410">
            <v>45</v>
          </cell>
          <cell r="G410"/>
          <cell r="L410"/>
          <cell r="M410"/>
          <cell r="N410"/>
          <cell r="O410"/>
          <cell r="P410"/>
          <cell r="Q410"/>
          <cell r="R410"/>
        </row>
        <row r="411">
          <cell r="A411" t="str">
            <v>16TL-20GN</v>
          </cell>
          <cell r="B411"/>
          <cell r="C411">
            <v>15398.5</v>
          </cell>
          <cell r="D411">
            <v>0.2</v>
          </cell>
          <cell r="E411">
            <v>4880</v>
          </cell>
          <cell r="F411">
            <v>45</v>
          </cell>
          <cell r="G411"/>
          <cell r="L411"/>
          <cell r="M411"/>
          <cell r="N411"/>
          <cell r="O411"/>
          <cell r="P411"/>
          <cell r="Q411"/>
          <cell r="R411"/>
        </row>
        <row r="412">
          <cell r="A412" t="str">
            <v>16TL-22</v>
          </cell>
          <cell r="B412"/>
          <cell r="C412">
            <v>13533.83</v>
          </cell>
          <cell r="D412">
            <v>0.2</v>
          </cell>
          <cell r="E412">
            <v>4140</v>
          </cell>
          <cell r="F412">
            <v>45</v>
          </cell>
          <cell r="G412"/>
          <cell r="L412"/>
          <cell r="M412"/>
          <cell r="N412"/>
          <cell r="O412"/>
          <cell r="P412"/>
          <cell r="Q412"/>
          <cell r="R412"/>
        </row>
        <row r="413">
          <cell r="A413" t="str">
            <v>16TL-22BK</v>
          </cell>
          <cell r="B413" t="str"/>
          <cell r="C413">
            <v>13533.83</v>
          </cell>
          <cell r="D413">
            <v>0.2</v>
          </cell>
          <cell r="E413">
            <v>4140</v>
          </cell>
          <cell r="F413">
            <v>45</v>
          </cell>
          <cell r="G413"/>
          <cell r="L413"/>
          <cell r="M413"/>
          <cell r="N413"/>
          <cell r="O413"/>
          <cell r="P413"/>
          <cell r="Q413"/>
          <cell r="R413"/>
        </row>
        <row r="414">
          <cell r="A414" t="str">
            <v>16TL-22BK-ES</v>
          </cell>
          <cell r="B414" t="str">
            <v>3/16" DP Floor, 21K Wallace Coupler</v>
          </cell>
          <cell r="C414">
            <v>14815.55</v>
          </cell>
          <cell r="D414">
            <v>0.1</v>
          </cell>
          <cell r="E414">
            <v>4140</v>
          </cell>
          <cell r="F414">
            <v>45</v>
          </cell>
          <cell r="G414"/>
          <cell r="L414"/>
          <cell r="M414"/>
          <cell r="N414"/>
          <cell r="O414"/>
          <cell r="P414"/>
          <cell r="Q414"/>
          <cell r="R414"/>
        </row>
        <row r="415">
          <cell r="A415" t="str">
            <v>16TL-22GN</v>
          </cell>
          <cell r="B415" t="str"/>
          <cell r="C415">
            <v>17112.78</v>
          </cell>
          <cell r="D415">
            <v>0.2</v>
          </cell>
          <cell r="E415">
            <v>4940</v>
          </cell>
          <cell r="F415">
            <v>45</v>
          </cell>
          <cell r="G415"/>
          <cell r="L415"/>
          <cell r="M415"/>
          <cell r="N415"/>
          <cell r="O415"/>
          <cell r="P415"/>
          <cell r="Q415"/>
          <cell r="R415"/>
        </row>
        <row r="416">
          <cell r="A416" t="str">
            <v>20AC-51</v>
          </cell>
          <cell r="B416" t="str"/>
          <cell r="C416">
            <v>0</v>
          </cell>
          <cell r="D416">
            <v>0.2</v>
          </cell>
          <cell r="E416">
            <v>8000</v>
          </cell>
          <cell r="F416">
            <v>25</v>
          </cell>
          <cell r="G416"/>
          <cell r="L416"/>
          <cell r="M416"/>
          <cell r="N416"/>
          <cell r="O416"/>
          <cell r="P416"/>
          <cell r="Q416"/>
          <cell r="R416"/>
        </row>
        <row r="417">
          <cell r="A417" t="str">
            <v>20GX-16</v>
          </cell>
          <cell r="B417" t="str">
            <v>SPARE (incl)</v>
          </cell>
          <cell r="C417">
            <v>21894.74</v>
          </cell>
          <cell r="D417">
            <v>0.2</v>
          </cell>
          <cell r="E417">
            <v>6550</v>
          </cell>
          <cell r="F417">
            <v>70</v>
          </cell>
          <cell r="G417"/>
          <cell r="L417"/>
          <cell r="M417"/>
          <cell r="N417"/>
          <cell r="O417"/>
          <cell r="P417"/>
          <cell r="Q417"/>
          <cell r="R417"/>
        </row>
        <row r="418">
          <cell r="A418" t="str">
            <v>20GX-16BK6-P4</v>
          </cell>
          <cell r="B418" t="str">
            <v>HS4, 6SIR, TARP&amp; SPARE (incl)</v>
          </cell>
          <cell r="C418">
            <v>23819.55</v>
          </cell>
          <cell r="D418">
            <v>0.2</v>
          </cell>
          <cell r="E418">
            <v>6800</v>
          </cell>
          <cell r="F418">
            <v>70</v>
          </cell>
          <cell r="G418"/>
          <cell r="L418"/>
          <cell r="M418"/>
          <cell r="N418"/>
          <cell r="O418"/>
          <cell r="P418"/>
          <cell r="Q418"/>
          <cell r="R418"/>
        </row>
        <row r="419">
          <cell r="A419" t="str">
            <v>20GX-16BK6SIRPD</v>
          </cell>
          <cell r="B419" t="str">
            <v>3' Sides, 6SIR, TARP &amp; SPARE (incl)</v>
          </cell>
          <cell r="C419">
            <v>22466.17</v>
          </cell>
          <cell r="D419">
            <v>0.2</v>
          </cell>
          <cell r="E419">
            <v>6550</v>
          </cell>
          <cell r="F419">
            <v>70</v>
          </cell>
          <cell r="G419"/>
          <cell r="L419"/>
          <cell r="M419"/>
          <cell r="N419"/>
          <cell r="O419"/>
          <cell r="P419"/>
          <cell r="Q419"/>
          <cell r="R419"/>
        </row>
        <row r="420">
          <cell r="A420" t="str">
            <v>20LP-16</v>
          </cell>
          <cell r="B420" t="str">
            <v>SPARE (incl)</v>
          </cell>
          <cell r="C420">
            <v>19864.66</v>
          </cell>
          <cell r="D420">
            <v>0.2</v>
          </cell>
          <cell r="E420">
            <v>6130</v>
          </cell>
          <cell r="F420">
            <v>70</v>
          </cell>
          <cell r="G420"/>
          <cell r="L420"/>
          <cell r="M420"/>
          <cell r="N420"/>
          <cell r="O420"/>
          <cell r="P420"/>
          <cell r="Q420"/>
          <cell r="R420"/>
        </row>
        <row r="421">
          <cell r="A421" t="str">
            <v>20LP-16BK6-P4</v>
          </cell>
          <cell r="B421" t="str">
            <v>HS4, 6SIR, TARP&amp; SPARE (incl)</v>
          </cell>
          <cell r="C421">
            <v>21789.47</v>
          </cell>
          <cell r="D421">
            <v>0.2</v>
          </cell>
          <cell r="E421">
            <v>6380</v>
          </cell>
          <cell r="F421">
            <v>70</v>
          </cell>
          <cell r="G421"/>
          <cell r="L421"/>
          <cell r="M421"/>
          <cell r="N421"/>
          <cell r="O421"/>
          <cell r="P421"/>
          <cell r="Q421"/>
          <cell r="R421"/>
        </row>
        <row r="422">
          <cell r="A422" t="str">
            <v>20LP-16BK6SIRPD</v>
          </cell>
          <cell r="B422" t="str">
            <v>3' Sides, 6SIR, TARP &amp; SPARE (incl)</v>
          </cell>
          <cell r="C422">
            <v>20436.09</v>
          </cell>
          <cell r="D422">
            <v>0.2</v>
          </cell>
          <cell r="E422">
            <v>6130</v>
          </cell>
          <cell r="F422">
            <v>70</v>
          </cell>
          <cell r="G422"/>
          <cell r="L422"/>
          <cell r="M422"/>
          <cell r="N422"/>
          <cell r="O422"/>
          <cell r="P422"/>
          <cell r="Q422"/>
          <cell r="R422"/>
        </row>
        <row r="423">
          <cell r="A423" t="str">
            <v>21EH-22D3A-KRBK</v>
          </cell>
          <cell r="B423" t="str">
            <v>Tri-Axle, Knee Ramps</v>
          </cell>
          <cell r="C423">
            <v>9157.89</v>
          </cell>
          <cell r="D423">
            <v>0.2</v>
          </cell>
          <cell r="E423">
            <v>3300</v>
          </cell>
          <cell r="F423">
            <v>40</v>
          </cell>
          <cell r="G423"/>
          <cell r="L423"/>
          <cell r="M423"/>
          <cell r="N423"/>
          <cell r="O423"/>
          <cell r="P423"/>
          <cell r="Q423"/>
          <cell r="R423"/>
        </row>
        <row r="424">
          <cell r="A424" t="str">
            <v>21EH-22D3A-MRBK</v>
          </cell>
          <cell r="B424" t="str">
            <v>Tri-Axle, Mega Ramps</v>
          </cell>
          <cell r="C424">
            <v>9879.7000000000007</v>
          </cell>
          <cell r="D424">
            <v>0.2</v>
          </cell>
          <cell r="E424">
            <v>3500</v>
          </cell>
          <cell r="F424">
            <v>40</v>
          </cell>
          <cell r="G424"/>
          <cell r="L424"/>
          <cell r="M424"/>
          <cell r="N424"/>
          <cell r="O424"/>
          <cell r="P424"/>
          <cell r="Q424"/>
          <cell r="R424"/>
        </row>
        <row r="425">
          <cell r="A425" t="str">
            <v>22GN-20STA</v>
          </cell>
          <cell r="B425" t="str">
            <v>SPARE (incl)</v>
          </cell>
          <cell r="C425">
            <v>17879.7</v>
          </cell>
          <cell r="D425">
            <v>0.2</v>
          </cell>
          <cell r="E425">
            <v>5240</v>
          </cell>
          <cell r="F425">
            <v>60</v>
          </cell>
          <cell r="G425"/>
          <cell r="L425"/>
          <cell r="M425"/>
          <cell r="N425"/>
          <cell r="O425"/>
          <cell r="P425"/>
          <cell r="Q425"/>
          <cell r="R425"/>
        </row>
        <row r="426">
          <cell r="A426" t="str">
            <v>22GN-25BK+5MR</v>
          </cell>
          <cell r="B426" t="str">
            <v>SPARE (incl), Discontinued SKU</v>
          </cell>
          <cell r="C426">
            <v>22060.15</v>
          </cell>
          <cell r="D426">
            <v>0.2</v>
          </cell>
          <cell r="E426">
            <v>6500</v>
          </cell>
          <cell r="F426">
            <v>60</v>
          </cell>
          <cell r="G426"/>
          <cell r="L426"/>
          <cell r="M426"/>
          <cell r="N426"/>
          <cell r="O426"/>
          <cell r="P426"/>
          <cell r="Q426"/>
          <cell r="R426"/>
        </row>
        <row r="427">
          <cell r="A427" t="str">
            <v>22GN-25D5A</v>
          </cell>
          <cell r="B427" t="str">
            <v>SPARE (incl)</v>
          </cell>
          <cell r="C427">
            <v>19022.560000000001</v>
          </cell>
          <cell r="D427">
            <v>0.2</v>
          </cell>
          <cell r="E427">
            <v>6690</v>
          </cell>
          <cell r="F427">
            <v>60</v>
          </cell>
          <cell r="G427"/>
          <cell r="L427"/>
          <cell r="M427"/>
          <cell r="N427"/>
          <cell r="O427"/>
          <cell r="P427"/>
          <cell r="Q427"/>
          <cell r="R427"/>
        </row>
        <row r="428">
          <cell r="A428" t="str">
            <v>22GN-25D5A-FRBK</v>
          </cell>
          <cell r="B428" t="str">
            <v>SPARE (incl)</v>
          </cell>
          <cell r="C428">
            <v>19022.560000000001</v>
          </cell>
          <cell r="D428">
            <v>0.2</v>
          </cell>
          <cell r="E428">
            <v>5970</v>
          </cell>
          <cell r="F428">
            <v>60</v>
          </cell>
          <cell r="G428"/>
          <cell r="L428"/>
          <cell r="M428"/>
          <cell r="N428"/>
          <cell r="O428"/>
          <cell r="P428"/>
          <cell r="Q428"/>
          <cell r="R428"/>
        </row>
        <row r="429">
          <cell r="A429" t="str">
            <v>22GN-25D5A-MRBK</v>
          </cell>
          <cell r="B429" t="str">
            <v>MR, SPARE (incl)</v>
          </cell>
          <cell r="C429">
            <v>20150.38</v>
          </cell>
          <cell r="D429">
            <v>0.2</v>
          </cell>
          <cell r="E429">
            <v>6690</v>
          </cell>
          <cell r="F429">
            <v>60</v>
          </cell>
          <cell r="G429"/>
          <cell r="L429"/>
          <cell r="M429"/>
          <cell r="N429"/>
          <cell r="O429"/>
          <cell r="P429"/>
          <cell r="Q429"/>
          <cell r="R429"/>
        </row>
        <row r="430">
          <cell r="A430" t="str">
            <v>22GN-25STA</v>
          </cell>
          <cell r="B430" t="str">
            <v>SPARE (incl)</v>
          </cell>
          <cell r="C430">
            <v>18451.13</v>
          </cell>
          <cell r="D430">
            <v>0.2</v>
          </cell>
          <cell r="E430">
            <v>5900</v>
          </cell>
          <cell r="F430">
            <v>60</v>
          </cell>
          <cell r="G430"/>
          <cell r="L430"/>
          <cell r="M430"/>
          <cell r="N430"/>
          <cell r="O430"/>
          <cell r="P430"/>
          <cell r="Q430"/>
          <cell r="R430"/>
        </row>
        <row r="431">
          <cell r="A431" t="str">
            <v>22GN-28STA</v>
          </cell>
          <cell r="B431" t="str">
            <v>SPARE (incl)</v>
          </cell>
          <cell r="C431">
            <v>18857.14</v>
          </cell>
          <cell r="D431">
            <v>0.2</v>
          </cell>
          <cell r="E431">
            <v>6300</v>
          </cell>
          <cell r="F431">
            <v>60</v>
          </cell>
          <cell r="G431"/>
          <cell r="L431"/>
          <cell r="M431"/>
          <cell r="N431"/>
          <cell r="O431"/>
          <cell r="P431"/>
          <cell r="Q431"/>
          <cell r="R431"/>
        </row>
        <row r="432">
          <cell r="A432" t="str">
            <v>22GN-30D5A</v>
          </cell>
          <cell r="B432" t="str">
            <v>SPARE (incl)</v>
          </cell>
          <cell r="C432">
            <v>19624.060000000001</v>
          </cell>
          <cell r="D432">
            <v>0.2</v>
          </cell>
          <cell r="E432">
            <v>7460</v>
          </cell>
          <cell r="F432">
            <v>60</v>
          </cell>
          <cell r="G432"/>
          <cell r="L432"/>
          <cell r="M432"/>
          <cell r="N432"/>
          <cell r="O432"/>
          <cell r="P432"/>
          <cell r="Q432"/>
          <cell r="R432"/>
        </row>
        <row r="433">
          <cell r="A433" t="str">
            <v>22GN-30D5A-FRBK</v>
          </cell>
          <cell r="B433" t="str">
            <v>SPARE (incl)</v>
          </cell>
          <cell r="C433">
            <v>19624.060000000001</v>
          </cell>
          <cell r="D433">
            <v>0.2</v>
          </cell>
          <cell r="E433">
            <v>6630</v>
          </cell>
          <cell r="F433">
            <v>60</v>
          </cell>
          <cell r="G433"/>
          <cell r="L433"/>
          <cell r="M433"/>
          <cell r="N433"/>
          <cell r="O433"/>
          <cell r="P433"/>
          <cell r="Q433"/>
          <cell r="R433"/>
        </row>
        <row r="434">
          <cell r="A434" t="str">
            <v>22GN-30D5A-MRBK</v>
          </cell>
          <cell r="B434" t="str">
            <v>MR, SPARE (incl)</v>
          </cell>
          <cell r="C434">
            <v>20751.88</v>
          </cell>
          <cell r="D434">
            <v>0.2</v>
          </cell>
          <cell r="E434">
            <v>7460</v>
          </cell>
          <cell r="F434">
            <v>60</v>
          </cell>
          <cell r="G434"/>
          <cell r="L434"/>
          <cell r="M434"/>
          <cell r="N434"/>
          <cell r="O434"/>
          <cell r="P434"/>
          <cell r="Q434"/>
          <cell r="R434"/>
        </row>
        <row r="435">
          <cell r="A435" t="str">
            <v>22GN-30STA</v>
          </cell>
          <cell r="B435" t="str">
            <v>SPARE (incl)</v>
          </cell>
          <cell r="C435">
            <v>18992.48</v>
          </cell>
          <cell r="D435">
            <v>0.2</v>
          </cell>
          <cell r="E435">
            <v>6570</v>
          </cell>
          <cell r="F435">
            <v>60</v>
          </cell>
          <cell r="G435"/>
          <cell r="L435"/>
          <cell r="M435"/>
          <cell r="N435"/>
          <cell r="O435"/>
          <cell r="P435"/>
          <cell r="Q435"/>
          <cell r="R435"/>
        </row>
        <row r="436">
          <cell r="A436" t="str">
            <v>22GN-33D5A</v>
          </cell>
          <cell r="B436" t="str">
            <v>SPARE (incl)</v>
          </cell>
          <cell r="C436">
            <v>19924.810000000001</v>
          </cell>
          <cell r="D436">
            <v>0.2</v>
          </cell>
          <cell r="E436">
            <v>7920</v>
          </cell>
          <cell r="F436">
            <v>60</v>
          </cell>
          <cell r="G436"/>
          <cell r="L436"/>
          <cell r="M436"/>
          <cell r="N436"/>
          <cell r="O436"/>
          <cell r="P436"/>
          <cell r="Q436"/>
          <cell r="R436"/>
        </row>
        <row r="437">
          <cell r="A437" t="str">
            <v>22GN-33D5A-FRBK</v>
          </cell>
          <cell r="B437" t="str">
            <v>SPARE (incl)</v>
          </cell>
          <cell r="C437">
            <v>19924.810000000001</v>
          </cell>
          <cell r="D437">
            <v>0.2</v>
          </cell>
          <cell r="E437">
            <v>7090</v>
          </cell>
          <cell r="F437">
            <v>60</v>
          </cell>
          <cell r="G437"/>
          <cell r="L437"/>
          <cell r="M437"/>
          <cell r="N437"/>
          <cell r="O437"/>
          <cell r="P437"/>
          <cell r="Q437"/>
          <cell r="R437"/>
        </row>
        <row r="438">
          <cell r="A438" t="str">
            <v>22GN-33D5A-MRBK</v>
          </cell>
          <cell r="B438" t="str">
            <v>MR, SPARE (incl)</v>
          </cell>
          <cell r="C438">
            <v>21052.63</v>
          </cell>
          <cell r="D438">
            <v>0.2</v>
          </cell>
          <cell r="E438">
            <v>7920</v>
          </cell>
          <cell r="F438">
            <v>60</v>
          </cell>
          <cell r="G438"/>
          <cell r="L438"/>
          <cell r="M438"/>
          <cell r="N438"/>
          <cell r="O438"/>
          <cell r="P438"/>
          <cell r="Q438"/>
          <cell r="R438"/>
        </row>
        <row r="439">
          <cell r="A439" t="str">
            <v>22GN-33STA</v>
          </cell>
          <cell r="B439" t="str">
            <v>SPARE (incl)</v>
          </cell>
          <cell r="C439">
            <v>19323.310000000001</v>
          </cell>
          <cell r="D439">
            <v>0.2</v>
          </cell>
          <cell r="E439">
            <v>6970</v>
          </cell>
          <cell r="F439">
            <v>60</v>
          </cell>
          <cell r="G439"/>
          <cell r="L439"/>
          <cell r="M439"/>
          <cell r="N439"/>
          <cell r="O439"/>
          <cell r="P439"/>
          <cell r="Q439"/>
          <cell r="R439"/>
        </row>
        <row r="440">
          <cell r="A440" t="str">
            <v>22GN-35+5</v>
          </cell>
          <cell r="B440" t="str">
            <v>Discontinued SKU</v>
          </cell>
          <cell r="C440">
            <v>22060.15</v>
          </cell>
          <cell r="D440">
            <v>0.2</v>
          </cell>
          <cell r="E440">
            <v>7950</v>
          </cell>
          <cell r="F440">
            <v>60</v>
          </cell>
          <cell r="G440"/>
          <cell r="L440"/>
          <cell r="M440"/>
          <cell r="N440"/>
          <cell r="O440"/>
          <cell r="P440"/>
          <cell r="Q440"/>
          <cell r="R440"/>
        </row>
        <row r="441">
          <cell r="A441" t="str">
            <v>22GN-35-HDTS</v>
          </cell>
          <cell r="B441" t="str">
            <v>9' Hyd Dovetail (New style)</v>
          </cell>
          <cell r="C441">
            <v>33488.720000000001</v>
          </cell>
          <cell r="D441">
            <v>0.2</v>
          </cell>
          <cell r="E441">
            <v>8990</v>
          </cell>
          <cell r="F441">
            <v>60</v>
          </cell>
          <cell r="G441"/>
          <cell r="L441"/>
          <cell r="M441"/>
          <cell r="N441"/>
          <cell r="O441"/>
          <cell r="P441"/>
          <cell r="Q441"/>
          <cell r="R441"/>
        </row>
        <row r="442">
          <cell r="A442" t="str">
            <v>22GN-35BK-HDTS</v>
          </cell>
          <cell r="B442" t="str">
            <v>9' Hyd Dovetail (New style)</v>
          </cell>
          <cell r="C442">
            <v>33488.720000000001</v>
          </cell>
          <cell r="D442">
            <v>0.2</v>
          </cell>
          <cell r="E442">
            <v>7950</v>
          </cell>
          <cell r="F442">
            <v>60</v>
          </cell>
          <cell r="G442"/>
          <cell r="L442"/>
          <cell r="M442"/>
          <cell r="N442"/>
          <cell r="O442"/>
          <cell r="P442"/>
          <cell r="Q442"/>
          <cell r="R442"/>
        </row>
        <row r="443">
          <cell r="A443" t="str">
            <v>22GN-35D5A</v>
          </cell>
          <cell r="B443" t="str">
            <v>SPARE (incl)</v>
          </cell>
          <cell r="C443">
            <v>20180.45</v>
          </cell>
          <cell r="D443">
            <v>0.2</v>
          </cell>
          <cell r="E443">
            <v>8130</v>
          </cell>
          <cell r="F443">
            <v>60</v>
          </cell>
          <cell r="G443"/>
          <cell r="L443"/>
          <cell r="M443"/>
          <cell r="N443"/>
          <cell r="O443"/>
          <cell r="P443"/>
          <cell r="Q443"/>
          <cell r="R443"/>
        </row>
        <row r="444">
          <cell r="A444" t="str">
            <v>22GN-35D5A-FRBK</v>
          </cell>
          <cell r="B444" t="str">
            <v>SPARE (incl)</v>
          </cell>
          <cell r="C444">
            <v>20180.45</v>
          </cell>
          <cell r="D444">
            <v>0.2</v>
          </cell>
          <cell r="E444">
            <v>7300</v>
          </cell>
          <cell r="F444">
            <v>60</v>
          </cell>
          <cell r="G444"/>
          <cell r="L444"/>
          <cell r="M444"/>
          <cell r="N444"/>
          <cell r="O444"/>
          <cell r="P444"/>
          <cell r="Q444"/>
          <cell r="R444"/>
        </row>
        <row r="445">
          <cell r="A445" t="str">
            <v>22GN-35D5A-MRBK</v>
          </cell>
          <cell r="B445" t="str">
            <v>MR, SPARE (incl)</v>
          </cell>
          <cell r="C445">
            <v>21308.27</v>
          </cell>
          <cell r="D445">
            <v>0.2</v>
          </cell>
          <cell r="E445">
            <v>8130</v>
          </cell>
          <cell r="F445">
            <v>60</v>
          </cell>
          <cell r="G445"/>
          <cell r="L445"/>
          <cell r="M445"/>
          <cell r="N445"/>
          <cell r="O445"/>
          <cell r="P445"/>
          <cell r="Q445"/>
          <cell r="R445"/>
        </row>
        <row r="446">
          <cell r="A446" t="str">
            <v>22GN-35STA</v>
          </cell>
          <cell r="B446" t="str">
            <v>SPARE (incl)</v>
          </cell>
          <cell r="C446">
            <v>19609.02</v>
          </cell>
          <cell r="D446">
            <v>0.2</v>
          </cell>
          <cell r="E446">
            <v>7240</v>
          </cell>
          <cell r="F446">
            <v>60</v>
          </cell>
          <cell r="G446"/>
          <cell r="L446"/>
          <cell r="M446"/>
          <cell r="N446"/>
          <cell r="O446"/>
          <cell r="P446"/>
          <cell r="Q446"/>
          <cell r="R446"/>
        </row>
        <row r="447">
          <cell r="A447" t="str">
            <v>22GN-36STA</v>
          </cell>
          <cell r="B447" t="str">
            <v>SPARE (incl)</v>
          </cell>
          <cell r="C447">
            <v>20285.71</v>
          </cell>
          <cell r="D447">
            <v>0.2</v>
          </cell>
          <cell r="E447">
            <v>7370</v>
          </cell>
          <cell r="F447">
            <v>60</v>
          </cell>
          <cell r="G447"/>
          <cell r="L447"/>
          <cell r="M447"/>
          <cell r="N447"/>
          <cell r="O447"/>
          <cell r="P447"/>
          <cell r="Q447"/>
          <cell r="R447"/>
        </row>
        <row r="448">
          <cell r="A448" t="str">
            <v>22GN-40-HDTS</v>
          </cell>
          <cell r="B448" t="str">
            <v>9' Hyd Dovetail (New style)</v>
          </cell>
          <cell r="C448">
            <v>34060.15</v>
          </cell>
          <cell r="D448">
            <v>0.2</v>
          </cell>
          <cell r="E448">
            <v>9650</v>
          </cell>
          <cell r="F448">
            <v>60</v>
          </cell>
          <cell r="G448"/>
          <cell r="L448"/>
          <cell r="M448"/>
          <cell r="N448"/>
          <cell r="O448"/>
          <cell r="P448"/>
          <cell r="Q448"/>
          <cell r="R448"/>
        </row>
        <row r="449">
          <cell r="A449" t="str">
            <v>22GN-40BK-HDTS</v>
          </cell>
          <cell r="B449" t="str">
            <v>9' Hyd Dovetail (New style)</v>
          </cell>
          <cell r="C449">
            <v>34060.15</v>
          </cell>
          <cell r="D449">
            <v>0.2</v>
          </cell>
          <cell r="E449">
            <v>8800</v>
          </cell>
          <cell r="F449">
            <v>60</v>
          </cell>
          <cell r="G449"/>
          <cell r="L449"/>
          <cell r="M449"/>
          <cell r="N449"/>
          <cell r="O449"/>
          <cell r="P449"/>
          <cell r="Q449"/>
          <cell r="R449"/>
        </row>
        <row r="450">
          <cell r="A450" t="str">
            <v>22GN-40BK8SIR</v>
          </cell>
          <cell r="B450" t="str">
            <v>Discontinued SKU</v>
          </cell>
          <cell r="C450">
            <v>22466.17</v>
          </cell>
          <cell r="D450">
            <v>0.2</v>
          </cell>
          <cell r="E450">
            <v>8120</v>
          </cell>
          <cell r="F450">
            <v>60</v>
          </cell>
          <cell r="G450"/>
          <cell r="L450"/>
          <cell r="M450"/>
          <cell r="N450"/>
          <cell r="O450"/>
          <cell r="P450"/>
          <cell r="Q450"/>
          <cell r="R450"/>
        </row>
        <row r="451">
          <cell r="A451" t="str">
            <v>22GN-40D5A</v>
          </cell>
          <cell r="B451" t="str">
            <v>SPARE (incl)</v>
          </cell>
          <cell r="C451">
            <v>20781.95</v>
          </cell>
          <cell r="D451">
            <v>0.2</v>
          </cell>
          <cell r="E451">
            <v>8790</v>
          </cell>
          <cell r="F451">
            <v>60</v>
          </cell>
          <cell r="G451"/>
          <cell r="L451"/>
          <cell r="M451"/>
          <cell r="N451"/>
          <cell r="O451"/>
          <cell r="P451"/>
          <cell r="Q451"/>
          <cell r="R451"/>
        </row>
        <row r="452">
          <cell r="A452" t="str">
            <v>22GN-40D5A-FRBK</v>
          </cell>
          <cell r="B452" t="str">
            <v>SPARE (incl)</v>
          </cell>
          <cell r="C452">
            <v>20781.95</v>
          </cell>
          <cell r="D452">
            <v>0.2</v>
          </cell>
          <cell r="E452">
            <v>7970</v>
          </cell>
          <cell r="F452">
            <v>60</v>
          </cell>
          <cell r="G452"/>
          <cell r="L452"/>
          <cell r="M452"/>
          <cell r="N452"/>
          <cell r="O452"/>
          <cell r="P452"/>
          <cell r="Q452"/>
          <cell r="R452"/>
        </row>
        <row r="453">
          <cell r="A453" t="str">
            <v>22GN-40D5A-MRBK</v>
          </cell>
          <cell r="B453" t="str">
            <v>MR, SPARE (incl)</v>
          </cell>
          <cell r="C453">
            <v>21909.77</v>
          </cell>
          <cell r="D453">
            <v>0.2</v>
          </cell>
          <cell r="E453">
            <v>8790</v>
          </cell>
          <cell r="F453">
            <v>60</v>
          </cell>
          <cell r="G453"/>
          <cell r="L453"/>
          <cell r="M453"/>
          <cell r="N453"/>
          <cell r="O453"/>
          <cell r="P453"/>
          <cell r="Q453"/>
          <cell r="R453"/>
        </row>
        <row r="454">
          <cell r="A454" t="str">
            <v>22GN-40STA</v>
          </cell>
          <cell r="B454" t="str">
            <v>SPARE (incl)</v>
          </cell>
          <cell r="C454">
            <v>20751.88</v>
          </cell>
          <cell r="D454">
            <v>0.2</v>
          </cell>
          <cell r="E454">
            <v>8420</v>
          </cell>
          <cell r="F454">
            <v>60</v>
          </cell>
          <cell r="G454"/>
          <cell r="L454"/>
          <cell r="M454"/>
          <cell r="N454"/>
          <cell r="O454"/>
          <cell r="P454"/>
          <cell r="Q454"/>
          <cell r="R454"/>
        </row>
        <row r="455">
          <cell r="A455" t="str">
            <v>22GN-40STA-S8BK</v>
          </cell>
          <cell r="B455" t="str">
            <v>8SIR, SPARE (incl)</v>
          </cell>
          <cell r="C455">
            <v>21187.97</v>
          </cell>
          <cell r="D455">
            <v>0.2</v>
          </cell>
          <cell r="E455">
            <v>8200</v>
          </cell>
          <cell r="F455">
            <v>60</v>
          </cell>
          <cell r="G455"/>
          <cell r="L455"/>
          <cell r="M455"/>
          <cell r="N455"/>
          <cell r="O455"/>
          <cell r="P455"/>
          <cell r="Q455"/>
          <cell r="R455"/>
        </row>
        <row r="456">
          <cell r="A456" t="str">
            <v>22GN-40STA-XRBK</v>
          </cell>
          <cell r="B456" t="str">
            <v>SPARE (incl)</v>
          </cell>
          <cell r="C456">
            <v>20751.88</v>
          </cell>
          <cell r="D456">
            <v>0.2</v>
          </cell>
          <cell r="E456">
            <v>7910</v>
          </cell>
          <cell r="F456">
            <v>60</v>
          </cell>
          <cell r="G456"/>
          <cell r="L456"/>
          <cell r="M456"/>
          <cell r="N456"/>
          <cell r="O456"/>
          <cell r="P456"/>
          <cell r="Q456"/>
          <cell r="R456"/>
        </row>
        <row r="457">
          <cell r="A457" t="str">
            <v>22PH-20</v>
          </cell>
          <cell r="B457" t="str"/>
          <cell r="C457">
            <v>19774.439999999999</v>
          </cell>
          <cell r="D457">
            <v>0.2</v>
          </cell>
          <cell r="E457">
            <v>4700</v>
          </cell>
          <cell r="F457">
            <v>80</v>
          </cell>
          <cell r="G457"/>
          <cell r="L457"/>
          <cell r="M457"/>
          <cell r="N457"/>
          <cell r="O457"/>
          <cell r="P457"/>
          <cell r="Q457"/>
          <cell r="R457"/>
        </row>
        <row r="458">
          <cell r="A458" t="str">
            <v>22PH-20+5</v>
          </cell>
          <cell r="B458" t="str">
            <v>SPARE (incl)</v>
          </cell>
          <cell r="C458">
            <v>19067.669999999998</v>
          </cell>
          <cell r="D458">
            <v>0.2</v>
          </cell>
          <cell r="E458">
            <v>5600</v>
          </cell>
          <cell r="F458">
            <v>80</v>
          </cell>
          <cell r="G458"/>
          <cell r="L458"/>
          <cell r="M458"/>
          <cell r="N458"/>
          <cell r="O458"/>
          <cell r="P458"/>
          <cell r="Q458"/>
          <cell r="R458"/>
        </row>
        <row r="459">
          <cell r="A459" t="str">
            <v>22PH-20BK+5</v>
          </cell>
          <cell r="B459" t="str">
            <v>SPARE (incl)</v>
          </cell>
          <cell r="C459">
            <v>19067.669999999998</v>
          </cell>
          <cell r="D459">
            <v>0.2</v>
          </cell>
          <cell r="E459">
            <v>5600</v>
          </cell>
          <cell r="F459">
            <v>80</v>
          </cell>
          <cell r="G459"/>
          <cell r="L459"/>
          <cell r="M459"/>
          <cell r="N459"/>
          <cell r="O459"/>
          <cell r="P459"/>
          <cell r="Q459"/>
          <cell r="R459"/>
        </row>
        <row r="460">
          <cell r="A460" t="str">
            <v>22PH-20BK+5MR</v>
          </cell>
          <cell r="B460" t="str">
            <v>MEGA RAMPS, SPARE (incl)</v>
          </cell>
          <cell r="C460">
            <v>20195.490000000002</v>
          </cell>
          <cell r="D460">
            <v>0.2</v>
          </cell>
          <cell r="E460">
            <v>5600</v>
          </cell>
          <cell r="F460">
            <v>80</v>
          </cell>
          <cell r="G460"/>
          <cell r="L460"/>
          <cell r="M460"/>
          <cell r="N460"/>
          <cell r="O460"/>
          <cell r="P460"/>
          <cell r="Q460"/>
          <cell r="R460"/>
        </row>
        <row r="461">
          <cell r="A461" t="str">
            <v>22PH-25</v>
          </cell>
          <cell r="B461" t="str">
            <v>SPARE (incl)</v>
          </cell>
          <cell r="C461">
            <v>20270.68</v>
          </cell>
          <cell r="D461">
            <v>0.2</v>
          </cell>
          <cell r="E461">
            <v>5260</v>
          </cell>
          <cell r="F461">
            <v>80</v>
          </cell>
          <cell r="G461"/>
          <cell r="L461"/>
          <cell r="M461"/>
          <cell r="N461"/>
          <cell r="O461"/>
          <cell r="P461"/>
          <cell r="Q461"/>
          <cell r="R461"/>
        </row>
        <row r="462">
          <cell r="A462" t="str">
            <v>22PH-25+5</v>
          </cell>
          <cell r="B462" t="str">
            <v>SPARE (incl)</v>
          </cell>
          <cell r="C462">
            <v>19624.060000000001</v>
          </cell>
          <cell r="D462">
            <v>0.2</v>
          </cell>
          <cell r="E462">
            <v>6100</v>
          </cell>
          <cell r="F462">
            <v>80</v>
          </cell>
          <cell r="G462"/>
          <cell r="L462"/>
          <cell r="M462"/>
          <cell r="N462"/>
          <cell r="O462"/>
          <cell r="P462"/>
          <cell r="Q462"/>
          <cell r="R462"/>
        </row>
        <row r="463">
          <cell r="A463" t="str">
            <v>22PH-25BK+5</v>
          </cell>
          <cell r="B463" t="str">
            <v>SPARE (incl)</v>
          </cell>
          <cell r="C463">
            <v>19624.060000000001</v>
          </cell>
          <cell r="D463">
            <v>0.2</v>
          </cell>
          <cell r="E463">
            <v>6100</v>
          </cell>
          <cell r="F463">
            <v>80</v>
          </cell>
          <cell r="G463"/>
          <cell r="L463"/>
          <cell r="M463"/>
          <cell r="N463"/>
          <cell r="O463"/>
          <cell r="P463"/>
          <cell r="Q463"/>
          <cell r="R463"/>
        </row>
        <row r="464">
          <cell r="A464" t="str">
            <v>22PH-25BK+5MR</v>
          </cell>
          <cell r="B464" t="str">
            <v>MEGA RAMPS, SPARE (incl)</v>
          </cell>
          <cell r="C464">
            <v>20751.88</v>
          </cell>
          <cell r="D464">
            <v>0.2</v>
          </cell>
          <cell r="E464">
            <v>6100</v>
          </cell>
          <cell r="F464">
            <v>80</v>
          </cell>
          <cell r="G464"/>
          <cell r="L464"/>
          <cell r="M464"/>
          <cell r="N464"/>
          <cell r="O464"/>
          <cell r="P464"/>
          <cell r="Q464"/>
          <cell r="R464"/>
        </row>
        <row r="465">
          <cell r="A465" t="str">
            <v>25DU-20</v>
          </cell>
          <cell r="B465" t="str">
            <v>SPARE (incl)</v>
          </cell>
          <cell r="C465">
            <v>28601.5</v>
          </cell>
          <cell r="D465">
            <v>0.2</v>
          </cell>
          <cell r="E465">
            <v>8500</v>
          </cell>
          <cell r="F465">
            <v>70</v>
          </cell>
          <cell r="G465"/>
          <cell r="L465"/>
          <cell r="M465"/>
          <cell r="N465"/>
          <cell r="O465"/>
          <cell r="P465"/>
          <cell r="Q465"/>
          <cell r="R465"/>
        </row>
        <row r="466">
          <cell r="A466" t="str">
            <v>25DU-20BK8SIR</v>
          </cell>
          <cell r="B466" t="str">
            <v>8SIR, SPARE (incl)</v>
          </cell>
          <cell r="C466">
            <v>29353.38</v>
          </cell>
          <cell r="D466">
            <v>0.2</v>
          </cell>
          <cell r="E466">
            <v>8700</v>
          </cell>
          <cell r="F466">
            <v>70</v>
          </cell>
          <cell r="G466"/>
          <cell r="L466"/>
          <cell r="M466"/>
          <cell r="N466"/>
          <cell r="O466"/>
          <cell r="P466"/>
          <cell r="Q466"/>
          <cell r="R466"/>
        </row>
        <row r="467">
          <cell r="A467" t="str">
            <v>25DU-20P</v>
          </cell>
          <cell r="B467" t="str"/>
          <cell r="C467">
            <v>32255.64</v>
          </cell>
          <cell r="D467">
            <v>0.2</v>
          </cell>
          <cell r="E467">
            <v>8390</v>
          </cell>
          <cell r="F467">
            <v>70</v>
          </cell>
          <cell r="G467"/>
          <cell r="L467"/>
          <cell r="M467"/>
          <cell r="N467"/>
          <cell r="O467"/>
          <cell r="P467"/>
          <cell r="Q467"/>
          <cell r="R467"/>
        </row>
        <row r="468">
          <cell r="A468" t="str">
            <v>25GN-20STA</v>
          </cell>
          <cell r="B468" t="str">
            <v>SPARE (incl)</v>
          </cell>
          <cell r="C468">
            <v>21172.93</v>
          </cell>
          <cell r="D468">
            <v>0.2</v>
          </cell>
          <cell r="E468">
            <v>5320</v>
          </cell>
          <cell r="F468">
            <v>60</v>
          </cell>
          <cell r="G468"/>
          <cell r="L468"/>
          <cell r="M468"/>
          <cell r="N468"/>
          <cell r="O468"/>
          <cell r="P468"/>
          <cell r="Q468"/>
          <cell r="R468"/>
        </row>
        <row r="469">
          <cell r="A469" t="str">
            <v>25GN-25+5</v>
          </cell>
          <cell r="B469" t="str">
            <v>Discontinued SKU</v>
          </cell>
          <cell r="C469">
            <v>24631.58</v>
          </cell>
          <cell r="D469">
            <v>0.2</v>
          </cell>
          <cell r="E469">
            <v>7250</v>
          </cell>
          <cell r="F469">
            <v>60</v>
          </cell>
          <cell r="G469"/>
          <cell r="L469"/>
          <cell r="M469"/>
          <cell r="N469"/>
          <cell r="O469"/>
          <cell r="P469"/>
          <cell r="Q469"/>
          <cell r="R469"/>
        </row>
        <row r="470">
          <cell r="A470" t="str">
            <v>25GN-25D5A</v>
          </cell>
          <cell r="B470" t="str">
            <v>SPARE (incl)</v>
          </cell>
          <cell r="C470">
            <v>22345.86</v>
          </cell>
          <cell r="D470">
            <v>0.2</v>
          </cell>
          <cell r="E470">
            <v>6880</v>
          </cell>
          <cell r="F470">
            <v>60</v>
          </cell>
          <cell r="G470"/>
          <cell r="L470"/>
          <cell r="M470"/>
          <cell r="N470"/>
          <cell r="O470"/>
          <cell r="P470"/>
          <cell r="Q470"/>
          <cell r="R470"/>
        </row>
        <row r="471">
          <cell r="A471" t="str">
            <v>25GN-25D5A-FRBK</v>
          </cell>
          <cell r="B471" t="str">
            <v>SPARE (incl)</v>
          </cell>
          <cell r="C471">
            <v>22345.86</v>
          </cell>
          <cell r="D471">
            <v>0.2</v>
          </cell>
          <cell r="E471">
            <v>6050</v>
          </cell>
          <cell r="F471">
            <v>60</v>
          </cell>
          <cell r="G471"/>
          <cell r="L471"/>
          <cell r="M471"/>
          <cell r="N471"/>
          <cell r="O471"/>
          <cell r="P471"/>
          <cell r="Q471"/>
          <cell r="R471"/>
        </row>
        <row r="472">
          <cell r="A472" t="str">
            <v>25GN-25D5A-MRBK</v>
          </cell>
          <cell r="B472" t="str">
            <v>MR, SPARE (incl)</v>
          </cell>
          <cell r="C472">
            <v>23473.68</v>
          </cell>
          <cell r="D472">
            <v>0.2</v>
          </cell>
          <cell r="E472">
            <v>6880</v>
          </cell>
          <cell r="F472">
            <v>60</v>
          </cell>
          <cell r="G472"/>
          <cell r="L472"/>
          <cell r="M472"/>
          <cell r="N472"/>
          <cell r="O472"/>
          <cell r="P472"/>
          <cell r="Q472"/>
          <cell r="R472"/>
        </row>
        <row r="473">
          <cell r="A473" t="str">
            <v>25GN-25STA</v>
          </cell>
          <cell r="B473" t="str">
            <v>SPARE (incl)</v>
          </cell>
          <cell r="C473">
            <v>21774.44</v>
          </cell>
          <cell r="D473">
            <v>0.2</v>
          </cell>
          <cell r="E473">
            <v>5990</v>
          </cell>
          <cell r="F473">
            <v>60</v>
          </cell>
          <cell r="G473"/>
          <cell r="L473"/>
          <cell r="M473"/>
          <cell r="N473"/>
          <cell r="O473"/>
          <cell r="P473"/>
          <cell r="Q473"/>
          <cell r="R473"/>
        </row>
        <row r="474">
          <cell r="A474" t="str">
            <v>25GN-28+5</v>
          </cell>
          <cell r="B474" t="str">
            <v>Discontinued SKU</v>
          </cell>
          <cell r="C474">
            <v>24977.439999999999</v>
          </cell>
          <cell r="D474">
            <v>0.2</v>
          </cell>
          <cell r="E474">
            <v>7850</v>
          </cell>
          <cell r="F474">
            <v>60</v>
          </cell>
          <cell r="G474"/>
          <cell r="L474"/>
          <cell r="M474"/>
          <cell r="N474"/>
          <cell r="O474"/>
          <cell r="P474"/>
          <cell r="Q474"/>
          <cell r="R474"/>
        </row>
        <row r="475">
          <cell r="A475" t="str">
            <v>25GN-28BK+5MR</v>
          </cell>
          <cell r="B475" t="str">
            <v>MEGA RAMPS, SPARE (incl)</v>
          </cell>
          <cell r="C475">
            <v>26105.26</v>
          </cell>
          <cell r="D475">
            <v>0.2</v>
          </cell>
          <cell r="E475">
            <v>8050</v>
          </cell>
          <cell r="F475">
            <v>60</v>
          </cell>
          <cell r="G475"/>
          <cell r="L475"/>
          <cell r="M475"/>
          <cell r="N475"/>
          <cell r="O475"/>
          <cell r="P475"/>
          <cell r="Q475"/>
          <cell r="R475"/>
        </row>
        <row r="476">
          <cell r="A476" t="str">
            <v>25GN-28STA</v>
          </cell>
          <cell r="B476" t="str">
            <v>SPARE (incl)</v>
          </cell>
          <cell r="C476">
            <v>22135.34</v>
          </cell>
          <cell r="D476">
            <v>0.2</v>
          </cell>
          <cell r="E476">
            <v>6390</v>
          </cell>
          <cell r="F476">
            <v>60</v>
          </cell>
          <cell r="G476"/>
          <cell r="L476"/>
          <cell r="M476"/>
          <cell r="N476"/>
          <cell r="O476"/>
          <cell r="P476"/>
          <cell r="Q476"/>
          <cell r="R476"/>
        </row>
        <row r="477">
          <cell r="A477" t="str">
            <v>25GN-30D5A</v>
          </cell>
          <cell r="B477" t="str">
            <v>SPARE (incl)</v>
          </cell>
          <cell r="C477">
            <v>22947.37</v>
          </cell>
          <cell r="D477">
            <v>0.2</v>
          </cell>
          <cell r="E477">
            <v>7550</v>
          </cell>
          <cell r="F477">
            <v>60</v>
          </cell>
          <cell r="G477"/>
          <cell r="L477"/>
          <cell r="M477"/>
          <cell r="N477"/>
          <cell r="O477"/>
          <cell r="P477"/>
          <cell r="Q477"/>
          <cell r="R477"/>
        </row>
        <row r="478">
          <cell r="A478" t="str">
            <v>25GN-30D5A-FRBK</v>
          </cell>
          <cell r="B478" t="str">
            <v>SPARE (incl)</v>
          </cell>
          <cell r="C478">
            <v>22947.37</v>
          </cell>
          <cell r="D478">
            <v>0.2</v>
          </cell>
          <cell r="E478">
            <v>6720</v>
          </cell>
          <cell r="F478">
            <v>60</v>
          </cell>
          <cell r="G478"/>
          <cell r="L478"/>
          <cell r="M478"/>
          <cell r="N478"/>
          <cell r="O478"/>
          <cell r="P478"/>
          <cell r="Q478"/>
          <cell r="R478"/>
        </row>
        <row r="479">
          <cell r="A479" t="str">
            <v>25GN-30D5A-MRBK</v>
          </cell>
          <cell r="B479" t="str">
            <v>MR, SPARE (incl)</v>
          </cell>
          <cell r="C479">
            <v>24075.19</v>
          </cell>
          <cell r="D479">
            <v>0.2</v>
          </cell>
          <cell r="E479">
            <v>7550</v>
          </cell>
          <cell r="F479">
            <v>60</v>
          </cell>
          <cell r="G479"/>
          <cell r="L479"/>
          <cell r="M479"/>
          <cell r="N479"/>
          <cell r="O479"/>
          <cell r="P479"/>
          <cell r="Q479"/>
          <cell r="R479"/>
        </row>
        <row r="480">
          <cell r="A480" t="str">
            <v>25GN-30STA</v>
          </cell>
          <cell r="B480" t="str">
            <v>SPARE (incl)</v>
          </cell>
          <cell r="C480">
            <v>22375.94</v>
          </cell>
          <cell r="D480">
            <v>0.2</v>
          </cell>
          <cell r="E480">
            <v>6660</v>
          </cell>
          <cell r="F480">
            <v>60</v>
          </cell>
          <cell r="G480"/>
          <cell r="L480"/>
          <cell r="M480"/>
          <cell r="N480"/>
          <cell r="O480"/>
          <cell r="P480"/>
          <cell r="Q480"/>
          <cell r="R480"/>
        </row>
        <row r="481">
          <cell r="A481" t="str">
            <v>25GN-33D5A</v>
          </cell>
          <cell r="B481" t="str">
            <v>SPARE (incl)</v>
          </cell>
          <cell r="C481">
            <v>23308.27</v>
          </cell>
          <cell r="D481">
            <v>0.2</v>
          </cell>
          <cell r="E481">
            <v>8110</v>
          </cell>
          <cell r="F481">
            <v>60</v>
          </cell>
          <cell r="G481"/>
          <cell r="L481"/>
          <cell r="M481"/>
          <cell r="N481"/>
          <cell r="O481"/>
          <cell r="P481"/>
          <cell r="Q481"/>
          <cell r="R481"/>
        </row>
        <row r="482">
          <cell r="A482" t="str">
            <v>25GN-33D5A-FRBK</v>
          </cell>
          <cell r="B482" t="str">
            <v>SPARE (incl)</v>
          </cell>
          <cell r="C482">
            <v>23308.27</v>
          </cell>
          <cell r="D482">
            <v>0.2</v>
          </cell>
          <cell r="E482">
            <v>7120</v>
          </cell>
          <cell r="F482">
            <v>60</v>
          </cell>
          <cell r="G482"/>
          <cell r="L482"/>
          <cell r="M482"/>
          <cell r="N482"/>
          <cell r="O482"/>
          <cell r="P482"/>
          <cell r="Q482"/>
          <cell r="R482"/>
        </row>
        <row r="483">
          <cell r="A483" t="str">
            <v>25GN-33D5A-MRBK</v>
          </cell>
          <cell r="B483" t="str">
            <v>MR, SPARE (incl)</v>
          </cell>
          <cell r="C483">
            <v>24436.09</v>
          </cell>
          <cell r="D483">
            <v>0.2</v>
          </cell>
          <cell r="E483">
            <v>8110</v>
          </cell>
          <cell r="F483">
            <v>60</v>
          </cell>
          <cell r="G483"/>
          <cell r="L483"/>
          <cell r="M483"/>
          <cell r="N483"/>
          <cell r="O483"/>
          <cell r="P483"/>
          <cell r="Q483"/>
          <cell r="R483"/>
        </row>
        <row r="484">
          <cell r="A484" t="str">
            <v>25GN-33STA</v>
          </cell>
          <cell r="B484" t="str">
            <v>SPARE (incl)</v>
          </cell>
          <cell r="C484">
            <v>22736.84</v>
          </cell>
          <cell r="D484">
            <v>0.2</v>
          </cell>
          <cell r="E484">
            <v>7060</v>
          </cell>
          <cell r="F484">
            <v>60</v>
          </cell>
          <cell r="G484"/>
          <cell r="L484"/>
          <cell r="M484"/>
          <cell r="N484"/>
          <cell r="O484"/>
          <cell r="P484"/>
          <cell r="Q484"/>
          <cell r="R484"/>
        </row>
        <row r="485">
          <cell r="A485" t="str">
            <v>25GN-35+5</v>
          </cell>
          <cell r="B485" t="str"/>
          <cell r="C485">
            <v>25759.4</v>
          </cell>
          <cell r="D485">
            <v>0.2</v>
          </cell>
          <cell r="E485">
            <v>8900</v>
          </cell>
          <cell r="F485">
            <v>60</v>
          </cell>
          <cell r="G485"/>
          <cell r="L485"/>
          <cell r="M485"/>
          <cell r="N485"/>
          <cell r="O485"/>
          <cell r="P485"/>
          <cell r="Q485"/>
          <cell r="R485"/>
        </row>
        <row r="486">
          <cell r="A486" t="str">
            <v>25GN-35-HDTS</v>
          </cell>
          <cell r="B486" t="str">
            <v>HYD - DT, SPARE (incl), Dicontinued SKU</v>
          </cell>
          <cell r="C486">
            <v>37248.120000000003</v>
          </cell>
          <cell r="D486">
            <v>0.2</v>
          </cell>
          <cell r="E486">
            <v>9070</v>
          </cell>
          <cell r="F486">
            <v>60</v>
          </cell>
          <cell r="G486"/>
          <cell r="L486"/>
          <cell r="M486"/>
          <cell r="N486"/>
          <cell r="O486"/>
          <cell r="P486"/>
          <cell r="Q486"/>
          <cell r="R486"/>
        </row>
        <row r="487">
          <cell r="A487" t="str">
            <v>25GN-35BK+5MR</v>
          </cell>
          <cell r="B487" t="str">
            <v>Discontinued SKU</v>
          </cell>
          <cell r="C487">
            <v>26887.22</v>
          </cell>
          <cell r="D487">
            <v>0.2</v>
          </cell>
          <cell r="E487">
            <v>9100</v>
          </cell>
          <cell r="F487">
            <v>60</v>
          </cell>
          <cell r="G487"/>
          <cell r="L487"/>
          <cell r="M487"/>
          <cell r="N487"/>
          <cell r="O487"/>
          <cell r="P487"/>
          <cell r="Q487"/>
          <cell r="R487"/>
        </row>
        <row r="488">
          <cell r="A488" t="str">
            <v>25GN-35BK-HDTS</v>
          </cell>
          <cell r="B488" t="str">
            <v>HYD - DT, SPARE (incl), Dicontinued SKU</v>
          </cell>
          <cell r="C488">
            <v>37248.120000000003</v>
          </cell>
          <cell r="D488">
            <v>0.2</v>
          </cell>
          <cell r="E488">
            <v>8960</v>
          </cell>
          <cell r="F488">
            <v>60</v>
          </cell>
          <cell r="G488"/>
          <cell r="L488"/>
          <cell r="M488"/>
          <cell r="N488"/>
          <cell r="O488"/>
          <cell r="P488"/>
          <cell r="Q488"/>
          <cell r="R488"/>
        </row>
        <row r="489">
          <cell r="A489" t="str">
            <v>25GN-35D5A</v>
          </cell>
          <cell r="B489" t="str">
            <v>SPARE (incl)</v>
          </cell>
          <cell r="C489">
            <v>23548.87</v>
          </cell>
          <cell r="D489">
            <v>0.2</v>
          </cell>
          <cell r="E489">
            <v>8210</v>
          </cell>
          <cell r="F489">
            <v>60</v>
          </cell>
          <cell r="G489"/>
          <cell r="L489"/>
          <cell r="M489"/>
          <cell r="N489"/>
          <cell r="O489"/>
          <cell r="P489"/>
          <cell r="Q489"/>
          <cell r="R489"/>
        </row>
        <row r="490">
          <cell r="A490" t="str">
            <v>25GN-35D5A-FRBK</v>
          </cell>
          <cell r="B490" t="str">
            <v>SPARE (incl)</v>
          </cell>
          <cell r="C490">
            <v>23548.87</v>
          </cell>
          <cell r="D490">
            <v>0.2</v>
          </cell>
          <cell r="E490">
            <v>7390</v>
          </cell>
          <cell r="F490">
            <v>60</v>
          </cell>
          <cell r="G490"/>
          <cell r="L490"/>
          <cell r="M490"/>
          <cell r="N490"/>
          <cell r="O490"/>
          <cell r="P490"/>
          <cell r="Q490"/>
          <cell r="R490"/>
        </row>
        <row r="491">
          <cell r="A491" t="str">
            <v>25GN-35D5A-MRBK</v>
          </cell>
          <cell r="B491" t="str">
            <v>MR, SPARE (incl)</v>
          </cell>
          <cell r="C491">
            <v>24676.69</v>
          </cell>
          <cell r="D491">
            <v>0.2</v>
          </cell>
          <cell r="E491">
            <v>8210</v>
          </cell>
          <cell r="F491">
            <v>60</v>
          </cell>
          <cell r="G491"/>
          <cell r="L491"/>
          <cell r="M491"/>
          <cell r="N491"/>
          <cell r="O491"/>
          <cell r="P491"/>
          <cell r="Q491"/>
          <cell r="R491"/>
        </row>
        <row r="492">
          <cell r="A492" t="str">
            <v>25GN-35STA</v>
          </cell>
          <cell r="B492" t="str">
            <v>SPARE (incl)</v>
          </cell>
          <cell r="C492">
            <v>22977.439999999999</v>
          </cell>
          <cell r="D492">
            <v>0.2</v>
          </cell>
          <cell r="E492">
            <v>7320</v>
          </cell>
          <cell r="F492">
            <v>60</v>
          </cell>
          <cell r="G492"/>
          <cell r="L492"/>
          <cell r="M492"/>
          <cell r="N492"/>
          <cell r="O492"/>
          <cell r="P492"/>
          <cell r="Q492"/>
          <cell r="R492"/>
        </row>
        <row r="493">
          <cell r="A493" t="str">
            <v>25GN-36STA</v>
          </cell>
          <cell r="B493" t="str">
            <v>SPARE (incl)</v>
          </cell>
          <cell r="C493">
            <v>23097.74</v>
          </cell>
          <cell r="D493">
            <v>0.2</v>
          </cell>
          <cell r="E493">
            <v>7460</v>
          </cell>
          <cell r="F493">
            <v>60</v>
          </cell>
          <cell r="G493"/>
          <cell r="L493"/>
          <cell r="M493"/>
          <cell r="N493"/>
          <cell r="O493"/>
          <cell r="P493"/>
          <cell r="Q493"/>
          <cell r="R493"/>
        </row>
        <row r="494">
          <cell r="A494" t="str">
            <v>25GN-40-HDTS</v>
          </cell>
          <cell r="B494" t="str">
            <v>HYD - DT, SPARE (incl), Dicontinued SKU</v>
          </cell>
          <cell r="C494">
            <v>37819.550000000003</v>
          </cell>
          <cell r="D494">
            <v>0.2</v>
          </cell>
          <cell r="E494">
            <v>9740</v>
          </cell>
          <cell r="F494">
            <v>60</v>
          </cell>
          <cell r="G494"/>
          <cell r="L494"/>
          <cell r="M494"/>
          <cell r="N494"/>
          <cell r="O494"/>
          <cell r="P494"/>
          <cell r="Q494"/>
          <cell r="R494"/>
        </row>
        <row r="495">
          <cell r="A495" t="str">
            <v>25GN-40BK-HDTS</v>
          </cell>
          <cell r="B495" t="str">
            <v>HYD - DT, SPARE (incl), Dicontinued SKU</v>
          </cell>
          <cell r="C495">
            <v>37819.550000000003</v>
          </cell>
          <cell r="D495">
            <v>0.2</v>
          </cell>
          <cell r="E495">
            <v>9920</v>
          </cell>
          <cell r="F495">
            <v>60</v>
          </cell>
          <cell r="G495"/>
          <cell r="L495"/>
          <cell r="M495"/>
          <cell r="N495"/>
          <cell r="O495"/>
          <cell r="P495"/>
          <cell r="Q495"/>
          <cell r="R495"/>
        </row>
        <row r="496">
          <cell r="A496" t="str">
            <v>25GN-40D5A</v>
          </cell>
          <cell r="B496" t="str">
            <v>SPARE (incl)</v>
          </cell>
          <cell r="C496">
            <v>24150.38</v>
          </cell>
          <cell r="D496">
            <v>0.2</v>
          </cell>
          <cell r="E496">
            <v>8770</v>
          </cell>
          <cell r="F496">
            <v>60</v>
          </cell>
          <cell r="G496"/>
          <cell r="L496"/>
          <cell r="M496"/>
          <cell r="N496"/>
          <cell r="O496"/>
          <cell r="P496"/>
          <cell r="Q496"/>
          <cell r="R496"/>
        </row>
        <row r="497">
          <cell r="A497" t="str">
            <v>25GN-40D5A-FRBK</v>
          </cell>
          <cell r="B497" t="str">
            <v>SPARE (incl)</v>
          </cell>
          <cell r="C497">
            <v>24150.38</v>
          </cell>
          <cell r="D497">
            <v>0.2</v>
          </cell>
          <cell r="E497">
            <v>8050</v>
          </cell>
          <cell r="F497">
            <v>60</v>
          </cell>
          <cell r="G497"/>
          <cell r="L497"/>
          <cell r="M497"/>
          <cell r="N497"/>
          <cell r="O497"/>
          <cell r="P497"/>
          <cell r="Q497"/>
          <cell r="R497"/>
        </row>
        <row r="498">
          <cell r="A498" t="str">
            <v>25GN-40D5A-MRBK</v>
          </cell>
          <cell r="B498" t="str">
            <v>MR, SPARE (incl)</v>
          </cell>
          <cell r="C498">
            <v>25278.2</v>
          </cell>
          <cell r="D498">
            <v>0.2</v>
          </cell>
          <cell r="E498">
            <v>8770</v>
          </cell>
          <cell r="F498">
            <v>60</v>
          </cell>
          <cell r="G498"/>
          <cell r="L498"/>
          <cell r="M498"/>
          <cell r="N498"/>
          <cell r="O498"/>
          <cell r="P498"/>
          <cell r="Q498"/>
          <cell r="R498"/>
        </row>
        <row r="499">
          <cell r="A499" t="str">
            <v>25GN-40D5A-MRBKEHD</v>
          </cell>
          <cell r="B499" t="str">
            <v>EHYD.Disc, MR, SPARE (incl)</v>
          </cell>
          <cell r="C499">
            <v>32796.99</v>
          </cell>
          <cell r="D499">
            <v>0.2</v>
          </cell>
          <cell r="E499">
            <v>8950</v>
          </cell>
          <cell r="F499">
            <v>60</v>
          </cell>
          <cell r="G499"/>
          <cell r="L499"/>
          <cell r="M499"/>
          <cell r="N499"/>
          <cell r="O499"/>
          <cell r="P499"/>
          <cell r="Q499"/>
          <cell r="R499"/>
        </row>
        <row r="500">
          <cell r="A500" t="str">
            <v>25GN-40STA</v>
          </cell>
          <cell r="B500" t="str">
            <v>SPARE (incl)</v>
          </cell>
          <cell r="C500">
            <v>23578.95</v>
          </cell>
          <cell r="D500">
            <v>0.2</v>
          </cell>
          <cell r="E500">
            <v>8450</v>
          </cell>
          <cell r="F500">
            <v>60</v>
          </cell>
          <cell r="G500"/>
          <cell r="L500"/>
          <cell r="M500"/>
          <cell r="N500"/>
          <cell r="O500"/>
          <cell r="P500"/>
          <cell r="Q500"/>
          <cell r="R500"/>
        </row>
        <row r="501">
          <cell r="A501" t="str">
            <v>25GN-40STA-S8BK</v>
          </cell>
          <cell r="B501" t="str">
            <v>8SIR, SPARE (incl)</v>
          </cell>
          <cell r="C501">
            <v>24015.040000000001</v>
          </cell>
          <cell r="D501">
            <v>0.2</v>
          </cell>
          <cell r="E501">
            <v>8290</v>
          </cell>
          <cell r="F501">
            <v>60</v>
          </cell>
          <cell r="G501"/>
          <cell r="L501"/>
          <cell r="M501"/>
          <cell r="N501"/>
          <cell r="O501"/>
          <cell r="P501"/>
          <cell r="Q501"/>
          <cell r="R501"/>
        </row>
        <row r="502">
          <cell r="A502" t="str">
            <v>25GN-40STA-XRBK</v>
          </cell>
          <cell r="B502" t="str">
            <v>8SIR, SPARE (incl)</v>
          </cell>
          <cell r="C502">
            <v>23578.95</v>
          </cell>
          <cell r="D502">
            <v>0.2</v>
          </cell>
          <cell r="E502">
            <v>7990</v>
          </cell>
          <cell r="F502">
            <v>60</v>
          </cell>
          <cell r="G502"/>
          <cell r="L502"/>
          <cell r="M502"/>
          <cell r="N502"/>
          <cell r="O502"/>
          <cell r="P502"/>
          <cell r="Q502"/>
          <cell r="R502"/>
        </row>
        <row r="503">
          <cell r="A503" t="str">
            <v>25PH-20+5</v>
          </cell>
          <cell r="B503" t="str">
            <v>SPARE (incl)</v>
          </cell>
          <cell r="C503">
            <v>22571.43</v>
          </cell>
          <cell r="D503">
            <v>0.2</v>
          </cell>
          <cell r="E503">
            <v>5800</v>
          </cell>
          <cell r="F503">
            <v>80</v>
          </cell>
          <cell r="G503"/>
          <cell r="L503"/>
          <cell r="M503"/>
          <cell r="N503"/>
          <cell r="O503"/>
          <cell r="P503"/>
          <cell r="Q503"/>
          <cell r="R503"/>
        </row>
        <row r="504">
          <cell r="A504" t="str">
            <v>25PH-20BK+5</v>
          </cell>
          <cell r="B504" t="str">
            <v>SPARE (incl)</v>
          </cell>
          <cell r="C504">
            <v>22571.43</v>
          </cell>
          <cell r="D504">
            <v>0.2</v>
          </cell>
          <cell r="E504">
            <v>5800</v>
          </cell>
          <cell r="F504">
            <v>80</v>
          </cell>
          <cell r="G504"/>
          <cell r="L504"/>
          <cell r="M504"/>
          <cell r="N504"/>
          <cell r="O504"/>
          <cell r="P504"/>
          <cell r="Q504"/>
          <cell r="R504"/>
        </row>
        <row r="505">
          <cell r="A505" t="str">
            <v>25PH-20BK+5MR</v>
          </cell>
          <cell r="B505" t="str">
            <v>MEGA RAMPS, SPARE (incl)</v>
          </cell>
          <cell r="C505">
            <v>23699.25</v>
          </cell>
          <cell r="D505">
            <v>0.2</v>
          </cell>
          <cell r="E505">
            <v>5800</v>
          </cell>
          <cell r="F505">
            <v>80</v>
          </cell>
          <cell r="G505"/>
          <cell r="L505"/>
          <cell r="M505"/>
          <cell r="N505"/>
          <cell r="O505"/>
          <cell r="P505"/>
          <cell r="Q505"/>
          <cell r="R505"/>
        </row>
        <row r="506">
          <cell r="A506" t="str">
            <v>25PH-25</v>
          </cell>
          <cell r="B506" t="str">
            <v>SPARE (incl)</v>
          </cell>
          <cell r="C506">
            <v>24991.279999999999</v>
          </cell>
          <cell r="D506">
            <v>0.2</v>
          </cell>
          <cell r="E506">
            <v>6200</v>
          </cell>
          <cell r="F506">
            <v>80</v>
          </cell>
          <cell r="G506"/>
          <cell r="L506"/>
          <cell r="M506"/>
          <cell r="N506"/>
          <cell r="O506"/>
          <cell r="P506"/>
          <cell r="Q506"/>
          <cell r="R506"/>
        </row>
        <row r="507">
          <cell r="A507" t="str">
            <v>25PH-25+5</v>
          </cell>
          <cell r="B507" t="str">
            <v>SPARE (incl)</v>
          </cell>
          <cell r="C507">
            <v>23157.89</v>
          </cell>
          <cell r="D507">
            <v>0.2</v>
          </cell>
          <cell r="E507">
            <v>6300</v>
          </cell>
          <cell r="F507">
            <v>80</v>
          </cell>
          <cell r="G507"/>
          <cell r="L507"/>
          <cell r="M507"/>
          <cell r="N507"/>
          <cell r="O507"/>
          <cell r="P507"/>
          <cell r="Q507"/>
          <cell r="R507"/>
        </row>
        <row r="508">
          <cell r="A508" t="str">
            <v>25PH-25BK+5</v>
          </cell>
          <cell r="B508" t="str">
            <v>SPARE (incl)</v>
          </cell>
          <cell r="C508">
            <v>23157.89</v>
          </cell>
          <cell r="D508">
            <v>0.2</v>
          </cell>
          <cell r="E508">
            <v>6300</v>
          </cell>
          <cell r="F508">
            <v>80</v>
          </cell>
          <cell r="G508"/>
          <cell r="L508"/>
          <cell r="M508"/>
          <cell r="N508"/>
          <cell r="O508"/>
          <cell r="P508"/>
          <cell r="Q508"/>
          <cell r="R508"/>
        </row>
        <row r="509">
          <cell r="A509" t="str">
            <v>25PH-25BK+5MR</v>
          </cell>
          <cell r="B509" t="str">
            <v>MEGA RAMPS, SPARE (incl)</v>
          </cell>
          <cell r="C509">
            <v>24285.71</v>
          </cell>
          <cell r="D509">
            <v>0.2</v>
          </cell>
          <cell r="E509">
            <v>6300</v>
          </cell>
          <cell r="F509">
            <v>80</v>
          </cell>
          <cell r="G509"/>
          <cell r="L509"/>
          <cell r="M509"/>
          <cell r="N509"/>
          <cell r="O509"/>
          <cell r="P509"/>
          <cell r="Q509"/>
          <cell r="R509"/>
        </row>
        <row r="510">
          <cell r="A510" t="str">
            <v>30ES-08</v>
          </cell>
          <cell r="B510" t="str">
            <v>Discontinued SKU</v>
          </cell>
          <cell r="C510">
            <v>1714.29</v>
          </cell>
          <cell r="D510">
            <v>0.2</v>
          </cell>
          <cell r="E510">
            <v>663</v>
          </cell>
          <cell r="F510">
            <v>10</v>
          </cell>
          <cell r="G510"/>
          <cell r="L510"/>
          <cell r="M510"/>
          <cell r="N510"/>
          <cell r="O510"/>
          <cell r="P510"/>
          <cell r="Q510"/>
          <cell r="R510"/>
        </row>
        <row r="511">
          <cell r="A511" t="str">
            <v>30ES-08BK4RG</v>
          </cell>
          <cell r="B511" t="str">
            <v>Discontinued SKU</v>
          </cell>
          <cell r="C511">
            <v>2165.41</v>
          </cell>
          <cell r="D511">
            <v>0.2</v>
          </cell>
          <cell r="E511">
            <v>710</v>
          </cell>
          <cell r="F511">
            <v>10</v>
          </cell>
          <cell r="G511"/>
          <cell r="L511"/>
          <cell r="M511"/>
          <cell r="N511"/>
          <cell r="O511"/>
          <cell r="P511"/>
          <cell r="Q511"/>
          <cell r="R511"/>
        </row>
        <row r="512">
          <cell r="A512" t="str">
            <v>30ES-10</v>
          </cell>
          <cell r="B512" t="str">
            <v>Discontinued SKU</v>
          </cell>
          <cell r="C512">
            <v>1804.51</v>
          </cell>
          <cell r="D512">
            <v>0.2</v>
          </cell>
          <cell r="E512">
            <v>723</v>
          </cell>
          <cell r="F512">
            <v>10</v>
          </cell>
          <cell r="G512"/>
          <cell r="L512"/>
          <cell r="M512"/>
          <cell r="N512"/>
          <cell r="O512"/>
          <cell r="P512"/>
          <cell r="Q512"/>
          <cell r="R512"/>
        </row>
        <row r="513">
          <cell r="A513" t="str">
            <v>30ES-10BK4RG</v>
          </cell>
          <cell r="B513" t="str">
            <v>Discontinued SKU</v>
          </cell>
          <cell r="C513">
            <v>2255.64</v>
          </cell>
          <cell r="D513">
            <v>0.2</v>
          </cell>
          <cell r="E513">
            <v>800</v>
          </cell>
          <cell r="F513">
            <v>10</v>
          </cell>
          <cell r="G513"/>
          <cell r="L513"/>
          <cell r="M513"/>
          <cell r="N513"/>
          <cell r="O513"/>
          <cell r="P513"/>
          <cell r="Q513"/>
          <cell r="R513"/>
        </row>
        <row r="514">
          <cell r="A514" t="str">
            <v>30SA-08</v>
          </cell>
          <cell r="B514" t="str"/>
          <cell r="C514">
            <v>2481.1999999999998</v>
          </cell>
          <cell r="D514">
            <v>0.2</v>
          </cell>
          <cell r="E514">
            <v>663</v>
          </cell>
          <cell r="F514">
            <v>10</v>
          </cell>
          <cell r="G514"/>
          <cell r="L514"/>
          <cell r="M514"/>
          <cell r="N514"/>
          <cell r="O514"/>
          <cell r="P514"/>
          <cell r="Q514"/>
          <cell r="R514"/>
        </row>
        <row r="515">
          <cell r="A515" t="str">
            <v>30SA-08BK4RG</v>
          </cell>
          <cell r="B515" t="str">
            <v>RG, SPMT</v>
          </cell>
          <cell r="C515">
            <v>2481.1999999999998</v>
          </cell>
          <cell r="D515">
            <v>0.2</v>
          </cell>
          <cell r="E515">
            <v>710</v>
          </cell>
          <cell r="F515">
            <v>10</v>
          </cell>
          <cell r="G515"/>
          <cell r="L515"/>
          <cell r="M515"/>
          <cell r="N515"/>
          <cell r="O515"/>
          <cell r="P515"/>
          <cell r="Q515"/>
          <cell r="R515"/>
        </row>
        <row r="516">
          <cell r="A516" t="str">
            <v>30SA-08BKEX2</v>
          </cell>
          <cell r="B516" t="str">
            <v>ENEX2, RG, SPMT</v>
          </cell>
          <cell r="C516">
            <v>3278.2</v>
          </cell>
          <cell r="D516">
            <v>0.2</v>
          </cell>
          <cell r="E516">
            <v>870</v>
          </cell>
          <cell r="F516">
            <v>10</v>
          </cell>
          <cell r="G516"/>
          <cell r="L516"/>
          <cell r="M516"/>
          <cell r="N516"/>
          <cell r="O516"/>
          <cell r="P516"/>
          <cell r="Q516"/>
          <cell r="R516"/>
        </row>
        <row r="517">
          <cell r="A517" t="str">
            <v>30SA-08R1A-4PBK</v>
          </cell>
          <cell r="B517" t="str">
            <v>RG, SPMT</v>
          </cell>
          <cell r="C517">
            <v>2481.1999999999998</v>
          </cell>
          <cell r="D517">
            <v>0.2</v>
          </cell>
          <cell r="E517">
            <v>710</v>
          </cell>
          <cell r="F517">
            <v>10</v>
          </cell>
          <cell r="G517"/>
          <cell r="L517"/>
          <cell r="M517"/>
          <cell r="N517"/>
          <cell r="O517"/>
          <cell r="P517"/>
          <cell r="Q517"/>
          <cell r="R517"/>
        </row>
        <row r="518">
          <cell r="A518" t="str">
            <v>30SA-10</v>
          </cell>
          <cell r="B518" t="str"/>
          <cell r="C518">
            <v>2571.4299999999998</v>
          </cell>
          <cell r="D518">
            <v>0.2</v>
          </cell>
          <cell r="E518">
            <v>723</v>
          </cell>
          <cell r="F518">
            <v>10</v>
          </cell>
          <cell r="G518"/>
          <cell r="L518"/>
          <cell r="M518"/>
          <cell r="N518"/>
          <cell r="O518"/>
          <cell r="P518"/>
          <cell r="Q518"/>
          <cell r="R518"/>
        </row>
        <row r="519">
          <cell r="A519" t="str">
            <v>30SA-10BK4RG</v>
          </cell>
          <cell r="B519" t="str">
            <v>RG, SPMT</v>
          </cell>
          <cell r="C519">
            <v>2571.4299999999998</v>
          </cell>
          <cell r="D519">
            <v>0.2</v>
          </cell>
          <cell r="E519">
            <v>800</v>
          </cell>
          <cell r="F519">
            <v>10</v>
          </cell>
          <cell r="G519"/>
          <cell r="L519"/>
          <cell r="M519"/>
          <cell r="N519"/>
          <cell r="O519"/>
          <cell r="P519"/>
          <cell r="Q519"/>
          <cell r="R519"/>
        </row>
        <row r="520">
          <cell r="A520" t="str">
            <v>30SA-10BKEX2</v>
          </cell>
          <cell r="B520" t="str">
            <v>ENEX2, RG, SPMT</v>
          </cell>
          <cell r="C520">
            <v>3436.09</v>
          </cell>
          <cell r="D520">
            <v>0.2</v>
          </cell>
          <cell r="E520">
            <v>870</v>
          </cell>
          <cell r="F520">
            <v>10</v>
          </cell>
          <cell r="G520"/>
          <cell r="L520"/>
          <cell r="M520"/>
          <cell r="N520"/>
          <cell r="O520"/>
          <cell r="P520"/>
          <cell r="Q520"/>
          <cell r="R520"/>
        </row>
        <row r="521">
          <cell r="A521" t="str">
            <v>30SA-10R1A-4PBK</v>
          </cell>
          <cell r="B521" t="str">
            <v>RG, SPMT</v>
          </cell>
          <cell r="C521">
            <v>2571.4299999999998</v>
          </cell>
          <cell r="D521">
            <v>0.2</v>
          </cell>
          <cell r="E521">
            <v>800</v>
          </cell>
          <cell r="F521">
            <v>10</v>
          </cell>
          <cell r="G521"/>
          <cell r="L521"/>
          <cell r="M521"/>
          <cell r="N521"/>
          <cell r="O521"/>
          <cell r="P521"/>
          <cell r="Q521"/>
          <cell r="R521"/>
        </row>
        <row r="522">
          <cell r="A522" t="str">
            <v>30SA-12BK4RG</v>
          </cell>
          <cell r="B522" t="str">
            <v>RG, SPMT</v>
          </cell>
          <cell r="C522">
            <v>2887.22</v>
          </cell>
          <cell r="D522">
            <v>0.2</v>
          </cell>
          <cell r="E522">
            <v>890</v>
          </cell>
          <cell r="F522">
            <v>10</v>
          </cell>
          <cell r="G522"/>
          <cell r="L522"/>
          <cell r="M522"/>
          <cell r="N522"/>
          <cell r="O522"/>
          <cell r="P522"/>
          <cell r="Q522"/>
          <cell r="R522"/>
        </row>
        <row r="523">
          <cell r="A523" t="str">
            <v>30SV-08</v>
          </cell>
          <cell r="B523" t="str"/>
          <cell r="C523">
            <v>3172.93</v>
          </cell>
          <cell r="D523">
            <v>0.2</v>
          </cell>
          <cell r="E523">
            <v>870</v>
          </cell>
          <cell r="F523">
            <v>30</v>
          </cell>
          <cell r="G523"/>
          <cell r="L523"/>
          <cell r="M523"/>
          <cell r="N523"/>
          <cell r="O523"/>
          <cell r="P523"/>
          <cell r="Q523"/>
          <cell r="R523"/>
        </row>
        <row r="524">
          <cell r="A524" t="str">
            <v>30SV-08BK</v>
          </cell>
          <cell r="B524" t="str">
            <v>RG, SPMT</v>
          </cell>
          <cell r="C524">
            <v>3699.25</v>
          </cell>
          <cell r="D524">
            <v>0.2</v>
          </cell>
          <cell r="E524">
            <v>870</v>
          </cell>
          <cell r="F524">
            <v>30</v>
          </cell>
          <cell r="G524"/>
          <cell r="L524"/>
          <cell r="M524"/>
          <cell r="N524"/>
          <cell r="O524"/>
          <cell r="P524"/>
          <cell r="Q524"/>
          <cell r="R524"/>
        </row>
        <row r="525">
          <cell r="A525" t="str">
            <v>30SV-10</v>
          </cell>
          <cell r="B525" t="str"/>
          <cell r="C525">
            <v>3263.16</v>
          </cell>
          <cell r="D525">
            <v>0.2</v>
          </cell>
          <cell r="E525">
            <v>970</v>
          </cell>
          <cell r="F525">
            <v>30</v>
          </cell>
          <cell r="G525"/>
          <cell r="L525"/>
          <cell r="M525"/>
          <cell r="N525"/>
          <cell r="O525"/>
          <cell r="P525"/>
          <cell r="Q525"/>
          <cell r="R525"/>
        </row>
        <row r="526">
          <cell r="A526" t="str">
            <v>30SV-10BK</v>
          </cell>
          <cell r="B526" t="str">
            <v>RG, SPMT</v>
          </cell>
          <cell r="C526">
            <v>3789.47</v>
          </cell>
          <cell r="D526">
            <v>0.2</v>
          </cell>
          <cell r="E526">
            <v>970</v>
          </cell>
          <cell r="F526">
            <v>30</v>
          </cell>
          <cell r="G526"/>
          <cell r="L526"/>
          <cell r="M526"/>
          <cell r="N526"/>
          <cell r="O526"/>
          <cell r="P526"/>
          <cell r="Q526"/>
          <cell r="R526"/>
        </row>
        <row r="527">
          <cell r="A527" t="str">
            <v>30SV-12</v>
          </cell>
          <cell r="B527" t="str"/>
          <cell r="C527">
            <v>3368.42</v>
          </cell>
          <cell r="D527">
            <v>0.2</v>
          </cell>
          <cell r="E527">
            <v>1070</v>
          </cell>
          <cell r="F527">
            <v>30</v>
          </cell>
          <cell r="G527"/>
          <cell r="L527"/>
          <cell r="M527"/>
          <cell r="N527"/>
          <cell r="O527"/>
          <cell r="P527"/>
          <cell r="Q527"/>
          <cell r="R527"/>
        </row>
        <row r="528">
          <cell r="A528" t="str">
            <v>30SV-12BK</v>
          </cell>
          <cell r="B528" t="str">
            <v>RG, SPMT</v>
          </cell>
          <cell r="C528">
            <v>3894.74</v>
          </cell>
          <cell r="D528">
            <v>0.2</v>
          </cell>
          <cell r="E528">
            <v>1070</v>
          </cell>
          <cell r="F528">
            <v>30</v>
          </cell>
          <cell r="G528"/>
          <cell r="L528"/>
          <cell r="M528"/>
          <cell r="N528"/>
          <cell r="O528"/>
          <cell r="P528"/>
          <cell r="Q528"/>
          <cell r="R528"/>
        </row>
        <row r="529">
          <cell r="A529" t="str">
            <v>35ES-12</v>
          </cell>
          <cell r="B529" t="str">
            <v>Discontinued SKU</v>
          </cell>
          <cell r="C529">
            <v>2135.34</v>
          </cell>
          <cell r="D529">
            <v>0.2</v>
          </cell>
          <cell r="E529">
            <v>983</v>
          </cell>
          <cell r="F529">
            <v>10</v>
          </cell>
          <cell r="G529"/>
          <cell r="L529"/>
          <cell r="M529"/>
          <cell r="N529"/>
          <cell r="O529"/>
          <cell r="P529"/>
          <cell r="Q529"/>
          <cell r="R529"/>
        </row>
        <row r="530">
          <cell r="A530" t="str">
            <v>35ES-12BK4RG</v>
          </cell>
          <cell r="B530" t="str">
            <v>Discontinued SKU</v>
          </cell>
          <cell r="C530">
            <v>2586.4699999999998</v>
          </cell>
          <cell r="D530">
            <v>0.2</v>
          </cell>
          <cell r="E530">
            <v>1072</v>
          </cell>
          <cell r="F530">
            <v>10</v>
          </cell>
          <cell r="G530"/>
          <cell r="L530"/>
          <cell r="M530"/>
          <cell r="N530"/>
          <cell r="O530"/>
          <cell r="P530"/>
          <cell r="Q530"/>
          <cell r="R530"/>
        </row>
        <row r="531">
          <cell r="A531" t="str">
            <v>35ES-14</v>
          </cell>
          <cell r="B531" t="str">
            <v>Discontinued SKU</v>
          </cell>
          <cell r="C531">
            <v>2255.64</v>
          </cell>
          <cell r="D531">
            <v>0.2</v>
          </cell>
          <cell r="E531">
            <v>1073</v>
          </cell>
          <cell r="F531">
            <v>10</v>
          </cell>
          <cell r="G531"/>
          <cell r="L531"/>
          <cell r="M531"/>
          <cell r="N531"/>
          <cell r="O531"/>
          <cell r="P531"/>
          <cell r="Q531"/>
          <cell r="R531"/>
        </row>
        <row r="532">
          <cell r="A532" t="str">
            <v>35ES-14BK4RG</v>
          </cell>
          <cell r="B532" t="str">
            <v>Discontinued SKU</v>
          </cell>
          <cell r="C532">
            <v>2706.77</v>
          </cell>
          <cell r="D532">
            <v>0.2</v>
          </cell>
          <cell r="E532">
            <v>1162</v>
          </cell>
          <cell r="F532">
            <v>10</v>
          </cell>
          <cell r="G532"/>
          <cell r="L532"/>
          <cell r="M532"/>
          <cell r="N532"/>
          <cell r="O532"/>
          <cell r="P532"/>
          <cell r="Q532"/>
          <cell r="R532"/>
        </row>
        <row r="533">
          <cell r="A533" t="str">
            <v>35LS-12</v>
          </cell>
          <cell r="B533" t="str">
            <v>Discontinued SKU</v>
          </cell>
          <cell r="C533">
            <v>4165.41</v>
          </cell>
          <cell r="D533">
            <v>0.2</v>
          </cell>
          <cell r="E533">
            <v>1510</v>
          </cell>
          <cell r="F533">
            <v>30</v>
          </cell>
          <cell r="G533"/>
          <cell r="L533"/>
          <cell r="M533"/>
          <cell r="N533"/>
          <cell r="O533"/>
          <cell r="P533"/>
          <cell r="Q533"/>
          <cell r="R533"/>
        </row>
        <row r="534">
          <cell r="A534" t="str">
            <v>35LS-12BK</v>
          </cell>
          <cell r="B534" t="str">
            <v>Discontinued SKU</v>
          </cell>
          <cell r="C534">
            <v>4541.3500000000004</v>
          </cell>
          <cell r="D534">
            <v>0.2</v>
          </cell>
          <cell r="E534">
            <v>1510</v>
          </cell>
          <cell r="F534">
            <v>30</v>
          </cell>
          <cell r="G534"/>
          <cell r="L534"/>
          <cell r="M534"/>
          <cell r="N534"/>
          <cell r="O534"/>
          <cell r="P534"/>
          <cell r="Q534"/>
          <cell r="R534"/>
        </row>
        <row r="535">
          <cell r="A535" t="str">
            <v>35LS-12BK-P4</v>
          </cell>
          <cell r="B535" t="str">
            <v>Discontinued SKU</v>
          </cell>
          <cell r="C535">
            <v>5669.17</v>
          </cell>
          <cell r="D535">
            <v>0.2</v>
          </cell>
          <cell r="E535">
            <v>1510</v>
          </cell>
          <cell r="F535">
            <v>30</v>
          </cell>
          <cell r="G535"/>
          <cell r="L535"/>
          <cell r="M535"/>
          <cell r="N535"/>
          <cell r="O535"/>
          <cell r="P535"/>
          <cell r="Q535"/>
          <cell r="R535"/>
        </row>
        <row r="536">
          <cell r="A536" t="str">
            <v>35LS-14</v>
          </cell>
          <cell r="B536" t="str">
            <v>Discontinued SKU</v>
          </cell>
          <cell r="C536">
            <v>4285.71</v>
          </cell>
          <cell r="D536">
            <v>0.2</v>
          </cell>
          <cell r="E536">
            <v>1720</v>
          </cell>
          <cell r="F536">
            <v>30</v>
          </cell>
          <cell r="G536"/>
          <cell r="L536"/>
          <cell r="M536"/>
          <cell r="N536"/>
          <cell r="O536"/>
          <cell r="P536"/>
          <cell r="Q536"/>
          <cell r="R536"/>
        </row>
        <row r="537">
          <cell r="A537" t="str">
            <v>35LS-14BK</v>
          </cell>
          <cell r="B537" t="str">
            <v>Discontinued SKU</v>
          </cell>
          <cell r="C537">
            <v>4661.6499999999996</v>
          </cell>
          <cell r="D537">
            <v>0.2</v>
          </cell>
          <cell r="E537">
            <v>1720</v>
          </cell>
          <cell r="F537">
            <v>30</v>
          </cell>
          <cell r="G537"/>
          <cell r="L537"/>
          <cell r="M537"/>
          <cell r="N537"/>
          <cell r="O537"/>
          <cell r="P537"/>
          <cell r="Q537"/>
          <cell r="R537"/>
        </row>
        <row r="538">
          <cell r="A538" t="str">
            <v>35LS-14BK-P4</v>
          </cell>
          <cell r="B538" t="str">
            <v>Discontinued SKU</v>
          </cell>
          <cell r="C538">
            <v>5789.47</v>
          </cell>
          <cell r="D538">
            <v>0.2</v>
          </cell>
          <cell r="E538">
            <v>1720</v>
          </cell>
          <cell r="F538">
            <v>30</v>
          </cell>
          <cell r="G538"/>
          <cell r="L538"/>
          <cell r="M538"/>
          <cell r="N538"/>
          <cell r="O538"/>
          <cell r="P538"/>
          <cell r="Q538"/>
          <cell r="R538"/>
        </row>
        <row r="539">
          <cell r="A539" t="str">
            <v>35SA-10</v>
          </cell>
          <cell r="B539" t="str"/>
          <cell r="C539">
            <v>2796.99</v>
          </cell>
          <cell r="D539">
            <v>0.2</v>
          </cell>
          <cell r="E539">
            <v>893</v>
          </cell>
          <cell r="F539">
            <v>10</v>
          </cell>
          <cell r="G539"/>
          <cell r="L539"/>
          <cell r="M539"/>
          <cell r="N539"/>
          <cell r="O539"/>
          <cell r="P539"/>
          <cell r="Q539"/>
          <cell r="R539"/>
        </row>
        <row r="540">
          <cell r="A540" t="str">
            <v>35SA-10BK4RG</v>
          </cell>
          <cell r="B540" t="str">
            <v>RG, SPMT</v>
          </cell>
          <cell r="C540">
            <v>2796.99</v>
          </cell>
          <cell r="D540">
            <v>0.2</v>
          </cell>
          <cell r="E540">
            <v>988</v>
          </cell>
          <cell r="F540">
            <v>10</v>
          </cell>
          <cell r="G540"/>
          <cell r="L540"/>
          <cell r="M540"/>
          <cell r="N540"/>
          <cell r="O540"/>
          <cell r="P540"/>
          <cell r="Q540"/>
          <cell r="R540"/>
        </row>
        <row r="541">
          <cell r="A541" t="str">
            <v>35SA-10BKEX2</v>
          </cell>
          <cell r="B541" t="str">
            <v>ENEX2, RG, SPMT</v>
          </cell>
          <cell r="C541">
            <v>3702.26</v>
          </cell>
          <cell r="D541">
            <v>0.2</v>
          </cell>
          <cell r="E541">
            <v>1130</v>
          </cell>
          <cell r="F541">
            <v>10</v>
          </cell>
          <cell r="G541"/>
          <cell r="L541"/>
          <cell r="M541"/>
          <cell r="N541"/>
          <cell r="O541"/>
          <cell r="P541"/>
          <cell r="Q541"/>
          <cell r="R541"/>
        </row>
        <row r="542">
          <cell r="A542" t="str">
            <v>35SA-10R1A-4PBK</v>
          </cell>
          <cell r="B542" t="str">
            <v>RG, SPMT</v>
          </cell>
          <cell r="C542">
            <v>2796.99</v>
          </cell>
          <cell r="D542">
            <v>0.2</v>
          </cell>
          <cell r="E542">
            <v>988</v>
          </cell>
          <cell r="F542">
            <v>10</v>
          </cell>
          <cell r="G542"/>
          <cell r="L542"/>
          <cell r="M542"/>
          <cell r="N542"/>
          <cell r="O542"/>
          <cell r="P542"/>
          <cell r="Q542"/>
          <cell r="R542"/>
        </row>
        <row r="543">
          <cell r="A543" t="str">
            <v>35SA-12</v>
          </cell>
          <cell r="B543" t="str"/>
          <cell r="C543">
            <v>2902.26</v>
          </cell>
          <cell r="D543">
            <v>0.2</v>
          </cell>
          <cell r="E543">
            <v>983</v>
          </cell>
          <cell r="F543">
            <v>10</v>
          </cell>
          <cell r="G543"/>
          <cell r="L543"/>
          <cell r="M543"/>
          <cell r="N543"/>
          <cell r="O543"/>
          <cell r="P543"/>
          <cell r="Q543"/>
          <cell r="R543"/>
        </row>
        <row r="544">
          <cell r="A544" t="str">
            <v>35SA-12BK4RG</v>
          </cell>
          <cell r="B544" t="str">
            <v>RG, SPMT</v>
          </cell>
          <cell r="C544">
            <v>2902.26</v>
          </cell>
          <cell r="D544">
            <v>0.2</v>
          </cell>
          <cell r="E544">
            <v>1078</v>
          </cell>
          <cell r="F544">
            <v>10</v>
          </cell>
          <cell r="G544"/>
          <cell r="L544"/>
          <cell r="M544"/>
          <cell r="N544"/>
          <cell r="O544"/>
          <cell r="P544"/>
          <cell r="Q544"/>
          <cell r="R544"/>
        </row>
        <row r="545">
          <cell r="A545" t="str">
            <v>35SA-12BKEX2</v>
          </cell>
          <cell r="B545" t="str">
            <v>ENEX2, RG, SPMT</v>
          </cell>
          <cell r="C545">
            <v>3915.79</v>
          </cell>
          <cell r="D545">
            <v>0.2</v>
          </cell>
          <cell r="E545">
            <v>1130</v>
          </cell>
          <cell r="F545">
            <v>10</v>
          </cell>
          <cell r="G545"/>
          <cell r="L545"/>
          <cell r="M545"/>
          <cell r="N545"/>
          <cell r="O545"/>
          <cell r="P545"/>
          <cell r="Q545"/>
          <cell r="R545"/>
        </row>
        <row r="546">
          <cell r="A546" t="str">
            <v>35SA-12BKRSX</v>
          </cell>
          <cell r="B546" t="str">
            <v>Discontinued SKU</v>
          </cell>
          <cell r="C546">
            <v>4045.11</v>
          </cell>
          <cell r="D546">
            <v>0.2</v>
          </cell>
          <cell r="E546">
            <v>1140</v>
          </cell>
          <cell r="F546">
            <v>10</v>
          </cell>
          <cell r="G546"/>
          <cell r="L546"/>
          <cell r="M546"/>
          <cell r="N546"/>
          <cell r="O546"/>
          <cell r="P546"/>
          <cell r="Q546"/>
          <cell r="R546"/>
        </row>
        <row r="547">
          <cell r="A547" t="str">
            <v>35SA-12R1A-4PBK</v>
          </cell>
          <cell r="B547" t="str">
            <v>RG, SPMT</v>
          </cell>
          <cell r="C547">
            <v>2902.26</v>
          </cell>
          <cell r="D547">
            <v>0.2</v>
          </cell>
          <cell r="E547">
            <v>1078</v>
          </cell>
          <cell r="F547">
            <v>10</v>
          </cell>
          <cell r="G547"/>
          <cell r="L547"/>
          <cell r="M547"/>
          <cell r="N547"/>
          <cell r="O547"/>
          <cell r="P547"/>
          <cell r="Q547"/>
          <cell r="R547"/>
        </row>
        <row r="548">
          <cell r="A548" t="str">
            <v>35SA-12RSX</v>
          </cell>
          <cell r="B548" t="str">
            <v>Discontinued SKU</v>
          </cell>
          <cell r="C548">
            <v>3593.98</v>
          </cell>
          <cell r="D548">
            <v>0.2</v>
          </cell>
          <cell r="E548">
            <v>1140</v>
          </cell>
          <cell r="F548">
            <v>10</v>
          </cell>
          <cell r="G548"/>
          <cell r="L548"/>
          <cell r="M548"/>
          <cell r="N548"/>
          <cell r="O548"/>
          <cell r="P548"/>
          <cell r="Q548"/>
          <cell r="R548"/>
        </row>
        <row r="549">
          <cell r="A549" t="str">
            <v>35SA-12X</v>
          </cell>
          <cell r="B549" t="str"/>
          <cell r="C549">
            <v>2541.35</v>
          </cell>
          <cell r="D549">
            <v>0.2</v>
          </cell>
          <cell r="E549">
            <v>1003</v>
          </cell>
          <cell r="F549">
            <v>10</v>
          </cell>
          <cell r="G549"/>
          <cell r="L549"/>
          <cell r="M549"/>
          <cell r="N549"/>
          <cell r="O549"/>
          <cell r="P549"/>
          <cell r="Q549"/>
          <cell r="R549"/>
        </row>
        <row r="550">
          <cell r="A550" t="str">
            <v>35SA-12XBK4RG</v>
          </cell>
          <cell r="B550" t="str">
            <v>RG, SPMT</v>
          </cell>
          <cell r="C550">
            <v>2992.48</v>
          </cell>
          <cell r="D550">
            <v>0.2</v>
          </cell>
          <cell r="E550">
            <v>1003</v>
          </cell>
          <cell r="F550">
            <v>10</v>
          </cell>
          <cell r="G550"/>
          <cell r="L550"/>
          <cell r="M550"/>
          <cell r="N550"/>
          <cell r="O550"/>
          <cell r="P550"/>
          <cell r="Q550"/>
          <cell r="R550"/>
        </row>
        <row r="551">
          <cell r="A551" t="str">
            <v>35SA-14</v>
          </cell>
          <cell r="B551" t="str"/>
          <cell r="C551">
            <v>3022.56</v>
          </cell>
          <cell r="D551">
            <v>0.2</v>
          </cell>
          <cell r="E551">
            <v>1073</v>
          </cell>
          <cell r="F551">
            <v>10</v>
          </cell>
          <cell r="G551"/>
          <cell r="L551"/>
          <cell r="M551"/>
          <cell r="N551"/>
          <cell r="O551"/>
          <cell r="P551"/>
          <cell r="Q551"/>
          <cell r="R551"/>
        </row>
        <row r="552">
          <cell r="A552" t="str">
            <v>35SA-14BK4RG</v>
          </cell>
          <cell r="B552" t="str">
            <v>RG, SPMT</v>
          </cell>
          <cell r="C552">
            <v>3022.56</v>
          </cell>
          <cell r="D552">
            <v>0.2</v>
          </cell>
          <cell r="E552">
            <v>1168</v>
          </cell>
          <cell r="F552">
            <v>10</v>
          </cell>
          <cell r="G552"/>
          <cell r="L552"/>
          <cell r="M552"/>
          <cell r="N552"/>
          <cell r="O552"/>
          <cell r="P552"/>
          <cell r="Q552"/>
          <cell r="R552"/>
        </row>
        <row r="553">
          <cell r="A553" t="str">
            <v>35SA-14BKRSX</v>
          </cell>
          <cell r="B553" t="str">
            <v>Discontinued SKU</v>
          </cell>
          <cell r="C553">
            <v>4150.38</v>
          </cell>
          <cell r="D553">
            <v>0.2</v>
          </cell>
          <cell r="E553">
            <v>1220</v>
          </cell>
          <cell r="F553">
            <v>10</v>
          </cell>
          <cell r="G553"/>
          <cell r="L553"/>
          <cell r="M553"/>
          <cell r="N553"/>
          <cell r="O553"/>
          <cell r="P553"/>
          <cell r="Q553"/>
          <cell r="R553"/>
        </row>
        <row r="554">
          <cell r="A554" t="str">
            <v>35SA-14R1A-4PBK</v>
          </cell>
          <cell r="B554" t="str">
            <v>RG, SPMT</v>
          </cell>
          <cell r="C554">
            <v>3022.56</v>
          </cell>
          <cell r="D554">
            <v>0.2</v>
          </cell>
          <cell r="E554">
            <v>1168</v>
          </cell>
          <cell r="F554">
            <v>10</v>
          </cell>
          <cell r="G554"/>
          <cell r="L554"/>
          <cell r="M554"/>
          <cell r="N554"/>
          <cell r="O554"/>
          <cell r="P554"/>
          <cell r="Q554"/>
          <cell r="R554"/>
        </row>
        <row r="555">
          <cell r="A555" t="str">
            <v>35SA-14RSX</v>
          </cell>
          <cell r="B555" t="str">
            <v>Discontinued SKU</v>
          </cell>
          <cell r="C555">
            <v>3714.29</v>
          </cell>
          <cell r="D555">
            <v>0.2</v>
          </cell>
          <cell r="E555">
            <v>1220</v>
          </cell>
          <cell r="F555">
            <v>10</v>
          </cell>
          <cell r="G555"/>
          <cell r="L555"/>
          <cell r="M555"/>
          <cell r="N555"/>
          <cell r="O555"/>
          <cell r="P555"/>
          <cell r="Q555"/>
          <cell r="R555"/>
        </row>
        <row r="556">
          <cell r="A556" t="str">
            <v>35SA-14X</v>
          </cell>
          <cell r="B556" t="str"/>
          <cell r="C556">
            <v>2661.65</v>
          </cell>
          <cell r="D556">
            <v>0.2</v>
          </cell>
          <cell r="E556">
            <v>1093</v>
          </cell>
          <cell r="F556">
            <v>10</v>
          </cell>
          <cell r="G556"/>
          <cell r="L556"/>
          <cell r="M556"/>
          <cell r="N556"/>
          <cell r="O556"/>
          <cell r="P556"/>
          <cell r="Q556"/>
          <cell r="R556"/>
        </row>
        <row r="557">
          <cell r="A557" t="str">
            <v>35SA-14XBK4RG</v>
          </cell>
          <cell r="B557" t="str">
            <v>RG, SPMT</v>
          </cell>
          <cell r="C557">
            <v>3112.78</v>
          </cell>
          <cell r="D557">
            <v>0.2</v>
          </cell>
          <cell r="E557">
            <v>1093</v>
          </cell>
          <cell r="F557">
            <v>10</v>
          </cell>
          <cell r="G557"/>
          <cell r="L557"/>
          <cell r="M557"/>
          <cell r="N557"/>
          <cell r="O557"/>
          <cell r="P557"/>
          <cell r="Q557"/>
          <cell r="R557"/>
        </row>
        <row r="558">
          <cell r="A558" t="str">
            <v>35SV-10</v>
          </cell>
          <cell r="B558" t="str"/>
          <cell r="C558">
            <v>3413.53</v>
          </cell>
          <cell r="D558">
            <v>0.2</v>
          </cell>
          <cell r="E558">
            <v>1100</v>
          </cell>
          <cell r="F558">
            <v>30</v>
          </cell>
          <cell r="G558"/>
          <cell r="L558"/>
          <cell r="M558"/>
          <cell r="N558"/>
          <cell r="O558"/>
          <cell r="P558"/>
          <cell r="Q558"/>
          <cell r="R558"/>
        </row>
        <row r="559">
          <cell r="A559" t="str">
            <v>35SV-10BK</v>
          </cell>
          <cell r="B559" t="str">
            <v>RG, SPMT</v>
          </cell>
          <cell r="C559">
            <v>3939.85</v>
          </cell>
          <cell r="D559">
            <v>0.2</v>
          </cell>
          <cell r="E559">
            <v>1100</v>
          </cell>
          <cell r="F559">
            <v>30</v>
          </cell>
          <cell r="G559"/>
          <cell r="L559"/>
          <cell r="M559"/>
          <cell r="N559"/>
          <cell r="O559"/>
          <cell r="P559"/>
          <cell r="Q559"/>
          <cell r="R559"/>
        </row>
        <row r="560">
          <cell r="A560" t="str">
            <v>35SV-12</v>
          </cell>
          <cell r="B560" t="str"/>
          <cell r="C560">
            <v>3518.8</v>
          </cell>
          <cell r="D560">
            <v>0.2</v>
          </cell>
          <cell r="E560">
            <v>1290</v>
          </cell>
          <cell r="F560">
            <v>30</v>
          </cell>
          <cell r="G560"/>
          <cell r="L560"/>
          <cell r="M560"/>
          <cell r="N560"/>
          <cell r="O560"/>
          <cell r="P560"/>
          <cell r="Q560"/>
          <cell r="R560"/>
        </row>
        <row r="561">
          <cell r="A561" t="str">
            <v>35SV-12BK</v>
          </cell>
          <cell r="B561" t="str">
            <v>RG, SPMT</v>
          </cell>
          <cell r="C561">
            <v>4045.11</v>
          </cell>
          <cell r="D561">
            <v>0.2</v>
          </cell>
          <cell r="E561">
            <v>1290</v>
          </cell>
          <cell r="F561">
            <v>30</v>
          </cell>
          <cell r="G561"/>
          <cell r="L561"/>
          <cell r="M561"/>
          <cell r="N561"/>
          <cell r="O561"/>
          <cell r="P561"/>
          <cell r="Q561"/>
          <cell r="R561"/>
        </row>
        <row r="562">
          <cell r="A562" t="str">
            <v>35SV-14</v>
          </cell>
          <cell r="B562" t="str"/>
          <cell r="C562">
            <v>3639.1</v>
          </cell>
          <cell r="D562">
            <v>0.2</v>
          </cell>
          <cell r="E562">
            <v>1480</v>
          </cell>
          <cell r="F562">
            <v>30</v>
          </cell>
          <cell r="G562"/>
          <cell r="L562"/>
          <cell r="M562"/>
          <cell r="N562"/>
          <cell r="O562"/>
          <cell r="P562"/>
          <cell r="Q562"/>
          <cell r="R562"/>
        </row>
        <row r="563">
          <cell r="A563" t="str">
            <v>35SV-14BK</v>
          </cell>
          <cell r="B563" t="str">
            <v>RG, SPMT</v>
          </cell>
          <cell r="C563">
            <v>4165.41</v>
          </cell>
          <cell r="D563">
            <v>0.2</v>
          </cell>
          <cell r="E563">
            <v>1480</v>
          </cell>
          <cell r="F563">
            <v>30</v>
          </cell>
          <cell r="G563"/>
          <cell r="L563"/>
          <cell r="M563"/>
          <cell r="N563"/>
          <cell r="O563"/>
          <cell r="P563"/>
          <cell r="Q563"/>
          <cell r="R563"/>
        </row>
        <row r="564">
          <cell r="A564" t="str">
            <v>35SX-12</v>
          </cell>
          <cell r="B564" t="str">
            <v>Xwide</v>
          </cell>
          <cell r="C564">
            <v>2992.48</v>
          </cell>
          <cell r="D564">
            <v>0.2</v>
          </cell>
          <cell r="E564">
            <v>1003</v>
          </cell>
          <cell r="F564">
            <v>10</v>
          </cell>
          <cell r="G564"/>
          <cell r="L564"/>
          <cell r="M564"/>
          <cell r="N564"/>
          <cell r="O564"/>
          <cell r="P564"/>
          <cell r="Q564"/>
          <cell r="R564"/>
        </row>
        <row r="565">
          <cell r="A565" t="str">
            <v>35SX-12R1A-4PBK</v>
          </cell>
          <cell r="B565" t="str">
            <v>Xwide, RG, SPMT</v>
          </cell>
          <cell r="C565">
            <v>2992.48</v>
          </cell>
          <cell r="D565">
            <v>0.2</v>
          </cell>
          <cell r="E565">
            <v>1003</v>
          </cell>
          <cell r="F565">
            <v>10</v>
          </cell>
          <cell r="G565"/>
          <cell r="L565"/>
          <cell r="M565"/>
          <cell r="N565"/>
          <cell r="O565"/>
          <cell r="P565"/>
          <cell r="Q565"/>
          <cell r="R565"/>
        </row>
        <row r="566">
          <cell r="A566" t="str">
            <v>35SX-14</v>
          </cell>
          <cell r="B566" t="str">
            <v>Xwide</v>
          </cell>
          <cell r="C566">
            <v>3112.78</v>
          </cell>
          <cell r="D566">
            <v>0.2</v>
          </cell>
          <cell r="E566">
            <v>1093</v>
          </cell>
          <cell r="F566">
            <v>10</v>
          </cell>
          <cell r="G566"/>
          <cell r="L566"/>
          <cell r="M566"/>
          <cell r="N566"/>
          <cell r="O566"/>
          <cell r="P566"/>
          <cell r="Q566"/>
          <cell r="R566"/>
        </row>
        <row r="567">
          <cell r="A567" t="str">
            <v>35SX-14R1A-4PBK</v>
          </cell>
          <cell r="B567" t="str">
            <v>Xwide, RG, SPMT</v>
          </cell>
          <cell r="C567">
            <v>3112.78</v>
          </cell>
          <cell r="D567">
            <v>0.2</v>
          </cell>
          <cell r="E567">
            <v>1093</v>
          </cell>
          <cell r="F567">
            <v>10</v>
          </cell>
          <cell r="G567"/>
          <cell r="L567"/>
          <cell r="M567"/>
          <cell r="N567"/>
          <cell r="O567"/>
          <cell r="P567"/>
          <cell r="Q567"/>
          <cell r="R567"/>
        </row>
        <row r="568">
          <cell r="A568" t="str">
            <v>35UT-14</v>
          </cell>
          <cell r="B568" t="str">
            <v>SPMT</v>
          </cell>
          <cell r="C568">
            <v>4045.11</v>
          </cell>
          <cell r="D568">
            <v>0.2</v>
          </cell>
          <cell r="E568">
            <v>1380</v>
          </cell>
          <cell r="F568">
            <v>10</v>
          </cell>
          <cell r="G568"/>
          <cell r="L568"/>
          <cell r="M568"/>
          <cell r="N568"/>
          <cell r="O568"/>
          <cell r="P568"/>
          <cell r="Q568"/>
          <cell r="R568"/>
        </row>
        <row r="569">
          <cell r="A569" t="str">
            <v>35UT-14BK</v>
          </cell>
          <cell r="B569" t="str">
            <v>4BFRG, SPMT, TBOX</v>
          </cell>
          <cell r="C569">
            <v>4045.11</v>
          </cell>
          <cell r="D569">
            <v>0.2</v>
          </cell>
          <cell r="E569">
            <v>1380</v>
          </cell>
          <cell r="F569">
            <v>10</v>
          </cell>
          <cell r="G569"/>
          <cell r="L569"/>
          <cell r="M569"/>
          <cell r="N569"/>
          <cell r="O569"/>
          <cell r="P569"/>
          <cell r="Q569"/>
          <cell r="R569"/>
        </row>
        <row r="570">
          <cell r="A570" t="str">
            <v>3XGN-20</v>
          </cell>
          <cell r="B570" t="str"/>
          <cell r="C570">
            <v>0</v>
          </cell>
          <cell r="D570">
            <v>0.2</v>
          </cell>
          <cell r="E570">
            <v>6080</v>
          </cell>
          <cell r="F570">
            <v>60</v>
          </cell>
          <cell r="G570"/>
          <cell r="L570"/>
          <cell r="M570"/>
          <cell r="N570"/>
          <cell r="O570"/>
          <cell r="P570"/>
          <cell r="Q570"/>
          <cell r="R570"/>
        </row>
        <row r="571">
          <cell r="A571" t="str">
            <v>3XGN-20+5</v>
          </cell>
          <cell r="B571" t="str">
            <v>SPARE (incl)</v>
          </cell>
          <cell r="C571">
            <v>33052.629999999997</v>
          </cell>
          <cell r="D571">
            <v>0.2</v>
          </cell>
          <cell r="E571">
            <v>6980</v>
          </cell>
          <cell r="F571">
            <v>60</v>
          </cell>
          <cell r="G571"/>
          <cell r="L571"/>
          <cell r="M571"/>
          <cell r="N571"/>
          <cell r="O571"/>
          <cell r="P571"/>
          <cell r="Q571"/>
          <cell r="R571"/>
        </row>
        <row r="572">
          <cell r="A572" t="str">
            <v>3XGN-25</v>
          </cell>
          <cell r="B572" t="str"/>
          <cell r="C572">
            <v>35368.42</v>
          </cell>
          <cell r="D572">
            <v>0.2</v>
          </cell>
          <cell r="E572">
            <v>7140</v>
          </cell>
          <cell r="F572">
            <v>60</v>
          </cell>
          <cell r="G572"/>
          <cell r="L572"/>
          <cell r="M572"/>
          <cell r="N572"/>
          <cell r="O572"/>
          <cell r="P572"/>
          <cell r="Q572"/>
          <cell r="R572"/>
        </row>
        <row r="573">
          <cell r="A573" t="str">
            <v>3XGN-25+5</v>
          </cell>
          <cell r="B573" t="str">
            <v>SPARE (incl)</v>
          </cell>
          <cell r="C573">
            <v>33609.019999999997</v>
          </cell>
          <cell r="D573">
            <v>0.2</v>
          </cell>
          <cell r="E573">
            <v>8440</v>
          </cell>
          <cell r="F573">
            <v>60</v>
          </cell>
          <cell r="G573"/>
          <cell r="L573"/>
          <cell r="M573"/>
          <cell r="N573"/>
          <cell r="O573"/>
          <cell r="P573"/>
          <cell r="Q573"/>
          <cell r="R573"/>
        </row>
        <row r="574">
          <cell r="A574" t="str">
            <v>3XGN-25BK+5-MR</v>
          </cell>
          <cell r="B574" t="str">
            <v>MR, SPARE (incl), Discontinued SKU</v>
          </cell>
          <cell r="C574">
            <v>35413.53</v>
          </cell>
          <cell r="D574">
            <v>0.2</v>
          </cell>
          <cell r="E574">
            <v>8790</v>
          </cell>
          <cell r="F574">
            <v>60</v>
          </cell>
          <cell r="G574"/>
          <cell r="L574"/>
          <cell r="M574"/>
          <cell r="N574"/>
          <cell r="O574"/>
          <cell r="P574"/>
          <cell r="Q574"/>
          <cell r="R574"/>
        </row>
        <row r="575">
          <cell r="A575" t="str">
            <v>3XGN-28+5</v>
          </cell>
          <cell r="B575" t="str">
            <v>SPARE (incl)</v>
          </cell>
          <cell r="C575">
            <v>33954.89</v>
          </cell>
          <cell r="D575">
            <v>0.2</v>
          </cell>
          <cell r="E575">
            <v>9140</v>
          </cell>
          <cell r="F575">
            <v>60</v>
          </cell>
          <cell r="G575"/>
          <cell r="L575"/>
          <cell r="M575"/>
          <cell r="N575"/>
          <cell r="O575"/>
          <cell r="P575"/>
          <cell r="Q575"/>
          <cell r="R575"/>
        </row>
        <row r="576">
          <cell r="A576" t="str">
            <v>3XGN-30+5</v>
          </cell>
          <cell r="B576" t="str">
            <v>SPARE (incl)</v>
          </cell>
          <cell r="C576">
            <v>34180.449999999997</v>
          </cell>
          <cell r="D576">
            <v>0.2</v>
          </cell>
          <cell r="E576">
            <v>9800</v>
          </cell>
          <cell r="F576">
            <v>60</v>
          </cell>
          <cell r="G576"/>
          <cell r="L576"/>
          <cell r="M576"/>
          <cell r="N576"/>
          <cell r="O576"/>
          <cell r="P576"/>
          <cell r="Q576"/>
          <cell r="R576"/>
        </row>
        <row r="577">
          <cell r="A577" t="str">
            <v>3XGN-35+5</v>
          </cell>
          <cell r="B577" t="str">
            <v>SPARE (incl)</v>
          </cell>
          <cell r="C577">
            <v>34736.839999999997</v>
          </cell>
          <cell r="D577">
            <v>0.2</v>
          </cell>
          <cell r="E577">
            <v>10200</v>
          </cell>
          <cell r="F577">
            <v>60</v>
          </cell>
          <cell r="G577"/>
          <cell r="L577"/>
          <cell r="M577"/>
          <cell r="N577"/>
          <cell r="O577"/>
          <cell r="P577"/>
          <cell r="Q577"/>
          <cell r="R577"/>
        </row>
        <row r="578">
          <cell r="A578" t="str">
            <v>3XGN-36</v>
          </cell>
          <cell r="B578" t="str">
            <v>SPARE (incl)</v>
          </cell>
          <cell r="C578">
            <v>34255.64</v>
          </cell>
          <cell r="D578">
            <v>0.2</v>
          </cell>
          <cell r="E578">
            <v>9290</v>
          </cell>
          <cell r="F578">
            <v>60</v>
          </cell>
          <cell r="G578"/>
          <cell r="L578"/>
          <cell r="M578"/>
          <cell r="N578"/>
          <cell r="O578"/>
          <cell r="P578"/>
          <cell r="Q578"/>
          <cell r="R578"/>
        </row>
        <row r="579">
          <cell r="A579" t="str">
            <v>3XGN-40</v>
          </cell>
          <cell r="B579" t="str">
            <v>SPARE (incl)</v>
          </cell>
          <cell r="C579">
            <v>34706.769999999997</v>
          </cell>
          <cell r="D579">
            <v>0.2</v>
          </cell>
          <cell r="E579">
            <v>10370</v>
          </cell>
          <cell r="F579">
            <v>60</v>
          </cell>
          <cell r="G579"/>
          <cell r="L579"/>
          <cell r="M579"/>
          <cell r="N579"/>
          <cell r="O579"/>
          <cell r="P579"/>
          <cell r="Q579"/>
          <cell r="R579"/>
        </row>
        <row r="580">
          <cell r="A580" t="str">
            <v>3XPH-20+5</v>
          </cell>
          <cell r="B580" t="str">
            <v>SPARE (incl)</v>
          </cell>
          <cell r="C580">
            <v>31172.93</v>
          </cell>
          <cell r="D580">
            <v>0.2</v>
          </cell>
          <cell r="E580">
            <v>5800</v>
          </cell>
          <cell r="F580">
            <v>80</v>
          </cell>
          <cell r="G580"/>
          <cell r="L580"/>
          <cell r="M580"/>
          <cell r="N580"/>
          <cell r="O580"/>
          <cell r="P580"/>
          <cell r="Q580"/>
          <cell r="R580"/>
        </row>
        <row r="581">
          <cell r="A581" t="str">
            <v>3XPH-25</v>
          </cell>
          <cell r="B581" t="str"/>
          <cell r="C581">
            <v>31759.4</v>
          </cell>
          <cell r="D581">
            <v>0.2</v>
          </cell>
          <cell r="E581">
            <v>6414</v>
          </cell>
          <cell r="F581">
            <v>80</v>
          </cell>
          <cell r="G581"/>
          <cell r="L581"/>
          <cell r="M581"/>
          <cell r="N581"/>
          <cell r="O581"/>
          <cell r="P581"/>
          <cell r="Q581"/>
          <cell r="R581"/>
        </row>
        <row r="582">
          <cell r="A582" t="str">
            <v>3XPH-25+5</v>
          </cell>
          <cell r="B582" t="str">
            <v>SPARE (incl)</v>
          </cell>
          <cell r="C582">
            <v>31759.4</v>
          </cell>
          <cell r="D582">
            <v>0.2</v>
          </cell>
          <cell r="E582">
            <v>7189.5</v>
          </cell>
          <cell r="F582">
            <v>80</v>
          </cell>
          <cell r="G582"/>
          <cell r="L582"/>
          <cell r="M582"/>
          <cell r="N582"/>
          <cell r="O582"/>
          <cell r="P582"/>
          <cell r="Q582"/>
          <cell r="R582"/>
        </row>
        <row r="583">
          <cell r="A583" t="str">
            <v>45ES-12</v>
          </cell>
          <cell r="B583" t="str">
            <v>Discontinued SKU</v>
          </cell>
          <cell r="C583">
            <v>3187.97</v>
          </cell>
          <cell r="D583">
            <v>0.2</v>
          </cell>
          <cell r="E583">
            <v>1385</v>
          </cell>
          <cell r="F583">
            <v>20</v>
          </cell>
          <cell r="G583"/>
          <cell r="L583"/>
          <cell r="M583"/>
          <cell r="N583"/>
          <cell r="O583"/>
          <cell r="P583"/>
          <cell r="Q583"/>
          <cell r="R583"/>
        </row>
        <row r="584">
          <cell r="A584" t="str">
            <v>45ES-12BK4RG</v>
          </cell>
          <cell r="B584" t="str">
            <v>Discontinued SKU</v>
          </cell>
          <cell r="C584">
            <v>3714.29</v>
          </cell>
          <cell r="D584">
            <v>0.2</v>
          </cell>
          <cell r="E584">
            <v>1385</v>
          </cell>
          <cell r="F584">
            <v>20</v>
          </cell>
          <cell r="G584"/>
          <cell r="L584"/>
          <cell r="M584"/>
          <cell r="N584"/>
          <cell r="O584"/>
          <cell r="P584"/>
          <cell r="Q584"/>
          <cell r="R584"/>
        </row>
        <row r="585">
          <cell r="A585" t="str">
            <v>45ES-14</v>
          </cell>
          <cell r="B585" t="str">
            <v>Discontinued SKU</v>
          </cell>
          <cell r="C585">
            <v>3278.2</v>
          </cell>
          <cell r="D585">
            <v>0.2</v>
          </cell>
          <cell r="E585">
            <v>1435</v>
          </cell>
          <cell r="F585">
            <v>20</v>
          </cell>
          <cell r="G585"/>
          <cell r="L585"/>
          <cell r="M585"/>
          <cell r="N585"/>
          <cell r="O585"/>
          <cell r="P585"/>
          <cell r="Q585"/>
          <cell r="R585"/>
        </row>
        <row r="586">
          <cell r="A586" t="str">
            <v>45ES-14BK4RG</v>
          </cell>
          <cell r="B586" t="str">
            <v>Discontinued SKU</v>
          </cell>
          <cell r="C586">
            <v>3804.51</v>
          </cell>
          <cell r="D586">
            <v>0.2</v>
          </cell>
          <cell r="E586">
            <v>1435</v>
          </cell>
          <cell r="F586">
            <v>20</v>
          </cell>
          <cell r="G586"/>
          <cell r="L586"/>
          <cell r="M586"/>
          <cell r="N586"/>
          <cell r="O586"/>
          <cell r="P586"/>
          <cell r="Q586"/>
          <cell r="R586"/>
        </row>
        <row r="587">
          <cell r="A587" t="str">
            <v>45ES-16</v>
          </cell>
          <cell r="B587" t="str">
            <v>Discontinued SKU</v>
          </cell>
          <cell r="C587">
            <v>3383.46</v>
          </cell>
          <cell r="D587">
            <v>0.2</v>
          </cell>
          <cell r="E587">
            <v>1480</v>
          </cell>
          <cell r="F587">
            <v>20</v>
          </cell>
          <cell r="G587"/>
          <cell r="L587"/>
          <cell r="M587"/>
          <cell r="N587"/>
          <cell r="O587"/>
          <cell r="P587"/>
          <cell r="Q587"/>
          <cell r="R587"/>
        </row>
        <row r="588">
          <cell r="A588" t="str">
            <v>45ES-16BK4RG</v>
          </cell>
          <cell r="B588" t="str">
            <v>Discontinued SKU</v>
          </cell>
          <cell r="C588">
            <v>3909.77</v>
          </cell>
          <cell r="D588">
            <v>0.2</v>
          </cell>
          <cell r="E588">
            <v>1480</v>
          </cell>
          <cell r="F588">
            <v>20</v>
          </cell>
          <cell r="G588"/>
          <cell r="L588"/>
          <cell r="M588"/>
          <cell r="N588"/>
          <cell r="O588"/>
          <cell r="P588"/>
          <cell r="Q588"/>
          <cell r="R588"/>
        </row>
        <row r="589">
          <cell r="A589" t="str">
            <v>4XPH-20</v>
          </cell>
          <cell r="B589" t="str"/>
          <cell r="C589">
            <v>42330.83</v>
          </cell>
          <cell r="D589">
            <v>0.2</v>
          </cell>
          <cell r="E589">
            <v>8450</v>
          </cell>
          <cell r="F589">
            <v>80</v>
          </cell>
          <cell r="G589"/>
          <cell r="L589"/>
          <cell r="M589"/>
          <cell r="N589"/>
          <cell r="O589"/>
          <cell r="P589"/>
          <cell r="Q589"/>
          <cell r="R589"/>
        </row>
        <row r="590">
          <cell r="A590" t="str">
            <v>4XPH-20+5</v>
          </cell>
          <cell r="B590" t="str">
            <v>SPARE (incl)</v>
          </cell>
          <cell r="C590">
            <v>40360.9</v>
          </cell>
          <cell r="D590">
            <v>0.2</v>
          </cell>
          <cell r="E590">
            <v>8950</v>
          </cell>
          <cell r="F590">
            <v>80</v>
          </cell>
          <cell r="G590"/>
          <cell r="L590"/>
          <cell r="M590"/>
          <cell r="N590"/>
          <cell r="O590"/>
          <cell r="P590"/>
          <cell r="Q590"/>
          <cell r="R590"/>
        </row>
        <row r="591">
          <cell r="A591" t="str">
            <v>4XPH-24+5</v>
          </cell>
          <cell r="B591" t="str">
            <v>SPARE (incl)</v>
          </cell>
          <cell r="C591">
            <v>40827.07</v>
          </cell>
          <cell r="D591">
            <v>0.2</v>
          </cell>
          <cell r="E591">
            <v>10150</v>
          </cell>
          <cell r="F591">
            <v>80</v>
          </cell>
          <cell r="G591"/>
          <cell r="L591"/>
          <cell r="M591"/>
          <cell r="N591"/>
          <cell r="O591"/>
          <cell r="P591"/>
          <cell r="Q591"/>
          <cell r="R591"/>
        </row>
        <row r="592">
          <cell r="A592" t="str">
            <v>50SA-08</v>
          </cell>
          <cell r="B592" t="str">
            <v>Discontinued SKU</v>
          </cell>
          <cell r="C592">
            <v>0</v>
          </cell>
          <cell r="D592">
            <v>0.2</v>
          </cell>
          <cell r="E592">
            <v>675</v>
          </cell>
          <cell r="F592">
            <v>10</v>
          </cell>
          <cell r="G592"/>
          <cell r="L592"/>
          <cell r="M592"/>
          <cell r="N592"/>
          <cell r="O592"/>
          <cell r="P592"/>
          <cell r="Q592"/>
          <cell r="R592"/>
        </row>
        <row r="593">
          <cell r="A593" t="str">
            <v>50SA-12</v>
          </cell>
          <cell r="B593" t="str">
            <v>Discontinued SKU</v>
          </cell>
          <cell r="C593">
            <v>0</v>
          </cell>
          <cell r="D593">
            <v>0.2</v>
          </cell>
          <cell r="E593">
            <v>975</v>
          </cell>
          <cell r="F593">
            <v>10</v>
          </cell>
          <cell r="G593"/>
          <cell r="L593"/>
          <cell r="M593"/>
          <cell r="N593"/>
          <cell r="O593"/>
          <cell r="P593"/>
          <cell r="Q593"/>
          <cell r="R593"/>
        </row>
        <row r="594">
          <cell r="A594" t="str">
            <v>50SA-12X</v>
          </cell>
          <cell r="B594" t="str"/>
          <cell r="C594">
            <v>0</v>
          </cell>
          <cell r="D594">
            <v>0.2</v>
          </cell>
          <cell r="E594">
            <v>1000</v>
          </cell>
          <cell r="F594">
            <v>10</v>
          </cell>
          <cell r="G594"/>
          <cell r="L594"/>
          <cell r="M594"/>
          <cell r="N594"/>
          <cell r="O594"/>
          <cell r="P594"/>
          <cell r="Q594"/>
          <cell r="R594"/>
        </row>
        <row r="595">
          <cell r="A595" t="str">
            <v>50SA-14</v>
          </cell>
          <cell r="B595" t="str"/>
          <cell r="C595">
            <v>0</v>
          </cell>
          <cell r="D595">
            <v>0.2</v>
          </cell>
          <cell r="E595">
            <v>1100</v>
          </cell>
          <cell r="F595">
            <v>10</v>
          </cell>
          <cell r="G595"/>
          <cell r="L595"/>
          <cell r="M595"/>
          <cell r="N595"/>
          <cell r="O595"/>
          <cell r="P595"/>
          <cell r="Q595"/>
          <cell r="R595"/>
        </row>
        <row r="596">
          <cell r="A596" t="str">
            <v>50SA-14X</v>
          </cell>
          <cell r="B596" t="str"/>
          <cell r="C596">
            <v>0</v>
          </cell>
          <cell r="D596">
            <v>0.2</v>
          </cell>
          <cell r="E596">
            <v>1710</v>
          </cell>
          <cell r="F596">
            <v>10</v>
          </cell>
          <cell r="G596"/>
          <cell r="L596"/>
          <cell r="M596"/>
          <cell r="N596"/>
          <cell r="O596"/>
          <cell r="P596"/>
          <cell r="Q596"/>
          <cell r="R596"/>
        </row>
        <row r="597">
          <cell r="A597" t="str">
            <v>50SR-08-5WDD</v>
          </cell>
          <cell r="B597" t="str">
            <v>Discontinued SKU</v>
          </cell>
          <cell r="C597">
            <v>7473.68</v>
          </cell>
          <cell r="D597">
            <v>0.2</v>
          </cell>
          <cell r="E597">
            <v>1400</v>
          </cell>
          <cell r="F597">
            <v>70</v>
          </cell>
          <cell r="G597"/>
          <cell r="L597"/>
          <cell r="M597"/>
          <cell r="N597"/>
          <cell r="O597"/>
          <cell r="P597"/>
          <cell r="Q597"/>
          <cell r="R597"/>
        </row>
        <row r="598">
          <cell r="A598" t="str">
            <v>5XPH-24+5</v>
          </cell>
          <cell r="B598" t="str">
            <v>SPARE (incl)</v>
          </cell>
          <cell r="C598">
            <v>49248.12</v>
          </cell>
          <cell r="D598">
            <v>0.2</v>
          </cell>
          <cell r="E598">
            <v>10350</v>
          </cell>
          <cell r="F598">
            <v>80</v>
          </cell>
          <cell r="G598"/>
          <cell r="L598"/>
          <cell r="M598"/>
          <cell r="N598"/>
          <cell r="O598"/>
          <cell r="P598"/>
          <cell r="Q598"/>
          <cell r="R598"/>
        </row>
        <row r="599">
          <cell r="A599" t="str">
            <v>5XPH-28+5</v>
          </cell>
          <cell r="B599" t="str">
            <v>SPARE (incl)</v>
          </cell>
          <cell r="C599">
            <v>49714.29</v>
          </cell>
          <cell r="D599">
            <v>0.2</v>
          </cell>
          <cell r="E599">
            <v>10850</v>
          </cell>
          <cell r="F599">
            <v>80</v>
          </cell>
          <cell r="G599"/>
          <cell r="L599"/>
          <cell r="M599"/>
          <cell r="N599"/>
          <cell r="O599"/>
          <cell r="P599"/>
          <cell r="Q599"/>
          <cell r="R599"/>
        </row>
        <row r="600">
          <cell r="A600" t="str">
            <v>60EC-14</v>
          </cell>
          <cell r="B600" t="str"/>
          <cell r="C600">
            <v>3654.14</v>
          </cell>
          <cell r="D600">
            <v>0.2</v>
          </cell>
          <cell r="E600">
            <v>1620</v>
          </cell>
          <cell r="F600">
            <v>25</v>
          </cell>
          <cell r="G600"/>
          <cell r="L600"/>
          <cell r="M600"/>
          <cell r="N600"/>
          <cell r="O600"/>
          <cell r="P600"/>
          <cell r="Q600"/>
          <cell r="R600"/>
        </row>
        <row r="601">
          <cell r="A601" t="str">
            <v>60EC-14BK</v>
          </cell>
          <cell r="B601" t="str">
            <v>SRAMPS, SPMT</v>
          </cell>
          <cell r="C601">
            <v>3954.89</v>
          </cell>
          <cell r="D601">
            <v>0.2</v>
          </cell>
          <cell r="E601">
            <v>1620</v>
          </cell>
          <cell r="F601">
            <v>25</v>
          </cell>
          <cell r="G601"/>
          <cell r="L601"/>
          <cell r="M601"/>
          <cell r="N601"/>
          <cell r="O601"/>
          <cell r="P601"/>
          <cell r="Q601"/>
          <cell r="R601"/>
        </row>
        <row r="602">
          <cell r="A602" t="str">
            <v>60EC-14BK2B</v>
          </cell>
          <cell r="B602" t="str">
            <v>BRK2, SRAMPS, SPMT</v>
          </cell>
          <cell r="C602">
            <v>4180.45</v>
          </cell>
          <cell r="D602">
            <v>0.2</v>
          </cell>
          <cell r="E602">
            <v>1620</v>
          </cell>
          <cell r="F602">
            <v>25</v>
          </cell>
          <cell r="G602"/>
          <cell r="L602"/>
          <cell r="M602"/>
          <cell r="N602"/>
          <cell r="O602"/>
          <cell r="P602"/>
          <cell r="Q602"/>
          <cell r="R602"/>
        </row>
        <row r="603">
          <cell r="A603" t="str">
            <v>60EC-16</v>
          </cell>
          <cell r="B603" t="str"/>
          <cell r="C603">
            <v>3759.4</v>
          </cell>
          <cell r="D603">
            <v>0.2</v>
          </cell>
          <cell r="E603">
            <v>1710</v>
          </cell>
          <cell r="F603">
            <v>25</v>
          </cell>
          <cell r="G603"/>
          <cell r="L603"/>
          <cell r="M603"/>
          <cell r="N603"/>
          <cell r="O603"/>
          <cell r="P603"/>
          <cell r="Q603"/>
          <cell r="R603"/>
        </row>
        <row r="604">
          <cell r="A604" t="str">
            <v>60EC-16BK</v>
          </cell>
          <cell r="B604" t="str">
            <v>SRAMPS, SPMT</v>
          </cell>
          <cell r="C604">
            <v>4060.15</v>
          </cell>
          <cell r="D604">
            <v>0.2</v>
          </cell>
          <cell r="E604">
            <v>1710</v>
          </cell>
          <cell r="F604">
            <v>25</v>
          </cell>
          <cell r="G604"/>
          <cell r="L604"/>
          <cell r="M604"/>
          <cell r="N604"/>
          <cell r="O604"/>
          <cell r="P604"/>
          <cell r="Q604"/>
          <cell r="R604"/>
        </row>
        <row r="605">
          <cell r="A605" t="str">
            <v>60EC-16BK2B</v>
          </cell>
          <cell r="B605" t="str">
            <v>BRK2, SRAMPS, SPMT</v>
          </cell>
          <cell r="C605">
            <v>4285.71</v>
          </cell>
          <cell r="D605">
            <v>0.2</v>
          </cell>
          <cell r="E605">
            <v>1710</v>
          </cell>
          <cell r="F605">
            <v>25</v>
          </cell>
          <cell r="G605"/>
          <cell r="L605"/>
          <cell r="M605"/>
          <cell r="N605"/>
          <cell r="O605"/>
          <cell r="P605"/>
          <cell r="Q605"/>
          <cell r="R605"/>
        </row>
        <row r="606">
          <cell r="A606" t="str">
            <v>60EC-18</v>
          </cell>
          <cell r="B606" t="str"/>
          <cell r="C606">
            <v>3864.66</v>
          </cell>
          <cell r="D606">
            <v>0.2</v>
          </cell>
          <cell r="E606">
            <v>1800</v>
          </cell>
          <cell r="F606">
            <v>25</v>
          </cell>
          <cell r="G606"/>
          <cell r="L606"/>
          <cell r="M606"/>
          <cell r="N606"/>
          <cell r="O606"/>
          <cell r="P606"/>
          <cell r="Q606"/>
          <cell r="R606"/>
        </row>
        <row r="607">
          <cell r="A607" t="str">
            <v>60EC-18BK</v>
          </cell>
          <cell r="B607" t="str">
            <v>SRAMPS, SPMT</v>
          </cell>
          <cell r="C607">
            <v>4165.41</v>
          </cell>
          <cell r="D607">
            <v>0.2</v>
          </cell>
          <cell r="E607">
            <v>1800</v>
          </cell>
          <cell r="F607">
            <v>25</v>
          </cell>
          <cell r="G607"/>
          <cell r="L607"/>
          <cell r="M607"/>
          <cell r="N607"/>
          <cell r="O607"/>
          <cell r="P607"/>
          <cell r="Q607"/>
          <cell r="R607"/>
        </row>
        <row r="608">
          <cell r="A608" t="str">
            <v>60EC-18BK2B</v>
          </cell>
          <cell r="B608" t="str">
            <v>BRK2, SRAMPS, SPMT</v>
          </cell>
          <cell r="C608">
            <v>4390.9799999999996</v>
          </cell>
          <cell r="D608">
            <v>0.2</v>
          </cell>
          <cell r="E608">
            <v>1800</v>
          </cell>
          <cell r="F608">
            <v>25</v>
          </cell>
          <cell r="G608"/>
          <cell r="L608"/>
          <cell r="M608"/>
          <cell r="N608"/>
          <cell r="O608"/>
          <cell r="P608"/>
          <cell r="Q608"/>
          <cell r="R608"/>
        </row>
        <row r="609">
          <cell r="A609" t="str">
            <v>60ES-12</v>
          </cell>
          <cell r="B609" t="str">
            <v>Discontinued SKU</v>
          </cell>
          <cell r="C609">
            <v>3338.35</v>
          </cell>
          <cell r="D609">
            <v>0.2</v>
          </cell>
          <cell r="E609">
            <v>1430</v>
          </cell>
          <cell r="F609">
            <v>20</v>
          </cell>
          <cell r="G609"/>
          <cell r="L609"/>
          <cell r="M609"/>
          <cell r="N609"/>
          <cell r="O609"/>
          <cell r="P609"/>
          <cell r="Q609"/>
          <cell r="R609"/>
        </row>
        <row r="610">
          <cell r="A610" t="str">
            <v>60ES-12BK4RG</v>
          </cell>
          <cell r="B610" t="str">
            <v>Discontinued SKU</v>
          </cell>
          <cell r="C610">
            <v>3864.66</v>
          </cell>
          <cell r="D610">
            <v>0.2</v>
          </cell>
          <cell r="E610">
            <v>1430</v>
          </cell>
          <cell r="F610">
            <v>20</v>
          </cell>
          <cell r="G610"/>
          <cell r="L610"/>
          <cell r="M610"/>
          <cell r="N610"/>
          <cell r="O610"/>
          <cell r="P610"/>
          <cell r="Q610"/>
          <cell r="R610"/>
        </row>
        <row r="611">
          <cell r="A611" t="str">
            <v>60ES-12BK4RG2B</v>
          </cell>
          <cell r="B611" t="str">
            <v>Discontinued SKU</v>
          </cell>
          <cell r="C611">
            <v>4090.23</v>
          </cell>
          <cell r="D611">
            <v>0.2</v>
          </cell>
          <cell r="E611">
            <v>1430</v>
          </cell>
          <cell r="F611">
            <v>20</v>
          </cell>
          <cell r="G611"/>
          <cell r="L611"/>
          <cell r="M611"/>
          <cell r="N611"/>
          <cell r="O611"/>
          <cell r="P611"/>
          <cell r="Q611"/>
          <cell r="R611"/>
        </row>
        <row r="612">
          <cell r="A612" t="str">
            <v>60ES-14</v>
          </cell>
          <cell r="B612" t="str">
            <v>Discontinued SKU</v>
          </cell>
          <cell r="C612">
            <v>3428.57</v>
          </cell>
          <cell r="D612">
            <v>0.2</v>
          </cell>
          <cell r="E612">
            <v>1480</v>
          </cell>
          <cell r="F612">
            <v>20</v>
          </cell>
          <cell r="G612"/>
          <cell r="L612"/>
          <cell r="M612"/>
          <cell r="N612"/>
          <cell r="O612"/>
          <cell r="P612"/>
          <cell r="Q612"/>
          <cell r="R612"/>
        </row>
        <row r="613">
          <cell r="A613" t="str">
            <v>60ES-14BK4RG</v>
          </cell>
          <cell r="B613" t="str">
            <v>Discontinued SKU</v>
          </cell>
          <cell r="C613">
            <v>3954.89</v>
          </cell>
          <cell r="D613">
            <v>0.2</v>
          </cell>
          <cell r="E613">
            <v>1489</v>
          </cell>
          <cell r="F613">
            <v>20</v>
          </cell>
          <cell r="G613"/>
          <cell r="L613"/>
          <cell r="M613"/>
          <cell r="N613"/>
          <cell r="O613"/>
          <cell r="P613"/>
          <cell r="Q613"/>
          <cell r="R613"/>
        </row>
        <row r="614">
          <cell r="A614" t="str">
            <v>60ES-14BK4RG2B</v>
          </cell>
          <cell r="B614" t="str">
            <v>Discontinued SKU</v>
          </cell>
          <cell r="C614">
            <v>4180.45</v>
          </cell>
          <cell r="D614">
            <v>0.2</v>
          </cell>
          <cell r="E614">
            <v>1489</v>
          </cell>
          <cell r="F614">
            <v>20</v>
          </cell>
          <cell r="G614"/>
          <cell r="L614"/>
          <cell r="M614"/>
          <cell r="N614"/>
          <cell r="O614"/>
          <cell r="P614"/>
          <cell r="Q614"/>
          <cell r="R614"/>
        </row>
        <row r="615">
          <cell r="A615" t="str">
            <v>60ES-16</v>
          </cell>
          <cell r="B615" t="str">
            <v>Discontinued SKU</v>
          </cell>
          <cell r="C615">
            <v>3533.83</v>
          </cell>
          <cell r="D615">
            <v>0.2</v>
          </cell>
          <cell r="E615">
            <v>1525</v>
          </cell>
          <cell r="F615">
            <v>20</v>
          </cell>
          <cell r="G615"/>
          <cell r="L615"/>
          <cell r="M615"/>
          <cell r="N615"/>
          <cell r="O615"/>
          <cell r="P615"/>
          <cell r="Q615"/>
          <cell r="R615"/>
        </row>
        <row r="616">
          <cell r="A616" t="str">
            <v>60ES-16BK4RG</v>
          </cell>
          <cell r="B616" t="str">
            <v>Discontinued SKU</v>
          </cell>
          <cell r="C616">
            <v>4060.15</v>
          </cell>
          <cell r="D616">
            <v>0.2</v>
          </cell>
          <cell r="E616">
            <v>1624</v>
          </cell>
          <cell r="F616">
            <v>20</v>
          </cell>
          <cell r="G616"/>
          <cell r="L616"/>
          <cell r="M616"/>
          <cell r="N616"/>
          <cell r="O616"/>
          <cell r="P616"/>
          <cell r="Q616"/>
          <cell r="R616"/>
        </row>
        <row r="617">
          <cell r="A617" t="str">
            <v>60ES-16BK4RG2B</v>
          </cell>
          <cell r="B617" t="str">
            <v>Discontinued SKU</v>
          </cell>
          <cell r="C617">
            <v>4285.71</v>
          </cell>
          <cell r="D617">
            <v>0.2</v>
          </cell>
          <cell r="E617">
            <v>1624</v>
          </cell>
          <cell r="F617">
            <v>20</v>
          </cell>
          <cell r="G617"/>
          <cell r="L617"/>
          <cell r="M617"/>
          <cell r="N617"/>
          <cell r="O617"/>
          <cell r="P617"/>
          <cell r="Q617"/>
          <cell r="R617"/>
        </row>
        <row r="618">
          <cell r="A618" t="str">
            <v>60PI-12</v>
          </cell>
          <cell r="B618" t="str"/>
          <cell r="C618">
            <v>3969.92</v>
          </cell>
          <cell r="D618">
            <v>0.2</v>
          </cell>
          <cell r="E618">
            <v>1265</v>
          </cell>
          <cell r="F618">
            <v>20</v>
          </cell>
          <cell r="G618"/>
          <cell r="L618"/>
          <cell r="M618"/>
          <cell r="N618"/>
          <cell r="O618"/>
          <cell r="P618"/>
          <cell r="Q618"/>
          <cell r="R618"/>
        </row>
        <row r="619">
          <cell r="A619" t="str">
            <v>60PI-12BK4RG</v>
          </cell>
          <cell r="B619" t="str">
            <v>RG, SPMT</v>
          </cell>
          <cell r="C619">
            <v>3969.92</v>
          </cell>
          <cell r="D619">
            <v>0.2</v>
          </cell>
          <cell r="E619">
            <v>1265</v>
          </cell>
          <cell r="F619">
            <v>20</v>
          </cell>
          <cell r="G619"/>
          <cell r="L619"/>
          <cell r="M619"/>
          <cell r="N619"/>
          <cell r="O619"/>
          <cell r="P619"/>
          <cell r="Q619"/>
          <cell r="R619"/>
        </row>
        <row r="620">
          <cell r="A620" t="str">
            <v>60PI-12BK4RG2B</v>
          </cell>
          <cell r="B620" t="str">
            <v>BRK2, RG, SPMT</v>
          </cell>
          <cell r="C620">
            <v>4195.49</v>
          </cell>
          <cell r="D620">
            <v>0.2</v>
          </cell>
          <cell r="E620">
            <v>1265</v>
          </cell>
          <cell r="F620">
            <v>20</v>
          </cell>
          <cell r="G620"/>
          <cell r="L620"/>
          <cell r="M620"/>
          <cell r="N620"/>
          <cell r="O620"/>
          <cell r="P620"/>
          <cell r="Q620"/>
          <cell r="R620"/>
        </row>
        <row r="621">
          <cell r="A621" t="str">
            <v>60PI-14</v>
          </cell>
          <cell r="B621" t="str"/>
          <cell r="C621">
            <v>4060.15</v>
          </cell>
          <cell r="D621">
            <v>0.2</v>
          </cell>
          <cell r="E621">
            <v>1400</v>
          </cell>
          <cell r="F621">
            <v>20</v>
          </cell>
          <cell r="G621"/>
          <cell r="L621"/>
          <cell r="M621"/>
          <cell r="N621"/>
          <cell r="O621"/>
          <cell r="P621"/>
          <cell r="Q621"/>
          <cell r="R621"/>
        </row>
        <row r="622">
          <cell r="A622" t="str">
            <v>60PI-14BK4RG</v>
          </cell>
          <cell r="B622" t="str">
            <v>RG, SPMT</v>
          </cell>
          <cell r="C622">
            <v>4060.15</v>
          </cell>
          <cell r="D622">
            <v>0.2</v>
          </cell>
          <cell r="E622">
            <v>1400</v>
          </cell>
          <cell r="F622">
            <v>20</v>
          </cell>
          <cell r="G622"/>
          <cell r="L622"/>
          <cell r="M622"/>
          <cell r="N622"/>
          <cell r="O622"/>
          <cell r="P622"/>
          <cell r="Q622"/>
          <cell r="R622"/>
        </row>
        <row r="623">
          <cell r="A623" t="str">
            <v>60PI-14BK4RG2B</v>
          </cell>
          <cell r="B623" t="str">
            <v>BRK2, RG, SPMT</v>
          </cell>
          <cell r="C623">
            <v>4285.71</v>
          </cell>
          <cell r="D623">
            <v>0.2</v>
          </cell>
          <cell r="E623">
            <v>1400</v>
          </cell>
          <cell r="F623">
            <v>20</v>
          </cell>
          <cell r="G623"/>
          <cell r="L623"/>
          <cell r="M623"/>
          <cell r="N623"/>
          <cell r="O623"/>
          <cell r="P623"/>
          <cell r="Q623"/>
          <cell r="R623"/>
        </row>
        <row r="624">
          <cell r="A624" t="str">
            <v>60PI-14BKEX2</v>
          </cell>
          <cell r="B624" t="str">
            <v>ENEX2, RG, SPMT</v>
          </cell>
          <cell r="C624">
            <v>5909.77</v>
          </cell>
          <cell r="D624">
            <v>0.2</v>
          </cell>
          <cell r="E624">
            <v>1400</v>
          </cell>
          <cell r="F624">
            <v>20</v>
          </cell>
          <cell r="G624"/>
          <cell r="L624"/>
          <cell r="M624"/>
          <cell r="N624"/>
          <cell r="O624"/>
          <cell r="P624"/>
          <cell r="Q624"/>
          <cell r="R624"/>
        </row>
        <row r="625">
          <cell r="A625" t="str">
            <v>60PI-16</v>
          </cell>
          <cell r="B625" t="str"/>
          <cell r="C625">
            <v>0</v>
          </cell>
          <cell r="D625">
            <v>0.2</v>
          </cell>
          <cell r="E625">
            <v>1535</v>
          </cell>
          <cell r="F625">
            <v>20</v>
          </cell>
          <cell r="G625"/>
          <cell r="L625"/>
          <cell r="M625"/>
          <cell r="N625"/>
          <cell r="O625"/>
          <cell r="P625"/>
          <cell r="Q625"/>
          <cell r="R625"/>
        </row>
        <row r="626">
          <cell r="A626" t="str">
            <v>60PI-16BK4AR</v>
          </cell>
          <cell r="B626" t="str">
            <v>4SIR, SPMT</v>
          </cell>
          <cell r="C626">
            <v>4165.41</v>
          </cell>
          <cell r="D626">
            <v>0.2</v>
          </cell>
          <cell r="E626">
            <v>1535</v>
          </cell>
          <cell r="F626">
            <v>20</v>
          </cell>
          <cell r="G626"/>
          <cell r="L626"/>
          <cell r="M626"/>
          <cell r="N626"/>
          <cell r="O626"/>
          <cell r="P626"/>
          <cell r="Q626"/>
          <cell r="R626"/>
        </row>
        <row r="627">
          <cell r="A627" t="str">
            <v>60PI-16BK4AR2B</v>
          </cell>
          <cell r="B627" t="str">
            <v>BRK2, 4SIR, SPMT</v>
          </cell>
          <cell r="C627">
            <v>4390.9799999999996</v>
          </cell>
          <cell r="D627">
            <v>0.2</v>
          </cell>
          <cell r="E627">
            <v>1535</v>
          </cell>
          <cell r="F627">
            <v>20</v>
          </cell>
          <cell r="G627"/>
          <cell r="L627"/>
          <cell r="M627"/>
          <cell r="N627"/>
          <cell r="O627"/>
          <cell r="P627"/>
          <cell r="Q627"/>
          <cell r="R627"/>
        </row>
        <row r="628">
          <cell r="A628" t="str">
            <v>60PI-16BK4RG</v>
          </cell>
          <cell r="B628" t="str">
            <v>RG, SPMT</v>
          </cell>
          <cell r="C628">
            <v>4165.41</v>
          </cell>
          <cell r="D628">
            <v>0.2</v>
          </cell>
          <cell r="E628">
            <v>1535</v>
          </cell>
          <cell r="F628">
            <v>20</v>
          </cell>
          <cell r="G628"/>
          <cell r="L628"/>
          <cell r="M628"/>
          <cell r="N628"/>
          <cell r="O628"/>
          <cell r="P628"/>
          <cell r="Q628"/>
          <cell r="R628"/>
        </row>
        <row r="629">
          <cell r="A629" t="str">
            <v>60PI-16BK4RG2B</v>
          </cell>
          <cell r="B629" t="str">
            <v>BRK2, RG, SPMT</v>
          </cell>
          <cell r="C629">
            <v>4390.9799999999996</v>
          </cell>
          <cell r="D629">
            <v>0.2</v>
          </cell>
          <cell r="E629">
            <v>1535</v>
          </cell>
          <cell r="F629">
            <v>20</v>
          </cell>
          <cell r="G629"/>
          <cell r="L629"/>
          <cell r="M629"/>
          <cell r="N629"/>
          <cell r="O629"/>
          <cell r="P629"/>
          <cell r="Q629"/>
          <cell r="R629"/>
        </row>
        <row r="630">
          <cell r="A630" t="str">
            <v>60PI-16BKEX2</v>
          </cell>
          <cell r="B630" t="str">
            <v>ENEX2, RG, SPMT</v>
          </cell>
          <cell r="C630">
            <v>6015.04</v>
          </cell>
          <cell r="D630">
            <v>0.2</v>
          </cell>
          <cell r="E630">
            <v>1535</v>
          </cell>
          <cell r="F630">
            <v>20</v>
          </cell>
          <cell r="G630"/>
          <cell r="L630"/>
          <cell r="M630"/>
          <cell r="N630"/>
          <cell r="O630"/>
          <cell r="P630"/>
          <cell r="Q630"/>
          <cell r="R630"/>
        </row>
        <row r="631">
          <cell r="A631" t="str">
            <v>70CH-14</v>
          </cell>
          <cell r="B631" t="str"/>
          <cell r="C631">
            <v>4210.53</v>
          </cell>
          <cell r="D631">
            <v>0.2</v>
          </cell>
          <cell r="E631">
            <v>1610</v>
          </cell>
          <cell r="F631">
            <v>25</v>
          </cell>
          <cell r="G631"/>
          <cell r="L631"/>
          <cell r="M631"/>
          <cell r="N631"/>
          <cell r="O631"/>
          <cell r="P631"/>
          <cell r="Q631"/>
          <cell r="R631"/>
        </row>
        <row r="632">
          <cell r="A632" t="str">
            <v>70CH-14BK</v>
          </cell>
          <cell r="B632" t="str">
            <v>SRAMPS, SPMT</v>
          </cell>
          <cell r="C632">
            <v>4511.28</v>
          </cell>
          <cell r="D632">
            <v>0.2</v>
          </cell>
          <cell r="E632">
            <v>1732</v>
          </cell>
          <cell r="F632">
            <v>25</v>
          </cell>
          <cell r="G632"/>
          <cell r="L632"/>
          <cell r="M632"/>
          <cell r="N632"/>
          <cell r="O632"/>
          <cell r="P632"/>
          <cell r="Q632"/>
          <cell r="R632"/>
        </row>
        <row r="633">
          <cell r="A633" t="str">
            <v>70CH-14BK-GA</v>
          </cell>
          <cell r="B633" t="str">
            <v>BRK2, SRAMPS, SPMT</v>
          </cell>
          <cell r="C633">
            <v>4548.87</v>
          </cell>
          <cell r="D633">
            <v>0.2</v>
          </cell>
          <cell r="E633">
            <v>1732</v>
          </cell>
          <cell r="F633">
            <v>25</v>
          </cell>
          <cell r="G633"/>
          <cell r="L633"/>
          <cell r="M633"/>
          <cell r="N633"/>
          <cell r="O633"/>
          <cell r="P633"/>
          <cell r="Q633"/>
          <cell r="R633"/>
        </row>
        <row r="634">
          <cell r="A634" t="str">
            <v>70CH-14BK2B</v>
          </cell>
          <cell r="B634" t="str">
            <v>BRK2, SRAMPS, SPMT</v>
          </cell>
          <cell r="C634">
            <v>4736.84</v>
          </cell>
          <cell r="D634">
            <v>0.2</v>
          </cell>
          <cell r="E634">
            <v>1732</v>
          </cell>
          <cell r="F634">
            <v>25</v>
          </cell>
          <cell r="G634"/>
          <cell r="L634"/>
          <cell r="M634"/>
          <cell r="N634"/>
          <cell r="O634"/>
          <cell r="P634"/>
          <cell r="Q634"/>
          <cell r="R634"/>
        </row>
        <row r="635">
          <cell r="A635" t="str">
            <v>70CH-16</v>
          </cell>
          <cell r="B635" t="str"/>
          <cell r="C635">
            <v>4315.79</v>
          </cell>
          <cell r="D635">
            <v>0.2</v>
          </cell>
          <cell r="E635">
            <v>1760</v>
          </cell>
          <cell r="F635">
            <v>25</v>
          </cell>
          <cell r="G635"/>
          <cell r="L635"/>
          <cell r="M635"/>
          <cell r="N635"/>
          <cell r="O635"/>
          <cell r="P635"/>
          <cell r="Q635"/>
          <cell r="R635"/>
        </row>
        <row r="636">
          <cell r="A636" t="str">
            <v>70CH-16BK</v>
          </cell>
          <cell r="B636" t="str">
            <v>SPMT</v>
          </cell>
          <cell r="C636">
            <v>4616.54</v>
          </cell>
          <cell r="D636">
            <v>0.2</v>
          </cell>
          <cell r="E636">
            <v>1882</v>
          </cell>
          <cell r="F636">
            <v>25</v>
          </cell>
          <cell r="G636"/>
          <cell r="L636"/>
          <cell r="M636"/>
          <cell r="N636"/>
          <cell r="O636"/>
          <cell r="P636"/>
          <cell r="Q636"/>
          <cell r="R636"/>
        </row>
        <row r="637">
          <cell r="A637" t="str">
            <v>70CH-16BK-GA</v>
          </cell>
          <cell r="B637" t="str">
            <v>BRK2, SRAMPS, SPMT</v>
          </cell>
          <cell r="C637">
            <v>3483</v>
          </cell>
          <cell r="D637">
            <v>0.2</v>
          </cell>
          <cell r="E637">
            <v>1882</v>
          </cell>
          <cell r="F637">
            <v>25</v>
          </cell>
          <cell r="G637"/>
          <cell r="L637"/>
          <cell r="M637"/>
          <cell r="N637"/>
          <cell r="O637"/>
          <cell r="P637"/>
          <cell r="Q637"/>
          <cell r="R637"/>
        </row>
        <row r="638">
          <cell r="A638" t="str">
            <v>70CH-16BK2B</v>
          </cell>
          <cell r="B638" t="str">
            <v>Brk2, Adj.Coupler, Sramps, Spmt</v>
          </cell>
          <cell r="C638">
            <v>4842.1099999999997</v>
          </cell>
          <cell r="D638">
            <v>0.2</v>
          </cell>
          <cell r="E638">
            <v>1882</v>
          </cell>
          <cell r="F638">
            <v>25</v>
          </cell>
          <cell r="G638"/>
          <cell r="L638"/>
          <cell r="M638"/>
          <cell r="N638"/>
          <cell r="O638"/>
          <cell r="P638"/>
          <cell r="Q638"/>
          <cell r="R638"/>
        </row>
        <row r="639">
          <cell r="A639" t="str">
            <v>70CH-16BKDT</v>
          </cell>
          <cell r="B639" t="str">
            <v>DT, Sramps, Spmt</v>
          </cell>
          <cell r="C639">
            <v>4962.41</v>
          </cell>
          <cell r="D639">
            <v>0.2</v>
          </cell>
          <cell r="E639">
            <v>1882</v>
          </cell>
          <cell r="F639">
            <v>25</v>
          </cell>
          <cell r="G639"/>
          <cell r="L639"/>
          <cell r="M639"/>
          <cell r="N639"/>
          <cell r="O639"/>
          <cell r="P639"/>
          <cell r="Q639"/>
          <cell r="R639"/>
        </row>
        <row r="640">
          <cell r="A640" t="str">
            <v>70CH-16BKDT-GA</v>
          </cell>
          <cell r="B640" t="str">
            <v>DT, Brk2, Adj.Coupler, Sramps, Spmt</v>
          </cell>
          <cell r="C640">
            <v>5443.61</v>
          </cell>
          <cell r="D640">
            <v>0.2</v>
          </cell>
          <cell r="E640">
            <v>2060</v>
          </cell>
          <cell r="F640">
            <v>25</v>
          </cell>
          <cell r="G640"/>
          <cell r="L640"/>
          <cell r="M640"/>
          <cell r="N640"/>
          <cell r="O640"/>
          <cell r="P640"/>
          <cell r="Q640"/>
          <cell r="R640"/>
        </row>
        <row r="641">
          <cell r="A641" t="str">
            <v>70CH-16BKDT2B</v>
          </cell>
          <cell r="B641" t="str">
            <v>DT, Brk2, Sramps, Spmt</v>
          </cell>
          <cell r="C641">
            <v>5187.97</v>
          </cell>
          <cell r="D641">
            <v>0.2</v>
          </cell>
          <cell r="E641">
            <v>1882</v>
          </cell>
          <cell r="F641">
            <v>25</v>
          </cell>
          <cell r="G641"/>
          <cell r="L641"/>
          <cell r="M641"/>
          <cell r="N641"/>
          <cell r="O641"/>
          <cell r="P641"/>
          <cell r="Q641"/>
          <cell r="R641"/>
        </row>
        <row r="642">
          <cell r="A642" t="str">
            <v>70CH-18</v>
          </cell>
          <cell r="B642" t="str"/>
          <cell r="C642">
            <v>4421.05</v>
          </cell>
          <cell r="D642">
            <v>0.2</v>
          </cell>
          <cell r="E642">
            <v>1910</v>
          </cell>
          <cell r="F642">
            <v>25</v>
          </cell>
          <cell r="G642"/>
          <cell r="L642"/>
          <cell r="M642"/>
          <cell r="N642"/>
          <cell r="O642"/>
          <cell r="P642"/>
          <cell r="Q642"/>
          <cell r="R642"/>
        </row>
        <row r="643">
          <cell r="A643" t="str">
            <v>70CH-18BK</v>
          </cell>
          <cell r="B643" t="str">
            <v>SRAMPS, SPMT</v>
          </cell>
          <cell r="C643">
            <v>4721.8</v>
          </cell>
          <cell r="D643">
            <v>0.2</v>
          </cell>
          <cell r="E643">
            <v>2030</v>
          </cell>
          <cell r="F643">
            <v>25</v>
          </cell>
          <cell r="G643"/>
          <cell r="L643"/>
          <cell r="M643"/>
          <cell r="N643"/>
          <cell r="O643"/>
          <cell r="P643"/>
          <cell r="Q643"/>
          <cell r="R643"/>
        </row>
        <row r="644">
          <cell r="A644" t="str">
            <v>70CH-18BK-GA</v>
          </cell>
          <cell r="B644" t="str">
            <v>BRK2, SRAMPS, SPMT</v>
          </cell>
          <cell r="C644">
            <v>5387.97</v>
          </cell>
          <cell r="D644">
            <v>0.2</v>
          </cell>
          <cell r="E644">
            <v>2030</v>
          </cell>
          <cell r="F644">
            <v>25</v>
          </cell>
          <cell r="G644"/>
          <cell r="L644"/>
          <cell r="M644"/>
          <cell r="N644"/>
          <cell r="O644"/>
          <cell r="P644"/>
          <cell r="Q644"/>
          <cell r="R644"/>
        </row>
        <row r="645">
          <cell r="A645" t="str">
            <v>70CH-18BK2B</v>
          </cell>
          <cell r="B645" t="str">
            <v>Brk2, Adj.Coupler, Sramps, Spmt</v>
          </cell>
          <cell r="C645">
            <v>4947.37</v>
          </cell>
          <cell r="D645">
            <v>0.2</v>
          </cell>
          <cell r="E645">
            <v>2030</v>
          </cell>
          <cell r="F645">
            <v>25</v>
          </cell>
          <cell r="G645"/>
          <cell r="L645"/>
          <cell r="M645"/>
          <cell r="N645"/>
          <cell r="O645"/>
          <cell r="P645"/>
          <cell r="Q645"/>
          <cell r="R645"/>
        </row>
        <row r="646">
          <cell r="A646" t="str">
            <v>70CH-18BKDT</v>
          </cell>
          <cell r="B646" t="str">
            <v>DT, Adj.Coupler, Sramps, Spmt</v>
          </cell>
          <cell r="C646">
            <v>5067.67</v>
          </cell>
          <cell r="D646">
            <v>0.2</v>
          </cell>
          <cell r="E646">
            <v>2060</v>
          </cell>
          <cell r="F646">
            <v>25</v>
          </cell>
          <cell r="G646"/>
          <cell r="L646"/>
          <cell r="M646"/>
          <cell r="N646"/>
          <cell r="O646"/>
          <cell r="P646"/>
          <cell r="Q646"/>
          <cell r="R646"/>
        </row>
        <row r="647">
          <cell r="A647" t="str">
            <v>70CH-18BKDT-GA</v>
          </cell>
          <cell r="B647" t="str">
            <v>DT, Brk2, Adj.Coupler, Sramps, Spmt</v>
          </cell>
          <cell r="C647">
            <v>5613.53</v>
          </cell>
          <cell r="D647">
            <v>0.2</v>
          </cell>
          <cell r="E647">
            <v>2060</v>
          </cell>
          <cell r="F647">
            <v>25</v>
          </cell>
          <cell r="G647"/>
          <cell r="L647"/>
          <cell r="M647"/>
          <cell r="N647"/>
          <cell r="O647"/>
          <cell r="P647"/>
          <cell r="Q647"/>
          <cell r="R647"/>
        </row>
        <row r="648">
          <cell r="A648" t="str">
            <v>70CH-18BKDT2B</v>
          </cell>
          <cell r="B648" t="str">
            <v>Brk2, DT, Adj.Coupler, Sramps, Spmt</v>
          </cell>
          <cell r="C648">
            <v>5293.23</v>
          </cell>
          <cell r="D648">
            <v>0.2</v>
          </cell>
          <cell r="E648">
            <v>2060</v>
          </cell>
          <cell r="F648">
            <v>25</v>
          </cell>
          <cell r="G648"/>
          <cell r="L648"/>
          <cell r="M648"/>
          <cell r="N648"/>
          <cell r="O648"/>
          <cell r="P648"/>
          <cell r="Q648"/>
          <cell r="R648"/>
        </row>
        <row r="649">
          <cell r="A649" t="str">
            <v>70CH-20</v>
          </cell>
          <cell r="B649" t="str"/>
          <cell r="C649">
            <v>4541.3500000000004</v>
          </cell>
          <cell r="D649">
            <v>0.2</v>
          </cell>
          <cell r="E649">
            <v>2060</v>
          </cell>
          <cell r="F649">
            <v>25</v>
          </cell>
          <cell r="G649"/>
          <cell r="L649"/>
          <cell r="M649"/>
          <cell r="N649"/>
          <cell r="O649"/>
          <cell r="P649"/>
          <cell r="Q649"/>
          <cell r="R649"/>
        </row>
        <row r="650">
          <cell r="A650" t="str">
            <v>70CH-20BK</v>
          </cell>
          <cell r="B650" t="str">
            <v>SRAMPS, SPMT</v>
          </cell>
          <cell r="C650">
            <v>4842.1099999999997</v>
          </cell>
          <cell r="D650">
            <v>0.2</v>
          </cell>
          <cell r="E650">
            <v>2230</v>
          </cell>
          <cell r="F650">
            <v>25</v>
          </cell>
          <cell r="G650"/>
          <cell r="L650"/>
          <cell r="M650"/>
          <cell r="N650"/>
          <cell r="O650"/>
          <cell r="P650"/>
          <cell r="Q650"/>
          <cell r="R650"/>
        </row>
        <row r="651">
          <cell r="A651" t="str">
            <v>70CH-20BK-GA</v>
          </cell>
          <cell r="B651" t="str">
            <v>BRK2, SRAMPS, SPMT</v>
          </cell>
          <cell r="C651">
            <v>5538.35</v>
          </cell>
          <cell r="D651">
            <v>0.2</v>
          </cell>
          <cell r="E651">
            <v>2180</v>
          </cell>
          <cell r="F651">
            <v>25</v>
          </cell>
          <cell r="G651"/>
          <cell r="L651"/>
          <cell r="M651"/>
          <cell r="N651"/>
          <cell r="O651"/>
          <cell r="P651"/>
          <cell r="Q651"/>
          <cell r="R651"/>
        </row>
        <row r="652">
          <cell r="A652" t="str">
            <v>70CH-20BK2B</v>
          </cell>
          <cell r="B652" t="str">
            <v>Brk2, Adj.Coupler, Sramps, Spmt</v>
          </cell>
          <cell r="C652">
            <v>5067.67</v>
          </cell>
          <cell r="D652">
            <v>0.2</v>
          </cell>
          <cell r="E652">
            <v>2030</v>
          </cell>
          <cell r="F652">
            <v>25</v>
          </cell>
          <cell r="G652"/>
          <cell r="L652"/>
          <cell r="M652"/>
          <cell r="N652"/>
          <cell r="O652"/>
          <cell r="P652"/>
          <cell r="Q652"/>
          <cell r="R652"/>
        </row>
        <row r="653">
          <cell r="A653" t="str">
            <v>70CH-20BKDT</v>
          </cell>
          <cell r="B653" t="str">
            <v>DT, Adj.Coupler, Sramps, Spmt</v>
          </cell>
          <cell r="C653">
            <v>5187.97</v>
          </cell>
          <cell r="D653">
            <v>0.2</v>
          </cell>
          <cell r="E653">
            <v>2060</v>
          </cell>
          <cell r="F653">
            <v>25</v>
          </cell>
          <cell r="G653"/>
          <cell r="L653"/>
          <cell r="M653"/>
          <cell r="N653"/>
          <cell r="O653"/>
          <cell r="P653"/>
          <cell r="Q653"/>
          <cell r="R653"/>
        </row>
        <row r="654">
          <cell r="A654" t="str">
            <v>70CH-20BKDT-GA</v>
          </cell>
          <cell r="B654" t="str">
            <v>DT, Brk2, Adj.Coupler, Sramps, Spmt</v>
          </cell>
          <cell r="C654">
            <v>5669.17</v>
          </cell>
          <cell r="D654">
            <v>0.2</v>
          </cell>
          <cell r="E654">
            <v>2060</v>
          </cell>
          <cell r="F654">
            <v>25</v>
          </cell>
          <cell r="G654"/>
          <cell r="L654"/>
          <cell r="M654"/>
          <cell r="N654"/>
          <cell r="O654"/>
          <cell r="P654"/>
          <cell r="Q654"/>
          <cell r="R654"/>
        </row>
        <row r="655">
          <cell r="A655" t="str">
            <v>70CH-20BKDT2B</v>
          </cell>
          <cell r="B655" t="str">
            <v>Brk2, DT, Adj.Coupler, Sramps, Spmt</v>
          </cell>
          <cell r="C655">
            <v>5416.53</v>
          </cell>
          <cell r="D655">
            <v>0.2</v>
          </cell>
          <cell r="E655">
            <v>2060</v>
          </cell>
          <cell r="F655">
            <v>25</v>
          </cell>
          <cell r="G655"/>
          <cell r="L655"/>
          <cell r="M655"/>
          <cell r="N655"/>
          <cell r="O655"/>
          <cell r="P655"/>
          <cell r="Q655"/>
          <cell r="R655"/>
        </row>
        <row r="656">
          <cell r="A656" t="str">
            <v>70DM-18</v>
          </cell>
          <cell r="B656" t="str"/>
          <cell r="C656">
            <v>6796.99</v>
          </cell>
          <cell r="D656">
            <v>0.2</v>
          </cell>
          <cell r="E656">
            <v>1970</v>
          </cell>
          <cell r="F656">
            <v>25</v>
          </cell>
          <cell r="G656"/>
          <cell r="L656"/>
          <cell r="M656"/>
          <cell r="N656"/>
          <cell r="O656"/>
          <cell r="P656"/>
          <cell r="Q656"/>
          <cell r="R656"/>
        </row>
        <row r="657">
          <cell r="A657" t="str">
            <v>70DM-18BK</v>
          </cell>
          <cell r="B657" t="str"/>
          <cell r="C657">
            <v>6796.99</v>
          </cell>
          <cell r="D657">
            <v>0.2</v>
          </cell>
          <cell r="E657">
            <v>2140</v>
          </cell>
          <cell r="F657">
            <v>25</v>
          </cell>
          <cell r="G657"/>
          <cell r="L657"/>
          <cell r="M657"/>
          <cell r="N657"/>
          <cell r="O657"/>
          <cell r="P657"/>
          <cell r="Q657"/>
          <cell r="R657"/>
        </row>
        <row r="658">
          <cell r="A658" t="str">
            <v>70DM-18BK-GA</v>
          </cell>
          <cell r="B658" t="str">
            <v>Brk2, Adj.Coupler</v>
          </cell>
          <cell r="C658">
            <v>7706.77</v>
          </cell>
          <cell r="D658">
            <v>0.2</v>
          </cell>
          <cell r="E658">
            <v>2140</v>
          </cell>
          <cell r="F658">
            <v>25</v>
          </cell>
          <cell r="G658"/>
          <cell r="L658"/>
          <cell r="M658"/>
          <cell r="N658"/>
          <cell r="O658"/>
          <cell r="P658"/>
          <cell r="Q658"/>
          <cell r="R658"/>
        </row>
        <row r="659">
          <cell r="A659" t="str">
            <v>70DM-18BK2B</v>
          </cell>
          <cell r="B659" t="str">
            <v>Brk2</v>
          </cell>
          <cell r="C659">
            <v>7022.56</v>
          </cell>
          <cell r="D659">
            <v>0.2</v>
          </cell>
          <cell r="E659">
            <v>2140</v>
          </cell>
          <cell r="F659">
            <v>25</v>
          </cell>
          <cell r="G659"/>
          <cell r="L659"/>
          <cell r="M659"/>
          <cell r="N659"/>
          <cell r="O659"/>
          <cell r="P659"/>
          <cell r="Q659"/>
          <cell r="R659"/>
        </row>
        <row r="660">
          <cell r="A660" t="str">
            <v>70DM-20</v>
          </cell>
          <cell r="B660" t="str"/>
          <cell r="C660">
            <v>6917.29</v>
          </cell>
          <cell r="D660">
            <v>0.2</v>
          </cell>
          <cell r="E660">
            <v>2125</v>
          </cell>
          <cell r="F660">
            <v>25</v>
          </cell>
          <cell r="G660"/>
          <cell r="L660"/>
          <cell r="M660"/>
          <cell r="N660"/>
          <cell r="O660"/>
          <cell r="P660"/>
          <cell r="Q660"/>
          <cell r="R660"/>
        </row>
        <row r="661">
          <cell r="A661" t="str">
            <v>70DM-20BK</v>
          </cell>
          <cell r="B661" t="str"/>
          <cell r="C661">
            <v>6971.29</v>
          </cell>
          <cell r="D661">
            <v>0.2</v>
          </cell>
          <cell r="E661">
            <v>2320</v>
          </cell>
          <cell r="F661">
            <v>25</v>
          </cell>
          <cell r="G661"/>
          <cell r="L661"/>
          <cell r="M661"/>
          <cell r="N661"/>
          <cell r="O661"/>
          <cell r="P661"/>
          <cell r="Q661"/>
          <cell r="R661"/>
        </row>
        <row r="662">
          <cell r="A662" t="str">
            <v>70DM-20BK-GA</v>
          </cell>
          <cell r="B662" t="str">
            <v>Brk2, Adj.Coupler</v>
          </cell>
          <cell r="C662">
            <v>8007.52</v>
          </cell>
          <cell r="D662">
            <v>0.2</v>
          </cell>
          <cell r="E662">
            <v>2140</v>
          </cell>
          <cell r="F662">
            <v>25</v>
          </cell>
          <cell r="G662"/>
          <cell r="L662"/>
          <cell r="M662"/>
          <cell r="N662"/>
          <cell r="O662"/>
          <cell r="P662"/>
          <cell r="Q662"/>
          <cell r="R662"/>
        </row>
        <row r="663">
          <cell r="A663" t="str">
            <v>70DM-20BK2B</v>
          </cell>
          <cell r="B663" t="str">
            <v>Brk2</v>
          </cell>
          <cell r="C663">
            <v>7142.86</v>
          </cell>
          <cell r="D663">
            <v>0.2</v>
          </cell>
          <cell r="E663">
            <v>2320</v>
          </cell>
          <cell r="F663">
            <v>25</v>
          </cell>
          <cell r="G663"/>
          <cell r="L663"/>
          <cell r="M663"/>
          <cell r="N663"/>
          <cell r="O663"/>
          <cell r="P663"/>
          <cell r="Q663"/>
          <cell r="R663"/>
        </row>
        <row r="664">
          <cell r="A664" t="str">
            <v>70LR-14</v>
          </cell>
          <cell r="B664" t="str">
            <v>Discontinued SKU</v>
          </cell>
          <cell r="C664">
            <v>6330.83</v>
          </cell>
          <cell r="D664">
            <v>0.2</v>
          </cell>
          <cell r="E664">
            <v>2210</v>
          </cell>
          <cell r="F664">
            <v>30</v>
          </cell>
          <cell r="G664"/>
          <cell r="L664"/>
          <cell r="M664"/>
          <cell r="N664"/>
          <cell r="O664"/>
          <cell r="P664"/>
          <cell r="Q664"/>
          <cell r="R664"/>
        </row>
        <row r="665">
          <cell r="A665" t="str">
            <v>70LR-14BK</v>
          </cell>
          <cell r="B665" t="str">
            <v>RLB, WERack, ENEX2</v>
          </cell>
          <cell r="C665">
            <v>6706.77</v>
          </cell>
          <cell r="D665">
            <v>0.2</v>
          </cell>
          <cell r="E665">
            <v>2210</v>
          </cell>
          <cell r="F665">
            <v>30</v>
          </cell>
          <cell r="G665"/>
          <cell r="L665"/>
          <cell r="M665"/>
          <cell r="N665"/>
          <cell r="O665"/>
          <cell r="P665"/>
          <cell r="Q665"/>
          <cell r="R665"/>
        </row>
        <row r="666">
          <cell r="A666" t="str">
            <v>70LR-14BK-GA</v>
          </cell>
          <cell r="B666" t="str">
            <v>Discontinued SKU</v>
          </cell>
          <cell r="C666">
            <v>9180.4500000000007</v>
          </cell>
          <cell r="D666">
            <v>0.2</v>
          </cell>
          <cell r="E666">
            <v>2210</v>
          </cell>
          <cell r="F666">
            <v>30</v>
          </cell>
          <cell r="G666"/>
          <cell r="L666"/>
          <cell r="M666"/>
          <cell r="N666"/>
          <cell r="O666"/>
          <cell r="P666"/>
          <cell r="Q666"/>
          <cell r="R666"/>
        </row>
        <row r="667">
          <cell r="A667" t="str">
            <v>70LR-14BK-P4</v>
          </cell>
          <cell r="B667" t="str">
            <v>RLB, WERack, ENEX4</v>
          </cell>
          <cell r="C667">
            <v>8210.5300000000007</v>
          </cell>
          <cell r="D667">
            <v>0.2</v>
          </cell>
          <cell r="E667">
            <v>2210</v>
          </cell>
          <cell r="F667">
            <v>30</v>
          </cell>
          <cell r="G667"/>
          <cell r="L667"/>
          <cell r="M667"/>
          <cell r="N667"/>
          <cell r="O667"/>
          <cell r="P667"/>
          <cell r="Q667"/>
          <cell r="R667"/>
        </row>
        <row r="668">
          <cell r="A668" t="str">
            <v>70LR-14BK2B</v>
          </cell>
          <cell r="B668" t="str">
            <v>Discontinued SKU</v>
          </cell>
          <cell r="C668">
            <v>6932.33</v>
          </cell>
          <cell r="D668">
            <v>0.2</v>
          </cell>
          <cell r="E668">
            <v>2210</v>
          </cell>
          <cell r="F668">
            <v>30</v>
          </cell>
          <cell r="G668"/>
          <cell r="L668"/>
          <cell r="M668"/>
          <cell r="N668"/>
          <cell r="O668"/>
          <cell r="P668"/>
          <cell r="Q668"/>
          <cell r="R668"/>
        </row>
        <row r="669">
          <cell r="A669" t="str">
            <v>70LR-16</v>
          </cell>
          <cell r="B669" t="str">
            <v>Discontinued SKU</v>
          </cell>
          <cell r="C669">
            <v>6436.09</v>
          </cell>
          <cell r="D669">
            <v>0.2</v>
          </cell>
          <cell r="E669">
            <v>2370</v>
          </cell>
          <cell r="F669">
            <v>30</v>
          </cell>
          <cell r="G669"/>
          <cell r="L669"/>
          <cell r="M669"/>
          <cell r="N669"/>
          <cell r="O669"/>
          <cell r="P669"/>
          <cell r="Q669"/>
          <cell r="R669"/>
        </row>
        <row r="670">
          <cell r="A670" t="str">
            <v>70LR-16BK</v>
          </cell>
          <cell r="B670" t="str">
            <v>RLB, WERack, ENEX2</v>
          </cell>
          <cell r="C670">
            <v>6812.03</v>
          </cell>
          <cell r="D670">
            <v>0.2</v>
          </cell>
          <cell r="E670">
            <v>2370</v>
          </cell>
          <cell r="F670">
            <v>30</v>
          </cell>
          <cell r="G670"/>
          <cell r="L670"/>
          <cell r="M670"/>
          <cell r="N670"/>
          <cell r="O670"/>
          <cell r="P670"/>
          <cell r="Q670"/>
          <cell r="R670"/>
        </row>
        <row r="671">
          <cell r="A671" t="str">
            <v>70LR-16BK-GA</v>
          </cell>
          <cell r="B671" t="str">
            <v>Discontinued SKU</v>
          </cell>
          <cell r="C671">
            <v>9481.2000000000007</v>
          </cell>
          <cell r="D671">
            <v>0.2</v>
          </cell>
          <cell r="E671">
            <v>2370</v>
          </cell>
          <cell r="F671">
            <v>30</v>
          </cell>
          <cell r="G671"/>
          <cell r="L671"/>
          <cell r="M671"/>
          <cell r="N671"/>
          <cell r="O671"/>
          <cell r="P671"/>
          <cell r="Q671"/>
          <cell r="R671"/>
        </row>
        <row r="672">
          <cell r="A672" t="str">
            <v>70LR-16BK-P4</v>
          </cell>
          <cell r="B672" t="str">
            <v>RLB, WERack, ENEX4</v>
          </cell>
          <cell r="C672">
            <v>8315.7900000000009</v>
          </cell>
          <cell r="D672">
            <v>0.2</v>
          </cell>
          <cell r="E672">
            <v>2370</v>
          </cell>
          <cell r="F672">
            <v>30</v>
          </cell>
          <cell r="G672"/>
          <cell r="L672"/>
          <cell r="M672"/>
          <cell r="N672"/>
          <cell r="O672"/>
          <cell r="P672"/>
          <cell r="Q672"/>
          <cell r="R672"/>
        </row>
        <row r="673">
          <cell r="A673" t="str">
            <v>70LR-16BK2B</v>
          </cell>
          <cell r="B673" t="str">
            <v>Discontinued SKU</v>
          </cell>
          <cell r="C673">
            <v>7037.59</v>
          </cell>
          <cell r="D673">
            <v>0.2</v>
          </cell>
          <cell r="E673">
            <v>2370</v>
          </cell>
          <cell r="F673">
            <v>30</v>
          </cell>
          <cell r="G673"/>
          <cell r="L673"/>
          <cell r="M673"/>
          <cell r="N673"/>
          <cell r="O673"/>
          <cell r="P673"/>
          <cell r="Q673"/>
          <cell r="R673"/>
        </row>
        <row r="674">
          <cell r="A674" t="str">
            <v>70M1-10</v>
          </cell>
          <cell r="B674" t="str">
            <v>Discontinued SKU</v>
          </cell>
          <cell r="C674">
            <v>0</v>
          </cell>
          <cell r="D674">
            <v>0.2</v>
          </cell>
          <cell r="E674">
            <v>1600</v>
          </cell>
          <cell r="F674">
            <v>5</v>
          </cell>
          <cell r="G674"/>
          <cell r="L674"/>
          <cell r="M674"/>
          <cell r="N674"/>
          <cell r="O674"/>
          <cell r="P674"/>
          <cell r="Q674"/>
          <cell r="R674"/>
        </row>
        <row r="675">
          <cell r="A675" t="str">
            <v>70PI-14</v>
          </cell>
          <cell r="B675"/>
          <cell r="C675">
            <v>4451.13</v>
          </cell>
          <cell r="D675">
            <v>0.2</v>
          </cell>
          <cell r="E675">
            <v>1760</v>
          </cell>
          <cell r="F675">
            <v>20</v>
          </cell>
          <cell r="G675"/>
          <cell r="L675"/>
          <cell r="M675"/>
          <cell r="N675"/>
          <cell r="O675"/>
          <cell r="P675"/>
          <cell r="Q675"/>
          <cell r="R675"/>
        </row>
        <row r="676">
          <cell r="A676" t="str">
            <v>70PI-14R1A-4PBK</v>
          </cell>
          <cell r="B676" t="str">
            <v>RG, SPMT</v>
          </cell>
          <cell r="C676">
            <v>4451.13</v>
          </cell>
          <cell r="D676">
            <v>0.2</v>
          </cell>
          <cell r="E676">
            <v>1900</v>
          </cell>
          <cell r="F676">
            <v>20</v>
          </cell>
          <cell r="G676"/>
          <cell r="L676"/>
          <cell r="M676"/>
          <cell r="N676"/>
          <cell r="O676"/>
          <cell r="P676"/>
          <cell r="Q676"/>
          <cell r="R676"/>
        </row>
        <row r="677">
          <cell r="A677" t="str">
            <v>70PI-14R1A-4PBK-BRK2</v>
          </cell>
          <cell r="B677" t="str">
            <v>BRK2, RG, SPMT</v>
          </cell>
          <cell r="C677">
            <v>4676.6899999999996</v>
          </cell>
          <cell r="D677">
            <v>0.2</v>
          </cell>
          <cell r="E677">
            <v>1900</v>
          </cell>
          <cell r="F677">
            <v>20</v>
          </cell>
          <cell r="G677"/>
          <cell r="L677"/>
          <cell r="M677"/>
          <cell r="N677"/>
          <cell r="O677"/>
          <cell r="P677"/>
          <cell r="Q677"/>
          <cell r="R677"/>
        </row>
        <row r="678">
          <cell r="A678" t="str">
            <v>70PI-14R1A-4SBK</v>
          </cell>
          <cell r="B678" t="str">
            <v>4SIR, SPMT</v>
          </cell>
          <cell r="C678">
            <v>4451.13</v>
          </cell>
          <cell r="D678">
            <v>0.2</v>
          </cell>
          <cell r="E678">
            <v>1900</v>
          </cell>
          <cell r="F678">
            <v>20</v>
          </cell>
          <cell r="G678"/>
          <cell r="L678"/>
          <cell r="M678"/>
          <cell r="N678"/>
          <cell r="O678"/>
          <cell r="P678"/>
          <cell r="Q678"/>
          <cell r="R678"/>
        </row>
        <row r="679">
          <cell r="A679" t="str">
            <v>70PI-14R1A-4SBK-BRK2</v>
          </cell>
          <cell r="B679" t="str">
            <v>BRK2, 4SIR, SPMT</v>
          </cell>
          <cell r="C679">
            <v>4676.6899999999996</v>
          </cell>
          <cell r="D679">
            <v>0.2</v>
          </cell>
          <cell r="E679">
            <v>1900</v>
          </cell>
          <cell r="F679">
            <v>20</v>
          </cell>
          <cell r="G679"/>
          <cell r="L679"/>
          <cell r="M679"/>
          <cell r="N679"/>
          <cell r="O679"/>
          <cell r="P679"/>
          <cell r="Q679"/>
          <cell r="R679"/>
        </row>
        <row r="680">
          <cell r="A680" t="str">
            <v>70PI-16</v>
          </cell>
          <cell r="B680"/>
          <cell r="C680">
            <v>4556.3900000000003</v>
          </cell>
          <cell r="D680">
            <v>0.2</v>
          </cell>
          <cell r="E680">
            <v>1780</v>
          </cell>
          <cell r="F680">
            <v>20</v>
          </cell>
          <cell r="G680"/>
          <cell r="L680"/>
          <cell r="M680"/>
          <cell r="N680"/>
          <cell r="O680"/>
          <cell r="P680"/>
          <cell r="Q680"/>
          <cell r="R680"/>
        </row>
        <row r="681">
          <cell r="A681" t="str">
            <v>70PI-16R1A-4PBK</v>
          </cell>
          <cell r="B681" t="str">
            <v>RG, SPMT</v>
          </cell>
          <cell r="C681">
            <v>4556.3900000000003</v>
          </cell>
          <cell r="D681">
            <v>0.2</v>
          </cell>
          <cell r="E681">
            <v>1980</v>
          </cell>
          <cell r="F681">
            <v>20</v>
          </cell>
          <cell r="G681"/>
          <cell r="L681"/>
          <cell r="M681"/>
          <cell r="N681"/>
          <cell r="O681"/>
          <cell r="P681"/>
          <cell r="Q681"/>
          <cell r="R681"/>
        </row>
        <row r="682">
          <cell r="A682" t="str">
            <v>70PI-16R1A-4PBK-BRK2</v>
          </cell>
          <cell r="B682" t="str">
            <v>BRK2, RG, SPMT</v>
          </cell>
          <cell r="C682">
            <v>4781.95</v>
          </cell>
          <cell r="D682">
            <v>0.2</v>
          </cell>
          <cell r="E682">
            <v>1980</v>
          </cell>
          <cell r="F682">
            <v>20</v>
          </cell>
          <cell r="G682"/>
          <cell r="L682"/>
          <cell r="M682"/>
          <cell r="N682"/>
          <cell r="O682"/>
          <cell r="P682"/>
          <cell r="Q682"/>
          <cell r="R682"/>
        </row>
        <row r="683">
          <cell r="A683" t="str">
            <v>70PI-16R1A-4SBK</v>
          </cell>
          <cell r="B683" t="str">
            <v>4SIR, SPMT</v>
          </cell>
          <cell r="C683">
            <v>4556.3900000000003</v>
          </cell>
          <cell r="D683">
            <v>0.2</v>
          </cell>
          <cell r="E683">
            <v>1980</v>
          </cell>
          <cell r="F683">
            <v>20</v>
          </cell>
          <cell r="G683"/>
          <cell r="L683"/>
          <cell r="M683"/>
          <cell r="N683"/>
          <cell r="O683"/>
          <cell r="P683"/>
          <cell r="Q683"/>
          <cell r="R683"/>
        </row>
        <row r="684">
          <cell r="A684" t="str">
            <v>70PI-16R1A-4SBK-BRK2</v>
          </cell>
          <cell r="B684" t="str">
            <v>BRK2, 4SIR, SPMT</v>
          </cell>
          <cell r="C684">
            <v>4781.95</v>
          </cell>
          <cell r="D684">
            <v>0.2</v>
          </cell>
          <cell r="E684">
            <v>1980</v>
          </cell>
          <cell r="F684">
            <v>20</v>
          </cell>
          <cell r="G684"/>
          <cell r="L684"/>
          <cell r="M684"/>
          <cell r="N684"/>
          <cell r="O684"/>
          <cell r="P684"/>
          <cell r="Q684"/>
          <cell r="R684"/>
        </row>
        <row r="685">
          <cell r="A685" t="str">
            <v>70PI-18</v>
          </cell>
          <cell r="B685" t="str"/>
          <cell r="C685">
            <v>4676.6899999999996</v>
          </cell>
          <cell r="D685">
            <v>0.2</v>
          </cell>
          <cell r="E685">
            <v>1940</v>
          </cell>
          <cell r="F685">
            <v>20</v>
          </cell>
          <cell r="G685"/>
          <cell r="L685"/>
          <cell r="M685"/>
          <cell r="N685"/>
          <cell r="O685"/>
          <cell r="P685"/>
          <cell r="Q685"/>
          <cell r="R685"/>
        </row>
        <row r="686">
          <cell r="A686" t="str">
            <v>70PI-18R1A-4PBK</v>
          </cell>
          <cell r="B686" t="str">
            <v>RG, SPMT</v>
          </cell>
          <cell r="C686">
            <v>4676.6899999999996</v>
          </cell>
          <cell r="D686">
            <v>0.2</v>
          </cell>
          <cell r="E686">
            <v>2060</v>
          </cell>
          <cell r="F686">
            <v>20</v>
          </cell>
          <cell r="G686"/>
          <cell r="L686"/>
          <cell r="M686"/>
          <cell r="N686"/>
          <cell r="O686"/>
          <cell r="P686"/>
          <cell r="Q686"/>
          <cell r="R686"/>
        </row>
        <row r="687">
          <cell r="A687" t="str">
            <v>70PI-18R1A-4PBK-BRK2</v>
          </cell>
          <cell r="B687" t="str">
            <v>BRK2, RG, SPMT</v>
          </cell>
          <cell r="C687">
            <v>4902.26</v>
          </cell>
          <cell r="D687">
            <v>0.2</v>
          </cell>
          <cell r="E687">
            <v>2060</v>
          </cell>
          <cell r="F687">
            <v>20</v>
          </cell>
          <cell r="G687"/>
          <cell r="L687"/>
          <cell r="M687"/>
          <cell r="N687"/>
          <cell r="O687"/>
          <cell r="P687"/>
          <cell r="Q687"/>
          <cell r="R687"/>
        </row>
        <row r="688">
          <cell r="A688" t="str">
            <v>70PI-18R1A-4SBK</v>
          </cell>
          <cell r="B688" t="str">
            <v>4SIR, SPMT</v>
          </cell>
          <cell r="C688">
            <v>4676.6899999999996</v>
          </cell>
          <cell r="D688">
            <v>0.2</v>
          </cell>
          <cell r="E688">
            <v>2060</v>
          </cell>
          <cell r="F688">
            <v>20</v>
          </cell>
          <cell r="G688"/>
          <cell r="L688"/>
          <cell r="M688"/>
          <cell r="N688"/>
          <cell r="O688"/>
          <cell r="P688"/>
          <cell r="Q688"/>
          <cell r="R688"/>
        </row>
        <row r="689">
          <cell r="A689" t="str">
            <v>70PI-18R1A-4SBK-BRK2</v>
          </cell>
          <cell r="B689" t="str">
            <v>BRK2, 4SIR, SPMT</v>
          </cell>
          <cell r="C689">
            <v>4902.26</v>
          </cell>
          <cell r="D689">
            <v>0.2</v>
          </cell>
          <cell r="E689">
            <v>2060</v>
          </cell>
          <cell r="F689">
            <v>20</v>
          </cell>
          <cell r="G689"/>
          <cell r="L689"/>
          <cell r="M689"/>
          <cell r="N689"/>
          <cell r="O689"/>
          <cell r="P689"/>
          <cell r="Q689"/>
          <cell r="R689"/>
        </row>
        <row r="690">
          <cell r="A690" t="str">
            <v>70PI-18X</v>
          </cell>
          <cell r="B690"/>
          <cell r="C690">
            <v>4225.5600000000004</v>
          </cell>
          <cell r="D690">
            <v>0.2</v>
          </cell>
          <cell r="E690">
            <v>1940</v>
          </cell>
          <cell r="F690">
            <v>20</v>
          </cell>
          <cell r="G690"/>
          <cell r="L690"/>
          <cell r="M690"/>
          <cell r="N690"/>
          <cell r="O690"/>
          <cell r="P690"/>
          <cell r="Q690"/>
          <cell r="R690"/>
        </row>
        <row r="691">
          <cell r="A691" t="str">
            <v>70PI-18XBK</v>
          </cell>
          <cell r="B691" t="str">
            <v>SRAMPS, Adj.Coup.2", SPMT</v>
          </cell>
          <cell r="C691">
            <v>4676.6899999999996</v>
          </cell>
          <cell r="D691">
            <v>0.2</v>
          </cell>
          <cell r="E691">
            <v>2060</v>
          </cell>
          <cell r="F691">
            <v>20</v>
          </cell>
          <cell r="G691"/>
          <cell r="L691"/>
          <cell r="M691"/>
          <cell r="N691"/>
          <cell r="O691"/>
          <cell r="P691"/>
          <cell r="Q691"/>
          <cell r="R691"/>
        </row>
        <row r="692">
          <cell r="A692" t="str">
            <v>70PI-18XBK-GA</v>
          </cell>
          <cell r="B692" t="str">
            <v>BRK2, Adj.Coup.2-5/16", SRAMPS, SPMT</v>
          </cell>
          <cell r="C692">
            <v>4902.26</v>
          </cell>
          <cell r="D692">
            <v>0.2</v>
          </cell>
          <cell r="E692">
            <v>2060</v>
          </cell>
          <cell r="F692">
            <v>20</v>
          </cell>
          <cell r="G692"/>
          <cell r="L692"/>
          <cell r="M692"/>
          <cell r="N692"/>
          <cell r="O692"/>
          <cell r="P692"/>
          <cell r="Q692"/>
          <cell r="R692"/>
        </row>
        <row r="693">
          <cell r="A693" t="str">
            <v>70PI-18XBK2B</v>
          </cell>
          <cell r="B693" t="str">
            <v>BRK2, Adj.Coup.2", SRAMPS, SPMT</v>
          </cell>
          <cell r="C693">
            <v>4902.26</v>
          </cell>
          <cell r="D693">
            <v>0.2</v>
          </cell>
          <cell r="E693">
            <v>2060</v>
          </cell>
          <cell r="F693">
            <v>20</v>
          </cell>
          <cell r="G693"/>
          <cell r="L693"/>
          <cell r="M693"/>
          <cell r="N693"/>
          <cell r="O693"/>
          <cell r="P693"/>
          <cell r="Q693"/>
          <cell r="R693"/>
        </row>
        <row r="694">
          <cell r="A694" t="str">
            <v>70PI-18XBK4RG</v>
          </cell>
          <cell r="B694" t="str">
            <v>RG, Adj.Coup.2", SPMT</v>
          </cell>
          <cell r="C694">
            <v>4676.6899999999996</v>
          </cell>
          <cell r="D694">
            <v>0.2</v>
          </cell>
          <cell r="E694">
            <v>2060</v>
          </cell>
          <cell r="F694">
            <v>20</v>
          </cell>
          <cell r="G694"/>
          <cell r="L694"/>
          <cell r="M694"/>
          <cell r="N694"/>
          <cell r="O694"/>
          <cell r="P694"/>
          <cell r="Q694"/>
          <cell r="R694"/>
        </row>
        <row r="695">
          <cell r="A695" t="str">
            <v>70PI-18XBK4RG-GA</v>
          </cell>
          <cell r="B695" t="str">
            <v>Brk2, Adj.Coup.2-5/16", RG, Spmt</v>
          </cell>
          <cell r="C695">
            <v>4902.26</v>
          </cell>
          <cell r="D695">
            <v>0.2</v>
          </cell>
          <cell r="E695">
            <v>2060</v>
          </cell>
          <cell r="F695">
            <v>20</v>
          </cell>
          <cell r="G695"/>
          <cell r="L695"/>
          <cell r="M695"/>
          <cell r="N695"/>
          <cell r="O695"/>
          <cell r="P695"/>
          <cell r="Q695"/>
          <cell r="R695"/>
        </row>
        <row r="696">
          <cell r="A696" t="str">
            <v>70PI-18XBK4RG2B</v>
          </cell>
          <cell r="B696" t="str">
            <v>Brk2, Adj.Coup.2", RG, Spmt</v>
          </cell>
          <cell r="C696">
            <v>4902.26</v>
          </cell>
          <cell r="D696">
            <v>0.2</v>
          </cell>
          <cell r="E696">
            <v>2060</v>
          </cell>
          <cell r="F696">
            <v>20</v>
          </cell>
          <cell r="G696"/>
          <cell r="L696"/>
          <cell r="M696"/>
          <cell r="N696"/>
          <cell r="O696"/>
          <cell r="P696"/>
          <cell r="Q696"/>
          <cell r="R696"/>
        </row>
        <row r="697">
          <cell r="A697" t="str">
            <v>70PI-20</v>
          </cell>
          <cell r="B697"/>
          <cell r="C697">
            <v>4781.95</v>
          </cell>
          <cell r="D697">
            <v>0.2</v>
          </cell>
          <cell r="E697">
            <v>2020</v>
          </cell>
          <cell r="F697">
            <v>20</v>
          </cell>
          <cell r="G697"/>
          <cell r="L697"/>
          <cell r="M697"/>
          <cell r="N697"/>
          <cell r="O697"/>
          <cell r="P697"/>
          <cell r="Q697"/>
          <cell r="R697"/>
        </row>
        <row r="698">
          <cell r="A698" t="str">
            <v>70PI-20R1A-4PBK</v>
          </cell>
          <cell r="B698" t="str">
            <v>RG, SPMT</v>
          </cell>
          <cell r="C698">
            <v>4781.95</v>
          </cell>
          <cell r="D698">
            <v>0.2</v>
          </cell>
          <cell r="E698">
            <v>2060</v>
          </cell>
          <cell r="F698">
            <v>20</v>
          </cell>
          <cell r="G698"/>
          <cell r="L698"/>
          <cell r="M698"/>
          <cell r="N698"/>
          <cell r="O698"/>
          <cell r="P698"/>
          <cell r="Q698"/>
          <cell r="R698"/>
        </row>
        <row r="699">
          <cell r="A699" t="str">
            <v>70PI-20R1A-4PBK-BRK2</v>
          </cell>
          <cell r="B699" t="str">
            <v>BRK2, RG, SPMT</v>
          </cell>
          <cell r="C699">
            <v>5007.5200000000004</v>
          </cell>
          <cell r="D699">
            <v>0.2</v>
          </cell>
          <cell r="E699">
            <v>2060</v>
          </cell>
          <cell r="F699">
            <v>20</v>
          </cell>
          <cell r="G699"/>
          <cell r="L699"/>
          <cell r="M699"/>
          <cell r="N699"/>
          <cell r="O699"/>
          <cell r="P699"/>
          <cell r="Q699"/>
          <cell r="R699"/>
        </row>
        <row r="700">
          <cell r="A700" t="str">
            <v>70PI-20R1A-4SBK</v>
          </cell>
          <cell r="B700" t="str">
            <v>4SIR, SPMT</v>
          </cell>
          <cell r="C700">
            <v>4781.95</v>
          </cell>
          <cell r="D700">
            <v>0.2</v>
          </cell>
          <cell r="E700">
            <v>2060</v>
          </cell>
          <cell r="F700">
            <v>20</v>
          </cell>
          <cell r="G700"/>
          <cell r="L700"/>
          <cell r="M700"/>
          <cell r="N700"/>
          <cell r="O700"/>
          <cell r="P700"/>
          <cell r="Q700"/>
          <cell r="R700"/>
        </row>
        <row r="701">
          <cell r="A701" t="str">
            <v>70PI-20R1A-4SBK-BRK2</v>
          </cell>
          <cell r="B701" t="str">
            <v>BRK2, 4SIR, SPMT</v>
          </cell>
          <cell r="C701">
            <v>5007.5200000000004</v>
          </cell>
          <cell r="D701">
            <v>0.2</v>
          </cell>
          <cell r="E701">
            <v>2060</v>
          </cell>
          <cell r="F701">
            <v>20</v>
          </cell>
          <cell r="G701"/>
          <cell r="L701"/>
          <cell r="M701"/>
          <cell r="N701"/>
          <cell r="O701"/>
          <cell r="P701"/>
          <cell r="Q701"/>
          <cell r="R701"/>
        </row>
        <row r="702">
          <cell r="A702" t="str">
            <v>70PI-20X</v>
          </cell>
          <cell r="B702"/>
          <cell r="C702">
            <v>4330.83</v>
          </cell>
          <cell r="D702">
            <v>0.2</v>
          </cell>
          <cell r="E702">
            <v>2020</v>
          </cell>
          <cell r="F702">
            <v>20</v>
          </cell>
          <cell r="G702"/>
          <cell r="L702"/>
          <cell r="M702"/>
          <cell r="N702"/>
          <cell r="O702"/>
          <cell r="P702"/>
          <cell r="Q702"/>
          <cell r="R702"/>
        </row>
        <row r="703">
          <cell r="A703" t="str">
            <v>70PI-20XBK</v>
          </cell>
          <cell r="B703" t="str">
            <v>SRAMPS, Adj.Coup.2", SPMT</v>
          </cell>
          <cell r="C703">
            <v>4781.95</v>
          </cell>
          <cell r="D703">
            <v>0.2</v>
          </cell>
          <cell r="E703">
            <v>2060</v>
          </cell>
          <cell r="F703">
            <v>20</v>
          </cell>
          <cell r="G703"/>
          <cell r="L703"/>
          <cell r="M703"/>
          <cell r="N703"/>
          <cell r="O703"/>
          <cell r="P703"/>
          <cell r="Q703"/>
          <cell r="R703"/>
        </row>
        <row r="704">
          <cell r="A704" t="str">
            <v>70PI-20XBK-GA</v>
          </cell>
          <cell r="B704" t="str">
            <v>BRK2, Adj.Coup.2-5/16", SRAMPS, SPMT</v>
          </cell>
          <cell r="C704">
            <v>5007.5200000000004</v>
          </cell>
          <cell r="D704">
            <v>0.2</v>
          </cell>
          <cell r="E704">
            <v>2060</v>
          </cell>
          <cell r="F704">
            <v>20</v>
          </cell>
          <cell r="G704"/>
          <cell r="L704"/>
          <cell r="M704"/>
          <cell r="N704"/>
          <cell r="O704"/>
          <cell r="P704"/>
          <cell r="Q704"/>
          <cell r="R704"/>
        </row>
        <row r="705">
          <cell r="A705" t="str">
            <v>70PI-20XBK2B</v>
          </cell>
          <cell r="B705" t="str">
            <v>BRK2, Adj.Coup.2", SRAMPS, SPMT</v>
          </cell>
          <cell r="C705">
            <v>5007.5200000000004</v>
          </cell>
          <cell r="D705">
            <v>0.2</v>
          </cell>
          <cell r="E705">
            <v>2060</v>
          </cell>
          <cell r="F705">
            <v>20</v>
          </cell>
          <cell r="G705"/>
          <cell r="L705"/>
          <cell r="M705"/>
          <cell r="N705"/>
          <cell r="O705"/>
          <cell r="P705"/>
          <cell r="Q705"/>
          <cell r="R705"/>
        </row>
        <row r="706">
          <cell r="A706" t="str">
            <v>70PI-20XBK4RG</v>
          </cell>
          <cell r="B706" t="str">
            <v>RG, Adj.Coup.2", SPMT</v>
          </cell>
          <cell r="C706">
            <v>4781.95</v>
          </cell>
          <cell r="D706">
            <v>0.2</v>
          </cell>
          <cell r="E706">
            <v>2060</v>
          </cell>
          <cell r="F706">
            <v>20</v>
          </cell>
          <cell r="G706"/>
          <cell r="L706"/>
          <cell r="M706"/>
          <cell r="N706"/>
          <cell r="O706"/>
          <cell r="P706"/>
          <cell r="Q706"/>
          <cell r="R706"/>
        </row>
        <row r="707">
          <cell r="A707" t="str">
            <v>70PI-20XBK4RG-GA</v>
          </cell>
          <cell r="B707" t="str">
            <v>Brk2, Adj.Coup.2-5/16", RG, Spmt</v>
          </cell>
          <cell r="C707">
            <v>5007.5200000000004</v>
          </cell>
          <cell r="D707">
            <v>0.2</v>
          </cell>
          <cell r="E707">
            <v>2060</v>
          </cell>
          <cell r="F707">
            <v>20</v>
          </cell>
          <cell r="G707"/>
          <cell r="L707"/>
          <cell r="M707"/>
          <cell r="N707"/>
          <cell r="O707"/>
          <cell r="P707"/>
          <cell r="Q707"/>
          <cell r="R707"/>
        </row>
        <row r="708">
          <cell r="A708" t="str">
            <v>70PI-20XBK4RG2B</v>
          </cell>
          <cell r="B708" t="str">
            <v>Brk2, Adj.Coup.2", RG, Spmt</v>
          </cell>
          <cell r="C708">
            <v>5007.5200000000004</v>
          </cell>
          <cell r="D708">
            <v>0.2</v>
          </cell>
          <cell r="E708">
            <v>2060</v>
          </cell>
          <cell r="F708">
            <v>20</v>
          </cell>
          <cell r="G708"/>
          <cell r="L708"/>
          <cell r="M708"/>
          <cell r="N708"/>
          <cell r="O708"/>
          <cell r="P708"/>
          <cell r="Q708"/>
          <cell r="R708"/>
        </row>
        <row r="709">
          <cell r="A709" t="str">
            <v>70PI-22X</v>
          </cell>
          <cell r="B709" t="str">
            <v>Discontinued SKU</v>
          </cell>
          <cell r="C709">
            <v>4827.07</v>
          </cell>
          <cell r="D709">
            <v>0.2</v>
          </cell>
          <cell r="E709">
            <v>2100</v>
          </cell>
          <cell r="F709">
            <v>20</v>
          </cell>
          <cell r="G709"/>
          <cell r="L709"/>
          <cell r="M709"/>
          <cell r="N709"/>
          <cell r="O709"/>
          <cell r="P709"/>
          <cell r="Q709"/>
          <cell r="R709"/>
        </row>
        <row r="710">
          <cell r="A710" t="str">
            <v>70SP-12A</v>
          </cell>
          <cell r="B710" t="str">
            <v>Tires are 225/75D15,  LR-D</v>
          </cell>
          <cell r="C710">
            <v>0</v>
          </cell>
          <cell r="D710">
            <v>0.2</v>
          </cell>
          <cell r="E710">
            <v>1380</v>
          </cell>
          <cell r="F710">
            <v>20</v>
          </cell>
          <cell r="G710"/>
          <cell r="L710"/>
          <cell r="M710"/>
          <cell r="N710"/>
          <cell r="O710"/>
          <cell r="P710"/>
          <cell r="Q710"/>
          <cell r="R710"/>
        </row>
        <row r="711">
          <cell r="A711" t="str">
            <v>70SR-10-5WDD</v>
          </cell>
          <cell r="B711" t="str">
            <v>5' WIDE, Double Doors, Tarp (incl)</v>
          </cell>
          <cell r="C711">
            <v>7714.29</v>
          </cell>
          <cell r="D711">
            <v>0.2</v>
          </cell>
          <cell r="E711">
            <v>1730</v>
          </cell>
          <cell r="F711">
            <v>70</v>
          </cell>
          <cell r="G711"/>
          <cell r="L711"/>
          <cell r="M711"/>
          <cell r="N711"/>
          <cell r="O711"/>
          <cell r="P711"/>
          <cell r="Q711"/>
          <cell r="R711"/>
        </row>
        <row r="712">
          <cell r="A712" t="str">
            <v>70ST-13</v>
          </cell>
          <cell r="B712" t="str">
            <v>13' Single Axle Tilt</v>
          </cell>
          <cell r="C712">
            <v>6451.13</v>
          </cell>
          <cell r="D712">
            <v>0.2</v>
          </cell>
          <cell r="E712">
            <v>2110</v>
          </cell>
          <cell r="F712">
            <v>45</v>
          </cell>
          <cell r="G712"/>
          <cell r="L712"/>
          <cell r="M712"/>
          <cell r="N712"/>
          <cell r="O712"/>
          <cell r="P712"/>
          <cell r="Q712"/>
          <cell r="R712"/>
        </row>
        <row r="713">
          <cell r="A713" t="str">
            <v>70ST-13BK</v>
          </cell>
          <cell r="B713" t="str">
            <v>13' Single Axle Tilt</v>
          </cell>
          <cell r="C713">
            <v>6451.13</v>
          </cell>
          <cell r="D713">
            <v>0.2</v>
          </cell>
          <cell r="E713">
            <v>2110</v>
          </cell>
          <cell r="F713">
            <v>45</v>
          </cell>
          <cell r="G713"/>
          <cell r="L713"/>
          <cell r="M713"/>
          <cell r="N713"/>
          <cell r="O713"/>
          <cell r="P713"/>
          <cell r="Q713"/>
          <cell r="R713"/>
        </row>
        <row r="714">
          <cell r="A714" t="str">
            <v>70ST-13BK-ES</v>
          </cell>
          <cell r="B714" t="str">
            <v>3/16" DP Floor, 21K Wallace Coupler</v>
          </cell>
          <cell r="C714">
            <v>7366.71</v>
          </cell>
          <cell r="D714">
            <v>0.1</v>
          </cell>
          <cell r="E714">
            <v>2110</v>
          </cell>
          <cell r="F714">
            <v>45</v>
          </cell>
          <cell r="G714"/>
          <cell r="L714"/>
          <cell r="M714"/>
          <cell r="N714"/>
          <cell r="O714"/>
          <cell r="P714"/>
          <cell r="Q714"/>
          <cell r="R714"/>
        </row>
        <row r="715">
          <cell r="A715" t="str">
            <v>70ST-16</v>
          </cell>
          <cell r="B715" t="str">
            <v>SA Tilt, 13' + 3' Staionary</v>
          </cell>
          <cell r="C715">
            <v>6751.88</v>
          </cell>
          <cell r="D715">
            <v>0.2</v>
          </cell>
          <cell r="E715">
            <v>2310</v>
          </cell>
          <cell r="F715">
            <v>45</v>
          </cell>
          <cell r="G715"/>
          <cell r="L715"/>
          <cell r="M715"/>
          <cell r="N715"/>
          <cell r="O715"/>
          <cell r="P715"/>
          <cell r="Q715"/>
          <cell r="R715"/>
        </row>
        <row r="716">
          <cell r="A716" t="str">
            <v>70ST-16BK</v>
          </cell>
          <cell r="B716" t="str">
            <v>SA Tilt, 13' + 3' Staionary</v>
          </cell>
          <cell r="C716">
            <v>6751.88</v>
          </cell>
          <cell r="D716">
            <v>0.2</v>
          </cell>
          <cell r="E716">
            <v>2310</v>
          </cell>
          <cell r="F716">
            <v>45</v>
          </cell>
          <cell r="G716"/>
          <cell r="L716"/>
          <cell r="M716"/>
          <cell r="N716"/>
          <cell r="O716"/>
          <cell r="P716"/>
          <cell r="Q716"/>
          <cell r="R716"/>
        </row>
        <row r="717">
          <cell r="A717" t="str">
            <v>70TV-12</v>
          </cell>
          <cell r="B717"/>
          <cell r="C717">
            <v>5714.29</v>
          </cell>
          <cell r="D717">
            <v>0.2</v>
          </cell>
          <cell r="E717">
            <v>1665</v>
          </cell>
          <cell r="F717">
            <v>30</v>
          </cell>
          <cell r="G717"/>
          <cell r="L717"/>
          <cell r="M717"/>
          <cell r="N717"/>
          <cell r="O717"/>
          <cell r="P717"/>
          <cell r="Q717"/>
          <cell r="R717"/>
        </row>
        <row r="718">
          <cell r="A718" t="str">
            <v>70TV-12BK</v>
          </cell>
          <cell r="B718" t="str">
            <v>RG, SPMT</v>
          </cell>
          <cell r="C718">
            <v>5714.29</v>
          </cell>
          <cell r="D718">
            <v>0.2</v>
          </cell>
          <cell r="E718">
            <v>1760</v>
          </cell>
          <cell r="F718">
            <v>30</v>
          </cell>
          <cell r="G718"/>
          <cell r="L718"/>
          <cell r="M718"/>
          <cell r="N718"/>
          <cell r="O718"/>
          <cell r="P718"/>
          <cell r="Q718"/>
          <cell r="R718"/>
        </row>
        <row r="719">
          <cell r="A719" t="str">
            <v>70TV-12BK-GA</v>
          </cell>
          <cell r="B719" t="str">
            <v>Brk2, AdJ.Coupler, RG, Spmt</v>
          </cell>
          <cell r="C719">
            <v>6541.35</v>
          </cell>
          <cell r="D719">
            <v>0.2</v>
          </cell>
          <cell r="E719">
            <v>1760</v>
          </cell>
          <cell r="F719">
            <v>30</v>
          </cell>
          <cell r="G719"/>
          <cell r="L719"/>
          <cell r="M719"/>
          <cell r="N719"/>
          <cell r="O719"/>
          <cell r="P719"/>
          <cell r="Q719"/>
          <cell r="R719"/>
        </row>
        <row r="720">
          <cell r="A720" t="str">
            <v>70TV-12BK2B</v>
          </cell>
          <cell r="B720" t="str">
            <v>Brk2, RG, Spmt</v>
          </cell>
          <cell r="C720">
            <v>5939.85</v>
          </cell>
          <cell r="D720">
            <v>0.2</v>
          </cell>
          <cell r="E720">
            <v>1760</v>
          </cell>
          <cell r="F720">
            <v>30</v>
          </cell>
          <cell r="G720"/>
          <cell r="L720"/>
          <cell r="M720"/>
          <cell r="N720"/>
          <cell r="O720"/>
          <cell r="P720"/>
          <cell r="Q720"/>
          <cell r="R720"/>
        </row>
        <row r="721">
          <cell r="A721" t="str">
            <v>70TV-14</v>
          </cell>
          <cell r="B721"/>
          <cell r="C721">
            <v>5819.55</v>
          </cell>
          <cell r="D721">
            <v>0.2</v>
          </cell>
          <cell r="E721">
            <v>1755</v>
          </cell>
          <cell r="F721">
            <v>30</v>
          </cell>
          <cell r="G721"/>
          <cell r="L721"/>
          <cell r="M721"/>
          <cell r="N721"/>
          <cell r="O721"/>
          <cell r="P721"/>
          <cell r="Q721"/>
          <cell r="R721"/>
        </row>
        <row r="722">
          <cell r="A722" t="str">
            <v>70TV-14BK</v>
          </cell>
          <cell r="B722" t="str">
            <v>RG, SPMT</v>
          </cell>
          <cell r="C722">
            <v>5819.55</v>
          </cell>
          <cell r="D722">
            <v>0.2</v>
          </cell>
          <cell r="E722">
            <v>1850</v>
          </cell>
          <cell r="F722">
            <v>30</v>
          </cell>
          <cell r="G722"/>
          <cell r="L722"/>
          <cell r="M722"/>
          <cell r="N722"/>
          <cell r="O722"/>
          <cell r="P722"/>
          <cell r="Q722"/>
          <cell r="R722"/>
        </row>
        <row r="723">
          <cell r="A723" t="str">
            <v>70TV-14BK-GA</v>
          </cell>
          <cell r="B723" t="str">
            <v>Brk2, AdJ.Coupler, RG, Spmt</v>
          </cell>
          <cell r="C723">
            <v>6631.58</v>
          </cell>
          <cell r="D723">
            <v>0.2</v>
          </cell>
          <cell r="E723">
            <v>1850</v>
          </cell>
          <cell r="F723">
            <v>30</v>
          </cell>
          <cell r="G723"/>
          <cell r="L723"/>
          <cell r="M723"/>
          <cell r="N723"/>
          <cell r="O723"/>
          <cell r="P723"/>
          <cell r="Q723"/>
          <cell r="R723"/>
        </row>
        <row r="724">
          <cell r="A724" t="str">
            <v>70TV-14BK2B</v>
          </cell>
          <cell r="B724" t="str">
            <v>Brk2, RG, Spmt</v>
          </cell>
          <cell r="C724">
            <v>6045.11</v>
          </cell>
          <cell r="D724">
            <v>0.2</v>
          </cell>
          <cell r="E724">
            <v>1850</v>
          </cell>
          <cell r="F724">
            <v>30</v>
          </cell>
          <cell r="G724"/>
          <cell r="L724"/>
          <cell r="M724"/>
          <cell r="N724"/>
          <cell r="O724"/>
          <cell r="P724"/>
          <cell r="Q724"/>
          <cell r="R724"/>
        </row>
        <row r="725">
          <cell r="A725" t="str">
            <v>70TV-16</v>
          </cell>
          <cell r="B725"/>
          <cell r="C725">
            <v>5924.81</v>
          </cell>
          <cell r="D725">
            <v>0.2</v>
          </cell>
          <cell r="E725">
            <v>1845</v>
          </cell>
          <cell r="F725">
            <v>30</v>
          </cell>
          <cell r="G725"/>
          <cell r="L725"/>
          <cell r="M725"/>
          <cell r="N725"/>
          <cell r="O725"/>
          <cell r="P725"/>
          <cell r="Q725"/>
          <cell r="R725"/>
        </row>
        <row r="726">
          <cell r="A726" t="str">
            <v>70TV-16BK</v>
          </cell>
          <cell r="B726" t="str">
            <v>RG, SPMT</v>
          </cell>
          <cell r="C726">
            <v>5924.81</v>
          </cell>
          <cell r="D726">
            <v>0.2</v>
          </cell>
          <cell r="E726">
            <v>1940</v>
          </cell>
          <cell r="F726">
            <v>30</v>
          </cell>
          <cell r="G726"/>
          <cell r="L726"/>
          <cell r="M726"/>
          <cell r="N726"/>
          <cell r="O726"/>
          <cell r="P726"/>
          <cell r="Q726"/>
          <cell r="R726"/>
        </row>
        <row r="727">
          <cell r="A727" t="str">
            <v>70TV-16BK-GA</v>
          </cell>
          <cell r="B727" t="str">
            <v>Brk2, AdJ.Coupler, RG, Spmt</v>
          </cell>
          <cell r="C727">
            <v>6871.58</v>
          </cell>
          <cell r="D727">
            <v>0.2</v>
          </cell>
          <cell r="E727">
            <v>1940</v>
          </cell>
          <cell r="F727">
            <v>30</v>
          </cell>
          <cell r="G727"/>
          <cell r="L727"/>
          <cell r="M727"/>
          <cell r="N727"/>
          <cell r="O727"/>
          <cell r="P727"/>
          <cell r="Q727"/>
          <cell r="R727"/>
        </row>
        <row r="728">
          <cell r="A728" t="str">
            <v>70TV-16BK2B</v>
          </cell>
          <cell r="B728" t="str">
            <v>Brk2, RG, Spmt</v>
          </cell>
          <cell r="C728">
            <v>6150.38</v>
          </cell>
          <cell r="D728">
            <v>0.2</v>
          </cell>
          <cell r="E728">
            <v>1940</v>
          </cell>
          <cell r="F728">
            <v>30</v>
          </cell>
          <cell r="G728"/>
          <cell r="L728"/>
          <cell r="M728"/>
          <cell r="N728"/>
          <cell r="O728"/>
          <cell r="P728"/>
          <cell r="Q728"/>
          <cell r="R728"/>
        </row>
        <row r="729">
          <cell r="A729" t="str">
            <v>70TV-18</v>
          </cell>
          <cell r="B729"/>
          <cell r="C729">
            <v>6045.11</v>
          </cell>
          <cell r="D729">
            <v>0.2</v>
          </cell>
          <cell r="E729">
            <v>1935</v>
          </cell>
          <cell r="F729">
            <v>30</v>
          </cell>
          <cell r="G729"/>
          <cell r="L729"/>
          <cell r="M729"/>
          <cell r="N729"/>
          <cell r="O729"/>
          <cell r="P729"/>
          <cell r="Q729"/>
          <cell r="R729"/>
        </row>
        <row r="730">
          <cell r="A730" t="str">
            <v>70TV-18BK</v>
          </cell>
          <cell r="B730" t="str">
            <v>RG, SPMT</v>
          </cell>
          <cell r="C730">
            <v>6045.11</v>
          </cell>
          <cell r="D730">
            <v>0.2</v>
          </cell>
          <cell r="E730">
            <v>1935</v>
          </cell>
          <cell r="F730">
            <v>30</v>
          </cell>
          <cell r="G730"/>
          <cell r="L730"/>
          <cell r="M730"/>
          <cell r="N730"/>
          <cell r="O730"/>
          <cell r="P730"/>
          <cell r="Q730"/>
          <cell r="R730"/>
        </row>
        <row r="731">
          <cell r="A731" t="str">
            <v>70TV-18BK2B</v>
          </cell>
          <cell r="B731" t="str">
            <v>BRK2, RG, SPMT</v>
          </cell>
          <cell r="C731">
            <v>6270.68</v>
          </cell>
          <cell r="D731">
            <v>0.2</v>
          </cell>
          <cell r="E731">
            <v>1935</v>
          </cell>
          <cell r="F731">
            <v>30</v>
          </cell>
          <cell r="G731"/>
          <cell r="L731"/>
          <cell r="M731"/>
          <cell r="N731"/>
          <cell r="O731"/>
          <cell r="P731"/>
          <cell r="Q731"/>
          <cell r="R731"/>
        </row>
        <row r="732">
          <cell r="A732" t="str">
            <v>90SR-10</v>
          </cell>
          <cell r="B732" t="str"/>
          <cell r="C732">
            <v>9293.23</v>
          </cell>
          <cell r="D732">
            <v>0.2</v>
          </cell>
          <cell r="E732">
            <v>2750</v>
          </cell>
          <cell r="F732">
            <v>70</v>
          </cell>
          <cell r="G732"/>
          <cell r="L732"/>
          <cell r="M732"/>
          <cell r="N732"/>
          <cell r="O732"/>
          <cell r="P732"/>
          <cell r="Q732"/>
          <cell r="R732"/>
        </row>
        <row r="733">
          <cell r="A733" t="str">
            <v>90SR-10BK6SIR</v>
          </cell>
          <cell r="B733" t="str">
            <v>6SIR, SPMT, TARP (incl)</v>
          </cell>
          <cell r="C733">
            <v>9864.66</v>
          </cell>
          <cell r="D733">
            <v>0.2</v>
          </cell>
          <cell r="E733">
            <v>2990</v>
          </cell>
          <cell r="F733">
            <v>70</v>
          </cell>
          <cell r="G733"/>
          <cell r="L733"/>
          <cell r="M733"/>
          <cell r="N733"/>
          <cell r="O733"/>
          <cell r="P733"/>
          <cell r="Q733"/>
          <cell r="R733"/>
        </row>
        <row r="734">
          <cell r="A734" t="str">
            <v>90SR-12</v>
          </cell>
          <cell r="B734" t="str"/>
          <cell r="C734">
            <v>10180.450000000001</v>
          </cell>
          <cell r="D734">
            <v>0.2</v>
          </cell>
          <cell r="E734">
            <v>2930</v>
          </cell>
          <cell r="F734">
            <v>70</v>
          </cell>
          <cell r="G734"/>
          <cell r="L734"/>
          <cell r="M734"/>
          <cell r="N734"/>
          <cell r="O734"/>
          <cell r="P734"/>
          <cell r="Q734"/>
          <cell r="R734"/>
        </row>
        <row r="735">
          <cell r="A735" t="str">
            <v>90SR-12BK6SIR</v>
          </cell>
          <cell r="B735" t="str">
            <v>6SIR, SPMT, TARP (incl)</v>
          </cell>
          <cell r="C735">
            <v>10300.75</v>
          </cell>
          <cell r="D735">
            <v>0.2</v>
          </cell>
          <cell r="E735">
            <v>2990</v>
          </cell>
          <cell r="F735">
            <v>70</v>
          </cell>
          <cell r="G735"/>
          <cell r="L735"/>
          <cell r="M735"/>
          <cell r="N735"/>
          <cell r="O735"/>
          <cell r="P735"/>
          <cell r="Q735"/>
          <cell r="R735"/>
        </row>
        <row r="736">
          <cell r="A736" t="str">
            <v>CCJ1872BSB0</v>
          </cell>
          <cell r="B736" t="str"/>
          <cell r="C736">
            <v>0</v>
          </cell>
          <cell r="D736">
            <v>0.09</v>
          </cell>
          <cell r="E736">
            <v>2740</v>
          </cell>
          <cell r="F736">
            <v>41</v>
          </cell>
          <cell r="G736"/>
          <cell r="L736"/>
          <cell r="M736"/>
          <cell r="N736"/>
          <cell r="O736"/>
          <cell r="P736"/>
          <cell r="Q736"/>
          <cell r="R736"/>
        </row>
        <row r="737">
          <cell r="A737" t="str">
            <v>CCJ1872BSBK</v>
          </cell>
          <cell r="B737" t="str"/>
          <cell r="C737">
            <v>0</v>
          </cell>
          <cell r="D737">
            <v>0.09</v>
          </cell>
          <cell r="E737">
            <v>2740</v>
          </cell>
          <cell r="F737">
            <v>41</v>
          </cell>
          <cell r="G737"/>
          <cell r="L737"/>
          <cell r="M737"/>
          <cell r="N737"/>
          <cell r="O737"/>
          <cell r="P737"/>
          <cell r="Q737"/>
          <cell r="R737"/>
        </row>
        <row r="738">
          <cell r="A738" t="str">
            <v>CCJ2072BSB0</v>
          </cell>
          <cell r="B738" t="str"/>
          <cell r="C738">
            <v>0</v>
          </cell>
          <cell r="D738">
            <v>0.09</v>
          </cell>
          <cell r="E738">
            <v>2940</v>
          </cell>
          <cell r="F738">
            <v>41</v>
          </cell>
          <cell r="G738"/>
          <cell r="L738"/>
          <cell r="M738"/>
          <cell r="N738"/>
          <cell r="O738"/>
          <cell r="P738"/>
          <cell r="Q738"/>
          <cell r="R738"/>
        </row>
        <row r="739">
          <cell r="A739" t="str">
            <v>CCJ2072BSBK</v>
          </cell>
          <cell r="B739" t="str"/>
          <cell r="C739">
            <v>0</v>
          </cell>
          <cell r="D739">
            <v>0.09</v>
          </cell>
          <cell r="E739">
            <v>2940</v>
          </cell>
          <cell r="F739">
            <v>41</v>
          </cell>
          <cell r="G739"/>
          <cell r="L739"/>
          <cell r="M739"/>
          <cell r="N739"/>
          <cell r="O739"/>
          <cell r="P739"/>
          <cell r="Q739"/>
          <cell r="R739"/>
        </row>
        <row r="740">
          <cell r="A740" t="str">
            <v>CCR16</v>
          </cell>
          <cell r="B740" t="str"/>
          <cell r="C740">
            <v>0</v>
          </cell>
          <cell r="D740">
            <v>0.09</v>
          </cell>
          <cell r="E740">
            <v>2740</v>
          </cell>
          <cell r="F740">
            <v>41</v>
          </cell>
          <cell r="G740"/>
          <cell r="L740"/>
          <cell r="M740"/>
          <cell r="N740"/>
          <cell r="O740"/>
          <cell r="P740"/>
          <cell r="Q740"/>
          <cell r="R740"/>
        </row>
        <row r="741">
          <cell r="A741" t="str">
            <v>CCR18</v>
          </cell>
          <cell r="B741" t="str"/>
          <cell r="C741">
            <v>0</v>
          </cell>
          <cell r="D741">
            <v>0.09</v>
          </cell>
          <cell r="E741">
            <v>2740</v>
          </cell>
          <cell r="F741">
            <v>41</v>
          </cell>
          <cell r="G741"/>
          <cell r="L741"/>
          <cell r="M741"/>
          <cell r="N741"/>
          <cell r="O741"/>
          <cell r="P741"/>
          <cell r="Q741"/>
          <cell r="R741"/>
        </row>
        <row r="742">
          <cell r="A742" t="str">
            <v>CCR20</v>
          </cell>
          <cell r="B742" t="str"/>
          <cell r="C742">
            <v>0</v>
          </cell>
          <cell r="D742">
            <v>0.09</v>
          </cell>
          <cell r="E742">
            <v>2940</v>
          </cell>
          <cell r="F742">
            <v>41</v>
          </cell>
          <cell r="G742"/>
          <cell r="L742"/>
          <cell r="M742"/>
          <cell r="N742"/>
          <cell r="O742"/>
          <cell r="P742"/>
          <cell r="Q742"/>
          <cell r="R742"/>
        </row>
        <row r="743">
          <cell r="A743" t="str">
            <v>CCR22</v>
          </cell>
          <cell r="B743" t="str"/>
          <cell r="C743">
            <v>0</v>
          </cell>
          <cell r="D743">
            <v>0.09</v>
          </cell>
          <cell r="E743">
            <v>2940</v>
          </cell>
          <cell r="F743">
            <v>41</v>
          </cell>
          <cell r="G743"/>
          <cell r="L743"/>
          <cell r="M743"/>
          <cell r="N743"/>
          <cell r="O743"/>
          <cell r="P743"/>
          <cell r="Q743"/>
          <cell r="R743"/>
        </row>
        <row r="744">
          <cell r="A744" t="str">
            <v>CCR24</v>
          </cell>
          <cell r="B744" t="str"/>
          <cell r="C744">
            <v>0</v>
          </cell>
          <cell r="D744">
            <v>0.09</v>
          </cell>
          <cell r="E744">
            <v>2940</v>
          </cell>
          <cell r="F744">
            <v>41</v>
          </cell>
          <cell r="G744"/>
          <cell r="L744"/>
          <cell r="M744"/>
          <cell r="N744"/>
          <cell r="O744"/>
          <cell r="P744"/>
          <cell r="Q744"/>
          <cell r="R744"/>
        </row>
        <row r="745">
          <cell r="A745" t="str">
            <v>CCS16</v>
          </cell>
          <cell r="B745" t="str"/>
          <cell r="C745">
            <v>0</v>
          </cell>
          <cell r="D745">
            <v>0.09</v>
          </cell>
          <cell r="E745">
            <v>2740</v>
          </cell>
          <cell r="F745">
            <v>41</v>
          </cell>
          <cell r="G745"/>
          <cell r="L745"/>
          <cell r="M745"/>
          <cell r="N745"/>
          <cell r="O745"/>
          <cell r="P745"/>
          <cell r="Q745"/>
          <cell r="R745"/>
        </row>
        <row r="746">
          <cell r="A746" t="str">
            <v>CCS18</v>
          </cell>
          <cell r="B746" t="str"/>
          <cell r="C746">
            <v>0</v>
          </cell>
          <cell r="D746">
            <v>0.09</v>
          </cell>
          <cell r="E746">
            <v>2740</v>
          </cell>
          <cell r="F746">
            <v>41</v>
          </cell>
          <cell r="G746"/>
          <cell r="L746"/>
          <cell r="M746"/>
          <cell r="N746"/>
          <cell r="O746"/>
          <cell r="P746"/>
          <cell r="Q746"/>
          <cell r="R746"/>
        </row>
        <row r="747">
          <cell r="A747" t="str">
            <v>CCS20</v>
          </cell>
          <cell r="B747" t="str"/>
          <cell r="C747">
            <v>0</v>
          </cell>
          <cell r="D747">
            <v>0.09</v>
          </cell>
          <cell r="E747">
            <v>2940</v>
          </cell>
          <cell r="F747">
            <v>41</v>
          </cell>
          <cell r="G747"/>
          <cell r="L747"/>
          <cell r="M747"/>
          <cell r="N747"/>
          <cell r="O747"/>
          <cell r="P747"/>
          <cell r="Q747"/>
          <cell r="R747"/>
        </row>
        <row r="748">
          <cell r="A748" t="str">
            <v>CCS22</v>
          </cell>
          <cell r="B748" t="str"/>
          <cell r="C748">
            <v>0</v>
          </cell>
          <cell r="D748">
            <v>0.09</v>
          </cell>
          <cell r="E748">
            <v>2940</v>
          </cell>
          <cell r="F748">
            <v>41</v>
          </cell>
          <cell r="G748"/>
          <cell r="L748"/>
          <cell r="M748"/>
          <cell r="N748"/>
          <cell r="O748"/>
          <cell r="P748"/>
          <cell r="Q748"/>
          <cell r="R748"/>
        </row>
        <row r="749">
          <cell r="A749" t="str">
            <v>CCS24</v>
          </cell>
          <cell r="B749" t="str"/>
          <cell r="C749">
            <v>0</v>
          </cell>
          <cell r="D749">
            <v>0.09</v>
          </cell>
          <cell r="E749">
            <v>2940</v>
          </cell>
          <cell r="F749">
            <v>41</v>
          </cell>
          <cell r="G749"/>
          <cell r="L749"/>
          <cell r="M749"/>
          <cell r="N749"/>
          <cell r="O749"/>
          <cell r="P749"/>
          <cell r="Q749"/>
          <cell r="R749"/>
        </row>
        <row r="750">
          <cell r="A750" t="str">
            <v>CEJ2052ESA0</v>
          </cell>
          <cell r="B750" t="str"/>
          <cell r="C750">
            <v>0</v>
          </cell>
          <cell r="D750">
            <v>0.09</v>
          </cell>
          <cell r="E750">
            <v>2940</v>
          </cell>
          <cell r="F750">
            <v>41</v>
          </cell>
          <cell r="G750"/>
          <cell r="L750"/>
          <cell r="M750"/>
          <cell r="N750"/>
          <cell r="O750"/>
          <cell r="P750"/>
          <cell r="Q750"/>
          <cell r="R750"/>
        </row>
        <row r="751">
          <cell r="A751" t="str">
            <v>CEJ2052ESAK</v>
          </cell>
          <cell r="B751" t="str"/>
          <cell r="C751">
            <v>0</v>
          </cell>
          <cell r="D751">
            <v>0.09</v>
          </cell>
          <cell r="E751">
            <v>2940</v>
          </cell>
          <cell r="F751">
            <v>41</v>
          </cell>
          <cell r="G751"/>
          <cell r="L751"/>
          <cell r="M751"/>
          <cell r="N751"/>
          <cell r="O751"/>
          <cell r="P751"/>
          <cell r="Q751"/>
          <cell r="R751"/>
        </row>
        <row r="752">
          <cell r="A752" t="str">
            <v>D310</v>
          </cell>
          <cell r="B752" t="str"/>
          <cell r="C752">
            <v>0</v>
          </cell>
          <cell r="D752">
            <v>0.09</v>
          </cell>
          <cell r="E752">
            <v>2570</v>
          </cell>
          <cell r="F752">
            <v>68</v>
          </cell>
          <cell r="G752"/>
          <cell r="L752"/>
          <cell r="M752"/>
          <cell r="N752"/>
          <cell r="O752"/>
          <cell r="P752"/>
          <cell r="Q752"/>
          <cell r="R752"/>
        </row>
        <row r="753">
          <cell r="A753" t="str">
            <v>D312</v>
          </cell>
          <cell r="B753" t="str"/>
          <cell r="C753">
            <v>0</v>
          </cell>
          <cell r="D753">
            <v>0.09</v>
          </cell>
          <cell r="E753">
            <v>2990</v>
          </cell>
          <cell r="F753">
            <v>68</v>
          </cell>
          <cell r="G753"/>
          <cell r="L753"/>
          <cell r="M753"/>
          <cell r="N753"/>
          <cell r="O753"/>
          <cell r="P753"/>
          <cell r="Q753"/>
          <cell r="R753"/>
        </row>
        <row r="754">
          <cell r="A754" t="str">
            <v>D3D1252BSS0</v>
          </cell>
          <cell r="B754" t="str"/>
          <cell r="C754">
            <v>0</v>
          </cell>
          <cell r="D754">
            <v>0.09</v>
          </cell>
          <cell r="E754">
            <v>2990</v>
          </cell>
          <cell r="F754">
            <v>68</v>
          </cell>
          <cell r="G754"/>
          <cell r="L754"/>
          <cell r="M754"/>
          <cell r="N754"/>
          <cell r="O754"/>
          <cell r="P754"/>
          <cell r="Q754"/>
          <cell r="R754"/>
        </row>
        <row r="755">
          <cell r="A755" t="str">
            <v>D3D1252BSS0R</v>
          </cell>
          <cell r="B755" t="str"/>
          <cell r="C755">
            <v>0</v>
          </cell>
          <cell r="D755">
            <v>0.09</v>
          </cell>
          <cell r="E755">
            <v>2990</v>
          </cell>
          <cell r="F755">
            <v>68</v>
          </cell>
          <cell r="G755"/>
          <cell r="L755"/>
          <cell r="M755"/>
          <cell r="N755"/>
          <cell r="O755"/>
          <cell r="P755"/>
          <cell r="Q755"/>
          <cell r="R755"/>
        </row>
        <row r="756">
          <cell r="A756" t="str">
            <v>D3D1252BSSK</v>
          </cell>
          <cell r="B756" t="str"/>
          <cell r="C756">
            <v>0</v>
          </cell>
          <cell r="D756">
            <v>0.09</v>
          </cell>
          <cell r="E756">
            <v>2990</v>
          </cell>
          <cell r="F756">
            <v>68</v>
          </cell>
          <cell r="G756"/>
          <cell r="L756"/>
          <cell r="M756"/>
          <cell r="N756"/>
          <cell r="O756"/>
          <cell r="P756"/>
          <cell r="Q756"/>
          <cell r="R756"/>
        </row>
        <row r="757">
          <cell r="A757" t="str">
            <v>D3D1252BSSKR</v>
          </cell>
          <cell r="B757" t="str"/>
          <cell r="C757">
            <v>0</v>
          </cell>
          <cell r="D757">
            <v>0.09</v>
          </cell>
          <cell r="E757">
            <v>2990</v>
          </cell>
          <cell r="F757">
            <v>68</v>
          </cell>
          <cell r="G757"/>
          <cell r="L757"/>
          <cell r="M757"/>
          <cell r="N757"/>
          <cell r="O757"/>
          <cell r="P757"/>
          <cell r="Q757"/>
          <cell r="R757"/>
        </row>
        <row r="758">
          <cell r="A758" t="str">
            <v>D508</v>
          </cell>
          <cell r="B758" t="str"/>
          <cell r="C758">
            <v>0</v>
          </cell>
          <cell r="D758">
            <v>0.09</v>
          </cell>
          <cell r="E758">
            <v>1730</v>
          </cell>
          <cell r="F758">
            <v>68</v>
          </cell>
          <cell r="G758"/>
          <cell r="L758"/>
          <cell r="M758"/>
          <cell r="N758"/>
          <cell r="O758"/>
          <cell r="P758"/>
          <cell r="Q758"/>
          <cell r="R758"/>
        </row>
        <row r="759">
          <cell r="A759" t="str">
            <v>D510</v>
          </cell>
          <cell r="B759" t="str"/>
          <cell r="C759">
            <v>0</v>
          </cell>
          <cell r="D759">
            <v>0.09</v>
          </cell>
          <cell r="E759">
            <v>1730</v>
          </cell>
          <cell r="F759">
            <v>68</v>
          </cell>
          <cell r="G759"/>
          <cell r="L759"/>
          <cell r="M759"/>
          <cell r="N759"/>
          <cell r="O759"/>
          <cell r="P759"/>
          <cell r="Q759"/>
          <cell r="R759"/>
        </row>
        <row r="760">
          <cell r="A760" t="str">
            <v>D5A1032BSS0</v>
          </cell>
          <cell r="B760" t="str"/>
          <cell r="C760">
            <v>0</v>
          </cell>
          <cell r="D760">
            <v>0.09</v>
          </cell>
          <cell r="E760">
            <v>1730</v>
          </cell>
          <cell r="F760">
            <v>68</v>
          </cell>
          <cell r="G760"/>
          <cell r="L760"/>
          <cell r="M760"/>
          <cell r="N760"/>
          <cell r="O760"/>
          <cell r="P760"/>
          <cell r="Q760"/>
          <cell r="R760"/>
        </row>
        <row r="761">
          <cell r="A761" t="str">
            <v>D5A1032BSSK</v>
          </cell>
          <cell r="B761" t="str"/>
          <cell r="C761">
            <v>0</v>
          </cell>
          <cell r="D761">
            <v>0.09</v>
          </cell>
          <cell r="E761">
            <v>1730</v>
          </cell>
          <cell r="F761">
            <v>68</v>
          </cell>
          <cell r="G761"/>
          <cell r="L761"/>
          <cell r="M761"/>
          <cell r="N761"/>
          <cell r="O761"/>
          <cell r="P761"/>
          <cell r="Q761"/>
          <cell r="R761"/>
        </row>
        <row r="762">
          <cell r="A762" t="str">
            <v>D6112</v>
          </cell>
          <cell r="B762"/>
          <cell r="C762">
            <v>0</v>
          </cell>
          <cell r="D762">
            <v>0.09</v>
          </cell>
          <cell r="E762">
            <v>3430</v>
          </cell>
          <cell r="F762">
            <v>68</v>
          </cell>
          <cell r="G762"/>
          <cell r="L762"/>
          <cell r="M762"/>
          <cell r="N762"/>
          <cell r="O762"/>
          <cell r="P762"/>
          <cell r="Q762"/>
          <cell r="R762"/>
        </row>
        <row r="763">
          <cell r="A763" t="str">
            <v>D712</v>
          </cell>
          <cell r="B763"/>
          <cell r="C763">
            <v>0</v>
          </cell>
          <cell r="D763">
            <v>0.09</v>
          </cell>
          <cell r="E763">
            <v>3430</v>
          </cell>
          <cell r="F763">
            <v>68</v>
          </cell>
          <cell r="G763"/>
          <cell r="L763"/>
          <cell r="M763"/>
          <cell r="N763"/>
          <cell r="O763"/>
          <cell r="P763"/>
          <cell r="Q763"/>
          <cell r="R763"/>
        </row>
        <row r="764">
          <cell r="A764" t="str">
            <v>D714</v>
          </cell>
          <cell r="B764" t="str"/>
          <cell r="C764">
            <v>0</v>
          </cell>
          <cell r="D764">
            <v>0.09</v>
          </cell>
          <cell r="E764">
            <v>3660</v>
          </cell>
          <cell r="F764">
            <v>68</v>
          </cell>
          <cell r="G764"/>
          <cell r="L764"/>
          <cell r="M764"/>
          <cell r="N764"/>
          <cell r="O764"/>
          <cell r="P764"/>
          <cell r="Q764"/>
          <cell r="R764"/>
        </row>
        <row r="765">
          <cell r="A765" t="str">
            <v>DE16</v>
          </cell>
          <cell r="B765" t="str"/>
          <cell r="C765">
            <v>0</v>
          </cell>
          <cell r="D765">
            <v>0.09</v>
          </cell>
          <cell r="E765">
            <v>4805</v>
          </cell>
          <cell r="F765">
            <v>68</v>
          </cell>
          <cell r="G765"/>
          <cell r="L765"/>
          <cell r="M765"/>
          <cell r="N765"/>
          <cell r="O765"/>
          <cell r="P765"/>
          <cell r="Q765"/>
          <cell r="R765"/>
        </row>
        <row r="766">
          <cell r="A766" t="str">
            <v>DER16</v>
          </cell>
          <cell r="B766" t="str"/>
          <cell r="C766">
            <v>0</v>
          </cell>
          <cell r="D766">
            <v>0.09</v>
          </cell>
          <cell r="E766">
            <v>4805</v>
          </cell>
          <cell r="F766">
            <v>68</v>
          </cell>
          <cell r="G766"/>
          <cell r="L766"/>
          <cell r="M766"/>
          <cell r="N766"/>
          <cell r="O766"/>
          <cell r="P766"/>
          <cell r="Q766"/>
          <cell r="R766"/>
        </row>
        <row r="767">
          <cell r="A767" t="str">
            <v>DES16</v>
          </cell>
          <cell r="B767" t="str"/>
          <cell r="C767">
            <v>0</v>
          </cell>
          <cell r="D767">
            <v>0.09</v>
          </cell>
          <cell r="E767">
            <v>4805</v>
          </cell>
          <cell r="F767">
            <v>68</v>
          </cell>
          <cell r="G767"/>
          <cell r="L767"/>
          <cell r="M767"/>
          <cell r="N767"/>
          <cell r="O767"/>
          <cell r="P767"/>
          <cell r="Q767"/>
          <cell r="R767"/>
        </row>
        <row r="768">
          <cell r="A768" t="str">
            <v>DL12</v>
          </cell>
          <cell r="B768" t="str"/>
          <cell r="C768">
            <v>0</v>
          </cell>
          <cell r="D768">
            <v>0.09</v>
          </cell>
          <cell r="E768">
            <v>4035</v>
          </cell>
          <cell r="F768">
            <v>68</v>
          </cell>
          <cell r="G768"/>
          <cell r="L768"/>
          <cell r="M768"/>
          <cell r="N768"/>
          <cell r="O768"/>
          <cell r="P768"/>
          <cell r="Q768"/>
          <cell r="R768"/>
        </row>
        <row r="769">
          <cell r="A769" t="str">
            <v>DL14</v>
          </cell>
          <cell r="B769" t="str"/>
          <cell r="C769">
            <v>0</v>
          </cell>
          <cell r="D769">
            <v>0.09</v>
          </cell>
          <cell r="E769">
            <v>4345</v>
          </cell>
          <cell r="F769">
            <v>68</v>
          </cell>
          <cell r="G769"/>
          <cell r="L769"/>
          <cell r="M769"/>
          <cell r="N769"/>
          <cell r="O769"/>
          <cell r="P769"/>
          <cell r="Q769"/>
          <cell r="R769"/>
        </row>
        <row r="770">
          <cell r="A770" t="str">
            <v>DL16</v>
          </cell>
          <cell r="B770" t="str"/>
          <cell r="C770">
            <v>0</v>
          </cell>
          <cell r="D770">
            <v>0.09</v>
          </cell>
          <cell r="E770">
            <v>4805</v>
          </cell>
          <cell r="F770">
            <v>68</v>
          </cell>
          <cell r="G770"/>
          <cell r="L770"/>
          <cell r="M770"/>
          <cell r="N770"/>
          <cell r="O770"/>
          <cell r="P770"/>
          <cell r="Q770"/>
          <cell r="R770"/>
        </row>
        <row r="771">
          <cell r="A771" t="str">
            <v>DLR12</v>
          </cell>
          <cell r="B771"/>
          <cell r="C771">
            <v>0</v>
          </cell>
          <cell r="D771">
            <v>0.09</v>
          </cell>
          <cell r="E771">
            <v>4330</v>
          </cell>
          <cell r="F771">
            <v>68</v>
          </cell>
          <cell r="G771"/>
          <cell r="L771"/>
          <cell r="M771"/>
          <cell r="N771"/>
          <cell r="O771"/>
          <cell r="P771"/>
          <cell r="Q771"/>
          <cell r="R771"/>
        </row>
        <row r="772">
          <cell r="A772" t="str">
            <v>DLR14</v>
          </cell>
          <cell r="B772" t="str"/>
          <cell r="C772">
            <v>0</v>
          </cell>
          <cell r="D772">
            <v>0.09</v>
          </cell>
          <cell r="E772">
            <v>4640</v>
          </cell>
          <cell r="F772">
            <v>68</v>
          </cell>
          <cell r="G772"/>
          <cell r="L772"/>
          <cell r="M772"/>
          <cell r="N772"/>
          <cell r="O772"/>
          <cell r="P772"/>
          <cell r="Q772"/>
          <cell r="R772"/>
        </row>
        <row r="773">
          <cell r="A773" t="str">
            <v>DLR16</v>
          </cell>
          <cell r="B773" t="str"/>
          <cell r="C773">
            <v>0</v>
          </cell>
          <cell r="D773">
            <v>0.09</v>
          </cell>
          <cell r="E773">
            <v>5000</v>
          </cell>
          <cell r="F773">
            <v>68</v>
          </cell>
          <cell r="G773"/>
          <cell r="L773"/>
          <cell r="M773"/>
          <cell r="N773"/>
          <cell r="O773"/>
          <cell r="P773"/>
          <cell r="Q773"/>
          <cell r="R773"/>
        </row>
        <row r="774">
          <cell r="A774" t="str">
            <v>DLS14</v>
          </cell>
          <cell r="B774" t="str"/>
          <cell r="C774">
            <v>0</v>
          </cell>
          <cell r="D774">
            <v>0.09</v>
          </cell>
          <cell r="E774">
            <v>4640</v>
          </cell>
          <cell r="F774">
            <v>68</v>
          </cell>
          <cell r="G774"/>
          <cell r="L774"/>
          <cell r="M774"/>
          <cell r="N774"/>
          <cell r="O774"/>
          <cell r="P774"/>
          <cell r="Q774"/>
          <cell r="R774"/>
        </row>
        <row r="775">
          <cell r="A775" t="str">
            <v>DLS16</v>
          </cell>
          <cell r="B775" t="str"/>
          <cell r="C775">
            <v>0</v>
          </cell>
          <cell r="D775">
            <v>0.09</v>
          </cell>
          <cell r="E775">
            <v>5000</v>
          </cell>
          <cell r="F775">
            <v>68</v>
          </cell>
          <cell r="G775"/>
          <cell r="L775"/>
          <cell r="M775"/>
          <cell r="N775"/>
          <cell r="O775"/>
          <cell r="P775"/>
          <cell r="Q775"/>
          <cell r="R775"/>
        </row>
        <row r="776">
          <cell r="A776" t="str">
            <v>DM14</v>
          </cell>
          <cell r="B776" t="str"/>
          <cell r="C776">
            <v>0</v>
          </cell>
          <cell r="D776">
            <v>0.09</v>
          </cell>
          <cell r="E776">
            <v>4930</v>
          </cell>
          <cell r="F776">
            <v>68</v>
          </cell>
          <cell r="G776"/>
          <cell r="L776"/>
          <cell r="M776"/>
          <cell r="N776"/>
          <cell r="O776"/>
          <cell r="P776"/>
          <cell r="Q776"/>
          <cell r="R776"/>
        </row>
        <row r="777">
          <cell r="A777" t="str">
            <v>DM16</v>
          </cell>
          <cell r="B777" t="str"/>
          <cell r="C777">
            <v>0</v>
          </cell>
          <cell r="D777">
            <v>0.09</v>
          </cell>
          <cell r="E777">
            <v>5420</v>
          </cell>
          <cell r="F777">
            <v>68</v>
          </cell>
          <cell r="G777"/>
          <cell r="L777"/>
          <cell r="M777"/>
          <cell r="N777"/>
          <cell r="O777"/>
          <cell r="P777"/>
          <cell r="Q777"/>
          <cell r="R777"/>
        </row>
        <row r="778">
          <cell r="A778" t="str">
            <v>DMR14</v>
          </cell>
          <cell r="B778" t="str"/>
          <cell r="C778">
            <v>0</v>
          </cell>
          <cell r="D778">
            <v>0.09</v>
          </cell>
          <cell r="E778">
            <v>4530</v>
          </cell>
          <cell r="F778">
            <v>68</v>
          </cell>
          <cell r="G778"/>
          <cell r="L778"/>
          <cell r="M778"/>
          <cell r="N778"/>
          <cell r="O778"/>
          <cell r="P778"/>
          <cell r="Q778"/>
          <cell r="R778"/>
        </row>
        <row r="779">
          <cell r="A779" t="str">
            <v>DMR16</v>
          </cell>
          <cell r="B779" t="str"/>
          <cell r="C779">
            <v>0</v>
          </cell>
          <cell r="D779">
            <v>0.09</v>
          </cell>
          <cell r="E779">
            <v>5550</v>
          </cell>
          <cell r="F779">
            <v>68</v>
          </cell>
          <cell r="G779"/>
          <cell r="L779"/>
          <cell r="M779"/>
          <cell r="N779"/>
          <cell r="O779"/>
          <cell r="P779"/>
          <cell r="Q779"/>
          <cell r="R779"/>
        </row>
        <row r="780">
          <cell r="A780" t="str">
            <v>DMS14</v>
          </cell>
          <cell r="B780" t="str"/>
          <cell r="C780">
            <v>0</v>
          </cell>
          <cell r="D780">
            <v>0.09</v>
          </cell>
          <cell r="E780">
            <v>4530</v>
          </cell>
          <cell r="F780">
            <v>68</v>
          </cell>
          <cell r="G780"/>
          <cell r="L780"/>
          <cell r="M780"/>
          <cell r="N780"/>
          <cell r="O780"/>
          <cell r="P780"/>
          <cell r="Q780"/>
          <cell r="R780"/>
        </row>
        <row r="781">
          <cell r="A781" t="str">
            <v>DMS16</v>
          </cell>
          <cell r="B781" t="str"/>
          <cell r="C781">
            <v>0</v>
          </cell>
          <cell r="D781">
            <v>0.09</v>
          </cell>
          <cell r="E781">
            <v>5550</v>
          </cell>
          <cell r="F781">
            <v>68</v>
          </cell>
          <cell r="G781"/>
          <cell r="L781"/>
          <cell r="M781"/>
          <cell r="N781"/>
          <cell r="O781"/>
          <cell r="P781"/>
          <cell r="Q781"/>
          <cell r="R781"/>
        </row>
        <row r="782">
          <cell r="A782" t="str">
            <v>DT114</v>
          </cell>
          <cell r="B782"/>
          <cell r="C782">
            <v>0</v>
          </cell>
          <cell r="D782">
            <v>0.09</v>
          </cell>
          <cell r="E782">
            <v>4345</v>
          </cell>
          <cell r="F782">
            <v>68</v>
          </cell>
          <cell r="G782"/>
          <cell r="L782"/>
          <cell r="M782"/>
          <cell r="N782"/>
          <cell r="O782"/>
          <cell r="P782"/>
          <cell r="Q782"/>
          <cell r="R782"/>
        </row>
        <row r="783">
          <cell r="A783" t="str">
            <v>DT14</v>
          </cell>
          <cell r="B783" t="str"/>
          <cell r="C783">
            <v>0</v>
          </cell>
          <cell r="D783">
            <v>0.09</v>
          </cell>
          <cell r="E783">
            <v>4345</v>
          </cell>
          <cell r="F783">
            <v>68</v>
          </cell>
          <cell r="G783"/>
          <cell r="L783"/>
          <cell r="M783"/>
          <cell r="N783"/>
          <cell r="O783"/>
          <cell r="P783"/>
          <cell r="Q783"/>
          <cell r="R783"/>
        </row>
        <row r="784">
          <cell r="A784" t="str">
            <v>DT16</v>
          </cell>
          <cell r="B784" t="str"/>
          <cell r="C784">
            <v>0</v>
          </cell>
          <cell r="D784">
            <v>0.09</v>
          </cell>
          <cell r="E784">
            <v>4805</v>
          </cell>
          <cell r="F784">
            <v>68</v>
          </cell>
          <cell r="G784"/>
          <cell r="L784"/>
          <cell r="M784"/>
          <cell r="N784"/>
          <cell r="O784"/>
          <cell r="P784"/>
          <cell r="Q784"/>
          <cell r="R784"/>
        </row>
        <row r="785">
          <cell r="A785" t="str">
            <v>DTR14</v>
          </cell>
          <cell r="B785" t="str"/>
          <cell r="C785">
            <v>0</v>
          </cell>
          <cell r="D785">
            <v>0.09</v>
          </cell>
          <cell r="E785">
            <v>4345</v>
          </cell>
          <cell r="F785">
            <v>68</v>
          </cell>
          <cell r="G785"/>
          <cell r="L785"/>
          <cell r="M785"/>
          <cell r="N785"/>
          <cell r="O785"/>
          <cell r="P785"/>
          <cell r="Q785"/>
          <cell r="R785"/>
        </row>
        <row r="786">
          <cell r="A786" t="str">
            <v>DTR16</v>
          </cell>
          <cell r="B786" t="str"/>
          <cell r="C786">
            <v>0</v>
          </cell>
          <cell r="D786">
            <v>0.09</v>
          </cell>
          <cell r="E786">
            <v>4805</v>
          </cell>
          <cell r="F786">
            <v>68</v>
          </cell>
          <cell r="G786"/>
          <cell r="L786"/>
          <cell r="M786"/>
          <cell r="N786"/>
          <cell r="O786"/>
          <cell r="P786"/>
          <cell r="Q786"/>
          <cell r="R786"/>
        </row>
        <row r="787">
          <cell r="A787" t="str">
            <v>DTS14</v>
          </cell>
          <cell r="B787" t="str"/>
          <cell r="C787">
            <v>0</v>
          </cell>
          <cell r="D787">
            <v>0.09</v>
          </cell>
          <cell r="E787">
            <v>4345</v>
          </cell>
          <cell r="F787">
            <v>68</v>
          </cell>
          <cell r="G787"/>
          <cell r="L787"/>
          <cell r="M787"/>
          <cell r="N787"/>
          <cell r="O787"/>
          <cell r="P787"/>
          <cell r="Q787"/>
          <cell r="R787"/>
        </row>
        <row r="788">
          <cell r="A788" t="str">
            <v>DTS16</v>
          </cell>
          <cell r="B788" t="str"/>
          <cell r="C788">
            <v>0</v>
          </cell>
          <cell r="D788">
            <v>0.09</v>
          </cell>
          <cell r="E788">
            <v>4805</v>
          </cell>
          <cell r="F788">
            <v>68</v>
          </cell>
          <cell r="G788"/>
          <cell r="L788"/>
          <cell r="M788"/>
          <cell r="N788"/>
          <cell r="O788"/>
          <cell r="P788"/>
          <cell r="Q788"/>
          <cell r="R788"/>
        </row>
        <row r="789">
          <cell r="A789" t="str">
            <v>DV14</v>
          </cell>
          <cell r="B789" t="str"/>
          <cell r="C789">
            <v>0</v>
          </cell>
          <cell r="D789">
            <v>0.09</v>
          </cell>
          <cell r="E789">
            <v>4345</v>
          </cell>
          <cell r="F789">
            <v>68</v>
          </cell>
          <cell r="G789"/>
          <cell r="L789"/>
          <cell r="M789"/>
          <cell r="N789"/>
          <cell r="O789"/>
          <cell r="P789"/>
          <cell r="Q789"/>
          <cell r="R789"/>
        </row>
        <row r="790">
          <cell r="A790" t="str">
            <v>DV16</v>
          </cell>
          <cell r="B790"/>
          <cell r="C790">
            <v>0</v>
          </cell>
          <cell r="D790">
            <v>0.09</v>
          </cell>
          <cell r="E790">
            <v>4345</v>
          </cell>
          <cell r="F790">
            <v>68</v>
          </cell>
          <cell r="G790"/>
          <cell r="L790"/>
          <cell r="M790"/>
          <cell r="N790"/>
          <cell r="O790"/>
          <cell r="P790"/>
          <cell r="Q790"/>
          <cell r="R790"/>
        </row>
        <row r="791">
          <cell r="A791" t="str">
            <v>DX12</v>
          </cell>
          <cell r="B791" t="str"/>
          <cell r="C791">
            <v>0</v>
          </cell>
          <cell r="D791">
            <v>0.09</v>
          </cell>
          <cell r="E791">
            <v>4035</v>
          </cell>
          <cell r="F791">
            <v>68</v>
          </cell>
          <cell r="G791"/>
          <cell r="L791"/>
          <cell r="M791"/>
          <cell r="N791"/>
          <cell r="O791"/>
          <cell r="P791"/>
          <cell r="Q791"/>
          <cell r="R791"/>
        </row>
        <row r="792">
          <cell r="A792" t="str">
            <v>DX14</v>
          </cell>
          <cell r="B792" t="str"/>
          <cell r="C792">
            <v>0</v>
          </cell>
          <cell r="D792">
            <v>0.09</v>
          </cell>
          <cell r="E792">
            <v>4345</v>
          </cell>
          <cell r="F792">
            <v>68</v>
          </cell>
          <cell r="G792"/>
          <cell r="L792"/>
          <cell r="M792"/>
          <cell r="N792"/>
          <cell r="O792"/>
          <cell r="P792"/>
          <cell r="Q792"/>
          <cell r="R792"/>
        </row>
        <row r="793">
          <cell r="A793" t="str">
            <v>DX16</v>
          </cell>
          <cell r="B793" t="str"/>
          <cell r="C793">
            <v>0</v>
          </cell>
          <cell r="D793">
            <v>0.09</v>
          </cell>
          <cell r="E793">
            <v>4805</v>
          </cell>
          <cell r="F793">
            <v>68</v>
          </cell>
          <cell r="G793"/>
          <cell r="L793"/>
          <cell r="M793"/>
          <cell r="N793"/>
          <cell r="O793"/>
          <cell r="P793"/>
          <cell r="Q793"/>
          <cell r="R793"/>
        </row>
        <row r="794">
          <cell r="A794" t="str">
            <v>DXR14</v>
          </cell>
          <cell r="B794" t="str"/>
          <cell r="C794">
            <v>0</v>
          </cell>
          <cell r="D794">
            <v>0.09</v>
          </cell>
          <cell r="E794">
            <v>4640</v>
          </cell>
          <cell r="F794">
            <v>68</v>
          </cell>
          <cell r="G794"/>
          <cell r="L794"/>
          <cell r="M794"/>
          <cell r="N794"/>
          <cell r="O794"/>
          <cell r="P794"/>
          <cell r="Q794"/>
          <cell r="R794"/>
        </row>
        <row r="795">
          <cell r="A795" t="str">
            <v>DXR16</v>
          </cell>
          <cell r="B795" t="str"/>
          <cell r="C795">
            <v>0</v>
          </cell>
          <cell r="D795">
            <v>0.09</v>
          </cell>
          <cell r="E795">
            <v>5000</v>
          </cell>
          <cell r="F795">
            <v>68</v>
          </cell>
          <cell r="G795"/>
          <cell r="L795"/>
          <cell r="M795"/>
          <cell r="N795"/>
          <cell r="O795"/>
          <cell r="P795"/>
          <cell r="Q795"/>
          <cell r="R795"/>
        </row>
        <row r="796">
          <cell r="A796" t="str">
            <v>DXS14</v>
          </cell>
          <cell r="B796" t="str"/>
          <cell r="C796">
            <v>0</v>
          </cell>
          <cell r="D796">
            <v>0.09</v>
          </cell>
          <cell r="E796">
            <v>4640</v>
          </cell>
          <cell r="F796">
            <v>68</v>
          </cell>
          <cell r="G796"/>
          <cell r="L796"/>
          <cell r="M796"/>
          <cell r="N796"/>
          <cell r="O796"/>
          <cell r="P796"/>
          <cell r="Q796"/>
          <cell r="R796"/>
        </row>
        <row r="797">
          <cell r="A797" t="str">
            <v>DXS16</v>
          </cell>
          <cell r="B797" t="str"/>
          <cell r="C797">
            <v>0</v>
          </cell>
          <cell r="D797">
            <v>0.09</v>
          </cell>
          <cell r="E797">
            <v>5000</v>
          </cell>
          <cell r="F797">
            <v>68</v>
          </cell>
          <cell r="G797"/>
          <cell r="L797"/>
          <cell r="M797"/>
          <cell r="N797"/>
          <cell r="O797"/>
          <cell r="P797"/>
          <cell r="Q797"/>
          <cell r="R797"/>
        </row>
        <row r="798">
          <cell r="A798" t="str">
            <v>EQ14-17+3</v>
          </cell>
          <cell r="B798" t="str">
            <v>14K, Stand-up Ramps</v>
          </cell>
          <cell r="C798">
            <v>8685.7099999999991</v>
          </cell>
          <cell r="D798">
            <v>0.2</v>
          </cell>
          <cell r="E798">
            <v>3060</v>
          </cell>
          <cell r="F798">
            <v>36</v>
          </cell>
          <cell r="G798"/>
          <cell r="L798"/>
          <cell r="M798"/>
          <cell r="N798"/>
          <cell r="O798"/>
          <cell r="P798"/>
          <cell r="Q798"/>
          <cell r="R798"/>
        </row>
        <row r="799">
          <cell r="A799" t="str">
            <v>EQ16-17+3</v>
          </cell>
          <cell r="B799" t="str">
            <v>16K, Stand-up Ramps</v>
          </cell>
          <cell r="C799">
            <v>13028.57</v>
          </cell>
          <cell r="D799">
            <v>0.2</v>
          </cell>
          <cell r="E799">
            <v>3710</v>
          </cell>
          <cell r="F799">
            <v>36</v>
          </cell>
          <cell r="G799"/>
          <cell r="L799"/>
          <cell r="M799"/>
          <cell r="N799"/>
          <cell r="O799"/>
          <cell r="P799"/>
          <cell r="Q799"/>
          <cell r="R799"/>
        </row>
        <row r="800">
          <cell r="A800" t="str">
            <v>SU35-12BK4RG</v>
          </cell>
          <cell r="B800" t="str">
            <v>Ramp Gate, Spmt</v>
          </cell>
          <cell r="C800">
            <v>3128.57</v>
          </cell>
          <cell r="D800">
            <v>0.2</v>
          </cell>
          <cell r="E800">
            <v>1078</v>
          </cell>
          <cell r="F800">
            <v>34</v>
          </cell>
          <cell r="G800"/>
          <cell r="L800"/>
          <cell r="M800"/>
          <cell r="N800"/>
          <cell r="O800"/>
          <cell r="P800"/>
          <cell r="Q800"/>
          <cell r="R800"/>
        </row>
        <row r="801">
          <cell r="A801" t="str">
            <v>SU35-14BK4RG</v>
          </cell>
          <cell r="B801" t="str">
            <v>Ramp Gate, Spmt</v>
          </cell>
          <cell r="C801">
            <v>3257.14</v>
          </cell>
          <cell r="D801">
            <v>0.2</v>
          </cell>
          <cell r="E801">
            <v>1168</v>
          </cell>
          <cell r="F801">
            <v>34</v>
          </cell>
          <cell r="G801"/>
          <cell r="L801"/>
          <cell r="M801"/>
          <cell r="N801"/>
          <cell r="O801"/>
          <cell r="P801"/>
          <cell r="Q801"/>
          <cell r="R801"/>
        </row>
        <row r="802">
          <cell r="A802" t="str">
            <v>TC14-14BK</v>
          </cell>
          <cell r="B802" t="str">
            <v>14K Dump, 6SIR, TARP</v>
          </cell>
          <cell r="C802">
            <v>13271.43</v>
          </cell>
          <cell r="D802">
            <v>0.2</v>
          </cell>
          <cell r="E802">
            <v>3555</v>
          </cell>
          <cell r="F802">
            <v>31</v>
          </cell>
          <cell r="G802"/>
          <cell r="L802"/>
          <cell r="M802"/>
          <cell r="N802"/>
          <cell r="O802"/>
          <cell r="P802"/>
          <cell r="Q802"/>
          <cell r="R802"/>
        </row>
        <row r="803">
          <cell r="A803" t="str">
            <v>TC14-14C2A-BK</v>
          </cell>
          <cell r="B803" t="str">
            <v>6SIR, Tarp (incl)</v>
          </cell>
          <cell r="C803">
            <v>11654.14</v>
          </cell>
          <cell r="D803">
            <v>0.2</v>
          </cell>
          <cell r="E803">
            <v>3660</v>
          </cell>
          <cell r="F803">
            <v>31</v>
          </cell>
          <cell r="G803"/>
          <cell r="L803"/>
          <cell r="M803"/>
          <cell r="N803"/>
          <cell r="O803"/>
          <cell r="P803"/>
          <cell r="Q803"/>
          <cell r="R803"/>
        </row>
        <row r="804">
          <cell r="A804" t="str">
            <v>TC14-14C4A-BK</v>
          </cell>
          <cell r="B804" t="str">
            <v>HS4, 6SIR, Tarp (incl)</v>
          </cell>
          <cell r="C804">
            <v>12894.74</v>
          </cell>
          <cell r="D804">
            <v>0.2</v>
          </cell>
          <cell r="E804">
            <v>4190</v>
          </cell>
          <cell r="F804">
            <v>31</v>
          </cell>
          <cell r="G804"/>
          <cell r="L804"/>
          <cell r="M804"/>
          <cell r="N804"/>
          <cell r="O804"/>
          <cell r="P804"/>
          <cell r="Q804"/>
          <cell r="R804"/>
        </row>
        <row r="805">
          <cell r="A805" t="str">
            <v>TG14-30D5A-MRBK</v>
          </cell>
          <cell r="B805" t="str">
            <v>15.4K 25+5 w/ Mega Ramps &amp; Spare</v>
          </cell>
          <cell r="C805">
            <v>14271.43</v>
          </cell>
          <cell r="D805">
            <v>0.2</v>
          </cell>
          <cell r="E805">
            <v>6000</v>
          </cell>
          <cell r="F805">
            <v>38</v>
          </cell>
          <cell r="G805"/>
          <cell r="L805"/>
          <cell r="M805"/>
          <cell r="N805"/>
          <cell r="O805"/>
          <cell r="P805"/>
          <cell r="Q805"/>
          <cell r="R805"/>
        </row>
        <row r="806">
          <cell r="A806" t="str">
            <v>TG22-30D5A-MRBK</v>
          </cell>
          <cell r="B806" t="str">
            <v>23.9K 25+5 w/ Mega Ramps &amp; Spare</v>
          </cell>
          <cell r="C806">
            <v>20757.14</v>
          </cell>
          <cell r="D806">
            <v>0.2</v>
          </cell>
          <cell r="E806">
            <v>7460</v>
          </cell>
          <cell r="F806">
            <v>38</v>
          </cell>
          <cell r="G806"/>
          <cell r="L806"/>
          <cell r="M806"/>
          <cell r="N806"/>
          <cell r="O806"/>
          <cell r="P806"/>
          <cell r="Q806"/>
          <cell r="R806"/>
        </row>
        <row r="807">
          <cell r="A807" t="str">
            <v>TH10-20BK4CR</v>
          </cell>
          <cell r="B807" t="str">
            <v>10K, Slide-in Ramps, Spmt</v>
          </cell>
          <cell r="C807">
            <v>7057.14</v>
          </cell>
          <cell r="D807">
            <v>0.2</v>
          </cell>
          <cell r="E807">
            <v>2590</v>
          </cell>
          <cell r="F807">
            <v>37</v>
          </cell>
          <cell r="G807"/>
          <cell r="L807"/>
          <cell r="M807"/>
          <cell r="N807"/>
          <cell r="O807"/>
          <cell r="P807"/>
          <cell r="Q807"/>
          <cell r="R807"/>
        </row>
        <row r="808">
          <cell r="A808" t="str">
            <v>TH70-18BK4AR2B</v>
          </cell>
          <cell r="B808" t="str">
            <v>7K, Slide-in Ramps, Spmt, BRK2</v>
          </cell>
          <cell r="C808">
            <v>5428.57</v>
          </cell>
          <cell r="D808">
            <v>0.2</v>
          </cell>
          <cell r="E808">
            <v>2030</v>
          </cell>
          <cell r="F808">
            <v>37</v>
          </cell>
          <cell r="G808"/>
          <cell r="L808"/>
          <cell r="M808"/>
          <cell r="N808"/>
          <cell r="O808"/>
          <cell r="P808"/>
          <cell r="Q808"/>
          <cell r="R808"/>
        </row>
        <row r="809">
          <cell r="A809" t="str">
            <v>TH70-20BK4AR2B</v>
          </cell>
          <cell r="B809" t="str">
            <v>7K, Slide-in Ramps, Spmt, BRK2</v>
          </cell>
          <cell r="C809">
            <v>5557.14</v>
          </cell>
          <cell r="D809">
            <v>0.2</v>
          </cell>
          <cell r="E809">
            <v>2230</v>
          </cell>
          <cell r="F809">
            <v>37</v>
          </cell>
          <cell r="G809"/>
          <cell r="L809"/>
          <cell r="M809"/>
          <cell r="N809"/>
          <cell r="O809"/>
          <cell r="P809"/>
          <cell r="Q809"/>
          <cell r="R809"/>
        </row>
        <row r="810">
          <cell r="A810" t="str">
            <v>TT14-20BK</v>
          </cell>
          <cell r="B810" t="str">
            <v>14k Tilt, 16' tilt + 4 stationary</v>
          </cell>
          <cell r="C810">
            <v>11014.29</v>
          </cell>
          <cell r="D810">
            <v>0.2</v>
          </cell>
          <cell r="E810">
            <v>3460</v>
          </cell>
          <cell r="F810">
            <v>39</v>
          </cell>
          <cell r="G810"/>
          <cell r="L810"/>
          <cell r="M810"/>
          <cell r="N810"/>
          <cell r="O810"/>
          <cell r="P810"/>
          <cell r="Q810"/>
          <cell r="R810"/>
        </row>
        <row r="811">
          <cell r="A811" t="str">
            <v>TT14-22BK</v>
          </cell>
          <cell r="B811" t="str">
            <v>14k Tilt, 16' tilt + 6 stationary</v>
          </cell>
          <cell r="C811">
            <v>11157.14</v>
          </cell>
          <cell r="D811">
            <v>0.2</v>
          </cell>
          <cell r="E811">
            <v>3660</v>
          </cell>
          <cell r="F811">
            <v>39</v>
          </cell>
          <cell r="G811"/>
          <cell r="L811"/>
          <cell r="M811"/>
          <cell r="N811"/>
          <cell r="O811"/>
          <cell r="P811"/>
          <cell r="Q811"/>
          <cell r="R811"/>
        </row>
        <row r="812">
          <cell r="A812" t="str">
            <v>TT16-20BK</v>
          </cell>
          <cell r="B812" t="str">
            <v>16k Tilt, 16' tilt + 4 stationary</v>
          </cell>
          <cell r="C812">
            <v>14371.43</v>
          </cell>
          <cell r="D812">
            <v>0.2</v>
          </cell>
          <cell r="E812">
            <v>4080</v>
          </cell>
          <cell r="F812">
            <v>39</v>
          </cell>
          <cell r="G812"/>
          <cell r="L812"/>
          <cell r="M812"/>
          <cell r="N812"/>
          <cell r="O812"/>
          <cell r="P812"/>
          <cell r="Q812"/>
          <cell r="R812"/>
        </row>
        <row r="813">
          <cell r="A813" t="str">
            <v>TT16-22BK</v>
          </cell>
          <cell r="B813" t="str">
            <v>16k Tilt, 16' tilt + 6 stationary</v>
          </cell>
          <cell r="C813">
            <v>14600</v>
          </cell>
          <cell r="D813">
            <v>0.2</v>
          </cell>
          <cell r="E813">
            <v>4140</v>
          </cell>
          <cell r="F813">
            <v>39</v>
          </cell>
          <cell r="G813"/>
          <cell r="L813"/>
          <cell r="M813"/>
          <cell r="N813"/>
          <cell r="O813"/>
          <cell r="P813"/>
          <cell r="Q813"/>
          <cell r="R813"/>
        </row>
        <row r="814">
          <cell r="A814" t="str">
            <v>TU10-20BK4CR</v>
          </cell>
          <cell r="B814" t="str">
            <v>10K, Slide-in Ramps, Spmt</v>
          </cell>
          <cell r="C814">
            <v>7185.71</v>
          </cell>
          <cell r="D814">
            <v>0.2</v>
          </cell>
          <cell r="E814">
            <v>2380</v>
          </cell>
          <cell r="F814">
            <v>35</v>
          </cell>
          <cell r="G814"/>
          <cell r="L814"/>
          <cell r="M814"/>
          <cell r="N814"/>
          <cell r="O814"/>
          <cell r="P814"/>
          <cell r="Q814"/>
          <cell r="R814"/>
        </row>
        <row r="815">
          <cell r="A815" t="str">
            <v>TU14-20BK4CR</v>
          </cell>
          <cell r="B815" t="str">
            <v>14K, Slide-in Ramps, Spmt</v>
          </cell>
          <cell r="C815">
            <v>8414.2900000000009</v>
          </cell>
          <cell r="D815">
            <v>0.2</v>
          </cell>
          <cell r="E815">
            <v>3040</v>
          </cell>
          <cell r="F815">
            <v>35</v>
          </cell>
          <cell r="G815"/>
          <cell r="L815"/>
          <cell r="M815"/>
          <cell r="N815"/>
          <cell r="O815"/>
          <cell r="P815"/>
          <cell r="Q815"/>
          <cell r="R815"/>
        </row>
        <row r="816">
          <cell r="A816" t="str">
            <v>TU60-16BK4AR2B</v>
          </cell>
          <cell r="B816" t="str">
            <v>6K, Slide-in Ramps, Spmt, BRK2</v>
          </cell>
          <cell r="C816">
            <v>4885.71</v>
          </cell>
          <cell r="D816">
            <v>0.2</v>
          </cell>
          <cell r="E816">
            <v>1640</v>
          </cell>
          <cell r="F816">
            <v>35</v>
          </cell>
          <cell r="G816"/>
          <cell r="L816"/>
          <cell r="M816"/>
          <cell r="N816"/>
          <cell r="O816"/>
          <cell r="P816"/>
          <cell r="Q816"/>
          <cell r="R816"/>
        </row>
        <row r="817">
          <cell r="A817" t="str">
            <v>TU60-16BK4RG2B</v>
          </cell>
          <cell r="B817" t="str">
            <v>6K, RG, Spmt, BRK2</v>
          </cell>
          <cell r="C817">
            <v>4885.71</v>
          </cell>
          <cell r="D817">
            <v>0.2</v>
          </cell>
          <cell r="E817">
            <v>1640</v>
          </cell>
          <cell r="F817">
            <v>35</v>
          </cell>
          <cell r="G817"/>
          <cell r="L817"/>
          <cell r="M817"/>
          <cell r="N817"/>
          <cell r="O817"/>
          <cell r="P817"/>
          <cell r="Q817"/>
          <cell r="R817"/>
        </row>
        <row r="818">
          <cell r="A818" t="str">
            <v>TU70-18BK4AR2B</v>
          </cell>
          <cell r="B818" t="str">
            <v>7K, Slide-in Ramps, Spmt, BRK2</v>
          </cell>
          <cell r="C818">
            <v>5557.14</v>
          </cell>
          <cell r="D818">
            <v>0.2</v>
          </cell>
          <cell r="E818">
            <v>2060</v>
          </cell>
          <cell r="F818">
            <v>35</v>
          </cell>
          <cell r="G818"/>
          <cell r="L818"/>
          <cell r="M818"/>
          <cell r="N818"/>
          <cell r="O818"/>
          <cell r="P818"/>
          <cell r="Q818"/>
          <cell r="R818"/>
        </row>
        <row r="819">
          <cell r="A819" t="str">
            <v>TU70-18BK4RG2B</v>
          </cell>
          <cell r="B819" t="str">
            <v>7K, RG, Spmt, BRK2</v>
          </cell>
          <cell r="C819">
            <v>5557.14</v>
          </cell>
          <cell r="D819">
            <v>0.2</v>
          </cell>
          <cell r="E819">
            <v>2060</v>
          </cell>
          <cell r="F819">
            <v>35</v>
          </cell>
          <cell r="G819"/>
          <cell r="I819"/>
          <cell r="L819"/>
          <cell r="M819"/>
          <cell r="N819"/>
          <cell r="O819"/>
          <cell r="P819"/>
          <cell r="Q819"/>
          <cell r="R819"/>
        </row>
        <row r="820">
          <cell r="A820" t="str">
            <v>TU70-20BK4AR2B</v>
          </cell>
          <cell r="B820" t="str">
            <v>7K, Slide-in Ramps, Spmt, BRK2</v>
          </cell>
          <cell r="C820">
            <v>5700</v>
          </cell>
          <cell r="D820">
            <v>0.2</v>
          </cell>
          <cell r="E820">
            <v>2140</v>
          </cell>
          <cell r="F820">
            <v>35</v>
          </cell>
          <cell r="G820"/>
          <cell r="I820"/>
          <cell r="L820"/>
          <cell r="M820"/>
          <cell r="N820"/>
          <cell r="O820"/>
          <cell r="P820"/>
          <cell r="Q820"/>
          <cell r="R820"/>
        </row>
        <row r="821">
          <cell r="A821" t="str">
            <v>TU70-20BK4RG2B</v>
          </cell>
          <cell r="B821" t="str">
            <v>7K, RG, Spmt, BRK2</v>
          </cell>
          <cell r="C821">
            <v>5700</v>
          </cell>
          <cell r="D821">
            <v>0.2</v>
          </cell>
          <cell r="E821">
            <v>2140</v>
          </cell>
          <cell r="F821">
            <v>35</v>
          </cell>
          <cell r="G821"/>
          <cell r="I821"/>
          <cell r="L821"/>
          <cell r="M821"/>
          <cell r="N821"/>
          <cell r="O821"/>
          <cell r="P821"/>
          <cell r="Q821"/>
          <cell r="R821"/>
        </row>
        <row r="822">
          <cell r="A822"/>
          <cell r="B822"/>
          <cell r="C822"/>
          <cell r="D822"/>
          <cell r="E822"/>
          <cell r="F822"/>
          <cell r="G822"/>
          <cell r="H822"/>
          <cell r="I822"/>
          <cell r="L822"/>
          <cell r="M822"/>
          <cell r="N822"/>
          <cell r="O822"/>
          <cell r="P822"/>
          <cell r="Q822"/>
          <cell r="R822"/>
        </row>
        <row r="823">
          <cell r="A823"/>
          <cell r="B823"/>
          <cell r="C823"/>
          <cell r="D823"/>
          <cell r="E823"/>
          <cell r="F823"/>
          <cell r="G823"/>
          <cell r="H823"/>
          <cell r="I823"/>
          <cell r="L823"/>
          <cell r="M823"/>
          <cell r="N823"/>
          <cell r="O823"/>
          <cell r="P823"/>
          <cell r="Q823"/>
          <cell r="R823"/>
        </row>
        <row r="824">
          <cell r="A824"/>
          <cell r="B824"/>
          <cell r="C824"/>
          <cell r="D824"/>
          <cell r="E824"/>
          <cell r="F824"/>
          <cell r="G824"/>
          <cell r="H824"/>
          <cell r="I824"/>
          <cell r="L824"/>
          <cell r="M824"/>
          <cell r="N824"/>
          <cell r="O824"/>
          <cell r="P824"/>
          <cell r="Q824"/>
          <cell r="R824"/>
        </row>
        <row r="825">
          <cell r="A825">
            <v>9400919</v>
          </cell>
          <cell r="B825" t="str">
            <v>TIRE - 205/75R15, LR-C</v>
          </cell>
          <cell r="C825">
            <v>200</v>
          </cell>
          <cell r="D825">
            <v>0.25</v>
          </cell>
          <cell r="E825">
            <v>42</v>
          </cell>
          <cell r="F825"/>
          <cell r="G825"/>
          <cell r="H825"/>
          <cell r="I825"/>
          <cell r="L825"/>
          <cell r="M825"/>
          <cell r="N825"/>
          <cell r="O825"/>
          <cell r="P825"/>
          <cell r="Q825"/>
          <cell r="R825"/>
        </row>
        <row r="826">
          <cell r="A826">
            <v>9400407</v>
          </cell>
          <cell r="B826" t="str">
            <v>TIRE - 225/75R15, LR-D</v>
          </cell>
          <cell r="C826">
            <v>242.86</v>
          </cell>
          <cell r="D826">
            <v>0.25</v>
          </cell>
          <cell r="E826">
            <v>51</v>
          </cell>
          <cell r="F826"/>
          <cell r="G826"/>
          <cell r="H826"/>
          <cell r="I826"/>
          <cell r="L826"/>
          <cell r="M826"/>
          <cell r="N826"/>
          <cell r="O826"/>
          <cell r="P826"/>
          <cell r="Q826"/>
          <cell r="R826"/>
        </row>
        <row r="827">
          <cell r="A827">
            <v>9400869</v>
          </cell>
          <cell r="B827" t="str">
            <v>TIRE - 235/80R16, LR-E</v>
          </cell>
          <cell r="C827">
            <v>307.14</v>
          </cell>
          <cell r="D827">
            <v>0.25</v>
          </cell>
          <cell r="E827"/>
          <cell r="F827"/>
          <cell r="G827"/>
          <cell r="H827"/>
          <cell r="I827"/>
          <cell r="L827"/>
          <cell r="M827"/>
          <cell r="N827"/>
          <cell r="O827"/>
          <cell r="P827"/>
          <cell r="Q827"/>
          <cell r="R827"/>
        </row>
        <row r="828">
          <cell r="A828">
            <v>9400905</v>
          </cell>
          <cell r="B828" t="str">
            <v>TIRE - 215/75R17.5, LR-J</v>
          </cell>
          <cell r="C828">
            <v>485.72</v>
          </cell>
          <cell r="D828">
            <v>0.25</v>
          </cell>
          <cell r="E828"/>
          <cell r="F828"/>
          <cell r="G828"/>
          <cell r="H828"/>
          <cell r="I828"/>
          <cell r="L828"/>
          <cell r="M828"/>
          <cell r="N828"/>
          <cell r="O828"/>
          <cell r="P828"/>
          <cell r="Q828"/>
          <cell r="R828"/>
        </row>
        <row r="829">
          <cell r="A829"/>
          <cell r="B829"/>
          <cell r="C829"/>
          <cell r="D829"/>
          <cell r="E829"/>
          <cell r="F829"/>
          <cell r="G829"/>
          <cell r="H829"/>
          <cell r="I829"/>
          <cell r="J829"/>
          <cell r="K829"/>
          <cell r="L829"/>
          <cell r="M829"/>
          <cell r="N829"/>
          <cell r="O829"/>
          <cell r="P829"/>
          <cell r="Q829"/>
          <cell r="R829"/>
        </row>
        <row r="830">
          <cell r="A830"/>
          <cell r="B830"/>
          <cell r="C830"/>
          <cell r="D830"/>
          <cell r="E830"/>
          <cell r="F830"/>
          <cell r="G830"/>
          <cell r="H830"/>
          <cell r="I830"/>
          <cell r="J830"/>
          <cell r="K830"/>
          <cell r="L830"/>
          <cell r="M830"/>
          <cell r="N830"/>
          <cell r="O830"/>
          <cell r="P830"/>
          <cell r="Q830"/>
          <cell r="R830"/>
        </row>
        <row r="831">
          <cell r="A831"/>
          <cell r="B831"/>
          <cell r="C831"/>
          <cell r="D831"/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/>
          <cell r="Q831"/>
          <cell r="R831"/>
        </row>
        <row r="832">
          <cell r="A832" t="str">
            <v>GSAR</v>
          </cell>
          <cell r="B832" t="str">
            <v>Gas Spring Assist on Ramp Gate</v>
          </cell>
          <cell r="C832"/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  <cell r="P832"/>
          <cell r="Q832"/>
          <cell r="R832"/>
        </row>
        <row r="833">
          <cell r="A833" t="str">
            <v>CSAR</v>
          </cell>
          <cell r="B833" t="str">
            <v>Coil Spring Assist on Ramp Gate</v>
          </cell>
          <cell r="C833">
            <v>0</v>
          </cell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  <cell r="P833"/>
          <cell r="Q833"/>
          <cell r="R833"/>
        </row>
        <row r="834">
          <cell r="A834" t="str">
            <v>7SIR</v>
          </cell>
          <cell r="B834" t="str">
            <v>7' Slide In Ramps</v>
          </cell>
          <cell r="C834"/>
          <cell r="J834"/>
          <cell r="K834"/>
          <cell r="L834"/>
          <cell r="M834"/>
          <cell r="N834"/>
          <cell r="O834"/>
          <cell r="P834"/>
          <cell r="Q834"/>
        </row>
        <row r="835">
          <cell r="A835" t="str">
            <v>SRG36</v>
          </cell>
          <cell r="B835" t="str">
            <v xml:space="preserve">Side Ramp Gate - 36" Wide x 4' Tall </v>
          </cell>
          <cell r="C835">
            <v>451.12</v>
          </cell>
          <cell r="J835"/>
          <cell r="K835"/>
          <cell r="L835"/>
          <cell r="M835"/>
          <cell r="N835"/>
          <cell r="O835"/>
          <cell r="P835"/>
        </row>
        <row r="836">
          <cell r="A836" t="str">
            <v>SRG48</v>
          </cell>
          <cell r="B836" t="str">
            <v xml:space="preserve">Side Ramp Gate - 48" Wide x 4' Tall </v>
          </cell>
          <cell r="C836">
            <v>451.12</v>
          </cell>
          <cell r="J836"/>
          <cell r="K836"/>
          <cell r="L836"/>
          <cell r="M836"/>
          <cell r="N836"/>
          <cell r="O836"/>
          <cell r="P836"/>
        </row>
        <row r="837">
          <cell r="A837" t="str">
            <v>SRG60</v>
          </cell>
          <cell r="B837" t="str">
            <v xml:space="preserve">Side Ramp Gate - 60" Wide x 4' Tall </v>
          </cell>
          <cell r="C837">
            <v>451.12</v>
          </cell>
          <cell r="J837"/>
          <cell r="K837"/>
          <cell r="L837"/>
          <cell r="M837"/>
          <cell r="N837"/>
          <cell r="O837"/>
          <cell r="P837"/>
        </row>
        <row r="838">
          <cell r="A838" t="str">
            <v>FRAME AND TONGUE OPTIONS</v>
          </cell>
          <cell r="B838"/>
          <cell r="C838"/>
          <cell r="J838"/>
          <cell r="K838"/>
        </row>
        <row r="839">
          <cell r="A839" t="str">
            <v>CH</v>
          </cell>
          <cell r="B839" t="str">
            <v>Car Hauler Style with no sides</v>
          </cell>
          <cell r="C839">
            <v>0</v>
          </cell>
          <cell r="J839"/>
          <cell r="K839"/>
        </row>
        <row r="840">
          <cell r="A840" t="str">
            <v>DT</v>
          </cell>
          <cell r="B840" t="str">
            <v>DOVETAIL within existing length</v>
          </cell>
          <cell r="C840">
            <v>142.86000000000001</v>
          </cell>
        </row>
        <row r="841">
          <cell r="A841" t="str">
            <v>EXTT</v>
          </cell>
          <cell r="B841" t="str">
            <v>Extended Tongue 1' longer than std</v>
          </cell>
          <cell r="C841"/>
        </row>
        <row r="842">
          <cell r="A842" t="str">
            <v>FBT</v>
          </cell>
          <cell r="B842" t="str">
            <v>Fold Back Tongue or Wrap Tongue</v>
          </cell>
          <cell r="C842" t="str">
            <v>n/a</v>
          </cell>
        </row>
        <row r="843">
          <cell r="A843" t="str">
            <v>HDF</v>
          </cell>
          <cell r="B843" t="str">
            <v xml:space="preserve">Heavy Duty Frame </v>
          </cell>
          <cell r="C843"/>
        </row>
        <row r="844">
          <cell r="A844" t="str">
            <v>VTT</v>
          </cell>
          <cell r="B844" t="str">
            <v>V-Tongue Tilt, for single axles only</v>
          </cell>
          <cell r="C844" t="str">
            <v>Not Available</v>
          </cell>
        </row>
        <row r="845">
          <cell r="A845" t="str">
            <v>VTAIL</v>
          </cell>
          <cell r="B845" t="str">
            <v>V-shaped tail for a car hauler</v>
          </cell>
          <cell r="C845" t="str">
            <v>n/a</v>
          </cell>
        </row>
        <row r="846">
          <cell r="A846" t="str">
            <v>AXLE OPTIONS</v>
          </cell>
          <cell r="B846"/>
          <cell r="C846"/>
        </row>
        <row r="847">
          <cell r="A847" t="str">
            <v>BRK1</v>
          </cell>
          <cell r="B847" t="str">
            <v>Electric Brakes on One Axle</v>
          </cell>
          <cell r="C847">
            <v>300.75</v>
          </cell>
        </row>
        <row r="848">
          <cell r="A848" t="str">
            <v>NBK1</v>
          </cell>
          <cell r="B848" t="str">
            <v>No Brakes</v>
          </cell>
          <cell r="C848">
            <v>-195.49</v>
          </cell>
        </row>
        <row r="849">
          <cell r="A849" t="str">
            <v>BRK2</v>
          </cell>
          <cell r="B849" t="str">
            <v>Electric Brakes on Both Axles</v>
          </cell>
          <cell r="C849">
            <v>248.12</v>
          </cell>
        </row>
        <row r="850">
          <cell r="A850" t="str">
            <v>HYD1</v>
          </cell>
          <cell r="B850" t="str">
            <v>Hydraulic Brakes on one axle (Surge Brakes)</v>
          </cell>
          <cell r="C850"/>
        </row>
        <row r="851">
          <cell r="A851" t="str">
            <v>HYD2</v>
          </cell>
          <cell r="B851" t="str">
            <v>Hydraulic Brakes on both axles (Surge Brakes)</v>
          </cell>
          <cell r="C851"/>
        </row>
        <row r="852">
          <cell r="A852" t="str">
            <v>TORS</v>
          </cell>
          <cell r="B852" t="str">
            <v>Torsion Axles</v>
          </cell>
          <cell r="C852"/>
        </row>
        <row r="853">
          <cell r="A853" t="str">
            <v>DAX</v>
          </cell>
          <cell r="B853" t="str">
            <v>Drop Axles</v>
          </cell>
          <cell r="C853"/>
        </row>
        <row r="854">
          <cell r="A854" t="str">
            <v>E/HYDRUM</v>
          </cell>
          <cell r="B854" t="str">
            <v>Electric/Hydraulic Drum Brakes</v>
          </cell>
          <cell r="C854"/>
          <cell r="D854"/>
          <cell r="E854"/>
          <cell r="F854"/>
          <cell r="G854"/>
        </row>
        <row r="855">
          <cell r="A855" t="str">
            <v>E/HYDISC</v>
          </cell>
          <cell r="B855" t="str">
            <v>Electric/Hydraulic Disk Brakes</v>
          </cell>
          <cell r="C855"/>
          <cell r="D855"/>
          <cell r="E855"/>
          <cell r="F855"/>
          <cell r="G855"/>
        </row>
        <row r="856">
          <cell r="A856" t="str">
            <v>AIRBRAKES</v>
          </cell>
          <cell r="B856" t="str">
            <v>Airbrakes with anti-lock brakes(ABS) on one axle</v>
          </cell>
          <cell r="C856"/>
          <cell r="D856"/>
          <cell r="E856"/>
          <cell r="F856"/>
          <cell r="G856"/>
        </row>
        <row r="857">
          <cell r="A857" t="str">
            <v>COUPLER OPTIONS</v>
          </cell>
          <cell r="B857"/>
          <cell r="C857"/>
          <cell r="D857"/>
          <cell r="E857"/>
          <cell r="F857"/>
          <cell r="G857"/>
        </row>
        <row r="858">
          <cell r="A858" t="str">
            <v>FC2</v>
          </cell>
          <cell r="B858" t="str">
            <v>2" Forged Coupler (not Bulldog brand)</v>
          </cell>
          <cell r="C858"/>
          <cell r="D858"/>
          <cell r="E858"/>
          <cell r="F858"/>
          <cell r="G858"/>
        </row>
        <row r="859">
          <cell r="A859" t="str">
            <v>FC2.5.16</v>
          </cell>
          <cell r="B859" t="str">
            <v>2-5/16" Forged Coupler (not Bulldog brand)</v>
          </cell>
          <cell r="C859"/>
          <cell r="D859"/>
          <cell r="E859"/>
          <cell r="F859"/>
          <cell r="G859"/>
        </row>
        <row r="860">
          <cell r="A860" t="str">
            <v>SC2.5.16</v>
          </cell>
          <cell r="B860" t="str">
            <v>Stamped 2-5/16" Coupler</v>
          </cell>
          <cell r="C860"/>
          <cell r="D860"/>
          <cell r="E860"/>
          <cell r="F860"/>
          <cell r="G860"/>
        </row>
        <row r="861">
          <cell r="A861" t="str">
            <v>AC</v>
          </cell>
          <cell r="B861" t="str">
            <v>Adjustable Coupler in Channel (standard coupler)</v>
          </cell>
          <cell r="C861"/>
          <cell r="D861"/>
          <cell r="E861"/>
          <cell r="F861"/>
          <cell r="G861"/>
        </row>
        <row r="862">
          <cell r="A862" t="str">
            <v>AP</v>
          </cell>
          <cell r="B862" t="str">
            <v>Adjustable Pintle Hitch (Lunette Eye) in Channel</v>
          </cell>
          <cell r="C862"/>
          <cell r="D862"/>
          <cell r="E862"/>
          <cell r="F862"/>
          <cell r="G862"/>
        </row>
        <row r="863">
          <cell r="A863" t="str">
            <v>BD2</v>
          </cell>
          <cell r="B863" t="str">
            <v>Bulldog Brand Coupler -  2"</v>
          </cell>
          <cell r="C863"/>
          <cell r="D863"/>
          <cell r="E863"/>
          <cell r="F863"/>
          <cell r="G863"/>
        </row>
        <row r="864">
          <cell r="A864" t="str">
            <v>BD2.5.16</v>
          </cell>
          <cell r="B864" t="str">
            <v>Bulldog Brand Coupler -  2-5/16"</v>
          </cell>
          <cell r="C864"/>
          <cell r="D864"/>
          <cell r="E864"/>
          <cell r="F864"/>
          <cell r="G864"/>
        </row>
        <row r="865">
          <cell r="A865" t="str">
            <v>FENDER OPTIONS</v>
          </cell>
          <cell r="B865"/>
          <cell r="C865"/>
          <cell r="D865"/>
          <cell r="E865"/>
          <cell r="F865"/>
          <cell r="G865"/>
        </row>
        <row r="866">
          <cell r="A866" t="str">
            <v>DF</v>
          </cell>
          <cell r="B866" t="str">
            <v>Radius Diamond Plate Fenders</v>
          </cell>
          <cell r="C866"/>
          <cell r="D866"/>
          <cell r="E866"/>
          <cell r="F866"/>
          <cell r="G866"/>
        </row>
        <row r="867">
          <cell r="A867" t="str">
            <v>DFSQ</v>
          </cell>
          <cell r="B867" t="str">
            <v>Diamond Plate Fenders - Double Square Broke</v>
          </cell>
          <cell r="C867"/>
          <cell r="D867"/>
          <cell r="E867"/>
          <cell r="F867"/>
          <cell r="G867"/>
        </row>
        <row r="868">
          <cell r="A868" t="str">
            <v>RF</v>
          </cell>
          <cell r="B868" t="str">
            <v>Removable Fenders with jeep latches</v>
          </cell>
          <cell r="C868"/>
          <cell r="D868"/>
          <cell r="E868"/>
          <cell r="F868"/>
          <cell r="G868"/>
        </row>
        <row r="869">
          <cell r="A869" t="str">
            <v>ATF</v>
          </cell>
          <cell r="B869" t="str">
            <v>Aluminum Fenders</v>
          </cell>
          <cell r="C869"/>
          <cell r="D869"/>
          <cell r="E869"/>
          <cell r="F869"/>
          <cell r="G869"/>
        </row>
        <row r="870">
          <cell r="A870" t="str">
            <v>JACK OPTIONS</v>
          </cell>
          <cell r="B870"/>
          <cell r="C870"/>
          <cell r="D870"/>
          <cell r="E870"/>
          <cell r="F870"/>
          <cell r="G870"/>
        </row>
        <row r="871">
          <cell r="A871" t="str">
            <v>FUJ</v>
          </cell>
          <cell r="B871" t="str">
            <v>2K Fold Up Jack</v>
          </cell>
          <cell r="C871">
            <v>37.590000000000003</v>
          </cell>
          <cell r="D871"/>
          <cell r="E871"/>
          <cell r="F871"/>
          <cell r="G871"/>
        </row>
        <row r="872">
          <cell r="A872" t="str">
            <v>SBJ</v>
          </cell>
          <cell r="B872" t="str">
            <v>Set Back Jack</v>
          </cell>
          <cell r="C872" t="str">
            <v>n/a</v>
          </cell>
          <cell r="D872"/>
          <cell r="E872"/>
          <cell r="F872"/>
          <cell r="G872"/>
        </row>
        <row r="873">
          <cell r="A873" t="str">
            <v>8KDLJ</v>
          </cell>
          <cell r="B873" t="str">
            <v>8K Drop-Leg Jack</v>
          </cell>
          <cell r="C873">
            <v>112.78</v>
          </cell>
          <cell r="D873"/>
          <cell r="E873"/>
          <cell r="F873"/>
          <cell r="G873"/>
        </row>
        <row r="874">
          <cell r="A874" t="str">
            <v>D1SPJ</v>
          </cell>
          <cell r="B874" t="str">
            <v>Jacks, Dual 12K Dropleg, Single Speed</v>
          </cell>
          <cell r="C874"/>
          <cell r="D874"/>
          <cell r="E874"/>
          <cell r="F874"/>
          <cell r="G874"/>
        </row>
        <row r="875">
          <cell r="A875" t="str">
            <v>S2SPJ</v>
          </cell>
          <cell r="B875" t="str">
            <v>Single 2-Speed jack</v>
          </cell>
          <cell r="C875"/>
          <cell r="D875"/>
          <cell r="E875"/>
          <cell r="F875"/>
          <cell r="G875"/>
        </row>
        <row r="876">
          <cell r="A876" t="str">
            <v>D2SPJ</v>
          </cell>
          <cell r="B876" t="str">
            <v>Dual  2-Speed Jacks</v>
          </cell>
          <cell r="C876"/>
          <cell r="D876"/>
          <cell r="E876"/>
          <cell r="F876"/>
          <cell r="G876"/>
        </row>
        <row r="877">
          <cell r="A877" t="str">
            <v>SIDE  OPTIONS</v>
          </cell>
          <cell r="B877"/>
          <cell r="C877"/>
          <cell r="D877"/>
          <cell r="E877"/>
          <cell r="F877"/>
          <cell r="G877"/>
        </row>
        <row r="878">
          <cell r="A878" t="str">
            <v>ENEX</v>
          </cell>
          <cell r="B878" t="str">
            <v>Std Sides Enclosed w/ Expanded Metal</v>
          </cell>
          <cell r="C878"/>
          <cell r="D878"/>
          <cell r="E878"/>
          <cell r="F878"/>
          <cell r="G878"/>
        </row>
        <row r="879">
          <cell r="A879" t="str">
            <v>ENEX2</v>
          </cell>
          <cell r="B879" t="str">
            <v>2' Sides Enclosed w/ Expanded Metal</v>
          </cell>
          <cell r="C879"/>
          <cell r="D879"/>
          <cell r="E879"/>
          <cell r="F879"/>
          <cell r="G879"/>
        </row>
        <row r="880">
          <cell r="A880" t="str">
            <v>ENEX3</v>
          </cell>
          <cell r="B880" t="str">
            <v>3' Sides Enclosed w/ Expanded Metal</v>
          </cell>
          <cell r="C880"/>
          <cell r="D880"/>
          <cell r="E880"/>
          <cell r="F880"/>
          <cell r="G880"/>
        </row>
        <row r="881">
          <cell r="A881" t="str">
            <v>ENEX4</v>
          </cell>
          <cell r="B881" t="str">
            <v>4' Sides Enclosed w/ Expanded Metal</v>
          </cell>
          <cell r="C881"/>
          <cell r="D881"/>
          <cell r="E881"/>
          <cell r="F881"/>
          <cell r="G881"/>
        </row>
        <row r="882">
          <cell r="A882" t="str">
            <v>ENSH</v>
          </cell>
          <cell r="B882" t="str">
            <v>Std Sides w/ Sheet Metal</v>
          </cell>
          <cell r="C882"/>
          <cell r="D882"/>
          <cell r="E882"/>
          <cell r="F882"/>
          <cell r="G882"/>
        </row>
        <row r="883">
          <cell r="A883" t="str">
            <v>ENSH2</v>
          </cell>
          <cell r="B883" t="str">
            <v>2' Sides w/ Sheet Metal</v>
          </cell>
          <cell r="C883"/>
          <cell r="D883"/>
          <cell r="E883"/>
          <cell r="F883"/>
          <cell r="G883"/>
        </row>
        <row r="884">
          <cell r="A884" t="str">
            <v>ENSH3</v>
          </cell>
          <cell r="B884" t="str">
            <v>3' Sides w/ Sheet Metal</v>
          </cell>
          <cell r="C884"/>
          <cell r="D884"/>
          <cell r="E884"/>
          <cell r="F884"/>
          <cell r="G884"/>
        </row>
        <row r="885">
          <cell r="A885" t="str">
            <v>ENSH4</v>
          </cell>
          <cell r="B885" t="str">
            <v>4' Sides w/ Sheet Metal</v>
          </cell>
          <cell r="C885"/>
          <cell r="D885"/>
          <cell r="E885"/>
          <cell r="F885"/>
          <cell r="G885"/>
        </row>
        <row r="886">
          <cell r="A886" t="str">
            <v>HS2</v>
          </cell>
          <cell r="B886" t="str">
            <v>2' High Sides - Open</v>
          </cell>
          <cell r="C886">
            <v>120.3</v>
          </cell>
          <cell r="D886"/>
          <cell r="E886"/>
          <cell r="F886"/>
          <cell r="G886"/>
        </row>
        <row r="887">
          <cell r="A887" t="str">
            <v>HS3</v>
          </cell>
          <cell r="B887" t="str">
            <v>3' High Sides - Open</v>
          </cell>
          <cell r="C887">
            <v>248.12</v>
          </cell>
          <cell r="D887"/>
          <cell r="E887"/>
          <cell r="F887"/>
          <cell r="G887"/>
        </row>
        <row r="888">
          <cell r="A888" t="str">
            <v>HS4</v>
          </cell>
          <cell r="B888" t="str">
            <v>4' High Sides - Open</v>
          </cell>
          <cell r="C888">
            <v>375.94</v>
          </cell>
          <cell r="D888"/>
          <cell r="E888"/>
          <cell r="F888"/>
          <cell r="G888"/>
        </row>
        <row r="889">
          <cell r="A889" t="str">
            <v>P3</v>
          </cell>
          <cell r="B889" t="str">
            <v>3' Tall Sides</v>
          </cell>
          <cell r="C889"/>
          <cell r="D889"/>
          <cell r="E889"/>
          <cell r="F889"/>
          <cell r="G889"/>
        </row>
        <row r="890">
          <cell r="A890" t="str">
            <v>P4</v>
          </cell>
          <cell r="B890" t="str">
            <v>4' Tall Sides</v>
          </cell>
          <cell r="C890"/>
          <cell r="D890"/>
          <cell r="E890"/>
          <cell r="F890"/>
          <cell r="G890"/>
        </row>
        <row r="891">
          <cell r="A891" t="str">
            <v>REM.EXT</v>
          </cell>
          <cell r="B891" t="str">
            <v>2' Removable Side Extension</v>
          </cell>
          <cell r="C891"/>
          <cell r="D891"/>
          <cell r="E891"/>
          <cell r="F891"/>
          <cell r="G891"/>
        </row>
        <row r="892">
          <cell r="A892" t="str">
            <v>DOVETAIL OPTIONS</v>
          </cell>
          <cell r="B892"/>
          <cell r="C892"/>
          <cell r="D892"/>
          <cell r="E892"/>
          <cell r="F892"/>
          <cell r="G892"/>
        </row>
        <row r="893">
          <cell r="A893" t="str">
            <v>CPDT</v>
          </cell>
          <cell r="B893" t="str">
            <v>Center Pop-Up Dovetail</v>
          </cell>
          <cell r="C893">
            <v>1052.6300000000001</v>
          </cell>
          <cell r="D893"/>
          <cell r="E893"/>
          <cell r="F893"/>
          <cell r="G893"/>
        </row>
        <row r="894">
          <cell r="A894" t="str">
            <v>MR</v>
          </cell>
          <cell r="B894" t="str">
            <v>Mega Ramps</v>
          </cell>
          <cell r="C894">
            <v>1052.6300000000001</v>
          </cell>
          <cell r="D894"/>
          <cell r="E894"/>
          <cell r="F894"/>
          <cell r="G894"/>
        </row>
        <row r="895">
          <cell r="A895" t="str">
            <v>TIRE AND SPARE OPTIONS</v>
          </cell>
          <cell r="B895"/>
          <cell r="C895"/>
          <cell r="D895"/>
          <cell r="E895"/>
          <cell r="F895"/>
          <cell r="G895"/>
        </row>
        <row r="896">
          <cell r="A896" t="str">
            <v>SPMT</v>
          </cell>
          <cell r="B896" t="str">
            <v>Spare Tire Mount</v>
          </cell>
          <cell r="C896">
            <v>67.67</v>
          </cell>
          <cell r="D896"/>
          <cell r="E896"/>
          <cell r="F896"/>
          <cell r="G896"/>
        </row>
        <row r="897">
          <cell r="A897" t="str">
            <v>SP</v>
          </cell>
          <cell r="B897" t="str">
            <v>Spare Tire(standard spare for this trailer)</v>
          </cell>
          <cell r="C897"/>
          <cell r="D897"/>
          <cell r="E897"/>
          <cell r="F897"/>
          <cell r="G897"/>
        </row>
        <row r="898">
          <cell r="A898" t="str">
            <v>VSPMT</v>
          </cell>
          <cell r="B898" t="str">
            <v>Vertical Spare Mount on tongue</v>
          </cell>
          <cell r="C898"/>
          <cell r="D898"/>
          <cell r="E898"/>
          <cell r="F898"/>
          <cell r="G898"/>
        </row>
        <row r="899">
          <cell r="A899" t="str">
            <v>TU</v>
          </cell>
          <cell r="B899" t="str">
            <v>TIRE UPGRADE (specify size)</v>
          </cell>
          <cell r="C899"/>
          <cell r="D899"/>
          <cell r="E899"/>
          <cell r="F899"/>
          <cell r="G899"/>
        </row>
        <row r="900">
          <cell r="A900" t="str">
            <v>SPU</v>
          </cell>
          <cell r="B900" t="str">
            <v>SPARE TIRE UPGRADE (specify size)</v>
          </cell>
          <cell r="C900"/>
          <cell r="D900"/>
          <cell r="E900"/>
          <cell r="F900"/>
          <cell r="G900"/>
        </row>
        <row r="901">
          <cell r="A901" t="str">
            <v>FLOOR OPTIONS</v>
          </cell>
          <cell r="B901"/>
          <cell r="C901"/>
          <cell r="D901"/>
          <cell r="E901"/>
          <cell r="F901"/>
          <cell r="G901"/>
        </row>
        <row r="902">
          <cell r="A902" t="str">
            <v>CRF</v>
          </cell>
          <cell r="B902" t="str">
            <v>Car Hauler Rasied Floor</v>
          </cell>
          <cell r="C902"/>
          <cell r="D902"/>
          <cell r="E902"/>
          <cell r="F902"/>
          <cell r="G902"/>
        </row>
        <row r="903">
          <cell r="A903" t="str">
            <v>SF</v>
          </cell>
          <cell r="B903" t="str">
            <v>1/8" Diamond Plate Steel Floor</v>
          </cell>
          <cell r="C903"/>
          <cell r="D903"/>
          <cell r="E903"/>
          <cell r="F903"/>
          <cell r="G903"/>
        </row>
        <row r="904">
          <cell r="A904" t="str">
            <v>BWOOD</v>
          </cell>
          <cell r="B904" t="str">
            <v>Blackwood Flooring</v>
          </cell>
          <cell r="C904"/>
          <cell r="D904"/>
          <cell r="E904"/>
          <cell r="F904"/>
          <cell r="G904"/>
        </row>
        <row r="905">
          <cell r="A905" t="str">
            <v>OAK</v>
          </cell>
          <cell r="B905" t="str">
            <v>Oak Floor</v>
          </cell>
          <cell r="C905"/>
          <cell r="D905"/>
          <cell r="E905"/>
          <cell r="F905"/>
          <cell r="G905"/>
        </row>
        <row r="906">
          <cell r="A906" t="str">
            <v>ADD-ON OPTIONS</v>
          </cell>
          <cell r="B906"/>
          <cell r="C906"/>
          <cell r="D906"/>
          <cell r="E906"/>
          <cell r="F906"/>
          <cell r="G906"/>
        </row>
        <row r="907">
          <cell r="A907" t="str">
            <v>ARS</v>
          </cell>
          <cell r="B907" t="str">
            <v>Aluminum Rock Shield</v>
          </cell>
          <cell r="C907">
            <v>1052.6300000000001</v>
          </cell>
          <cell r="D907"/>
          <cell r="E907"/>
          <cell r="F907"/>
          <cell r="G907"/>
        </row>
        <row r="908">
          <cell r="A908" t="str">
            <v>AVTB</v>
          </cell>
          <cell r="B908" t="str">
            <v>Aluminum Tongue Box</v>
          </cell>
          <cell r="C908">
            <v>518.79999999999995</v>
          </cell>
          <cell r="D908"/>
          <cell r="E908"/>
          <cell r="F908"/>
          <cell r="G908"/>
        </row>
        <row r="909">
          <cell r="A909" t="str">
            <v>RDON</v>
          </cell>
          <cell r="B909" t="str">
            <v>Deck on the Neck</v>
          </cell>
          <cell r="C909">
            <v>1203.01</v>
          </cell>
          <cell r="D909"/>
          <cell r="E909"/>
          <cell r="F909"/>
          <cell r="G909"/>
        </row>
        <row r="910">
          <cell r="A910" t="str">
            <v>DRINGS</v>
          </cell>
          <cell r="B910" t="str">
            <v>D-RINGS -  usually 5/8" unless on 4XPH or larger</v>
          </cell>
          <cell r="C910"/>
          <cell r="D910"/>
          <cell r="E910"/>
          <cell r="F910"/>
          <cell r="G910"/>
        </row>
        <row r="911">
          <cell r="A911" t="str">
            <v>LOKLID</v>
          </cell>
          <cell r="B911" t="str">
            <v>LOCKING LID ON TONGUE</v>
          </cell>
          <cell r="C911"/>
          <cell r="D911"/>
          <cell r="E911"/>
          <cell r="F911"/>
          <cell r="G911"/>
        </row>
        <row r="912">
          <cell r="A912" t="str">
            <v>LPTB</v>
          </cell>
          <cell r="B912" t="str">
            <v>Low Pro Underbody Tool Box (36" long)</v>
          </cell>
          <cell r="C912">
            <v>345.86</v>
          </cell>
          <cell r="D912"/>
          <cell r="E912"/>
          <cell r="F912"/>
          <cell r="G912"/>
        </row>
        <row r="913">
          <cell r="A913" t="str">
            <v>RLB</v>
          </cell>
          <cell r="B913" t="str">
            <v>Removable Landscape Box (Mesh)</v>
          </cell>
          <cell r="C913">
            <v>563.91</v>
          </cell>
          <cell r="D913"/>
          <cell r="E913"/>
          <cell r="F913"/>
          <cell r="G913"/>
        </row>
        <row r="914">
          <cell r="A914" t="str">
            <v>RR</v>
          </cell>
          <cell r="B914" t="str">
            <v>ROPE RINGS EA.</v>
          </cell>
          <cell r="C914"/>
          <cell r="D914"/>
          <cell r="E914"/>
          <cell r="F914"/>
          <cell r="G914"/>
        </row>
        <row r="915">
          <cell r="A915" t="str">
            <v>RS</v>
          </cell>
          <cell r="B915" t="str">
            <v>Steel Rock Shield</v>
          </cell>
          <cell r="C915">
            <v>691.73</v>
          </cell>
          <cell r="D915"/>
          <cell r="E915"/>
          <cell r="F915"/>
          <cell r="G915"/>
        </row>
        <row r="916">
          <cell r="A916" t="str">
            <v>VTB</v>
          </cell>
          <cell r="B916" t="str">
            <v>Steel Tongue Box</v>
          </cell>
          <cell r="C916">
            <v>368.42</v>
          </cell>
          <cell r="D916"/>
          <cell r="E916"/>
          <cell r="F916"/>
          <cell r="G916"/>
        </row>
        <row r="917">
          <cell r="A917" t="str">
            <v>STPKT</v>
          </cell>
          <cell r="B917" t="str">
            <v>Stake Pockets or Tie Down Pockets (13.53 each)</v>
          </cell>
          <cell r="C917"/>
          <cell r="D917"/>
          <cell r="E917"/>
          <cell r="F917"/>
          <cell r="G917"/>
        </row>
        <row r="918">
          <cell r="A918" t="str">
            <v>TBOX</v>
          </cell>
          <cell r="B918" t="str">
            <v>Under Body Tool Box  (36" long)</v>
          </cell>
          <cell r="C918">
            <v>345.86</v>
          </cell>
          <cell r="D918"/>
          <cell r="E918"/>
          <cell r="F918"/>
          <cell r="G918"/>
        </row>
        <row r="919">
          <cell r="A919" t="str">
            <v>TOOL</v>
          </cell>
          <cell r="B919" t="str">
            <v>5 Place Tool Holder (bolt on)</v>
          </cell>
          <cell r="C919">
            <v>30.08</v>
          </cell>
          <cell r="D919"/>
          <cell r="E919"/>
          <cell r="F919"/>
          <cell r="G919"/>
        </row>
        <row r="920">
          <cell r="A920" t="str">
            <v>WER</v>
          </cell>
          <cell r="B920" t="str">
            <v>3- Position Weed Eater Rack (2-posts)</v>
          </cell>
          <cell r="C920">
            <v>218.05</v>
          </cell>
          <cell r="D920"/>
          <cell r="E920"/>
          <cell r="F920"/>
          <cell r="G920"/>
        </row>
        <row r="921">
          <cell r="A921" t="str">
            <v>TIELOOP</v>
          </cell>
          <cell r="B921" t="str">
            <v>TIE LOOPS, (12.03 each)</v>
          </cell>
          <cell r="C921"/>
          <cell r="D921"/>
          <cell r="E921"/>
          <cell r="F921"/>
          <cell r="G921"/>
        </row>
      </sheetData>
      <sheetData sheetId="3"/>
      <sheetData sheetId="4">
        <row r="1">
          <cell r="A1" t="str">
            <v>PLAN NUMBER</v>
          </cell>
          <cell r="B1" t="str">
            <v>DESCRIPTION</v>
          </cell>
          <cell r="C1"/>
          <cell r="D1"/>
        </row>
        <row r="2">
          <cell r="A2">
            <v>23225</v>
          </cell>
          <cell r="B2" t="str">
            <v>90 Days Free Flooring, Freight Paid Separately</v>
          </cell>
          <cell r="C2"/>
          <cell r="D2"/>
        </row>
        <row r="3">
          <cell r="A3">
            <v>23226</v>
          </cell>
          <cell r="B3" t="str">
            <v>90 Days Free Flooring, Freight Included</v>
          </cell>
          <cell r="C3"/>
          <cell r="D3"/>
        </row>
        <row r="4">
          <cell r="A4">
            <v>23227</v>
          </cell>
          <cell r="B4" t="str">
            <v>120 Days Free Flooring, Freight Paid Separately</v>
          </cell>
          <cell r="C4"/>
          <cell r="D4"/>
        </row>
        <row r="5">
          <cell r="A5">
            <v>23228</v>
          </cell>
          <cell r="B5" t="str">
            <v>150 Days Free Flooring, Freight Paid Separately</v>
          </cell>
          <cell r="C5"/>
          <cell r="D5"/>
        </row>
        <row r="6">
          <cell r="A6">
            <v>23229</v>
          </cell>
          <cell r="B6" t="str">
            <v>180 Days Free Flooring, Freight Paid Separately</v>
          </cell>
          <cell r="C6"/>
          <cell r="D6"/>
        </row>
        <row r="7">
          <cell r="A7">
            <v>23230</v>
          </cell>
          <cell r="B7" t="str">
            <v>180 Days Free Flooring, Freight Included</v>
          </cell>
          <cell r="C7"/>
          <cell r="D7"/>
        </row>
        <row r="8">
          <cell r="A8">
            <v>23237</v>
          </cell>
          <cell r="B8" t="str">
            <v>90 Days Free Flooring from Textron, Freight Paid Separately</v>
          </cell>
          <cell r="C8"/>
          <cell r="D8"/>
        </row>
        <row r="9">
          <cell r="A9">
            <v>23238</v>
          </cell>
          <cell r="B9" t="str">
            <v>180 Days Free Flooring (90 Textron / 90 Big Tex), Freight Paid Separately</v>
          </cell>
          <cell r="C9"/>
          <cell r="D9"/>
        </row>
        <row r="10">
          <cell r="A10" t="str">
            <v>Free Flooring</v>
          </cell>
          <cell r="B10" t="str">
            <v>FREE FLOORING INDEFINITELY</v>
          </cell>
          <cell r="C10"/>
          <cell r="D10"/>
        </row>
        <row r="11">
          <cell r="A11">
            <v>30</v>
          </cell>
          <cell r="B11" t="str">
            <v>30 Days Free Flooring</v>
          </cell>
          <cell r="C11"/>
          <cell r="D11"/>
        </row>
        <row r="12">
          <cell r="A12">
            <v>60</v>
          </cell>
          <cell r="B12" t="str">
            <v>60 Days Free Flooring</v>
          </cell>
          <cell r="C12"/>
          <cell r="D12"/>
        </row>
        <row r="13">
          <cell r="A13">
            <v>90</v>
          </cell>
          <cell r="B13" t="str">
            <v>90 Days Free Flooring</v>
          </cell>
          <cell r="C13"/>
          <cell r="D13"/>
        </row>
        <row r="14">
          <cell r="A14">
            <v>365</v>
          </cell>
          <cell r="B14" t="str">
            <v>365 Days Free Flooring</v>
          </cell>
          <cell r="C14"/>
          <cell r="D14"/>
        </row>
        <row r="15">
          <cell r="A15">
            <v>120</v>
          </cell>
          <cell r="B15" t="str">
            <v>120 Days Free Flooring</v>
          </cell>
          <cell r="C15"/>
          <cell r="D15"/>
        </row>
        <row r="16">
          <cell r="A16" t="str">
            <v>150 + 30</v>
          </cell>
          <cell r="B16" t="str">
            <v>180 Days Free Flooring(150+30)</v>
          </cell>
          <cell r="C16"/>
          <cell r="D16"/>
        </row>
        <row r="17">
          <cell r="A17">
            <v>180</v>
          </cell>
          <cell r="B17" t="str">
            <v>180 Days Free Flooring</v>
          </cell>
          <cell r="C17"/>
          <cell r="D17"/>
        </row>
        <row r="18">
          <cell r="A18">
            <v>270</v>
          </cell>
          <cell r="B18" t="str">
            <v>270 Days Free Flooring, Freight Paid Seperately</v>
          </cell>
          <cell r="C18"/>
          <cell r="D18"/>
        </row>
        <row r="19">
          <cell r="A19" t="str">
            <v>NORTHPOINT</v>
          </cell>
          <cell r="B19" t="str">
            <v>FLOORING WITH NORTHPOINT</v>
          </cell>
          <cell r="C19"/>
          <cell r="D19"/>
        </row>
        <row r="20">
          <cell r="A20" t="str">
            <v>270-NP</v>
          </cell>
          <cell r="B20" t="str">
            <v>270 Days Free Flooring with Northpoint</v>
          </cell>
          <cell r="C20"/>
          <cell r="D20"/>
        </row>
        <row r="21">
          <cell r="A21" t="str">
            <v>150-NP</v>
          </cell>
          <cell r="B21" t="str">
            <v>150 Days Free Flooring with Northpoint</v>
          </cell>
          <cell r="C21"/>
          <cell r="D21"/>
        </row>
        <row r="22">
          <cell r="A22" t="str">
            <v>180-NP</v>
          </cell>
          <cell r="B22" t="str">
            <v>180 Days Free Flooring with Northpoint</v>
          </cell>
          <cell r="C22"/>
          <cell r="D22"/>
        </row>
        <row r="23">
          <cell r="A23" t="str">
            <v>120-NP</v>
          </cell>
          <cell r="B23" t="str">
            <v>120 Days Free Flooring with Northpoint</v>
          </cell>
          <cell r="C23"/>
          <cell r="D23"/>
        </row>
        <row r="24">
          <cell r="A24" t="str">
            <v>90-NP</v>
          </cell>
          <cell r="B24" t="str">
            <v>90 Days Free Flooring with Northpoint</v>
          </cell>
          <cell r="C24"/>
          <cell r="D24"/>
        </row>
        <row r="25">
          <cell r="A25" t="str">
            <v>60-NP</v>
          </cell>
          <cell r="B25" t="str">
            <v>60 Days Free Flooring with Northpoint</v>
          </cell>
          <cell r="C25"/>
          <cell r="D25"/>
        </row>
        <row r="26">
          <cell r="A26" t="str">
            <v>30-NP</v>
          </cell>
          <cell r="B26" t="str">
            <v>30 Days Free Flooring with Northpoint</v>
          </cell>
          <cell r="C26"/>
          <cell r="D26"/>
        </row>
        <row r="27">
          <cell r="A27" t="str">
            <v>150+30-NP</v>
          </cell>
          <cell r="B27" t="str">
            <v>180 Days Free Flooring(150+30) with Northpoint</v>
          </cell>
          <cell r="C27"/>
          <cell r="D27"/>
        </row>
        <row r="28">
          <cell r="A28" t="str">
            <v>PAS90</v>
          </cell>
          <cell r="B28" t="str">
            <v>PAY AS SOLD - NET 90</v>
          </cell>
          <cell r="C28"/>
          <cell r="D28"/>
        </row>
        <row r="29">
          <cell r="A29" t="str">
            <v>PAS180</v>
          </cell>
          <cell r="B29" t="str">
            <v>PAY AS SOLD - NET 180</v>
          </cell>
          <cell r="C29"/>
          <cell r="D29"/>
        </row>
        <row r="30">
          <cell r="A30" t="str">
            <v>PAS270</v>
          </cell>
          <cell r="B30" t="str">
            <v>PAY AS SOLD - NET 270</v>
          </cell>
          <cell r="C30"/>
          <cell r="D30"/>
        </row>
        <row r="31">
          <cell r="A31" t="str">
            <v>180+30NATDA</v>
          </cell>
          <cell r="B31" t="str">
            <v>180 DAYS FFP + 30 DAYS SHOW</v>
          </cell>
          <cell r="C31"/>
          <cell r="D31"/>
        </row>
        <row r="32">
          <cell r="A32" t="str">
            <v>270+30NATDA</v>
          </cell>
          <cell r="B32" t="str">
            <v>270 DAYS FFP + 30 DAYS SHOW</v>
          </cell>
          <cell r="C32"/>
          <cell r="D32"/>
        </row>
        <row r="33">
          <cell r="A33" t="str">
            <v>90+30NATDA</v>
          </cell>
          <cell r="B33" t="str">
            <v>90 DAYS FFP + 30 DAYS SHOW</v>
          </cell>
          <cell r="C33"/>
          <cell r="D33"/>
        </row>
        <row r="34">
          <cell r="A34" t="str">
            <v>60+30NATDA</v>
          </cell>
          <cell r="B34" t="str">
            <v>60 DAYS FFP + 30 DAYS SHOW</v>
          </cell>
          <cell r="C34"/>
          <cell r="D34"/>
        </row>
        <row r="35">
          <cell r="A35" t="str">
            <v>365+30NATDA</v>
          </cell>
          <cell r="B35" t="str">
            <v>365 DAYS FFP + 30 DAYS SHOW</v>
          </cell>
          <cell r="C35"/>
          <cell r="D35"/>
        </row>
        <row r="36">
          <cell r="A36" t="str">
            <v>120+30NATDA</v>
          </cell>
          <cell r="B36" t="str">
            <v>120 DAYS FFP + 30 DAYS SHOW</v>
          </cell>
          <cell r="C36"/>
          <cell r="D36"/>
        </row>
        <row r="37">
          <cell r="A37" t="str">
            <v>120+30NATDA</v>
          </cell>
          <cell r="B37" t="str">
            <v>150 DAYS FFP + 30 DAYS SHOW</v>
          </cell>
          <cell r="C37"/>
          <cell r="D37"/>
        </row>
        <row r="38">
          <cell r="A38" t="str">
            <v>FP - Wells Fargo</v>
          </cell>
          <cell r="B38"/>
          <cell r="C38"/>
          <cell r="D38"/>
        </row>
        <row r="39">
          <cell r="A39">
            <v>30</v>
          </cell>
          <cell r="B39"/>
          <cell r="C39"/>
          <cell r="D39"/>
        </row>
        <row r="40">
          <cell r="A40" t="str">
            <v>CO</v>
          </cell>
          <cell r="B40"/>
          <cell r="C40"/>
          <cell r="D40"/>
        </row>
        <row r="41">
          <cell r="A41" t="str">
            <v>RM</v>
          </cell>
          <cell r="B41"/>
          <cell r="C41"/>
          <cell r="D41"/>
        </row>
        <row r="42">
          <cell r="A42">
            <v>60</v>
          </cell>
          <cell r="B42"/>
          <cell r="C42"/>
          <cell r="D42"/>
        </row>
        <row r="43">
          <cell r="A43" t="str">
            <v>CN</v>
          </cell>
          <cell r="B43"/>
          <cell r="C43"/>
          <cell r="D43"/>
        </row>
        <row r="44">
          <cell r="A44" t="str">
            <v>C6</v>
          </cell>
          <cell r="B44"/>
          <cell r="C44"/>
          <cell r="D44"/>
        </row>
        <row r="45">
          <cell r="A45" t="str">
            <v>C9</v>
          </cell>
          <cell r="B45"/>
          <cell r="C45"/>
          <cell r="D45"/>
        </row>
        <row r="46">
          <cell r="A46" t="str">
            <v>C1</v>
          </cell>
          <cell r="B46"/>
          <cell r="C46"/>
          <cell r="D46"/>
        </row>
        <row r="47">
          <cell r="A47" t="str">
            <v>C3</v>
          </cell>
          <cell r="B47"/>
          <cell r="C47"/>
          <cell r="D47"/>
        </row>
        <row r="48">
          <cell r="A48" t="str">
            <v>N7</v>
          </cell>
          <cell r="B48">
            <v>23237</v>
          </cell>
          <cell r="C48"/>
          <cell r="D48"/>
        </row>
        <row r="49">
          <cell r="A49" t="str">
            <v>N8</v>
          </cell>
          <cell r="B49">
            <v>23238</v>
          </cell>
          <cell r="C49"/>
          <cell r="D49"/>
        </row>
        <row r="50">
          <cell r="A50" t="str">
            <v>T0</v>
          </cell>
          <cell r="B50">
            <v>23230</v>
          </cell>
          <cell r="C50"/>
          <cell r="D50"/>
        </row>
        <row r="51">
          <cell r="A51" t="str">
            <v>T5</v>
          </cell>
          <cell r="B51">
            <v>23225</v>
          </cell>
          <cell r="C51"/>
          <cell r="D51"/>
        </row>
        <row r="52">
          <cell r="A52" t="str">
            <v>T6</v>
          </cell>
          <cell r="B52">
            <v>23226</v>
          </cell>
          <cell r="C52"/>
          <cell r="D52"/>
        </row>
        <row r="53">
          <cell r="A53" t="str">
            <v>T7</v>
          </cell>
          <cell r="B53">
            <v>23227</v>
          </cell>
          <cell r="C53"/>
          <cell r="D53"/>
        </row>
        <row r="54">
          <cell r="A54" t="str">
            <v>T8</v>
          </cell>
          <cell r="B54">
            <v>23228</v>
          </cell>
          <cell r="C54"/>
          <cell r="D54"/>
        </row>
        <row r="55">
          <cell r="A55" t="str">
            <v>T9</v>
          </cell>
          <cell r="B55">
            <v>23229</v>
          </cell>
          <cell r="C55"/>
          <cell r="D55"/>
        </row>
        <row r="56">
          <cell r="A56" t="str">
            <v>F1</v>
          </cell>
          <cell r="B56">
            <v>180</v>
          </cell>
          <cell r="C56"/>
          <cell r="D56"/>
        </row>
        <row r="57">
          <cell r="A57" t="str">
            <v>FF - Wells Fargo</v>
          </cell>
          <cell r="B57" t="str">
            <v>Free Flooring</v>
          </cell>
          <cell r="C57"/>
          <cell r="D57"/>
        </row>
        <row r="58">
          <cell r="A58" t="str">
            <v>F1 - Wells Fargo</v>
          </cell>
          <cell r="B58">
            <v>180</v>
          </cell>
          <cell r="C58"/>
          <cell r="D58"/>
        </row>
        <row r="59">
          <cell r="A59" t="str">
            <v>F2 - Wells Fargo</v>
          </cell>
          <cell r="B59">
            <v>270</v>
          </cell>
          <cell r="C59"/>
          <cell r="D59"/>
        </row>
        <row r="60">
          <cell r="A60" t="str">
            <v>F3 - Wells Fargo</v>
          </cell>
          <cell r="B60">
            <v>90</v>
          </cell>
          <cell r="C60"/>
          <cell r="D60"/>
        </row>
        <row r="61">
          <cell r="A61" t="str">
            <v>F4 - Wells Fargo</v>
          </cell>
          <cell r="B61">
            <v>60</v>
          </cell>
          <cell r="C61"/>
          <cell r="D61"/>
        </row>
        <row r="62">
          <cell r="A62" t="str">
            <v>F5 - Wells Fargo</v>
          </cell>
          <cell r="B62">
            <v>365</v>
          </cell>
          <cell r="C62"/>
          <cell r="D62"/>
        </row>
        <row r="63">
          <cell r="A63" t="str">
            <v>F6 - Wells Fargo</v>
          </cell>
          <cell r="B63">
            <v>120</v>
          </cell>
          <cell r="C63"/>
          <cell r="D63"/>
        </row>
        <row r="64">
          <cell r="A64" t="str">
            <v>F7 - Wells Fargo</v>
          </cell>
          <cell r="B64" t="str">
            <v>150 + 30</v>
          </cell>
          <cell r="C64"/>
          <cell r="D64"/>
        </row>
        <row r="65">
          <cell r="A65" t="str">
            <v>F8 - Wells Fargo</v>
          </cell>
          <cell r="B65">
            <v>30</v>
          </cell>
          <cell r="C65"/>
          <cell r="D65"/>
        </row>
        <row r="66">
          <cell r="A66" t="str">
            <v>S1</v>
          </cell>
          <cell r="B66" t="str">
            <v>PAS180</v>
          </cell>
          <cell r="C66"/>
          <cell r="D66"/>
        </row>
        <row r="67">
          <cell r="A67" t="str">
            <v>S2</v>
          </cell>
          <cell r="B67" t="str">
            <v>PAS270</v>
          </cell>
          <cell r="C67"/>
          <cell r="D67"/>
        </row>
        <row r="68">
          <cell r="A68" t="str">
            <v>S3</v>
          </cell>
          <cell r="B68" t="str">
            <v>PAS90</v>
          </cell>
          <cell r="C68"/>
          <cell r="D68"/>
        </row>
        <row r="69">
          <cell r="A69" t="str">
            <v>FP - North Point</v>
          </cell>
          <cell r="B69" t="str">
            <v>NORTHPOINT</v>
          </cell>
          <cell r="C69" t="str">
            <v>FP</v>
          </cell>
          <cell r="D69" t="str">
            <v>STD FLOORING</v>
          </cell>
        </row>
        <row r="70">
          <cell r="A70" t="str">
            <v>F1 - North Point</v>
          </cell>
          <cell r="B70" t="str">
            <v>180-NP</v>
          </cell>
          <cell r="C70" t="str">
            <v>F1</v>
          </cell>
          <cell r="D70" t="str">
            <v>180 DAYS</v>
          </cell>
        </row>
        <row r="71">
          <cell r="A71" t="str">
            <v>F2 - North Point</v>
          </cell>
          <cell r="B71" t="str">
            <v>270-NP</v>
          </cell>
          <cell r="C71" t="str">
            <v>F2</v>
          </cell>
          <cell r="D71" t="str">
            <v>270 DAYS</v>
          </cell>
        </row>
        <row r="72">
          <cell r="A72" t="str">
            <v>F3 - North Point</v>
          </cell>
          <cell r="B72" t="str">
            <v>90-NP</v>
          </cell>
          <cell r="C72" t="str">
            <v>F3</v>
          </cell>
          <cell r="D72" t="str">
            <v>90 DAYS</v>
          </cell>
        </row>
        <row r="73">
          <cell r="A73" t="str">
            <v>F4 - North Point</v>
          </cell>
          <cell r="B73" t="str">
            <v>60-NP</v>
          </cell>
          <cell r="C73" t="str">
            <v>F4</v>
          </cell>
          <cell r="D73" t="str">
            <v>60 DAYS</v>
          </cell>
        </row>
        <row r="74">
          <cell r="A74" t="str">
            <v>F5 - North Point</v>
          </cell>
          <cell r="B74" t="str">
            <v>365-NP</v>
          </cell>
          <cell r="C74" t="str">
            <v>F5</v>
          </cell>
          <cell r="D74" t="str">
            <v>365 DAYS</v>
          </cell>
        </row>
        <row r="75">
          <cell r="A75" t="str">
            <v>F6 - North Point</v>
          </cell>
          <cell r="B75" t="str">
            <v>120-NP</v>
          </cell>
          <cell r="C75" t="str">
            <v>F6</v>
          </cell>
          <cell r="D75" t="str">
            <v>120 DAYS</v>
          </cell>
        </row>
        <row r="76">
          <cell r="A76" t="str">
            <v>F7 - North Point</v>
          </cell>
          <cell r="B76" t="str">
            <v>150+30-NP</v>
          </cell>
          <cell r="C76"/>
          <cell r="D76"/>
        </row>
        <row r="77">
          <cell r="A77" t="str">
            <v>F8 - North Point</v>
          </cell>
          <cell r="B77" t="str">
            <v>30-NP</v>
          </cell>
          <cell r="C77" t="str">
            <v>F8</v>
          </cell>
          <cell r="D77" t="str">
            <v>30 DAYS</v>
          </cell>
        </row>
        <row r="78">
          <cell r="A78" t="str">
            <v>N1</v>
          </cell>
          <cell r="B78" t="str">
            <v>180+30NATDA</v>
          </cell>
          <cell r="C78"/>
          <cell r="D78"/>
        </row>
        <row r="79">
          <cell r="A79" t="str">
            <v>N2</v>
          </cell>
          <cell r="B79" t="str">
            <v>270+30NATDA</v>
          </cell>
          <cell r="C79"/>
          <cell r="D79"/>
        </row>
        <row r="80">
          <cell r="A80" t="str">
            <v>N3</v>
          </cell>
          <cell r="B80" t="str">
            <v>90+30NATDA</v>
          </cell>
          <cell r="C80"/>
          <cell r="D80"/>
        </row>
        <row r="81">
          <cell r="A81" t="str">
            <v>N4</v>
          </cell>
          <cell r="B81" t="str">
            <v>60+30NATDA</v>
          </cell>
          <cell r="C81"/>
          <cell r="D81"/>
        </row>
        <row r="82">
          <cell r="A82" t="str">
            <v>N5</v>
          </cell>
          <cell r="B82" t="str">
            <v>365+30NATDA</v>
          </cell>
          <cell r="C82"/>
          <cell r="D82"/>
        </row>
        <row r="83">
          <cell r="A83" t="str">
            <v>N6</v>
          </cell>
          <cell r="B83" t="str">
            <v>120+30NATDA</v>
          </cell>
          <cell r="C83"/>
          <cell r="D83"/>
        </row>
        <row r="84">
          <cell r="A84" t="str">
            <v>N9</v>
          </cell>
          <cell r="B84" t="str">
            <v>150+30NATDA</v>
          </cell>
          <cell r="C84"/>
          <cell r="D84"/>
        </row>
        <row r="85">
          <cell r="A85" t="str">
            <v>N1-NP</v>
          </cell>
          <cell r="B85" t="str">
            <v>180+30NATDA</v>
          </cell>
          <cell r="C85"/>
          <cell r="D85"/>
        </row>
        <row r="86">
          <cell r="A86" t="str">
            <v>N2-NP</v>
          </cell>
          <cell r="B86" t="str">
            <v>270+30NATDA</v>
          </cell>
          <cell r="C86"/>
          <cell r="D86"/>
        </row>
        <row r="87">
          <cell r="A87" t="str">
            <v>N3-NP</v>
          </cell>
          <cell r="B87" t="str">
            <v>90+30NATDA</v>
          </cell>
          <cell r="C87"/>
          <cell r="D87"/>
        </row>
        <row r="88">
          <cell r="A88" t="str">
            <v>N4-NP</v>
          </cell>
          <cell r="B88" t="str">
            <v>60+30NATDA</v>
          </cell>
          <cell r="C88"/>
          <cell r="D88"/>
        </row>
        <row r="89">
          <cell r="A89" t="str">
            <v>N5-NP</v>
          </cell>
          <cell r="B89" t="str">
            <v>365+30NATDA</v>
          </cell>
          <cell r="C89"/>
          <cell r="D89"/>
        </row>
        <row r="90">
          <cell r="A90" t="str">
            <v>N6-NP</v>
          </cell>
          <cell r="B90" t="str">
            <v>120+30NATDA</v>
          </cell>
          <cell r="C90"/>
          <cell r="D90"/>
        </row>
        <row r="91">
          <cell r="A91" t="str">
            <v>D2</v>
          </cell>
          <cell r="B91" t="str">
            <v>NET 120 DAYS</v>
          </cell>
          <cell r="C91"/>
          <cell r="D91"/>
        </row>
        <row r="92">
          <cell r="A92" t="str">
            <v>O1-NP</v>
          </cell>
          <cell r="B92" t="str">
            <v>OL 90 Days FF</v>
          </cell>
          <cell r="C92"/>
          <cell r="D92"/>
        </row>
        <row r="93">
          <cell r="A93" t="str">
            <v>O2-NP</v>
          </cell>
          <cell r="B93" t="str">
            <v>OL 180 Days FF</v>
          </cell>
          <cell r="C93"/>
          <cell r="D93"/>
        </row>
        <row r="94">
          <cell r="A94" t="str">
            <v>O3-NP</v>
          </cell>
          <cell r="B94" t="str">
            <v>OL 210 Days FF</v>
          </cell>
          <cell r="C94"/>
          <cell r="D94"/>
        </row>
        <row r="95">
          <cell r="A95" t="str">
            <v>OL 90 Days FF</v>
          </cell>
          <cell r="B95" t="str">
            <v>Orangeline 90 Days Free Flooring</v>
          </cell>
          <cell r="C95"/>
          <cell r="D95"/>
        </row>
        <row r="96">
          <cell r="A96" t="str">
            <v>OL 180 Days FF</v>
          </cell>
          <cell r="B96" t="str">
            <v>Orangeline 180 Days Free Flooring</v>
          </cell>
          <cell r="C96"/>
          <cell r="D96"/>
        </row>
        <row r="97">
          <cell r="A97" t="str">
            <v>2%</v>
          </cell>
          <cell r="B97" t="str">
            <v>2% 10 Net 30</v>
          </cell>
          <cell r="C97"/>
          <cell r="D97"/>
        </row>
        <row r="98">
          <cell r="A98">
            <v>34</v>
          </cell>
          <cell r="B98" t="str">
            <v>3% 10 Net 30</v>
          </cell>
          <cell r="C98"/>
          <cell r="D98"/>
        </row>
        <row r="99">
          <cell r="A99" t="str">
            <v>2% 10 Net 30</v>
          </cell>
          <cell r="B99" t="str">
            <v>Net 30, with 2% Discount if paid within 10 days of invoice date</v>
          </cell>
          <cell r="C99"/>
          <cell r="D99"/>
        </row>
        <row r="100">
          <cell r="A100" t="str">
            <v>3% 10 Net 30</v>
          </cell>
          <cell r="B100" t="str">
            <v>Net 30, with 3% Discount if paid within 10 days of invoice date</v>
          </cell>
          <cell r="C100"/>
          <cell r="D100"/>
        </row>
        <row r="101">
          <cell r="A101"/>
          <cell r="B101"/>
          <cell r="C101"/>
          <cell r="D101"/>
        </row>
        <row r="102">
          <cell r="A102"/>
          <cell r="B102"/>
          <cell r="C102"/>
          <cell r="D102"/>
        </row>
        <row r="103">
          <cell r="A103"/>
          <cell r="B103"/>
          <cell r="C103"/>
          <cell r="D103"/>
        </row>
        <row r="104">
          <cell r="A104"/>
          <cell r="B104"/>
          <cell r="C104"/>
          <cell r="D104"/>
        </row>
        <row r="105">
          <cell r="A105"/>
          <cell r="B105"/>
          <cell r="C105"/>
          <cell r="D105"/>
        </row>
        <row r="106">
          <cell r="A106"/>
          <cell r="B106"/>
          <cell r="C106"/>
          <cell r="D106"/>
        </row>
        <row r="107">
          <cell r="A107"/>
          <cell r="B107"/>
          <cell r="C107"/>
          <cell r="D107"/>
        </row>
        <row r="108">
          <cell r="A108"/>
          <cell r="B108"/>
          <cell r="C108"/>
          <cell r="D108"/>
        </row>
        <row r="109">
          <cell r="A109"/>
          <cell r="B109"/>
          <cell r="C109"/>
          <cell r="D109"/>
        </row>
        <row r="110">
          <cell r="A110"/>
          <cell r="B110"/>
          <cell r="C110"/>
          <cell r="D110"/>
        </row>
        <row r="111">
          <cell r="A111"/>
          <cell r="B111"/>
          <cell r="C111"/>
          <cell r="D111"/>
        </row>
        <row r="112">
          <cell r="A112"/>
          <cell r="B112"/>
          <cell r="C112"/>
          <cell r="D112"/>
        </row>
        <row r="113">
          <cell r="A113"/>
          <cell r="B113"/>
          <cell r="C113"/>
          <cell r="D113"/>
        </row>
        <row r="114">
          <cell r="A114"/>
          <cell r="B114"/>
          <cell r="C114"/>
          <cell r="D114"/>
        </row>
        <row r="115">
          <cell r="A115"/>
          <cell r="B115"/>
          <cell r="C115"/>
          <cell r="D115"/>
        </row>
        <row r="116">
          <cell r="A116"/>
          <cell r="B116"/>
          <cell r="C116"/>
          <cell r="D116"/>
        </row>
        <row r="117">
          <cell r="A117"/>
          <cell r="B117"/>
          <cell r="C117"/>
          <cell r="D117"/>
        </row>
        <row r="118">
          <cell r="A118"/>
          <cell r="B118"/>
          <cell r="C118"/>
          <cell r="D118"/>
        </row>
        <row r="119">
          <cell r="A119"/>
          <cell r="B119"/>
          <cell r="C119"/>
          <cell r="D119"/>
        </row>
        <row r="120">
          <cell r="A120"/>
          <cell r="B120"/>
          <cell r="C120"/>
          <cell r="D120"/>
        </row>
        <row r="121">
          <cell r="A121"/>
          <cell r="B121"/>
          <cell r="C121"/>
          <cell r="D121"/>
        </row>
        <row r="122">
          <cell r="A122"/>
          <cell r="B122"/>
          <cell r="C122"/>
          <cell r="D122"/>
        </row>
        <row r="123">
          <cell r="A123"/>
          <cell r="B123"/>
          <cell r="C123"/>
          <cell r="D123"/>
        </row>
        <row r="124">
          <cell r="A124"/>
          <cell r="B124"/>
          <cell r="C124"/>
          <cell r="D124"/>
        </row>
        <row r="125">
          <cell r="A125"/>
          <cell r="B125"/>
          <cell r="C125"/>
          <cell r="D125"/>
        </row>
        <row r="126">
          <cell r="A126"/>
          <cell r="B126"/>
          <cell r="C126"/>
          <cell r="D126"/>
        </row>
        <row r="127">
          <cell r="A127"/>
          <cell r="B127"/>
          <cell r="C127"/>
          <cell r="D127"/>
        </row>
        <row r="128">
          <cell r="A128"/>
          <cell r="B128"/>
          <cell r="C128"/>
          <cell r="D128"/>
        </row>
        <row r="129">
          <cell r="A129"/>
          <cell r="B129"/>
          <cell r="C129"/>
          <cell r="D129"/>
        </row>
        <row r="130">
          <cell r="A130"/>
          <cell r="B130"/>
          <cell r="C130"/>
          <cell r="D130"/>
        </row>
        <row r="131">
          <cell r="A131"/>
          <cell r="B131"/>
          <cell r="C131"/>
          <cell r="D131"/>
        </row>
        <row r="132">
          <cell r="A132"/>
          <cell r="B132"/>
          <cell r="C132"/>
          <cell r="D132"/>
        </row>
        <row r="133">
          <cell r="A133"/>
          <cell r="B133"/>
          <cell r="C133"/>
          <cell r="D133"/>
        </row>
        <row r="134">
          <cell r="A134"/>
          <cell r="B134"/>
          <cell r="C134"/>
          <cell r="D134"/>
        </row>
        <row r="135">
          <cell r="A135"/>
          <cell r="B135"/>
          <cell r="C135"/>
          <cell r="D135"/>
        </row>
        <row r="136">
          <cell r="A136"/>
          <cell r="B136"/>
          <cell r="C136"/>
          <cell r="D136"/>
        </row>
        <row r="137">
          <cell r="A137"/>
          <cell r="B137"/>
          <cell r="C137"/>
          <cell r="D137"/>
        </row>
        <row r="138">
          <cell r="A138"/>
          <cell r="B138"/>
          <cell r="C138"/>
          <cell r="D138"/>
        </row>
        <row r="139">
          <cell r="A139"/>
          <cell r="B139"/>
          <cell r="C139"/>
          <cell r="D139"/>
        </row>
        <row r="140">
          <cell r="A140"/>
          <cell r="B140"/>
          <cell r="C140"/>
          <cell r="D140"/>
        </row>
        <row r="141">
          <cell r="A141"/>
          <cell r="B141"/>
          <cell r="C141"/>
          <cell r="D141"/>
        </row>
        <row r="142">
          <cell r="A142"/>
          <cell r="B142"/>
          <cell r="C142"/>
          <cell r="D142"/>
        </row>
        <row r="143">
          <cell r="A143"/>
          <cell r="B143"/>
          <cell r="C143"/>
          <cell r="D143"/>
        </row>
        <row r="144">
          <cell r="A144"/>
          <cell r="B144"/>
          <cell r="C144"/>
          <cell r="D144"/>
        </row>
        <row r="145">
          <cell r="A145"/>
          <cell r="B145"/>
          <cell r="C145"/>
          <cell r="D145"/>
        </row>
        <row r="146">
          <cell r="A146"/>
          <cell r="B146"/>
          <cell r="C146"/>
          <cell r="D146"/>
        </row>
        <row r="147">
          <cell r="A147"/>
          <cell r="B147"/>
          <cell r="C147"/>
          <cell r="D147"/>
        </row>
        <row r="148">
          <cell r="A148"/>
          <cell r="B148"/>
          <cell r="C148"/>
          <cell r="D148"/>
        </row>
        <row r="149">
          <cell r="A149"/>
          <cell r="B149"/>
          <cell r="C149"/>
          <cell r="D149"/>
        </row>
        <row r="150">
          <cell r="A150"/>
          <cell r="B150"/>
          <cell r="C150"/>
          <cell r="D150"/>
        </row>
        <row r="151">
          <cell r="A151"/>
          <cell r="B151"/>
          <cell r="C151"/>
          <cell r="D151"/>
        </row>
        <row r="152">
          <cell r="A152"/>
          <cell r="B152"/>
          <cell r="C152"/>
          <cell r="D152"/>
        </row>
        <row r="153">
          <cell r="A153"/>
          <cell r="B153"/>
          <cell r="C153"/>
          <cell r="D153"/>
        </row>
        <row r="154">
          <cell r="A154"/>
          <cell r="B154"/>
          <cell r="C154"/>
          <cell r="D154"/>
        </row>
        <row r="155">
          <cell r="A155"/>
          <cell r="B155"/>
          <cell r="C155"/>
          <cell r="D155"/>
        </row>
        <row r="156">
          <cell r="A156"/>
          <cell r="B156"/>
          <cell r="C156"/>
          <cell r="D156"/>
        </row>
        <row r="157">
          <cell r="A157"/>
          <cell r="B157"/>
          <cell r="C157"/>
          <cell r="D157"/>
        </row>
        <row r="158">
          <cell r="A158"/>
          <cell r="B158"/>
          <cell r="C158"/>
          <cell r="D158"/>
        </row>
        <row r="159">
          <cell r="A159"/>
          <cell r="B159"/>
          <cell r="C159"/>
          <cell r="D159"/>
        </row>
        <row r="160">
          <cell r="A160"/>
          <cell r="B160"/>
          <cell r="C160"/>
          <cell r="D160"/>
        </row>
        <row r="161">
          <cell r="A161"/>
          <cell r="B161"/>
          <cell r="C161"/>
          <cell r="D161"/>
        </row>
        <row r="162">
          <cell r="A162"/>
          <cell r="B162"/>
          <cell r="C162"/>
          <cell r="D162"/>
        </row>
        <row r="163">
          <cell r="A163"/>
          <cell r="B163"/>
          <cell r="C163"/>
          <cell r="D163"/>
        </row>
        <row r="164">
          <cell r="A164"/>
          <cell r="B164"/>
          <cell r="C164"/>
          <cell r="D164"/>
        </row>
        <row r="165">
          <cell r="A165"/>
          <cell r="B165"/>
          <cell r="C165"/>
          <cell r="D165"/>
        </row>
        <row r="166">
          <cell r="A166"/>
          <cell r="B166"/>
          <cell r="C166"/>
          <cell r="D166"/>
        </row>
        <row r="167">
          <cell r="A167"/>
          <cell r="B167"/>
          <cell r="C167"/>
          <cell r="D167"/>
        </row>
        <row r="168">
          <cell r="A168"/>
          <cell r="B168"/>
          <cell r="C168"/>
          <cell r="D168"/>
        </row>
        <row r="169">
          <cell r="A169"/>
          <cell r="B169"/>
          <cell r="C169"/>
          <cell r="D169"/>
        </row>
        <row r="170">
          <cell r="A170"/>
          <cell r="B170"/>
          <cell r="C170"/>
          <cell r="D170"/>
        </row>
        <row r="171">
          <cell r="A171"/>
          <cell r="B171"/>
          <cell r="C171"/>
          <cell r="D171"/>
        </row>
        <row r="172">
          <cell r="A172"/>
          <cell r="B172"/>
          <cell r="C172"/>
          <cell r="D172"/>
        </row>
        <row r="173">
          <cell r="A173"/>
          <cell r="B173"/>
          <cell r="C173"/>
          <cell r="D173"/>
        </row>
        <row r="174">
          <cell r="A174"/>
          <cell r="B174"/>
          <cell r="C174"/>
          <cell r="D174"/>
        </row>
        <row r="175">
          <cell r="A175"/>
          <cell r="B175"/>
          <cell r="C175"/>
          <cell r="D175"/>
        </row>
        <row r="176">
          <cell r="A176"/>
          <cell r="B176"/>
          <cell r="C176"/>
          <cell r="D176"/>
        </row>
        <row r="177">
          <cell r="A177"/>
          <cell r="B177"/>
          <cell r="C177"/>
          <cell r="D177"/>
        </row>
        <row r="178">
          <cell r="A178"/>
          <cell r="B178"/>
          <cell r="C178"/>
          <cell r="D178"/>
        </row>
        <row r="179">
          <cell r="A179"/>
          <cell r="B179"/>
          <cell r="C179"/>
          <cell r="D179"/>
        </row>
        <row r="180">
          <cell r="A180"/>
          <cell r="B180"/>
          <cell r="C180"/>
          <cell r="D180"/>
        </row>
        <row r="181">
          <cell r="A181"/>
          <cell r="B181"/>
          <cell r="C181"/>
          <cell r="D181"/>
        </row>
        <row r="182">
          <cell r="A182"/>
          <cell r="B182"/>
          <cell r="C182"/>
          <cell r="D182"/>
        </row>
        <row r="183">
          <cell r="A183"/>
          <cell r="B183"/>
          <cell r="C183"/>
          <cell r="D183"/>
        </row>
        <row r="185">
          <cell r="A185"/>
          <cell r="B185"/>
          <cell r="C185"/>
          <cell r="D185"/>
        </row>
        <row r="186">
          <cell r="A186"/>
          <cell r="B186"/>
          <cell r="C186"/>
          <cell r="D186"/>
        </row>
        <row r="187">
          <cell r="A187"/>
          <cell r="B187"/>
          <cell r="C187"/>
          <cell r="D187"/>
        </row>
        <row r="188">
          <cell r="A188"/>
          <cell r="B188"/>
          <cell r="C188"/>
          <cell r="D188"/>
        </row>
        <row r="189">
          <cell r="A189"/>
          <cell r="B189"/>
          <cell r="C189"/>
          <cell r="D189"/>
        </row>
        <row r="190">
          <cell r="A190"/>
          <cell r="B190"/>
          <cell r="C190"/>
          <cell r="D190"/>
        </row>
        <row r="191">
          <cell r="A191"/>
          <cell r="B191"/>
          <cell r="C191"/>
          <cell r="D191"/>
        </row>
        <row r="192">
          <cell r="A192"/>
          <cell r="B192"/>
          <cell r="C192"/>
          <cell r="D192"/>
        </row>
        <row r="193">
          <cell r="A193"/>
          <cell r="B193"/>
          <cell r="C193"/>
          <cell r="D193"/>
        </row>
        <row r="194">
          <cell r="A194"/>
          <cell r="B194"/>
          <cell r="C194"/>
          <cell r="D194"/>
        </row>
        <row r="195">
          <cell r="A195"/>
          <cell r="B195"/>
          <cell r="C195"/>
          <cell r="D195"/>
        </row>
        <row r="196">
          <cell r="A196"/>
          <cell r="B196"/>
          <cell r="C196"/>
          <cell r="D196"/>
        </row>
        <row r="197">
          <cell r="A197"/>
          <cell r="B197"/>
          <cell r="C197"/>
          <cell r="D197"/>
        </row>
        <row r="198">
          <cell r="A198"/>
          <cell r="B198"/>
          <cell r="C198"/>
          <cell r="D198"/>
        </row>
        <row r="199">
          <cell r="A199"/>
          <cell r="B199"/>
          <cell r="C199"/>
          <cell r="D199"/>
        </row>
        <row r="200">
          <cell r="A200"/>
          <cell r="B200"/>
          <cell r="C200"/>
          <cell r="D200"/>
        </row>
        <row r="201">
          <cell r="A201"/>
          <cell r="B201"/>
          <cell r="C201"/>
          <cell r="D201"/>
        </row>
        <row r="202">
          <cell r="A202"/>
          <cell r="B202"/>
          <cell r="C202"/>
          <cell r="D202"/>
        </row>
        <row r="203">
          <cell r="A203"/>
          <cell r="B203"/>
          <cell r="C203"/>
          <cell r="D203"/>
        </row>
        <row r="204">
          <cell r="A204"/>
          <cell r="B204"/>
          <cell r="C204"/>
          <cell r="D204"/>
        </row>
        <row r="205">
          <cell r="A205"/>
          <cell r="B205"/>
          <cell r="C205"/>
          <cell r="D205"/>
        </row>
        <row r="206">
          <cell r="A206"/>
          <cell r="B206"/>
          <cell r="C206"/>
          <cell r="D206"/>
        </row>
        <row r="207">
          <cell r="A207"/>
          <cell r="B207"/>
          <cell r="C207"/>
          <cell r="D207"/>
        </row>
        <row r="208">
          <cell r="A208"/>
          <cell r="B208"/>
          <cell r="C208"/>
          <cell r="D208"/>
        </row>
        <row r="209">
          <cell r="A209"/>
          <cell r="B209"/>
          <cell r="C209"/>
          <cell r="D209"/>
        </row>
        <row r="210">
          <cell r="A210"/>
          <cell r="B210"/>
          <cell r="C210"/>
          <cell r="D210"/>
        </row>
        <row r="211">
          <cell r="A211"/>
          <cell r="B211"/>
          <cell r="C211"/>
          <cell r="D211"/>
        </row>
        <row r="212">
          <cell r="A212"/>
          <cell r="B212"/>
          <cell r="C212"/>
          <cell r="D212"/>
        </row>
        <row r="213">
          <cell r="A213"/>
          <cell r="B213"/>
          <cell r="C213"/>
          <cell r="D213"/>
        </row>
        <row r="214">
          <cell r="A214"/>
          <cell r="B214"/>
          <cell r="C214"/>
          <cell r="D214"/>
        </row>
        <row r="215">
          <cell r="A215"/>
          <cell r="B215"/>
          <cell r="C215"/>
          <cell r="D215"/>
        </row>
        <row r="216">
          <cell r="A216"/>
          <cell r="B216"/>
          <cell r="C216"/>
          <cell r="D216"/>
        </row>
        <row r="217">
          <cell r="A217"/>
          <cell r="B217"/>
          <cell r="C217"/>
          <cell r="D217"/>
        </row>
        <row r="218">
          <cell r="A218"/>
          <cell r="B218"/>
          <cell r="C218"/>
          <cell r="D218"/>
        </row>
        <row r="219">
          <cell r="A219"/>
          <cell r="B219"/>
          <cell r="C219"/>
          <cell r="D219"/>
        </row>
        <row r="220">
          <cell r="A220"/>
          <cell r="B220"/>
          <cell r="C220"/>
          <cell r="D220"/>
        </row>
        <row r="221">
          <cell r="A221"/>
          <cell r="B221"/>
          <cell r="C221"/>
          <cell r="D221"/>
        </row>
        <row r="222">
          <cell r="A222"/>
          <cell r="B222"/>
          <cell r="C222"/>
          <cell r="D222"/>
        </row>
        <row r="223">
          <cell r="A223"/>
          <cell r="B223"/>
          <cell r="C223"/>
          <cell r="D223"/>
        </row>
        <row r="224">
          <cell r="A224"/>
          <cell r="B224"/>
          <cell r="C224"/>
          <cell r="D224"/>
        </row>
        <row r="225">
          <cell r="A225"/>
          <cell r="B225"/>
          <cell r="C225"/>
          <cell r="D225"/>
        </row>
        <row r="226">
          <cell r="A226"/>
          <cell r="B226"/>
          <cell r="C226"/>
          <cell r="D226"/>
        </row>
        <row r="227">
          <cell r="A227"/>
          <cell r="B227"/>
          <cell r="C227"/>
          <cell r="D227"/>
        </row>
        <row r="228">
          <cell r="A228"/>
          <cell r="B228"/>
          <cell r="C228"/>
          <cell r="D228"/>
        </row>
        <row r="229">
          <cell r="A229"/>
          <cell r="B229"/>
          <cell r="C229"/>
          <cell r="D229"/>
        </row>
        <row r="230">
          <cell r="A230"/>
          <cell r="B230"/>
          <cell r="C230"/>
          <cell r="D230"/>
        </row>
        <row r="231">
          <cell r="A231"/>
          <cell r="B231"/>
          <cell r="C231"/>
          <cell r="D231"/>
        </row>
        <row r="232">
          <cell r="A232"/>
          <cell r="B232"/>
          <cell r="C232"/>
          <cell r="D232"/>
        </row>
        <row r="233">
          <cell r="A233"/>
          <cell r="B233"/>
          <cell r="C233"/>
          <cell r="D233"/>
        </row>
        <row r="234">
          <cell r="A234"/>
          <cell r="B234"/>
          <cell r="C234"/>
          <cell r="D234"/>
        </row>
        <row r="235">
          <cell r="A235"/>
          <cell r="B235"/>
          <cell r="C235"/>
          <cell r="D235"/>
        </row>
        <row r="236">
          <cell r="A236"/>
          <cell r="B236"/>
          <cell r="C236"/>
          <cell r="D236"/>
        </row>
        <row r="237">
          <cell r="A237"/>
          <cell r="B237"/>
          <cell r="C237"/>
          <cell r="D237"/>
        </row>
        <row r="238">
          <cell r="A238"/>
          <cell r="B238"/>
          <cell r="C238"/>
          <cell r="D238"/>
        </row>
        <row r="239">
          <cell r="A239"/>
          <cell r="B239"/>
          <cell r="C239"/>
          <cell r="D239"/>
        </row>
        <row r="240">
          <cell r="A240"/>
          <cell r="B240"/>
          <cell r="C240"/>
          <cell r="D240"/>
        </row>
        <row r="241">
          <cell r="A241"/>
          <cell r="B241"/>
          <cell r="C241"/>
          <cell r="D241"/>
        </row>
        <row r="242">
          <cell r="A242"/>
          <cell r="B242"/>
          <cell r="C242"/>
          <cell r="D242"/>
        </row>
        <row r="243">
          <cell r="A243"/>
          <cell r="B243"/>
          <cell r="C243"/>
          <cell r="D243"/>
        </row>
        <row r="244">
          <cell r="A244"/>
          <cell r="B244"/>
          <cell r="C244"/>
          <cell r="D244"/>
        </row>
        <row r="245">
          <cell r="A245"/>
          <cell r="B245"/>
          <cell r="C245"/>
          <cell r="D245"/>
        </row>
        <row r="246">
          <cell r="A246"/>
          <cell r="B246"/>
          <cell r="C246"/>
          <cell r="D246"/>
        </row>
        <row r="247">
          <cell r="A247"/>
          <cell r="B247"/>
          <cell r="C247"/>
          <cell r="D247"/>
        </row>
        <row r="248">
          <cell r="A248"/>
          <cell r="B248"/>
          <cell r="C248"/>
          <cell r="D248"/>
        </row>
        <row r="249">
          <cell r="A249"/>
          <cell r="B249"/>
          <cell r="C249"/>
          <cell r="D249"/>
        </row>
        <row r="250">
          <cell r="A250"/>
          <cell r="B250"/>
          <cell r="C250"/>
          <cell r="D250"/>
        </row>
        <row r="251">
          <cell r="A251"/>
          <cell r="B251"/>
          <cell r="C251"/>
          <cell r="D251"/>
        </row>
        <row r="252">
          <cell r="A252"/>
          <cell r="B252"/>
          <cell r="C252"/>
          <cell r="D252"/>
        </row>
        <row r="253">
          <cell r="A253"/>
          <cell r="B253"/>
          <cell r="C253"/>
          <cell r="D253"/>
        </row>
        <row r="254">
          <cell r="A254"/>
          <cell r="B254"/>
          <cell r="C254"/>
          <cell r="D254"/>
        </row>
        <row r="255">
          <cell r="A255"/>
          <cell r="B255"/>
          <cell r="C255"/>
          <cell r="D255"/>
        </row>
        <row r="256">
          <cell r="A256"/>
          <cell r="B256"/>
          <cell r="C256"/>
          <cell r="D256"/>
        </row>
        <row r="257">
          <cell r="A257"/>
          <cell r="B257"/>
          <cell r="C257"/>
          <cell r="D257"/>
        </row>
        <row r="258">
          <cell r="A258"/>
          <cell r="B258"/>
          <cell r="C258"/>
          <cell r="D258"/>
        </row>
        <row r="259">
          <cell r="A259"/>
          <cell r="B259"/>
          <cell r="C259"/>
          <cell r="D259"/>
        </row>
        <row r="260">
          <cell r="A260"/>
          <cell r="B260"/>
          <cell r="C260"/>
          <cell r="D260"/>
        </row>
        <row r="261">
          <cell r="A261"/>
          <cell r="B261"/>
          <cell r="C261"/>
          <cell r="D261"/>
        </row>
        <row r="262">
          <cell r="A262"/>
          <cell r="B262"/>
          <cell r="C262"/>
          <cell r="D262"/>
        </row>
        <row r="263">
          <cell r="A263"/>
          <cell r="B263"/>
          <cell r="C263"/>
          <cell r="D263"/>
        </row>
        <row r="264">
          <cell r="A264"/>
          <cell r="B264"/>
          <cell r="C264"/>
          <cell r="D264"/>
        </row>
        <row r="265">
          <cell r="A265"/>
          <cell r="B265"/>
          <cell r="C265"/>
          <cell r="D265"/>
        </row>
        <row r="266">
          <cell r="A266"/>
          <cell r="B266"/>
          <cell r="C266"/>
          <cell r="D266"/>
        </row>
        <row r="267">
          <cell r="A267"/>
          <cell r="B267"/>
          <cell r="C267"/>
          <cell r="D267"/>
        </row>
        <row r="268">
          <cell r="A268"/>
          <cell r="B268"/>
          <cell r="C268"/>
          <cell r="D268"/>
        </row>
        <row r="269">
          <cell r="A269"/>
          <cell r="B269"/>
          <cell r="C269"/>
          <cell r="D269"/>
        </row>
        <row r="270">
          <cell r="A270"/>
          <cell r="B270"/>
          <cell r="C270"/>
          <cell r="D270"/>
        </row>
        <row r="271">
          <cell r="A271"/>
          <cell r="B271"/>
          <cell r="C271"/>
          <cell r="D271"/>
        </row>
        <row r="272">
          <cell r="A272"/>
          <cell r="B272"/>
          <cell r="C272"/>
          <cell r="D272"/>
        </row>
        <row r="273">
          <cell r="A273"/>
          <cell r="B273"/>
          <cell r="C273"/>
          <cell r="D273"/>
        </row>
        <row r="274">
          <cell r="A274"/>
          <cell r="B274"/>
          <cell r="C274"/>
          <cell r="D274"/>
        </row>
        <row r="275">
          <cell r="A275"/>
          <cell r="B275"/>
          <cell r="C275"/>
          <cell r="D275"/>
        </row>
        <row r="276">
          <cell r="A276"/>
          <cell r="B276"/>
          <cell r="C276"/>
          <cell r="D276"/>
        </row>
        <row r="277">
          <cell r="A277"/>
          <cell r="B277"/>
          <cell r="C277"/>
          <cell r="D277"/>
        </row>
        <row r="278">
          <cell r="A278"/>
          <cell r="B278"/>
          <cell r="C278"/>
          <cell r="D278"/>
        </row>
        <row r="279">
          <cell r="A279"/>
          <cell r="B279"/>
          <cell r="C279"/>
          <cell r="D279"/>
        </row>
        <row r="280">
          <cell r="A280"/>
          <cell r="B280"/>
          <cell r="C280"/>
          <cell r="D280"/>
        </row>
        <row r="281">
          <cell r="A281"/>
          <cell r="B281"/>
          <cell r="C281"/>
          <cell r="D281"/>
        </row>
        <row r="282">
          <cell r="A282"/>
          <cell r="B282"/>
          <cell r="C282"/>
          <cell r="D282"/>
        </row>
        <row r="283">
          <cell r="A283"/>
          <cell r="B283"/>
          <cell r="C283"/>
          <cell r="D283"/>
        </row>
        <row r="284">
          <cell r="A284"/>
          <cell r="B284"/>
          <cell r="C284"/>
          <cell r="D284"/>
        </row>
        <row r="285">
          <cell r="A285"/>
          <cell r="B285"/>
          <cell r="C285"/>
          <cell r="D285"/>
        </row>
        <row r="286">
          <cell r="A286"/>
          <cell r="B286"/>
          <cell r="C286"/>
          <cell r="D286"/>
        </row>
        <row r="287">
          <cell r="A287"/>
          <cell r="B287"/>
          <cell r="C287"/>
          <cell r="D287"/>
        </row>
        <row r="288">
          <cell r="A288"/>
          <cell r="B288"/>
          <cell r="C288"/>
          <cell r="D288"/>
        </row>
        <row r="289">
          <cell r="A289"/>
          <cell r="B289"/>
          <cell r="C289"/>
          <cell r="D289"/>
        </row>
        <row r="290">
          <cell r="A290"/>
          <cell r="B290"/>
          <cell r="C290"/>
          <cell r="D290"/>
        </row>
        <row r="291">
          <cell r="A291"/>
          <cell r="B291"/>
          <cell r="C291"/>
          <cell r="D291"/>
        </row>
        <row r="292">
          <cell r="A292"/>
          <cell r="B292"/>
          <cell r="C292"/>
          <cell r="D292"/>
        </row>
        <row r="293">
          <cell r="A293"/>
          <cell r="B293"/>
          <cell r="C293"/>
          <cell r="D293"/>
        </row>
        <row r="294">
          <cell r="A294"/>
          <cell r="B294"/>
          <cell r="C294"/>
          <cell r="D294"/>
        </row>
        <row r="295">
          <cell r="A295"/>
          <cell r="B295"/>
          <cell r="C295"/>
          <cell r="D295"/>
        </row>
        <row r="296">
          <cell r="A296"/>
          <cell r="B296"/>
          <cell r="C296"/>
          <cell r="D296"/>
        </row>
        <row r="297">
          <cell r="A297"/>
          <cell r="B297"/>
          <cell r="C297"/>
          <cell r="D297"/>
        </row>
        <row r="298">
          <cell r="A298"/>
          <cell r="B298"/>
          <cell r="C298"/>
          <cell r="D298"/>
        </row>
        <row r="299">
          <cell r="A299"/>
          <cell r="B299"/>
          <cell r="C299"/>
          <cell r="D299"/>
        </row>
        <row r="300">
          <cell r="A300"/>
          <cell r="B300"/>
          <cell r="C300"/>
          <cell r="D300"/>
        </row>
        <row r="301">
          <cell r="A301"/>
          <cell r="B301"/>
          <cell r="C301"/>
          <cell r="D301"/>
        </row>
        <row r="302">
          <cell r="A302"/>
          <cell r="B302"/>
          <cell r="C302"/>
          <cell r="D302"/>
        </row>
        <row r="303">
          <cell r="A303"/>
          <cell r="B303"/>
          <cell r="C303"/>
          <cell r="D303"/>
        </row>
        <row r="304">
          <cell r="A304"/>
          <cell r="B304"/>
          <cell r="C304"/>
          <cell r="D304"/>
        </row>
        <row r="305">
          <cell r="A305"/>
          <cell r="B305"/>
          <cell r="C305"/>
          <cell r="D305"/>
        </row>
        <row r="306">
          <cell r="A306"/>
          <cell r="B306"/>
          <cell r="C306"/>
          <cell r="D306"/>
        </row>
        <row r="307">
          <cell r="A307"/>
          <cell r="B307"/>
          <cell r="C307"/>
          <cell r="D307"/>
        </row>
        <row r="308">
          <cell r="A308"/>
          <cell r="B308"/>
          <cell r="C308"/>
          <cell r="D308"/>
        </row>
        <row r="309">
          <cell r="A309"/>
          <cell r="B309"/>
          <cell r="C309"/>
          <cell r="D309"/>
        </row>
        <row r="310">
          <cell r="A310"/>
          <cell r="B310"/>
          <cell r="C310"/>
          <cell r="D310"/>
        </row>
        <row r="311">
          <cell r="A311"/>
          <cell r="B311"/>
          <cell r="C311"/>
          <cell r="D311"/>
        </row>
        <row r="312">
          <cell r="A312"/>
          <cell r="B312"/>
          <cell r="C312"/>
          <cell r="D312"/>
        </row>
        <row r="313">
          <cell r="A313"/>
          <cell r="B313"/>
          <cell r="C313"/>
          <cell r="D313"/>
        </row>
        <row r="314">
          <cell r="A314"/>
          <cell r="B314"/>
          <cell r="C314"/>
          <cell r="D314"/>
        </row>
        <row r="315">
          <cell r="A315"/>
          <cell r="B315"/>
          <cell r="C315"/>
          <cell r="D315"/>
        </row>
        <row r="316">
          <cell r="A316"/>
          <cell r="B316"/>
          <cell r="C316"/>
          <cell r="D316"/>
        </row>
        <row r="317">
          <cell r="A317"/>
          <cell r="B317"/>
          <cell r="C317"/>
          <cell r="D317"/>
        </row>
        <row r="318">
          <cell r="A318"/>
          <cell r="B318"/>
          <cell r="C318"/>
          <cell r="D318"/>
        </row>
        <row r="319">
          <cell r="A319"/>
          <cell r="B319"/>
          <cell r="C319"/>
          <cell r="D319"/>
        </row>
        <row r="320">
          <cell r="A320"/>
          <cell r="B320"/>
          <cell r="C320"/>
          <cell r="D320"/>
        </row>
        <row r="321">
          <cell r="A321"/>
          <cell r="B321"/>
          <cell r="C321"/>
          <cell r="D321"/>
        </row>
        <row r="322">
          <cell r="A322"/>
          <cell r="B322"/>
          <cell r="C322"/>
          <cell r="D322"/>
        </row>
        <row r="323">
          <cell r="A323"/>
          <cell r="B323"/>
          <cell r="C323"/>
          <cell r="D323"/>
        </row>
        <row r="324">
          <cell r="A324"/>
          <cell r="B324"/>
          <cell r="C324"/>
          <cell r="D324"/>
        </row>
        <row r="325">
          <cell r="A325"/>
          <cell r="B325"/>
          <cell r="C325"/>
          <cell r="D325"/>
        </row>
        <row r="326">
          <cell r="A326"/>
          <cell r="B326"/>
          <cell r="C326"/>
          <cell r="D326"/>
        </row>
        <row r="327">
          <cell r="A327"/>
          <cell r="B327"/>
          <cell r="C327"/>
          <cell r="D327"/>
        </row>
        <row r="328">
          <cell r="A328"/>
          <cell r="B328"/>
          <cell r="C328"/>
          <cell r="D328"/>
        </row>
        <row r="329">
          <cell r="A329"/>
          <cell r="B329"/>
          <cell r="C329"/>
          <cell r="D329"/>
        </row>
        <row r="330">
          <cell r="A330"/>
          <cell r="B330"/>
          <cell r="C330"/>
          <cell r="D330"/>
        </row>
        <row r="331">
          <cell r="A331"/>
          <cell r="B331"/>
          <cell r="C331"/>
          <cell r="D331"/>
        </row>
        <row r="332">
          <cell r="A332"/>
          <cell r="B332"/>
          <cell r="C332"/>
          <cell r="D332"/>
        </row>
        <row r="333">
          <cell r="A333"/>
          <cell r="B333"/>
          <cell r="C333"/>
          <cell r="D333"/>
        </row>
        <row r="334">
          <cell r="A334"/>
          <cell r="B334"/>
          <cell r="C334"/>
          <cell r="D334"/>
        </row>
        <row r="335">
          <cell r="A335"/>
          <cell r="B335"/>
          <cell r="C335"/>
          <cell r="D335"/>
        </row>
        <row r="336">
          <cell r="A336"/>
          <cell r="B336"/>
          <cell r="C336"/>
          <cell r="D336"/>
        </row>
        <row r="337">
          <cell r="A337"/>
          <cell r="B337"/>
          <cell r="C337"/>
          <cell r="D337"/>
        </row>
        <row r="338">
          <cell r="A338"/>
          <cell r="B338"/>
          <cell r="C338"/>
          <cell r="D338"/>
        </row>
        <row r="339">
          <cell r="A339"/>
          <cell r="B339"/>
          <cell r="C339"/>
          <cell r="D339"/>
        </row>
        <row r="340">
          <cell r="A340"/>
          <cell r="B340"/>
          <cell r="C340"/>
          <cell r="D340"/>
        </row>
        <row r="341">
          <cell r="A341"/>
          <cell r="B341"/>
          <cell r="C341"/>
          <cell r="D341"/>
        </row>
        <row r="342">
          <cell r="A342"/>
          <cell r="B342"/>
          <cell r="C342"/>
          <cell r="D342"/>
        </row>
        <row r="343">
          <cell r="A343"/>
          <cell r="B343"/>
          <cell r="C343"/>
          <cell r="D343"/>
        </row>
        <row r="344">
          <cell r="A344"/>
          <cell r="B344"/>
          <cell r="C344"/>
          <cell r="D344"/>
        </row>
        <row r="345">
          <cell r="A345"/>
          <cell r="B345"/>
          <cell r="C345"/>
          <cell r="D345"/>
        </row>
        <row r="346">
          <cell r="A346"/>
          <cell r="B346"/>
          <cell r="C346"/>
          <cell r="D346"/>
        </row>
        <row r="347">
          <cell r="A347"/>
          <cell r="B347"/>
          <cell r="C347"/>
          <cell r="D347"/>
        </row>
        <row r="348">
          <cell r="A348"/>
          <cell r="B348"/>
          <cell r="C348"/>
          <cell r="D348"/>
        </row>
        <row r="349">
          <cell r="A349"/>
          <cell r="B349"/>
          <cell r="C349"/>
          <cell r="D349"/>
        </row>
        <row r="350">
          <cell r="A350"/>
          <cell r="B350"/>
          <cell r="C350"/>
          <cell r="D350"/>
        </row>
        <row r="351">
          <cell r="A351"/>
          <cell r="B351"/>
          <cell r="C351"/>
          <cell r="D351"/>
        </row>
        <row r="352">
          <cell r="A352"/>
          <cell r="B352"/>
          <cell r="C352"/>
          <cell r="D352"/>
        </row>
        <row r="353">
          <cell r="A353"/>
          <cell r="B353"/>
          <cell r="C353"/>
          <cell r="D353"/>
        </row>
        <row r="354">
          <cell r="A354"/>
          <cell r="B354"/>
          <cell r="C354"/>
          <cell r="D354"/>
        </row>
        <row r="355">
          <cell r="A355"/>
          <cell r="B355"/>
          <cell r="C355"/>
          <cell r="D355"/>
        </row>
        <row r="356">
          <cell r="A356"/>
          <cell r="B356"/>
          <cell r="C356"/>
          <cell r="D356"/>
        </row>
        <row r="357">
          <cell r="A357"/>
          <cell r="B357"/>
          <cell r="C357"/>
          <cell r="D357"/>
        </row>
        <row r="358">
          <cell r="A358"/>
          <cell r="B358"/>
          <cell r="C358"/>
          <cell r="D358"/>
        </row>
        <row r="359">
          <cell r="A359"/>
          <cell r="B359"/>
          <cell r="C359"/>
          <cell r="D359"/>
        </row>
        <row r="360">
          <cell r="A360"/>
          <cell r="B360"/>
          <cell r="C360"/>
          <cell r="D360"/>
        </row>
        <row r="361">
          <cell r="A361"/>
          <cell r="B361"/>
          <cell r="C361"/>
          <cell r="D361"/>
        </row>
        <row r="362">
          <cell r="A362"/>
          <cell r="B362"/>
          <cell r="C362"/>
          <cell r="D362"/>
        </row>
        <row r="363">
          <cell r="A363"/>
          <cell r="B363"/>
          <cell r="C363"/>
          <cell r="D363"/>
        </row>
        <row r="364">
          <cell r="A364"/>
          <cell r="B364"/>
          <cell r="C364"/>
          <cell r="D364"/>
        </row>
        <row r="365">
          <cell r="A365"/>
          <cell r="B365"/>
          <cell r="C365"/>
          <cell r="D365"/>
        </row>
        <row r="366">
          <cell r="A366"/>
          <cell r="B366"/>
          <cell r="C366"/>
          <cell r="D366"/>
        </row>
        <row r="367">
          <cell r="A367"/>
          <cell r="B367"/>
          <cell r="C367"/>
          <cell r="D367"/>
        </row>
        <row r="368">
          <cell r="A368"/>
          <cell r="B368"/>
          <cell r="C368"/>
          <cell r="D368"/>
        </row>
        <row r="369">
          <cell r="A369"/>
          <cell r="B369"/>
          <cell r="C369"/>
          <cell r="D369"/>
        </row>
        <row r="370">
          <cell r="A370"/>
          <cell r="B370"/>
          <cell r="C370"/>
          <cell r="D370"/>
        </row>
        <row r="371">
          <cell r="A371"/>
          <cell r="B371"/>
          <cell r="C371"/>
          <cell r="D371"/>
        </row>
        <row r="372">
          <cell r="A372"/>
          <cell r="B372"/>
          <cell r="C372"/>
          <cell r="D372"/>
        </row>
        <row r="373">
          <cell r="A373"/>
          <cell r="B373"/>
          <cell r="C373"/>
          <cell r="D373"/>
        </row>
        <row r="374">
          <cell r="A374"/>
          <cell r="B374"/>
          <cell r="C374"/>
          <cell r="D374"/>
        </row>
        <row r="375">
          <cell r="A375"/>
          <cell r="B375"/>
          <cell r="C375"/>
          <cell r="D375"/>
        </row>
        <row r="376">
          <cell r="A376"/>
          <cell r="B376"/>
          <cell r="C376"/>
          <cell r="D376"/>
        </row>
        <row r="377">
          <cell r="A377"/>
          <cell r="B377"/>
          <cell r="C377"/>
          <cell r="D377"/>
        </row>
        <row r="378">
          <cell r="A378"/>
          <cell r="B378"/>
          <cell r="C378"/>
          <cell r="D378"/>
        </row>
        <row r="379">
          <cell r="A379"/>
          <cell r="B379"/>
          <cell r="C379"/>
          <cell r="D379"/>
        </row>
        <row r="380">
          <cell r="A380"/>
          <cell r="B380"/>
          <cell r="C380"/>
          <cell r="D380"/>
        </row>
        <row r="381">
          <cell r="A381"/>
          <cell r="B381"/>
          <cell r="C381"/>
          <cell r="D381"/>
        </row>
        <row r="382">
          <cell r="A382"/>
          <cell r="B382"/>
          <cell r="C382"/>
          <cell r="D382"/>
        </row>
        <row r="383">
          <cell r="A383"/>
          <cell r="B383"/>
          <cell r="C383"/>
          <cell r="D383"/>
        </row>
        <row r="384">
          <cell r="A384"/>
          <cell r="B384"/>
          <cell r="C384"/>
          <cell r="D384"/>
        </row>
        <row r="385">
          <cell r="A385"/>
          <cell r="B385"/>
          <cell r="C385"/>
          <cell r="D385"/>
        </row>
        <row r="386">
          <cell r="A386"/>
          <cell r="B386"/>
          <cell r="C386"/>
          <cell r="D386"/>
        </row>
        <row r="387">
          <cell r="A387"/>
          <cell r="B387"/>
          <cell r="C387"/>
          <cell r="D387"/>
        </row>
        <row r="388">
          <cell r="A388"/>
          <cell r="B388"/>
          <cell r="C388"/>
          <cell r="D388"/>
        </row>
        <row r="389">
          <cell r="A389"/>
          <cell r="B389"/>
          <cell r="C389"/>
          <cell r="D389"/>
        </row>
        <row r="391">
          <cell r="A391"/>
          <cell r="B391"/>
          <cell r="C391"/>
          <cell r="D391"/>
        </row>
        <row r="392">
          <cell r="A392"/>
          <cell r="B392"/>
          <cell r="C392"/>
          <cell r="D392"/>
        </row>
        <row r="393">
          <cell r="A393"/>
          <cell r="B393"/>
          <cell r="C393"/>
          <cell r="D393"/>
        </row>
        <row r="394">
          <cell r="A394"/>
          <cell r="B394"/>
          <cell r="C394"/>
          <cell r="D394"/>
        </row>
        <row r="395">
          <cell r="A395"/>
          <cell r="B395"/>
          <cell r="C395"/>
          <cell r="D395"/>
        </row>
        <row r="396">
          <cell r="A396"/>
          <cell r="B396"/>
          <cell r="C396"/>
          <cell r="D396"/>
        </row>
        <row r="397">
          <cell r="A397"/>
          <cell r="B397"/>
          <cell r="C397"/>
          <cell r="D397"/>
        </row>
        <row r="398">
          <cell r="A398"/>
          <cell r="B398"/>
          <cell r="C398"/>
          <cell r="D398"/>
        </row>
        <row r="399">
          <cell r="A399"/>
          <cell r="B399"/>
          <cell r="C399"/>
          <cell r="D399"/>
        </row>
        <row r="400">
          <cell r="A400"/>
          <cell r="B400"/>
          <cell r="C400"/>
          <cell r="D400"/>
        </row>
        <row r="401">
          <cell r="A401"/>
          <cell r="B401"/>
          <cell r="C401"/>
          <cell r="D401"/>
        </row>
        <row r="402">
          <cell r="A402"/>
          <cell r="B402"/>
          <cell r="C402"/>
          <cell r="D402"/>
        </row>
        <row r="403">
          <cell r="A403"/>
          <cell r="B403"/>
          <cell r="C403"/>
          <cell r="D403"/>
        </row>
        <row r="404">
          <cell r="A404"/>
          <cell r="B404"/>
          <cell r="C404"/>
          <cell r="D404"/>
        </row>
        <row r="405">
          <cell r="A405"/>
          <cell r="B405"/>
          <cell r="C405"/>
          <cell r="D405"/>
        </row>
        <row r="406">
          <cell r="A406"/>
          <cell r="B406"/>
          <cell r="C406"/>
          <cell r="D406"/>
        </row>
        <row r="407">
          <cell r="A407"/>
          <cell r="B407"/>
          <cell r="C407"/>
          <cell r="D407"/>
        </row>
        <row r="408">
          <cell r="A408"/>
          <cell r="B408"/>
          <cell r="C408"/>
          <cell r="D408"/>
        </row>
        <row r="409">
          <cell r="A409"/>
          <cell r="B409"/>
          <cell r="C409"/>
          <cell r="D409"/>
        </row>
        <row r="410">
          <cell r="A410"/>
          <cell r="B410"/>
          <cell r="C410"/>
          <cell r="D410"/>
        </row>
        <row r="411">
          <cell r="A411"/>
          <cell r="B411"/>
          <cell r="C411"/>
          <cell r="D411"/>
        </row>
        <row r="412">
          <cell r="A412"/>
          <cell r="B412"/>
          <cell r="C412"/>
          <cell r="D412"/>
        </row>
        <row r="413">
          <cell r="A413"/>
          <cell r="B413"/>
          <cell r="C413"/>
          <cell r="D413"/>
        </row>
        <row r="414">
          <cell r="A414"/>
          <cell r="B414"/>
          <cell r="C414"/>
          <cell r="D414"/>
        </row>
        <row r="415">
          <cell r="A415"/>
          <cell r="B415"/>
          <cell r="C415"/>
          <cell r="D415"/>
        </row>
        <row r="416">
          <cell r="A416"/>
          <cell r="B416"/>
          <cell r="C416"/>
          <cell r="D416"/>
        </row>
        <row r="417">
          <cell r="A417"/>
          <cell r="B417"/>
          <cell r="C417"/>
          <cell r="D417"/>
        </row>
        <row r="418">
          <cell r="A418"/>
          <cell r="B418"/>
          <cell r="C418"/>
          <cell r="D418"/>
        </row>
        <row r="419">
          <cell r="A419"/>
          <cell r="B419"/>
          <cell r="C419"/>
          <cell r="D419"/>
        </row>
        <row r="420">
          <cell r="A420"/>
          <cell r="B420"/>
          <cell r="C420"/>
          <cell r="D420"/>
        </row>
        <row r="421">
          <cell r="A421"/>
          <cell r="B421"/>
          <cell r="C421"/>
          <cell r="D421"/>
        </row>
        <row r="422">
          <cell r="A422"/>
          <cell r="B422"/>
          <cell r="C422"/>
          <cell r="D422"/>
        </row>
        <row r="423">
          <cell r="A423"/>
          <cell r="B423"/>
          <cell r="C423"/>
          <cell r="D423"/>
        </row>
        <row r="424">
          <cell r="A424"/>
          <cell r="B424"/>
          <cell r="C424"/>
          <cell r="D424"/>
        </row>
        <row r="425">
          <cell r="A425"/>
          <cell r="B425"/>
          <cell r="C425"/>
          <cell r="D425"/>
        </row>
        <row r="426">
          <cell r="A426"/>
          <cell r="B426"/>
          <cell r="C426"/>
          <cell r="D426"/>
        </row>
        <row r="427">
          <cell r="A427"/>
          <cell r="B427"/>
          <cell r="C427"/>
          <cell r="D427"/>
        </row>
        <row r="428">
          <cell r="A428"/>
          <cell r="B428"/>
          <cell r="C428"/>
          <cell r="D428"/>
        </row>
        <row r="429">
          <cell r="A429"/>
          <cell r="B429"/>
          <cell r="C429"/>
          <cell r="D429"/>
        </row>
        <row r="430">
          <cell r="A430"/>
          <cell r="B430"/>
          <cell r="C430"/>
          <cell r="D430"/>
        </row>
        <row r="431">
          <cell r="A431"/>
          <cell r="B431"/>
          <cell r="C431"/>
          <cell r="D431"/>
        </row>
        <row r="432">
          <cell r="A432"/>
          <cell r="B432"/>
          <cell r="C432"/>
          <cell r="D432"/>
        </row>
        <row r="433">
          <cell r="A433"/>
          <cell r="B433"/>
          <cell r="C433"/>
          <cell r="D433"/>
        </row>
        <row r="434">
          <cell r="A434"/>
          <cell r="B434"/>
          <cell r="C434"/>
          <cell r="D434"/>
        </row>
        <row r="435">
          <cell r="A435"/>
          <cell r="B435"/>
          <cell r="C435"/>
          <cell r="D435"/>
        </row>
        <row r="436">
          <cell r="A436"/>
          <cell r="B436"/>
          <cell r="C436"/>
          <cell r="D436"/>
        </row>
        <row r="437">
          <cell r="A437"/>
          <cell r="B437"/>
          <cell r="C437"/>
          <cell r="D437"/>
        </row>
        <row r="442">
          <cell r="A442"/>
          <cell r="B442"/>
          <cell r="C442"/>
          <cell r="D442"/>
        </row>
        <row r="443">
          <cell r="A443"/>
          <cell r="B443"/>
          <cell r="C443"/>
          <cell r="D443"/>
        </row>
        <row r="444">
          <cell r="A444"/>
          <cell r="B444"/>
          <cell r="C444"/>
          <cell r="D444"/>
        </row>
        <row r="445">
          <cell r="A445"/>
          <cell r="B445"/>
          <cell r="C445"/>
          <cell r="D445"/>
        </row>
        <row r="446">
          <cell r="A446"/>
          <cell r="B446"/>
          <cell r="C446"/>
          <cell r="D446"/>
        </row>
        <row r="447">
          <cell r="A447"/>
          <cell r="B447"/>
          <cell r="C447"/>
          <cell r="D447"/>
        </row>
        <row r="448">
          <cell r="A448"/>
          <cell r="B448"/>
          <cell r="C448"/>
          <cell r="D448"/>
        </row>
        <row r="449">
          <cell r="A449"/>
          <cell r="B449"/>
          <cell r="C449"/>
          <cell r="D449"/>
        </row>
        <row r="450">
          <cell r="A450"/>
          <cell r="B450"/>
          <cell r="C450"/>
          <cell r="D450"/>
        </row>
        <row r="451">
          <cell r="A451"/>
          <cell r="B451"/>
          <cell r="C451"/>
          <cell r="D451"/>
        </row>
        <row r="452">
          <cell r="A452"/>
          <cell r="B452"/>
          <cell r="C452"/>
          <cell r="D452"/>
        </row>
        <row r="453">
          <cell r="A453"/>
          <cell r="B453"/>
          <cell r="C453"/>
          <cell r="D453"/>
        </row>
        <row r="454">
          <cell r="A454"/>
          <cell r="B454"/>
          <cell r="C454"/>
          <cell r="D454"/>
        </row>
        <row r="455">
          <cell r="A455"/>
          <cell r="B455"/>
          <cell r="C455"/>
          <cell r="D455"/>
        </row>
        <row r="456">
          <cell r="A456"/>
          <cell r="B456"/>
          <cell r="C456"/>
          <cell r="D456"/>
        </row>
        <row r="457">
          <cell r="A457"/>
          <cell r="B457"/>
          <cell r="C457"/>
          <cell r="D457"/>
        </row>
        <row r="458">
          <cell r="A458"/>
          <cell r="B458"/>
          <cell r="C458"/>
          <cell r="D458"/>
        </row>
        <row r="459">
          <cell r="A459"/>
          <cell r="B459"/>
          <cell r="C459"/>
          <cell r="D459"/>
        </row>
        <row r="460">
          <cell r="A460"/>
          <cell r="B460"/>
          <cell r="C460"/>
          <cell r="D460"/>
        </row>
        <row r="461">
          <cell r="A461"/>
          <cell r="B461"/>
          <cell r="C461"/>
          <cell r="D461"/>
        </row>
        <row r="462">
          <cell r="A462"/>
          <cell r="B462"/>
          <cell r="C462"/>
          <cell r="D462"/>
        </row>
        <row r="463">
          <cell r="A463"/>
          <cell r="B463"/>
          <cell r="C463"/>
          <cell r="D463"/>
        </row>
        <row r="464">
          <cell r="A464"/>
          <cell r="B464"/>
          <cell r="C464"/>
          <cell r="D464"/>
        </row>
        <row r="465">
          <cell r="A465"/>
          <cell r="B465"/>
          <cell r="C465"/>
          <cell r="D465"/>
        </row>
        <row r="466">
          <cell r="A466"/>
          <cell r="B466"/>
          <cell r="C466"/>
          <cell r="D466"/>
        </row>
        <row r="467">
          <cell r="A467"/>
          <cell r="B467"/>
          <cell r="C467"/>
          <cell r="D467"/>
        </row>
        <row r="468">
          <cell r="A468"/>
          <cell r="B468"/>
          <cell r="C468"/>
          <cell r="D468"/>
        </row>
        <row r="469">
          <cell r="A469"/>
          <cell r="B469"/>
          <cell r="C469"/>
          <cell r="D469"/>
        </row>
        <row r="470">
          <cell r="A470"/>
          <cell r="B470"/>
          <cell r="C470"/>
          <cell r="D470"/>
        </row>
        <row r="471">
          <cell r="A471"/>
          <cell r="B471"/>
          <cell r="C471"/>
          <cell r="D471"/>
        </row>
        <row r="472">
          <cell r="A472"/>
          <cell r="B472"/>
          <cell r="C472"/>
          <cell r="D472"/>
        </row>
        <row r="473">
          <cell r="A473"/>
          <cell r="B473"/>
          <cell r="C473"/>
          <cell r="D473"/>
        </row>
        <row r="474">
          <cell r="A474"/>
          <cell r="B474"/>
          <cell r="C474"/>
          <cell r="D474"/>
        </row>
        <row r="475">
          <cell r="A475"/>
          <cell r="B475"/>
          <cell r="C475"/>
          <cell r="D475"/>
        </row>
        <row r="476">
          <cell r="A476"/>
          <cell r="B476"/>
          <cell r="C476"/>
          <cell r="D476"/>
        </row>
        <row r="477">
          <cell r="A477"/>
          <cell r="B477"/>
          <cell r="C477"/>
          <cell r="D477"/>
        </row>
        <row r="478">
          <cell r="A478"/>
          <cell r="B478"/>
          <cell r="C478"/>
          <cell r="D478"/>
        </row>
        <row r="479">
          <cell r="A479"/>
          <cell r="B479"/>
          <cell r="C479"/>
          <cell r="D479"/>
        </row>
        <row r="480">
          <cell r="A480"/>
          <cell r="B480"/>
          <cell r="C480"/>
          <cell r="D480"/>
        </row>
        <row r="481">
          <cell r="A481"/>
          <cell r="B481"/>
          <cell r="C481"/>
          <cell r="D481"/>
        </row>
        <row r="482">
          <cell r="A482"/>
          <cell r="B482"/>
          <cell r="C482"/>
          <cell r="D482"/>
        </row>
        <row r="483">
          <cell r="A483"/>
          <cell r="B483"/>
          <cell r="C483"/>
          <cell r="D483"/>
        </row>
        <row r="484">
          <cell r="A484"/>
          <cell r="B484"/>
          <cell r="C484"/>
          <cell r="D484"/>
        </row>
        <row r="485">
          <cell r="A485"/>
          <cell r="B485"/>
          <cell r="C485"/>
          <cell r="D485"/>
        </row>
        <row r="486">
          <cell r="A486"/>
          <cell r="B486"/>
          <cell r="C486"/>
          <cell r="D486"/>
        </row>
        <row r="487">
          <cell r="A487"/>
          <cell r="B487"/>
          <cell r="C487"/>
          <cell r="D487"/>
        </row>
        <row r="488">
          <cell r="A488"/>
          <cell r="B488"/>
          <cell r="C488"/>
          <cell r="D488"/>
        </row>
        <row r="489">
          <cell r="A489"/>
          <cell r="B489"/>
          <cell r="C489"/>
          <cell r="D489"/>
        </row>
        <row r="490">
          <cell r="A490"/>
          <cell r="B490"/>
          <cell r="C490"/>
          <cell r="D490"/>
        </row>
        <row r="491">
          <cell r="A491"/>
          <cell r="B491"/>
          <cell r="C491"/>
          <cell r="D491"/>
        </row>
        <row r="492">
          <cell r="A492"/>
          <cell r="B492"/>
          <cell r="C492"/>
          <cell r="D492"/>
        </row>
        <row r="493">
          <cell r="A493"/>
          <cell r="B493"/>
          <cell r="C493"/>
          <cell r="D493"/>
        </row>
        <row r="494">
          <cell r="A494"/>
          <cell r="B494"/>
          <cell r="C494"/>
          <cell r="D494"/>
        </row>
        <row r="495">
          <cell r="A495"/>
          <cell r="B495"/>
          <cell r="C495"/>
          <cell r="D495"/>
        </row>
        <row r="496">
          <cell r="A496"/>
          <cell r="B496"/>
          <cell r="C496"/>
          <cell r="D496"/>
        </row>
        <row r="497">
          <cell r="A497"/>
          <cell r="B497"/>
          <cell r="C497"/>
          <cell r="D497"/>
        </row>
        <row r="498">
          <cell r="A498"/>
          <cell r="B498"/>
          <cell r="C498"/>
          <cell r="D498"/>
        </row>
        <row r="499">
          <cell r="A499"/>
          <cell r="B499"/>
          <cell r="C499"/>
          <cell r="D499"/>
        </row>
        <row r="500">
          <cell r="A500"/>
          <cell r="B500"/>
          <cell r="C500"/>
          <cell r="D500"/>
        </row>
        <row r="501">
          <cell r="A501"/>
          <cell r="B501"/>
          <cell r="C501"/>
          <cell r="D501"/>
        </row>
        <row r="502">
          <cell r="A502"/>
          <cell r="B502"/>
          <cell r="C502"/>
          <cell r="D502"/>
        </row>
        <row r="503">
          <cell r="A503"/>
          <cell r="B503"/>
          <cell r="C503"/>
          <cell r="D503"/>
        </row>
        <row r="504">
          <cell r="A504"/>
          <cell r="B504"/>
          <cell r="C504"/>
          <cell r="D504"/>
        </row>
        <row r="505">
          <cell r="A505"/>
          <cell r="B505"/>
          <cell r="C505"/>
          <cell r="D505"/>
        </row>
        <row r="506">
          <cell r="A506"/>
          <cell r="B506"/>
          <cell r="C506"/>
          <cell r="D506"/>
        </row>
        <row r="507">
          <cell r="A507"/>
          <cell r="B507"/>
          <cell r="C507"/>
          <cell r="D507"/>
        </row>
        <row r="508">
          <cell r="A508"/>
          <cell r="B508"/>
          <cell r="C508"/>
          <cell r="D508"/>
        </row>
        <row r="509">
          <cell r="A509"/>
          <cell r="B509"/>
          <cell r="C509"/>
          <cell r="D509"/>
        </row>
        <row r="510">
          <cell r="A510"/>
          <cell r="B510"/>
          <cell r="C510"/>
          <cell r="D510"/>
        </row>
        <row r="511">
          <cell r="A511"/>
          <cell r="B511"/>
          <cell r="C511"/>
          <cell r="D511"/>
        </row>
        <row r="512">
          <cell r="A512"/>
          <cell r="B512"/>
          <cell r="C512"/>
          <cell r="D512"/>
        </row>
        <row r="513">
          <cell r="A513"/>
          <cell r="B513"/>
          <cell r="C513"/>
          <cell r="D513"/>
        </row>
        <row r="514">
          <cell r="A514"/>
          <cell r="B514"/>
          <cell r="C514"/>
          <cell r="D514"/>
        </row>
        <row r="515">
          <cell r="A515"/>
          <cell r="B515"/>
          <cell r="C515"/>
          <cell r="D515"/>
        </row>
        <row r="516">
          <cell r="A516"/>
          <cell r="B516"/>
          <cell r="C516"/>
          <cell r="D516"/>
        </row>
        <row r="517">
          <cell r="A517"/>
          <cell r="B517"/>
          <cell r="C517"/>
          <cell r="D517"/>
        </row>
        <row r="524">
          <cell r="A524"/>
          <cell r="B524"/>
          <cell r="C524"/>
          <cell r="D524"/>
        </row>
        <row r="525">
          <cell r="A525"/>
          <cell r="B525"/>
          <cell r="C525"/>
          <cell r="D525"/>
        </row>
        <row r="526">
          <cell r="A526"/>
          <cell r="B526"/>
          <cell r="C526"/>
          <cell r="D526"/>
        </row>
        <row r="527">
          <cell r="A527"/>
          <cell r="B527"/>
          <cell r="C527"/>
          <cell r="D527"/>
        </row>
        <row r="528">
          <cell r="A528"/>
          <cell r="B528"/>
          <cell r="C528"/>
          <cell r="D528"/>
        </row>
        <row r="529">
          <cell r="A529"/>
          <cell r="B529"/>
          <cell r="C529"/>
          <cell r="D529"/>
        </row>
        <row r="530">
          <cell r="A530"/>
          <cell r="B530"/>
          <cell r="C530"/>
          <cell r="D530"/>
        </row>
        <row r="531">
          <cell r="A531"/>
          <cell r="B531"/>
          <cell r="C531"/>
          <cell r="D531"/>
        </row>
        <row r="532">
          <cell r="A532"/>
          <cell r="B532"/>
          <cell r="C532"/>
          <cell r="D532"/>
        </row>
        <row r="533">
          <cell r="A533"/>
          <cell r="B533"/>
          <cell r="C533"/>
          <cell r="D533"/>
        </row>
        <row r="534">
          <cell r="A534"/>
          <cell r="B534"/>
          <cell r="C534"/>
          <cell r="D534"/>
        </row>
        <row r="535">
          <cell r="A535"/>
          <cell r="B535"/>
          <cell r="C535"/>
          <cell r="D535"/>
        </row>
        <row r="536">
          <cell r="A536"/>
          <cell r="B536"/>
          <cell r="C536"/>
          <cell r="D536"/>
        </row>
        <row r="537">
          <cell r="A537"/>
          <cell r="B537"/>
          <cell r="C537"/>
          <cell r="D537"/>
        </row>
        <row r="538">
          <cell r="A538"/>
          <cell r="B538"/>
          <cell r="C538"/>
          <cell r="D538"/>
        </row>
        <row r="539">
          <cell r="A539"/>
          <cell r="B539"/>
          <cell r="C539"/>
          <cell r="D539"/>
        </row>
        <row r="540">
          <cell r="A540"/>
          <cell r="B540"/>
          <cell r="C540"/>
          <cell r="D540"/>
        </row>
        <row r="541">
          <cell r="A541"/>
          <cell r="B541"/>
          <cell r="C541"/>
          <cell r="D541"/>
        </row>
        <row r="542">
          <cell r="A542"/>
          <cell r="B542"/>
          <cell r="C542"/>
          <cell r="D542"/>
        </row>
        <row r="543">
          <cell r="A543"/>
          <cell r="B543"/>
          <cell r="C543"/>
          <cell r="D543"/>
        </row>
        <row r="544">
          <cell r="A544"/>
          <cell r="B544"/>
          <cell r="C544"/>
          <cell r="D544"/>
        </row>
        <row r="545">
          <cell r="A545"/>
          <cell r="B545"/>
          <cell r="C545"/>
          <cell r="D545"/>
        </row>
        <row r="546">
          <cell r="A546"/>
          <cell r="B546"/>
          <cell r="C546"/>
          <cell r="D546"/>
        </row>
        <row r="547">
          <cell r="A547"/>
          <cell r="B547"/>
          <cell r="C547"/>
          <cell r="D547"/>
        </row>
        <row r="548">
          <cell r="A548"/>
          <cell r="B548"/>
          <cell r="C548"/>
          <cell r="D548"/>
        </row>
        <row r="549">
          <cell r="A549"/>
          <cell r="B549"/>
          <cell r="C549"/>
          <cell r="D549"/>
        </row>
        <row r="550">
          <cell r="A550"/>
          <cell r="B550"/>
          <cell r="C550"/>
          <cell r="D550"/>
        </row>
        <row r="551">
          <cell r="A551"/>
          <cell r="B551"/>
          <cell r="C551"/>
          <cell r="D551"/>
        </row>
        <row r="552">
          <cell r="A552"/>
          <cell r="B552"/>
          <cell r="C552"/>
          <cell r="D552"/>
        </row>
        <row r="553">
          <cell r="A553"/>
          <cell r="B553"/>
          <cell r="C553"/>
          <cell r="D553"/>
        </row>
        <row r="554">
          <cell r="A554"/>
          <cell r="B554"/>
          <cell r="C554"/>
          <cell r="D554"/>
        </row>
        <row r="555">
          <cell r="A555"/>
          <cell r="B555"/>
          <cell r="C555"/>
          <cell r="D555"/>
        </row>
        <row r="556">
          <cell r="A556"/>
          <cell r="B556"/>
          <cell r="C556"/>
          <cell r="D556"/>
        </row>
        <row r="557">
          <cell r="A557"/>
          <cell r="B557"/>
          <cell r="C557"/>
          <cell r="D557"/>
        </row>
        <row r="558">
          <cell r="A558"/>
          <cell r="B558"/>
          <cell r="C558"/>
          <cell r="D558"/>
        </row>
        <row r="559">
          <cell r="A559"/>
          <cell r="B559"/>
          <cell r="C559"/>
          <cell r="D559"/>
        </row>
        <row r="560">
          <cell r="A560"/>
          <cell r="B560"/>
          <cell r="C560"/>
          <cell r="D560"/>
        </row>
        <row r="561">
          <cell r="B561"/>
          <cell r="C561"/>
        </row>
        <row r="562">
          <cell r="B562"/>
          <cell r="C562"/>
        </row>
        <row r="563">
          <cell r="B563"/>
          <cell r="C563"/>
        </row>
        <row r="564">
          <cell r="B564"/>
          <cell r="C564"/>
        </row>
        <row r="565">
          <cell r="B565"/>
          <cell r="C565"/>
        </row>
        <row r="566">
          <cell r="B566"/>
          <cell r="C566"/>
        </row>
        <row r="567">
          <cell r="B567"/>
          <cell r="C567"/>
        </row>
        <row r="568">
          <cell r="B568"/>
          <cell r="C568"/>
        </row>
        <row r="569">
          <cell r="B569"/>
          <cell r="C569"/>
        </row>
        <row r="570">
          <cell r="B570"/>
          <cell r="C570"/>
        </row>
        <row r="571">
          <cell r="B571"/>
          <cell r="C571"/>
        </row>
        <row r="572">
          <cell r="B572"/>
          <cell r="C572"/>
        </row>
        <row r="573">
          <cell r="B573"/>
          <cell r="C573"/>
        </row>
        <row r="574">
          <cell r="B574"/>
          <cell r="C574"/>
        </row>
        <row r="575">
          <cell r="B575"/>
          <cell r="C575"/>
        </row>
        <row r="576">
          <cell r="B576"/>
          <cell r="C576"/>
        </row>
        <row r="577">
          <cell r="B577"/>
          <cell r="C577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ll Warehouses"/>
      <sheetName val="Sheet1"/>
      <sheetName val="Sheet2"/>
      <sheetName val="Monthly.Tasks"/>
      <sheetName val="400 Stock Tiers"/>
      <sheetName val="501 Stock Tiers"/>
      <sheetName val="555 Stock Tiers"/>
      <sheetName val="701 Stock Tiers"/>
      <sheetName val="Not.Available"/>
      <sheetName val="SKU.LIST"/>
      <sheetName val="MSRP"/>
      <sheetName val="DATA"/>
      <sheetName val="FLOOR PLANS"/>
      <sheetName val="Step.Deck"/>
      <sheetName val="TIERS"/>
    </sheetNames>
    <sheetDataSet>
      <sheetData sheetId="0">
        <row r="2">
          <cell r="B2" t="str">
            <v>SKU LIST BY WAREHOUSE</v>
          </cell>
          <cell r="C2"/>
          <cell r="D2" t="str">
            <v>Warehouses &amp; Tier Description</v>
          </cell>
          <cell r="E2"/>
          <cell r="F2"/>
          <cell r="G2"/>
          <cell r="H2"/>
          <cell r="I2"/>
        </row>
        <row r="3">
          <cell r="B3"/>
          <cell r="C3"/>
          <cell r="D3" t="str">
            <v>Tier 1 = Stock (2 -3 weeks)</v>
          </cell>
          <cell r="E3"/>
          <cell r="F3"/>
          <cell r="G3" t="str">
            <v>Tier 2 = 6-8 weeks</v>
          </cell>
          <cell r="H3"/>
          <cell r="I3"/>
          <cell r="J3"/>
        </row>
        <row r="4">
          <cell r="B4"/>
          <cell r="C4"/>
          <cell r="D4" t="str">
            <v>Tier 3 = 10-12 weeks</v>
          </cell>
          <cell r="E4"/>
          <cell r="F4"/>
          <cell r="G4"/>
          <cell r="H4"/>
          <cell r="I4"/>
          <cell r="J4"/>
        </row>
        <row r="5">
          <cell r="B5"/>
          <cell r="C5"/>
          <cell r="D5"/>
          <cell r="E5"/>
          <cell r="F5"/>
          <cell r="G5"/>
          <cell r="H5"/>
          <cell r="I5"/>
        </row>
        <row r="6">
          <cell r="B6">
            <v>832</v>
          </cell>
          <cell r="C6"/>
          <cell r="D6"/>
          <cell r="E6"/>
          <cell r="F6"/>
          <cell r="G6"/>
          <cell r="H6"/>
          <cell r="I6"/>
        </row>
        <row r="7">
          <cell r="B7" t="str">
            <v>Item Code</v>
          </cell>
          <cell r="C7" t="str">
            <v>Item Description                             n/a  = not available</v>
          </cell>
          <cell r="D7">
            <v>400</v>
          </cell>
          <cell r="E7">
            <v>501</v>
          </cell>
          <cell r="F7">
            <v>555</v>
          </cell>
          <cell r="G7">
            <v>701</v>
          </cell>
          <cell r="H7">
            <v>603</v>
          </cell>
          <cell r="I7">
            <v>601</v>
          </cell>
        </row>
        <row r="8">
          <cell r="B8" t="str">
            <v>10CH-16</v>
          </cell>
          <cell r="C8" t="str">
            <v>SRAMPS, SPMT</v>
          </cell>
          <cell r="D8" t="str">
            <v>N/A</v>
          </cell>
          <cell r="E8">
            <v>4</v>
          </cell>
          <cell r="F8" t="str">
            <v>N/A</v>
          </cell>
          <cell r="G8" t="str">
            <v>N/A</v>
          </cell>
          <cell r="H8" t="str">
            <v>N/A</v>
          </cell>
          <cell r="I8">
            <v>3</v>
          </cell>
        </row>
        <row r="9">
          <cell r="B9" t="str">
            <v>10CH-18</v>
          </cell>
          <cell r="C9" t="str">
            <v>SRAMPS, SPMT</v>
          </cell>
          <cell r="D9" t="str">
            <v>N/A</v>
          </cell>
          <cell r="E9">
            <v>3</v>
          </cell>
          <cell r="F9" t="str">
            <v>N/A</v>
          </cell>
          <cell r="G9" t="str">
            <v>N/A</v>
          </cell>
          <cell r="H9" t="str">
            <v>N/A</v>
          </cell>
          <cell r="I9">
            <v>3</v>
          </cell>
        </row>
        <row r="10">
          <cell r="B10" t="str">
            <v>10CH-18BK5FUR</v>
          </cell>
          <cell r="C10" t="str">
            <v>Flat Deck, 5FUR</v>
          </cell>
          <cell r="D10" t="str">
            <v>N/A</v>
          </cell>
          <cell r="E10">
            <v>3</v>
          </cell>
          <cell r="F10" t="str">
            <v>N/A</v>
          </cell>
          <cell r="G10" t="str">
            <v>N/A</v>
          </cell>
          <cell r="H10" t="str">
            <v>N/A</v>
          </cell>
          <cell r="I10">
            <v>3</v>
          </cell>
        </row>
        <row r="11">
          <cell r="B11" t="str">
            <v>10CH-18BKDT</v>
          </cell>
          <cell r="C11" t="str">
            <v>DT, SRAMPS, SPMT</v>
          </cell>
          <cell r="D11" t="str">
            <v>N/A</v>
          </cell>
          <cell r="E11">
            <v>2</v>
          </cell>
          <cell r="F11" t="str">
            <v>N/A</v>
          </cell>
          <cell r="G11" t="str">
            <v>N/A</v>
          </cell>
          <cell r="H11" t="str">
            <v>N/A</v>
          </cell>
          <cell r="I11">
            <v>2</v>
          </cell>
        </row>
        <row r="12">
          <cell r="B12" t="str">
            <v>10CH-18BKDT5FUR</v>
          </cell>
          <cell r="C12" t="str">
            <v>DT, 5FUR, SPMT</v>
          </cell>
          <cell r="D12" t="str">
            <v>N/A</v>
          </cell>
          <cell r="E12">
            <v>4</v>
          </cell>
          <cell r="F12">
            <v>4</v>
          </cell>
          <cell r="G12" t="str">
            <v>N/A</v>
          </cell>
          <cell r="H12" t="str">
            <v>N/A</v>
          </cell>
          <cell r="I12">
            <v>4</v>
          </cell>
        </row>
        <row r="13">
          <cell r="B13" t="str">
            <v>10CH-20</v>
          </cell>
          <cell r="C13" t="str">
            <v>SRAMPS, SPMT</v>
          </cell>
          <cell r="D13" t="str">
            <v>N/A</v>
          </cell>
          <cell r="E13">
            <v>3</v>
          </cell>
          <cell r="F13" t="str">
            <v>N/A</v>
          </cell>
          <cell r="G13" t="str">
            <v>N/A</v>
          </cell>
          <cell r="H13" t="str">
            <v>N/A</v>
          </cell>
          <cell r="I13">
            <v>3</v>
          </cell>
        </row>
        <row r="14">
          <cell r="B14" t="str">
            <v>10CH-20BK</v>
          </cell>
          <cell r="C14" t="str">
            <v>SRAMPS, SPMT</v>
          </cell>
          <cell r="D14" t="str">
            <v>N/A</v>
          </cell>
          <cell r="E14">
            <v>3</v>
          </cell>
          <cell r="F14" t="str">
            <v>N/A</v>
          </cell>
          <cell r="G14" t="str">
            <v>N/A</v>
          </cell>
          <cell r="H14" t="str">
            <v>N/A</v>
          </cell>
          <cell r="I14">
            <v>3</v>
          </cell>
        </row>
        <row r="15">
          <cell r="B15" t="str">
            <v>10CH-20BK5FUR</v>
          </cell>
          <cell r="C15" t="str">
            <v>Flat Deck, 5FUR</v>
          </cell>
          <cell r="D15" t="str">
            <v>N/A</v>
          </cell>
          <cell r="E15">
            <v>3</v>
          </cell>
          <cell r="F15" t="str">
            <v>N/A</v>
          </cell>
          <cell r="G15" t="str">
            <v>N/A</v>
          </cell>
          <cell r="H15" t="str">
            <v>N/A</v>
          </cell>
          <cell r="I15">
            <v>3</v>
          </cell>
        </row>
        <row r="16">
          <cell r="B16" t="str">
            <v>10CH-20BKDT</v>
          </cell>
          <cell r="C16" t="str">
            <v>DT, SRAMPS, SPMT</v>
          </cell>
          <cell r="D16" t="str">
            <v>N/A</v>
          </cell>
          <cell r="E16">
            <v>2</v>
          </cell>
          <cell r="F16" t="str">
            <v>N/A</v>
          </cell>
          <cell r="G16" t="str">
            <v>N/A</v>
          </cell>
          <cell r="H16" t="str">
            <v>N/A</v>
          </cell>
          <cell r="I16">
            <v>2</v>
          </cell>
        </row>
        <row r="17">
          <cell r="B17" t="str">
            <v>10CH-20BKDT5FUR</v>
          </cell>
          <cell r="C17" t="str">
            <v>DT, 5FUR, SPMT</v>
          </cell>
          <cell r="D17" t="str">
            <v>N/A</v>
          </cell>
          <cell r="E17">
            <v>4</v>
          </cell>
          <cell r="F17" t="str">
            <v>N/A</v>
          </cell>
          <cell r="G17" t="str">
            <v>N/A</v>
          </cell>
          <cell r="H17" t="str">
            <v>N/A</v>
          </cell>
          <cell r="I17">
            <v>4</v>
          </cell>
        </row>
        <row r="18">
          <cell r="B18" t="str">
            <v>10DM-18</v>
          </cell>
          <cell r="C18"/>
          <cell r="D18" t="str">
            <v>N/A</v>
          </cell>
          <cell r="E18">
            <v>3</v>
          </cell>
          <cell r="F18" t="str">
            <v>N/A</v>
          </cell>
          <cell r="G18" t="str">
            <v>N/A</v>
          </cell>
          <cell r="H18" t="str">
            <v>N/A</v>
          </cell>
          <cell r="I18" t="str">
            <v>N/A</v>
          </cell>
        </row>
        <row r="19">
          <cell r="B19" t="str">
            <v>10DM-18BK</v>
          </cell>
          <cell r="C19"/>
          <cell r="D19" t="str">
            <v>N/A</v>
          </cell>
          <cell r="E19">
            <v>3</v>
          </cell>
          <cell r="F19" t="str">
            <v>N/A</v>
          </cell>
          <cell r="G19" t="str">
            <v>N/A</v>
          </cell>
          <cell r="H19" t="str">
            <v>N/A</v>
          </cell>
          <cell r="I19" t="str">
            <v>N/A</v>
          </cell>
        </row>
        <row r="20">
          <cell r="B20" t="str">
            <v>10DM-20</v>
          </cell>
          <cell r="C20"/>
          <cell r="D20" t="str">
            <v>N/A</v>
          </cell>
          <cell r="E20">
            <v>3</v>
          </cell>
          <cell r="F20" t="str">
            <v>N/A</v>
          </cell>
          <cell r="G20" t="str">
            <v>N/A</v>
          </cell>
          <cell r="H20" t="str">
            <v>N/A</v>
          </cell>
          <cell r="I20" t="str">
            <v>N/A</v>
          </cell>
        </row>
        <row r="21">
          <cell r="B21" t="str">
            <v>10DM-20BK</v>
          </cell>
          <cell r="C21"/>
          <cell r="D21" t="str">
            <v>N/A</v>
          </cell>
          <cell r="E21">
            <v>2</v>
          </cell>
          <cell r="F21" t="str">
            <v>N/A</v>
          </cell>
          <cell r="G21" t="str">
            <v>N/A</v>
          </cell>
          <cell r="H21" t="str">
            <v>N/A</v>
          </cell>
          <cell r="I21" t="str">
            <v>N/A</v>
          </cell>
        </row>
        <row r="22">
          <cell r="B22" t="str">
            <v>10DM-22</v>
          </cell>
          <cell r="C22"/>
          <cell r="D22" t="str">
            <v>N/A</v>
          </cell>
          <cell r="E22">
            <v>4</v>
          </cell>
          <cell r="F22" t="str">
            <v>N/A</v>
          </cell>
          <cell r="G22" t="str">
            <v>N/A</v>
          </cell>
          <cell r="H22" t="str">
            <v>N/A</v>
          </cell>
          <cell r="I22" t="str">
            <v>N/A</v>
          </cell>
        </row>
        <row r="23">
          <cell r="B23" t="str">
            <v>10DM-22BK</v>
          </cell>
          <cell r="C23"/>
          <cell r="D23" t="str">
            <v>N/A</v>
          </cell>
          <cell r="E23">
            <v>4</v>
          </cell>
          <cell r="F23" t="str">
            <v>N/A</v>
          </cell>
          <cell r="G23" t="str">
            <v>N/A</v>
          </cell>
          <cell r="H23" t="str">
            <v>N/A</v>
          </cell>
          <cell r="I23" t="str">
            <v>N/A</v>
          </cell>
        </row>
        <row r="24">
          <cell r="B24" t="str">
            <v>10ET-18BK-KR</v>
          </cell>
          <cell r="C24" t="str">
            <v>3' DT, 5' FUR</v>
          </cell>
          <cell r="D24" t="str">
            <v>N/A</v>
          </cell>
          <cell r="E24">
            <v>4</v>
          </cell>
          <cell r="F24" t="str">
            <v>N/A</v>
          </cell>
          <cell r="G24" t="str">
            <v>N/A</v>
          </cell>
          <cell r="H24" t="str">
            <v>N/A</v>
          </cell>
          <cell r="I24">
            <v>4</v>
          </cell>
        </row>
        <row r="25">
          <cell r="B25" t="str">
            <v>10ET-18BK-MR</v>
          </cell>
          <cell r="C25" t="str">
            <v>3' DT, Mega Ramps</v>
          </cell>
          <cell r="D25" t="str">
            <v>N/A</v>
          </cell>
          <cell r="E25">
            <v>4</v>
          </cell>
          <cell r="F25" t="str">
            <v>N/A</v>
          </cell>
          <cell r="G25" t="str">
            <v>N/A</v>
          </cell>
          <cell r="H25" t="str">
            <v>N/A</v>
          </cell>
          <cell r="I25">
            <v>4</v>
          </cell>
        </row>
        <row r="26">
          <cell r="B26" t="str">
            <v>10ET-18KR</v>
          </cell>
          <cell r="C26"/>
          <cell r="D26" t="str">
            <v>N/A</v>
          </cell>
          <cell r="E26">
            <v>4</v>
          </cell>
          <cell r="F26" t="str">
            <v>N/A</v>
          </cell>
          <cell r="G26" t="str">
            <v>N/A</v>
          </cell>
          <cell r="H26" t="str">
            <v>N/A</v>
          </cell>
          <cell r="I26">
            <v>4</v>
          </cell>
        </row>
        <row r="27">
          <cell r="B27" t="str">
            <v>10ET-20BK-KR</v>
          </cell>
          <cell r="C27" t="str">
            <v>3' DT, 5' FUR</v>
          </cell>
          <cell r="D27" t="str">
            <v>N/A</v>
          </cell>
          <cell r="E27">
            <v>4</v>
          </cell>
          <cell r="F27" t="str">
            <v>N/A</v>
          </cell>
          <cell r="G27" t="str">
            <v>N/A</v>
          </cell>
          <cell r="H27" t="str">
            <v>N/A</v>
          </cell>
          <cell r="I27">
            <v>4</v>
          </cell>
        </row>
        <row r="28">
          <cell r="B28" t="str">
            <v>10ET-20BK-MR</v>
          </cell>
          <cell r="C28" t="str">
            <v>3' DT, Mega Ramps</v>
          </cell>
          <cell r="D28" t="str">
            <v>N/A</v>
          </cell>
          <cell r="E28">
            <v>4</v>
          </cell>
          <cell r="F28" t="str">
            <v>N/A</v>
          </cell>
          <cell r="G28" t="str">
            <v>N/A</v>
          </cell>
          <cell r="H28" t="str">
            <v>N/A</v>
          </cell>
          <cell r="I28">
            <v>4</v>
          </cell>
        </row>
        <row r="29">
          <cell r="B29" t="str">
            <v>10ET-20KR</v>
          </cell>
          <cell r="C29"/>
          <cell r="D29" t="str">
            <v>N/A</v>
          </cell>
          <cell r="E29">
            <v>4</v>
          </cell>
          <cell r="F29" t="str">
            <v>N/A</v>
          </cell>
          <cell r="G29" t="str">
            <v>N/A</v>
          </cell>
          <cell r="H29" t="str">
            <v>N/A</v>
          </cell>
          <cell r="I29">
            <v>4</v>
          </cell>
        </row>
        <row r="30">
          <cell r="B30" t="str">
            <v>10LR-18</v>
          </cell>
          <cell r="C30" t="str">
            <v>Discontinued SKU</v>
          </cell>
          <cell r="D30" t="str">
            <v>N/A</v>
          </cell>
          <cell r="E30">
            <v>4</v>
          </cell>
          <cell r="F30" t="str">
            <v>N/A</v>
          </cell>
          <cell r="G30" t="str">
            <v>N/A</v>
          </cell>
          <cell r="H30" t="str">
            <v>N/A</v>
          </cell>
          <cell r="I30">
            <v>4</v>
          </cell>
        </row>
        <row r="31">
          <cell r="B31" t="str">
            <v>10LR-18BK</v>
          </cell>
          <cell r="C31" t="str">
            <v>RLB, WERack, ENEX2</v>
          </cell>
          <cell r="D31" t="str">
            <v>N/A</v>
          </cell>
          <cell r="E31">
            <v>4</v>
          </cell>
          <cell r="F31" t="str">
            <v>N/A</v>
          </cell>
          <cell r="G31" t="str">
            <v>N/A</v>
          </cell>
          <cell r="H31" t="str">
            <v>N/A</v>
          </cell>
          <cell r="I31">
            <v>4</v>
          </cell>
        </row>
        <row r="32">
          <cell r="B32" t="str">
            <v>10LR-18BK-P4</v>
          </cell>
          <cell r="C32" t="str">
            <v>RLB, WERack, ENEX4</v>
          </cell>
          <cell r="D32" t="str">
            <v>N/A</v>
          </cell>
          <cell r="E32">
            <v>4</v>
          </cell>
          <cell r="F32" t="str">
            <v>N/A</v>
          </cell>
          <cell r="G32" t="str">
            <v>N/A</v>
          </cell>
          <cell r="H32" t="str">
            <v>N/A</v>
          </cell>
          <cell r="I32">
            <v>4</v>
          </cell>
        </row>
        <row r="33">
          <cell r="B33" t="str">
            <v>10LR-20</v>
          </cell>
          <cell r="C33" t="str">
            <v>Discontinued SKU</v>
          </cell>
          <cell r="D33" t="str">
            <v>N/A</v>
          </cell>
          <cell r="E33">
            <v>4</v>
          </cell>
          <cell r="F33" t="str">
            <v>N/A</v>
          </cell>
          <cell r="G33" t="str">
            <v>N/A</v>
          </cell>
          <cell r="H33" t="str">
            <v>N/A</v>
          </cell>
          <cell r="I33">
            <v>4</v>
          </cell>
        </row>
        <row r="34">
          <cell r="B34" t="str">
            <v>10LR-20BK</v>
          </cell>
          <cell r="C34" t="str">
            <v>RLB, WERack, ENEX2</v>
          </cell>
          <cell r="D34" t="str">
            <v>N/A</v>
          </cell>
          <cell r="E34">
            <v>4</v>
          </cell>
          <cell r="F34" t="str">
            <v>N/A</v>
          </cell>
          <cell r="G34" t="str">
            <v>N/A</v>
          </cell>
          <cell r="H34" t="str">
            <v>N/A</v>
          </cell>
          <cell r="I34">
            <v>4</v>
          </cell>
        </row>
        <row r="35">
          <cell r="B35" t="str">
            <v>10LR-20BK-P4</v>
          </cell>
          <cell r="C35" t="str">
            <v>RLB, WERack, ENEX4</v>
          </cell>
          <cell r="D35" t="str">
            <v>N/A</v>
          </cell>
          <cell r="E35">
            <v>4</v>
          </cell>
          <cell r="F35" t="str">
            <v>N/A</v>
          </cell>
          <cell r="G35" t="str">
            <v>N/A</v>
          </cell>
          <cell r="H35" t="str">
            <v>N/A</v>
          </cell>
          <cell r="I35">
            <v>4</v>
          </cell>
        </row>
        <row r="36">
          <cell r="B36" t="str">
            <v>10LX-12C2A</v>
          </cell>
          <cell r="C36" t="str">
            <v>6SIR, TARP</v>
          </cell>
          <cell r="D36">
            <v>2</v>
          </cell>
          <cell r="E36" t="str">
            <v>N/A</v>
          </cell>
          <cell r="F36" t="str">
            <v>N/A</v>
          </cell>
          <cell r="G36" t="str">
            <v>N/A</v>
          </cell>
          <cell r="H36" t="str">
            <v>N/A</v>
          </cell>
          <cell r="I36">
            <v>2</v>
          </cell>
        </row>
        <row r="37">
          <cell r="B37" t="str">
            <v>10LX-12C2A-BK</v>
          </cell>
          <cell r="C37" t="str">
            <v>6SIR, TARP</v>
          </cell>
          <cell r="D37">
            <v>2</v>
          </cell>
          <cell r="E37" t="str">
            <v>N/A</v>
          </cell>
          <cell r="F37" t="str">
            <v>N/A</v>
          </cell>
          <cell r="G37" t="str">
            <v>N/A</v>
          </cell>
          <cell r="H37" t="str">
            <v>N/A</v>
          </cell>
          <cell r="I37">
            <v>2</v>
          </cell>
        </row>
        <row r="38">
          <cell r="B38" t="str">
            <v>10PI-12</v>
          </cell>
          <cell r="C38"/>
          <cell r="D38" t="str">
            <v>N/A</v>
          </cell>
          <cell r="E38">
            <v>4</v>
          </cell>
          <cell r="F38" t="str">
            <v>N/A</v>
          </cell>
          <cell r="G38" t="str">
            <v>N/A</v>
          </cell>
          <cell r="H38" t="str">
            <v>N/A</v>
          </cell>
          <cell r="I38">
            <v>4</v>
          </cell>
        </row>
        <row r="39">
          <cell r="B39" t="str">
            <v>10PI-16</v>
          </cell>
          <cell r="C39"/>
          <cell r="D39" t="str">
            <v>N/A</v>
          </cell>
          <cell r="E39">
            <v>3</v>
          </cell>
          <cell r="F39" t="str">
            <v>N/A</v>
          </cell>
          <cell r="G39" t="str">
            <v>N/A</v>
          </cell>
          <cell r="H39" t="str">
            <v>N/A</v>
          </cell>
          <cell r="I39">
            <v>4</v>
          </cell>
        </row>
        <row r="40">
          <cell r="B40" t="str">
            <v>10PI-16BK</v>
          </cell>
          <cell r="C40"/>
          <cell r="D40" t="str">
            <v>N/A</v>
          </cell>
          <cell r="E40">
            <v>3</v>
          </cell>
          <cell r="F40" t="str">
            <v>N/A</v>
          </cell>
          <cell r="G40" t="str">
            <v>N/A</v>
          </cell>
          <cell r="H40" t="str">
            <v>N/A</v>
          </cell>
          <cell r="I40">
            <v>3</v>
          </cell>
        </row>
        <row r="41">
          <cell r="B41" t="str">
            <v>10PI-16BK4HDIR</v>
          </cell>
          <cell r="C41" t="str">
            <v>4' HDIRG</v>
          </cell>
          <cell r="D41" t="str">
            <v>N/A</v>
          </cell>
          <cell r="E41">
            <v>3</v>
          </cell>
          <cell r="F41" t="str">
            <v>N/A</v>
          </cell>
          <cell r="G41" t="str">
            <v>N/A</v>
          </cell>
          <cell r="H41" t="str">
            <v>N/A</v>
          </cell>
          <cell r="I41">
            <v>3</v>
          </cell>
        </row>
        <row r="42">
          <cell r="B42" t="str">
            <v>10PI-16BK5FUR</v>
          </cell>
          <cell r="C42" t="str">
            <v>FUR5</v>
          </cell>
          <cell r="D42" t="str">
            <v>N/A</v>
          </cell>
          <cell r="E42">
            <v>3</v>
          </cell>
          <cell r="F42" t="str">
            <v>N/A</v>
          </cell>
          <cell r="G42" t="str">
            <v>N/A</v>
          </cell>
          <cell r="H42" t="str">
            <v>N/A</v>
          </cell>
          <cell r="I42">
            <v>3</v>
          </cell>
        </row>
        <row r="43">
          <cell r="B43" t="str">
            <v>10PI-18</v>
          </cell>
          <cell r="C43"/>
          <cell r="D43" t="str">
            <v>N/A</v>
          </cell>
          <cell r="E43">
            <v>3</v>
          </cell>
          <cell r="F43" t="str">
            <v>N/A</v>
          </cell>
          <cell r="G43" t="str">
            <v>N/A</v>
          </cell>
          <cell r="H43" t="str">
            <v>N/A</v>
          </cell>
          <cell r="I43">
            <v>3</v>
          </cell>
        </row>
        <row r="44">
          <cell r="B44" t="str">
            <v>10PI-18BK</v>
          </cell>
          <cell r="C44"/>
          <cell r="D44" t="str">
            <v>N/A</v>
          </cell>
          <cell r="E44">
            <v>2</v>
          </cell>
          <cell r="F44" t="str">
            <v>N/A</v>
          </cell>
          <cell r="G44" t="str">
            <v>N/A</v>
          </cell>
          <cell r="H44" t="str">
            <v>N/A</v>
          </cell>
          <cell r="I44">
            <v>3</v>
          </cell>
        </row>
        <row r="45">
          <cell r="B45" t="str">
            <v>10PI-18BK4HDIR</v>
          </cell>
          <cell r="C45" t="str">
            <v>4' HDIRG</v>
          </cell>
          <cell r="D45" t="str">
            <v>N/A</v>
          </cell>
          <cell r="E45">
            <v>3</v>
          </cell>
          <cell r="F45" t="str">
            <v>N/A</v>
          </cell>
          <cell r="G45" t="str">
            <v>N/A</v>
          </cell>
          <cell r="H45" t="str">
            <v>N/A</v>
          </cell>
          <cell r="I45">
            <v>3</v>
          </cell>
        </row>
        <row r="46">
          <cell r="B46" t="str">
            <v>10PI-18BK5FUR</v>
          </cell>
          <cell r="C46" t="str">
            <v>FUR5</v>
          </cell>
          <cell r="D46" t="str">
            <v>N/A</v>
          </cell>
          <cell r="E46">
            <v>3</v>
          </cell>
          <cell r="F46" t="str">
            <v>N/A</v>
          </cell>
          <cell r="G46" t="str">
            <v>N/A</v>
          </cell>
          <cell r="H46" t="str">
            <v>N/A</v>
          </cell>
          <cell r="I46">
            <v>3</v>
          </cell>
        </row>
        <row r="47">
          <cell r="B47" t="str">
            <v>10PI-20</v>
          </cell>
          <cell r="C47"/>
          <cell r="D47" t="str">
            <v>N/A</v>
          </cell>
          <cell r="E47">
            <v>3</v>
          </cell>
          <cell r="F47" t="str">
            <v>N/A</v>
          </cell>
          <cell r="G47" t="str">
            <v>N/A</v>
          </cell>
          <cell r="H47" t="str">
            <v>N/A</v>
          </cell>
          <cell r="I47">
            <v>3</v>
          </cell>
        </row>
        <row r="48">
          <cell r="B48" t="str">
            <v>10PI-20BK</v>
          </cell>
          <cell r="C48"/>
          <cell r="D48" t="str">
            <v>N/A</v>
          </cell>
          <cell r="E48">
            <v>2</v>
          </cell>
          <cell r="F48" t="str">
            <v>N/A</v>
          </cell>
          <cell r="G48" t="str">
            <v>N/A</v>
          </cell>
          <cell r="H48" t="str">
            <v>N/A</v>
          </cell>
          <cell r="I48">
            <v>3</v>
          </cell>
        </row>
        <row r="49">
          <cell r="B49" t="str">
            <v>10PI-20BK4HDIR</v>
          </cell>
          <cell r="C49" t="str">
            <v>4' HDIRG</v>
          </cell>
          <cell r="D49" t="str">
            <v>N/A</v>
          </cell>
          <cell r="E49">
            <v>3</v>
          </cell>
          <cell r="F49" t="str">
            <v>N/A</v>
          </cell>
          <cell r="G49" t="str">
            <v>N/A</v>
          </cell>
          <cell r="H49" t="str">
            <v>N/A</v>
          </cell>
          <cell r="I49">
            <v>3</v>
          </cell>
        </row>
        <row r="50">
          <cell r="B50" t="str">
            <v>10PI-20BK5FUR</v>
          </cell>
          <cell r="C50" t="str">
            <v>FUR5</v>
          </cell>
          <cell r="D50" t="str">
            <v>N/A</v>
          </cell>
          <cell r="E50">
            <v>3</v>
          </cell>
          <cell r="F50" t="str">
            <v>N/A</v>
          </cell>
          <cell r="G50" t="str">
            <v>N/A</v>
          </cell>
          <cell r="H50" t="str">
            <v>N/A</v>
          </cell>
          <cell r="I50">
            <v>3</v>
          </cell>
        </row>
        <row r="51">
          <cell r="B51" t="str">
            <v>10TV-16</v>
          </cell>
          <cell r="C51"/>
          <cell r="D51" t="str">
            <v>N/A</v>
          </cell>
          <cell r="E51">
            <v>4</v>
          </cell>
          <cell r="F51" t="str">
            <v>N/A</v>
          </cell>
          <cell r="G51" t="str">
            <v>N/A</v>
          </cell>
          <cell r="H51" t="str">
            <v>N/A</v>
          </cell>
          <cell r="I51">
            <v>4</v>
          </cell>
        </row>
        <row r="52">
          <cell r="B52" t="str">
            <v>10TV-16BK</v>
          </cell>
          <cell r="C52" t="str">
            <v>Vanguard, RG4, SPMT</v>
          </cell>
          <cell r="D52" t="str">
            <v>N/A</v>
          </cell>
          <cell r="E52">
            <v>4</v>
          </cell>
          <cell r="F52" t="str">
            <v>N/A</v>
          </cell>
          <cell r="G52" t="str">
            <v>N/A</v>
          </cell>
          <cell r="H52" t="str">
            <v>N/A</v>
          </cell>
          <cell r="I52">
            <v>4</v>
          </cell>
        </row>
        <row r="53">
          <cell r="B53" t="str">
            <v>10TV-18</v>
          </cell>
          <cell r="C53"/>
          <cell r="D53" t="str">
            <v>N/A</v>
          </cell>
          <cell r="E53">
            <v>3</v>
          </cell>
          <cell r="F53" t="str">
            <v>N/A</v>
          </cell>
          <cell r="G53" t="str">
            <v>N/A</v>
          </cell>
          <cell r="H53" t="str">
            <v>N/A</v>
          </cell>
          <cell r="I53" t="str">
            <v>N/A</v>
          </cell>
        </row>
        <row r="54">
          <cell r="B54" t="str">
            <v>10TV-18BK</v>
          </cell>
          <cell r="C54" t="str">
            <v>Vanguard, RG4, SPMT</v>
          </cell>
          <cell r="D54" t="str">
            <v>N/A</v>
          </cell>
          <cell r="E54">
            <v>3</v>
          </cell>
          <cell r="F54" t="str">
            <v>N/A</v>
          </cell>
          <cell r="G54" t="str">
            <v>N/A</v>
          </cell>
          <cell r="H54" t="str">
            <v>N/A</v>
          </cell>
          <cell r="I54">
            <v>3</v>
          </cell>
        </row>
        <row r="55">
          <cell r="B55" t="str">
            <v>10TV-20</v>
          </cell>
          <cell r="C55"/>
          <cell r="D55" t="str">
            <v>N/A</v>
          </cell>
          <cell r="E55">
            <v>3</v>
          </cell>
          <cell r="F55" t="str">
            <v>N/A</v>
          </cell>
          <cell r="G55" t="str">
            <v>N/A</v>
          </cell>
          <cell r="H55" t="str">
            <v>N/A</v>
          </cell>
          <cell r="I55" t="str">
            <v>N/A</v>
          </cell>
        </row>
        <row r="56">
          <cell r="B56" t="str">
            <v>10TV-20BK</v>
          </cell>
          <cell r="C56" t="str">
            <v>Vanguard, RG4, SPMT</v>
          </cell>
          <cell r="D56" t="str">
            <v>N/A</v>
          </cell>
          <cell r="E56">
            <v>3</v>
          </cell>
          <cell r="F56" t="str">
            <v>N/A</v>
          </cell>
          <cell r="G56" t="str">
            <v>N/A</v>
          </cell>
          <cell r="H56" t="str">
            <v>N/A</v>
          </cell>
          <cell r="I56">
            <v>3</v>
          </cell>
        </row>
        <row r="57">
          <cell r="B57" t="str">
            <v>12SR-12XLBK6SIR</v>
          </cell>
          <cell r="C57" t="str">
            <v>6SIR, SPMT, DISCONTINUED</v>
          </cell>
          <cell r="D57">
            <v>3</v>
          </cell>
          <cell r="E57" t="str">
            <v>N/A</v>
          </cell>
          <cell r="F57" t="str">
            <v>N/A</v>
          </cell>
          <cell r="G57" t="str">
            <v>N/A</v>
          </cell>
          <cell r="H57" t="str">
            <v>N/A</v>
          </cell>
          <cell r="I57">
            <v>3</v>
          </cell>
        </row>
        <row r="58">
          <cell r="B58" t="str">
            <v>13BN</v>
          </cell>
          <cell r="C58" t="str">
            <v>ROLLOFF BIN</v>
          </cell>
          <cell r="D58">
            <v>1</v>
          </cell>
          <cell r="E58" t="str">
            <v>N/A</v>
          </cell>
          <cell r="F58" t="str">
            <v>N/A</v>
          </cell>
          <cell r="G58" t="str">
            <v>N/A</v>
          </cell>
          <cell r="H58" t="str">
            <v>N/A</v>
          </cell>
          <cell r="I58" t="str">
            <v>N/A</v>
          </cell>
        </row>
        <row r="59">
          <cell r="B59" t="str">
            <v>14EB-18D2A</v>
          </cell>
          <cell r="C59"/>
          <cell r="D59" t="str">
            <v>N/A</v>
          </cell>
          <cell r="E59">
            <v>3</v>
          </cell>
          <cell r="F59" t="str">
            <v>N/A</v>
          </cell>
          <cell r="G59" t="str">
            <v>N/A</v>
          </cell>
          <cell r="H59" t="str">
            <v>N/A</v>
          </cell>
          <cell r="I59">
            <v>3</v>
          </cell>
        </row>
        <row r="60">
          <cell r="B60" t="str">
            <v>14EB-18D2A-KRBK</v>
          </cell>
          <cell r="C60" t="str">
            <v>DT, FUR5</v>
          </cell>
          <cell r="D60" t="str">
            <v>N/A</v>
          </cell>
          <cell r="E60">
            <v>2</v>
          </cell>
          <cell r="F60" t="str">
            <v>N/A</v>
          </cell>
          <cell r="G60" t="str">
            <v>N/A</v>
          </cell>
          <cell r="H60" t="str">
            <v>N/A</v>
          </cell>
          <cell r="I60">
            <v>2</v>
          </cell>
        </row>
        <row r="61">
          <cell r="B61" t="str">
            <v>14EB-20D2A</v>
          </cell>
          <cell r="C61"/>
          <cell r="D61" t="str">
            <v>N/A</v>
          </cell>
          <cell r="E61">
            <v>3</v>
          </cell>
          <cell r="F61" t="str">
            <v>N/A</v>
          </cell>
          <cell r="G61" t="str">
            <v>N/A</v>
          </cell>
          <cell r="H61" t="str">
            <v>N/A</v>
          </cell>
          <cell r="I61">
            <v>3</v>
          </cell>
        </row>
        <row r="62">
          <cell r="B62" t="str">
            <v>14EB-20D2A-KRBK</v>
          </cell>
          <cell r="C62" t="str">
            <v>DT, FUR5</v>
          </cell>
          <cell r="D62" t="str">
            <v>N/A</v>
          </cell>
          <cell r="E62">
            <v>1</v>
          </cell>
          <cell r="F62" t="str">
            <v>N/A</v>
          </cell>
          <cell r="G62" t="str">
            <v>N/A</v>
          </cell>
          <cell r="H62" t="str">
            <v>N/A</v>
          </cell>
          <cell r="I62">
            <v>1</v>
          </cell>
        </row>
        <row r="63">
          <cell r="B63" t="str">
            <v>14EB-22D2A</v>
          </cell>
          <cell r="C63"/>
          <cell r="D63" t="str">
            <v>N/A</v>
          </cell>
          <cell r="E63">
            <v>3</v>
          </cell>
          <cell r="F63" t="str">
            <v>N/A</v>
          </cell>
          <cell r="G63" t="str">
            <v>N/A</v>
          </cell>
          <cell r="H63" t="str">
            <v>N/A</v>
          </cell>
          <cell r="I63">
            <v>3</v>
          </cell>
        </row>
        <row r="64">
          <cell r="B64" t="str">
            <v>14EB-22D2A-KRBK</v>
          </cell>
          <cell r="C64" t="str">
            <v>DT, FUR5</v>
          </cell>
          <cell r="D64" t="str">
            <v>N/A</v>
          </cell>
          <cell r="E64">
            <v>1</v>
          </cell>
          <cell r="F64" t="str">
            <v>N/A</v>
          </cell>
          <cell r="G64" t="str">
            <v>N/A</v>
          </cell>
          <cell r="H64" t="str">
            <v>N/A</v>
          </cell>
          <cell r="I64">
            <v>1</v>
          </cell>
        </row>
        <row r="65">
          <cell r="B65" t="str">
            <v>14EH-16D3A</v>
          </cell>
          <cell r="C65"/>
          <cell r="D65" t="str">
            <v>N/A</v>
          </cell>
          <cell r="E65">
            <v>3</v>
          </cell>
          <cell r="F65" t="str">
            <v>N/A</v>
          </cell>
          <cell r="G65" t="str">
            <v>N/A</v>
          </cell>
          <cell r="H65" t="str">
            <v>N/A</v>
          </cell>
          <cell r="I65" t="str">
            <v>TF</v>
          </cell>
        </row>
        <row r="66">
          <cell r="B66" t="str">
            <v>14EH-16D3A-KRBK</v>
          </cell>
          <cell r="C66" t="str">
            <v>DT, KNEE RAMPS</v>
          </cell>
          <cell r="D66" t="str">
            <v>N/A</v>
          </cell>
          <cell r="E66">
            <v>3</v>
          </cell>
          <cell r="F66" t="str">
            <v>N/A</v>
          </cell>
          <cell r="G66" t="str">
            <v>N/A</v>
          </cell>
          <cell r="H66">
            <v>3</v>
          </cell>
          <cell r="I66">
            <v>3</v>
          </cell>
        </row>
        <row r="67">
          <cell r="B67" t="str">
            <v>14EH-16D3A-MRBK</v>
          </cell>
          <cell r="C67" t="str">
            <v>DT, MEGA RAMPS</v>
          </cell>
          <cell r="D67" t="str">
            <v>N/A</v>
          </cell>
          <cell r="E67">
            <v>3</v>
          </cell>
          <cell r="F67" t="str">
            <v>N/A</v>
          </cell>
          <cell r="G67" t="str">
            <v>N/A</v>
          </cell>
          <cell r="H67">
            <v>3</v>
          </cell>
          <cell r="I67">
            <v>3</v>
          </cell>
        </row>
        <row r="68">
          <cell r="B68" t="str">
            <v>14EH-18D3A</v>
          </cell>
          <cell r="C68"/>
          <cell r="D68" t="str">
            <v>N/A</v>
          </cell>
          <cell r="E68">
            <v>3</v>
          </cell>
          <cell r="F68" t="str">
            <v>N/A</v>
          </cell>
          <cell r="G68" t="str">
            <v>N/A</v>
          </cell>
          <cell r="H68" t="str">
            <v>N/A</v>
          </cell>
          <cell r="I68" t="str">
            <v>TF</v>
          </cell>
        </row>
        <row r="69">
          <cell r="B69" t="str">
            <v>14EH-18D3A-KRBK</v>
          </cell>
          <cell r="C69" t="str">
            <v>DT, KNEE RAMPS</v>
          </cell>
          <cell r="D69" t="str">
            <v>N/A</v>
          </cell>
          <cell r="E69">
            <v>3</v>
          </cell>
          <cell r="F69" t="str">
            <v>N/A</v>
          </cell>
          <cell r="G69" t="str">
            <v>N/A</v>
          </cell>
          <cell r="H69">
            <v>3</v>
          </cell>
          <cell r="I69">
            <v>3</v>
          </cell>
        </row>
        <row r="70">
          <cell r="B70" t="str">
            <v>14EH-18D3A-MRBK</v>
          </cell>
          <cell r="C70" t="str">
            <v>DT, MEGA RAMPS</v>
          </cell>
          <cell r="D70" t="str">
            <v>N/A</v>
          </cell>
          <cell r="E70">
            <v>1</v>
          </cell>
          <cell r="F70" t="str">
            <v>N/A</v>
          </cell>
          <cell r="G70" t="str">
            <v>N/A</v>
          </cell>
          <cell r="H70">
            <v>1</v>
          </cell>
          <cell r="I70">
            <v>1</v>
          </cell>
        </row>
        <row r="71">
          <cell r="B71" t="str">
            <v>14EH-20D3A</v>
          </cell>
          <cell r="C71"/>
          <cell r="D71" t="str">
            <v>N/A</v>
          </cell>
          <cell r="E71">
            <v>3</v>
          </cell>
          <cell r="F71" t="str">
            <v>N/A</v>
          </cell>
          <cell r="G71" t="str">
            <v>N/A</v>
          </cell>
          <cell r="H71" t="str">
            <v>N/A</v>
          </cell>
          <cell r="I71" t="str">
            <v>TF</v>
          </cell>
        </row>
        <row r="72">
          <cell r="B72" t="str">
            <v>14EH-20D3A-KRBK</v>
          </cell>
          <cell r="C72" t="str">
            <v>DT, KNEE RAMPS</v>
          </cell>
          <cell r="D72" t="str">
            <v>N/A</v>
          </cell>
          <cell r="E72">
            <v>3</v>
          </cell>
          <cell r="F72" t="str">
            <v>N/A</v>
          </cell>
          <cell r="G72" t="str">
            <v>N/A</v>
          </cell>
          <cell r="H72">
            <v>3</v>
          </cell>
          <cell r="I72">
            <v>3</v>
          </cell>
        </row>
        <row r="73">
          <cell r="B73" t="str">
            <v>14EH-20D3A-MRBK</v>
          </cell>
          <cell r="C73" t="str">
            <v>DT, MEGA RAMPS</v>
          </cell>
          <cell r="D73" t="str">
            <v>N/A</v>
          </cell>
          <cell r="E73">
            <v>1</v>
          </cell>
          <cell r="F73" t="str">
            <v>N/A</v>
          </cell>
          <cell r="G73" t="str">
            <v>N/A</v>
          </cell>
          <cell r="H73">
            <v>1</v>
          </cell>
          <cell r="I73">
            <v>1</v>
          </cell>
        </row>
        <row r="74">
          <cell r="B74" t="str">
            <v>14EH-22D3A</v>
          </cell>
          <cell r="C74"/>
          <cell r="D74" t="str">
            <v>N/A</v>
          </cell>
          <cell r="E74">
            <v>3</v>
          </cell>
          <cell r="F74" t="str">
            <v>N/A</v>
          </cell>
          <cell r="G74" t="str">
            <v>N/A</v>
          </cell>
          <cell r="H74" t="str">
            <v>N/A</v>
          </cell>
          <cell r="I74" t="str">
            <v>TF</v>
          </cell>
        </row>
        <row r="75">
          <cell r="B75" t="str">
            <v>14EH-22D3A-KRBK</v>
          </cell>
          <cell r="C75" t="str">
            <v>DT, KNEE RAMPS</v>
          </cell>
          <cell r="D75" t="str">
            <v>N/A</v>
          </cell>
          <cell r="E75">
            <v>3</v>
          </cell>
          <cell r="F75" t="str">
            <v>N/A</v>
          </cell>
          <cell r="G75" t="str">
            <v>N/A</v>
          </cell>
          <cell r="H75">
            <v>3</v>
          </cell>
          <cell r="I75">
            <v>3</v>
          </cell>
        </row>
        <row r="76">
          <cell r="B76" t="str">
            <v>14EH-22D3A-MRBK</v>
          </cell>
          <cell r="C76" t="str">
            <v>DT, MEGA RAMPS</v>
          </cell>
          <cell r="D76" t="str">
            <v>N/A</v>
          </cell>
          <cell r="E76">
            <v>1</v>
          </cell>
          <cell r="F76" t="str">
            <v>N/A</v>
          </cell>
          <cell r="G76" t="str">
            <v>N/A</v>
          </cell>
          <cell r="H76">
            <v>1</v>
          </cell>
          <cell r="I76">
            <v>1</v>
          </cell>
        </row>
        <row r="77">
          <cell r="B77" t="str">
            <v>14EH-24D3A</v>
          </cell>
          <cell r="C77"/>
          <cell r="D77" t="str">
            <v>N/A</v>
          </cell>
          <cell r="E77">
            <v>3</v>
          </cell>
          <cell r="F77" t="str">
            <v>N/A</v>
          </cell>
          <cell r="G77" t="str">
            <v>N/A</v>
          </cell>
          <cell r="H77" t="str">
            <v>N/A</v>
          </cell>
          <cell r="I77" t="str">
            <v>TF</v>
          </cell>
        </row>
        <row r="78">
          <cell r="B78" t="str">
            <v>14EH-24D3A-KRBK</v>
          </cell>
          <cell r="C78" t="str">
            <v>DT, KNEE RAMPS</v>
          </cell>
          <cell r="D78" t="str">
            <v>N/A</v>
          </cell>
          <cell r="E78">
            <v>3</v>
          </cell>
          <cell r="F78" t="str">
            <v>N/A</v>
          </cell>
          <cell r="G78" t="str">
            <v>N/A</v>
          </cell>
          <cell r="H78">
            <v>3</v>
          </cell>
          <cell r="I78">
            <v>3</v>
          </cell>
        </row>
        <row r="79">
          <cell r="B79" t="str">
            <v>14EH-24D3A-MRBK</v>
          </cell>
          <cell r="C79" t="str">
            <v>DT, MEGA RAMPS</v>
          </cell>
          <cell r="D79" t="str">
            <v>N/A</v>
          </cell>
          <cell r="E79">
            <v>2</v>
          </cell>
          <cell r="F79" t="str">
            <v>N/A</v>
          </cell>
          <cell r="G79" t="str">
            <v>N/A</v>
          </cell>
          <cell r="H79">
            <v>2</v>
          </cell>
          <cell r="I79">
            <v>2</v>
          </cell>
        </row>
        <row r="80">
          <cell r="B80" t="str">
            <v>14EHG-20D3A</v>
          </cell>
          <cell r="C80"/>
          <cell r="D80" t="str">
            <v>N/A</v>
          </cell>
          <cell r="E80">
            <v>3</v>
          </cell>
          <cell r="F80" t="str">
            <v>N/A</v>
          </cell>
          <cell r="G80" t="str">
            <v>N/A</v>
          </cell>
          <cell r="H80" t="str">
            <v>N/A</v>
          </cell>
          <cell r="I80" t="str">
            <v>TF</v>
          </cell>
        </row>
        <row r="81">
          <cell r="B81" t="str">
            <v>14EHG-22D3A</v>
          </cell>
          <cell r="C81"/>
          <cell r="D81" t="str">
            <v>N/A</v>
          </cell>
          <cell r="E81">
            <v>3</v>
          </cell>
          <cell r="F81" t="str">
            <v>N/A</v>
          </cell>
          <cell r="G81" t="str">
            <v>N/A</v>
          </cell>
          <cell r="H81" t="str">
            <v>N/A</v>
          </cell>
          <cell r="I81" t="str">
            <v>TF</v>
          </cell>
        </row>
        <row r="82">
          <cell r="B82" t="str">
            <v>14EHG-24D3A</v>
          </cell>
          <cell r="C82"/>
          <cell r="D82" t="str">
            <v>N/A</v>
          </cell>
          <cell r="E82">
            <v>3</v>
          </cell>
          <cell r="F82" t="str">
            <v>N/A</v>
          </cell>
          <cell r="G82" t="str">
            <v>N/A</v>
          </cell>
          <cell r="H82" t="str">
            <v>N/A</v>
          </cell>
          <cell r="I82" t="str">
            <v>TF</v>
          </cell>
        </row>
        <row r="83">
          <cell r="B83" t="str">
            <v>14ET-18BK5RSR</v>
          </cell>
          <cell r="C83" t="str">
            <v>5' RSR</v>
          </cell>
          <cell r="D83" t="str">
            <v>N/A</v>
          </cell>
          <cell r="E83">
            <v>4</v>
          </cell>
          <cell r="F83" t="str">
            <v>N/A</v>
          </cell>
          <cell r="G83" t="str">
            <v>N/A</v>
          </cell>
          <cell r="H83" t="str">
            <v>N/A</v>
          </cell>
          <cell r="I83">
            <v>4</v>
          </cell>
        </row>
        <row r="84">
          <cell r="B84" t="str">
            <v>14ET-20BK5RSR</v>
          </cell>
          <cell r="C84" t="str">
            <v>5' RSR</v>
          </cell>
          <cell r="D84" t="str">
            <v>N/A</v>
          </cell>
          <cell r="E84">
            <v>4</v>
          </cell>
          <cell r="F84" t="str">
            <v>N/A</v>
          </cell>
          <cell r="G84" t="str">
            <v>N/A</v>
          </cell>
          <cell r="H84" t="str">
            <v>N/A</v>
          </cell>
          <cell r="I84">
            <v>4</v>
          </cell>
        </row>
        <row r="85">
          <cell r="B85" t="str">
            <v>14FT-16</v>
          </cell>
          <cell r="C85"/>
          <cell r="D85" t="str">
            <v>N/A</v>
          </cell>
          <cell r="E85">
            <v>3</v>
          </cell>
          <cell r="F85" t="str">
            <v>N/A</v>
          </cell>
          <cell r="G85" t="str">
            <v>N/A</v>
          </cell>
          <cell r="H85" t="str">
            <v>N/A</v>
          </cell>
          <cell r="I85" t="str">
            <v>TF</v>
          </cell>
        </row>
        <row r="86">
          <cell r="B86" t="str">
            <v>14FT-16BK</v>
          </cell>
          <cell r="C86"/>
          <cell r="D86" t="str">
            <v>N/A</v>
          </cell>
          <cell r="E86">
            <v>1</v>
          </cell>
          <cell r="F86" t="str">
            <v>N/A</v>
          </cell>
          <cell r="G86" t="str">
            <v>N/A</v>
          </cell>
          <cell r="H86">
            <v>1</v>
          </cell>
          <cell r="I86" t="str">
            <v>TF</v>
          </cell>
        </row>
        <row r="87">
          <cell r="B87" t="str">
            <v>14FT-18</v>
          </cell>
          <cell r="C87"/>
          <cell r="D87" t="str">
            <v>N/A</v>
          </cell>
          <cell r="E87">
            <v>3</v>
          </cell>
          <cell r="F87" t="str">
            <v>N/A</v>
          </cell>
          <cell r="G87" t="str">
            <v>N/A</v>
          </cell>
          <cell r="H87" t="str">
            <v>N/A</v>
          </cell>
          <cell r="I87" t="str">
            <v>TF</v>
          </cell>
        </row>
        <row r="88">
          <cell r="B88" t="str">
            <v>14FT-18BK</v>
          </cell>
          <cell r="C88"/>
          <cell r="D88" t="str">
            <v>N/A</v>
          </cell>
          <cell r="E88">
            <v>2</v>
          </cell>
          <cell r="F88" t="str">
            <v>N/A</v>
          </cell>
          <cell r="G88" t="str">
            <v>N/A</v>
          </cell>
          <cell r="H88" t="str">
            <v>N/A</v>
          </cell>
          <cell r="I88" t="str">
            <v>TF</v>
          </cell>
        </row>
        <row r="89">
          <cell r="B89" t="str">
            <v>14FT-20</v>
          </cell>
          <cell r="C89"/>
          <cell r="D89" t="str">
            <v>N/A</v>
          </cell>
          <cell r="E89">
            <v>3</v>
          </cell>
          <cell r="F89" t="str">
            <v>N/A</v>
          </cell>
          <cell r="G89" t="str">
            <v>N/A</v>
          </cell>
          <cell r="H89" t="str">
            <v>N/A</v>
          </cell>
          <cell r="I89" t="str">
            <v>TF</v>
          </cell>
        </row>
        <row r="90">
          <cell r="B90" t="str">
            <v>14FT-20BK</v>
          </cell>
          <cell r="C90"/>
          <cell r="D90" t="str">
            <v>N/A</v>
          </cell>
          <cell r="E90">
            <v>1</v>
          </cell>
          <cell r="F90" t="str">
            <v>N/A</v>
          </cell>
          <cell r="G90" t="str">
            <v>N/A</v>
          </cell>
          <cell r="H90">
            <v>1</v>
          </cell>
          <cell r="I90" t="str">
            <v>TF</v>
          </cell>
        </row>
        <row r="91">
          <cell r="B91" t="str">
            <v>14GN-20STA</v>
          </cell>
          <cell r="C91" t="str">
            <v>SPARE (incl)</v>
          </cell>
          <cell r="D91" t="str">
            <v>N/A</v>
          </cell>
          <cell r="E91" t="str">
            <v>N/A</v>
          </cell>
          <cell r="F91">
            <v>3</v>
          </cell>
          <cell r="G91" t="str">
            <v>N/A</v>
          </cell>
          <cell r="H91" t="str">
            <v>N/A</v>
          </cell>
          <cell r="I91" t="str">
            <v>TF</v>
          </cell>
        </row>
        <row r="92">
          <cell r="B92" t="str">
            <v>14GN-22STA</v>
          </cell>
          <cell r="C92" t="str">
            <v>SPARE (incl)</v>
          </cell>
          <cell r="D92" t="str">
            <v>N/A</v>
          </cell>
          <cell r="E92" t="str">
            <v>N/A</v>
          </cell>
          <cell r="F92">
            <v>3</v>
          </cell>
          <cell r="G92" t="str">
            <v>N/A</v>
          </cell>
          <cell r="H92" t="str">
            <v>N/A</v>
          </cell>
          <cell r="I92" t="str">
            <v>TF</v>
          </cell>
        </row>
        <row r="93">
          <cell r="B93" t="str">
            <v>14GN-25D5A</v>
          </cell>
          <cell r="C93" t="str">
            <v>SPARE (incl)</v>
          </cell>
          <cell r="D93" t="str">
            <v>N/A</v>
          </cell>
          <cell r="E93" t="str">
            <v>N/A</v>
          </cell>
          <cell r="F93">
            <v>3</v>
          </cell>
          <cell r="G93" t="str">
            <v>N/A</v>
          </cell>
          <cell r="H93" t="str">
            <v>N/A</v>
          </cell>
          <cell r="I93" t="str">
            <v>TF</v>
          </cell>
        </row>
        <row r="94">
          <cell r="B94" t="str">
            <v>14GN-25D5A-FRBK</v>
          </cell>
          <cell r="C94" t="str">
            <v>SPARE (incl)</v>
          </cell>
          <cell r="D94" t="str">
            <v>N/A</v>
          </cell>
          <cell r="E94" t="str">
            <v>N/A</v>
          </cell>
          <cell r="F94">
            <v>3</v>
          </cell>
          <cell r="G94" t="str">
            <v>N/A</v>
          </cell>
          <cell r="H94" t="str">
            <v>N/A</v>
          </cell>
          <cell r="I94" t="str">
            <v>TF</v>
          </cell>
        </row>
        <row r="95">
          <cell r="B95" t="str">
            <v>14GN-25D5A-MRBK</v>
          </cell>
          <cell r="C95" t="str">
            <v>MR, SPARE (incl)</v>
          </cell>
          <cell r="D95" t="str">
            <v>N/A</v>
          </cell>
          <cell r="E95" t="str">
            <v>N/A</v>
          </cell>
          <cell r="F95">
            <v>1</v>
          </cell>
          <cell r="G95" t="str">
            <v>N/A</v>
          </cell>
          <cell r="H95">
            <v>1</v>
          </cell>
          <cell r="I95" t="str">
            <v>TF</v>
          </cell>
        </row>
        <row r="96">
          <cell r="B96" t="str">
            <v>14GN-25STA</v>
          </cell>
          <cell r="C96" t="str">
            <v>SPARE (incl)</v>
          </cell>
          <cell r="D96" t="str">
            <v>N/A</v>
          </cell>
          <cell r="E96" t="str">
            <v>N/A</v>
          </cell>
          <cell r="F96">
            <v>3</v>
          </cell>
          <cell r="G96" t="str">
            <v>N/A</v>
          </cell>
          <cell r="H96" t="str">
            <v>N/A</v>
          </cell>
          <cell r="I96" t="str">
            <v>TF</v>
          </cell>
        </row>
        <row r="97">
          <cell r="B97" t="str">
            <v>14GN-27D5A</v>
          </cell>
          <cell r="C97" t="str">
            <v>SPARE (incl)</v>
          </cell>
          <cell r="D97" t="str">
            <v>N/A</v>
          </cell>
          <cell r="E97" t="str">
            <v>N/A</v>
          </cell>
          <cell r="F97">
            <v>3</v>
          </cell>
          <cell r="G97" t="str">
            <v>N/A</v>
          </cell>
          <cell r="H97" t="str">
            <v>N/A</v>
          </cell>
          <cell r="I97" t="str">
            <v>TF</v>
          </cell>
        </row>
        <row r="98">
          <cell r="B98" t="str">
            <v>14GN-27D5A-FRBK</v>
          </cell>
          <cell r="C98" t="str">
            <v>SPARE (incl)</v>
          </cell>
          <cell r="D98" t="str">
            <v>N/A</v>
          </cell>
          <cell r="E98" t="str">
            <v>N/A</v>
          </cell>
          <cell r="F98">
            <v>3</v>
          </cell>
          <cell r="G98" t="str">
            <v>N/A</v>
          </cell>
          <cell r="H98" t="str">
            <v>N/A</v>
          </cell>
          <cell r="I98" t="str">
            <v>TF</v>
          </cell>
        </row>
        <row r="99">
          <cell r="B99" t="str">
            <v>14GN-27D5A-MRBK</v>
          </cell>
          <cell r="C99" t="str">
            <v>MR, SPARE (incl)</v>
          </cell>
          <cell r="D99" t="str">
            <v>N/A</v>
          </cell>
          <cell r="E99" t="str">
            <v>N/A</v>
          </cell>
          <cell r="F99">
            <v>3</v>
          </cell>
          <cell r="G99" t="str">
            <v>N/A</v>
          </cell>
          <cell r="H99" t="str">
            <v>N/A</v>
          </cell>
          <cell r="I99" t="str">
            <v>TF</v>
          </cell>
        </row>
        <row r="100">
          <cell r="B100" t="str">
            <v>14GN-28STA</v>
          </cell>
          <cell r="C100" t="str">
            <v>SPARE (incl)</v>
          </cell>
          <cell r="D100" t="str">
            <v>N/A</v>
          </cell>
          <cell r="E100" t="str">
            <v>N/A</v>
          </cell>
          <cell r="F100">
            <v>3</v>
          </cell>
          <cell r="G100" t="str">
            <v>N/A</v>
          </cell>
          <cell r="H100" t="str">
            <v>N/A</v>
          </cell>
          <cell r="I100" t="str">
            <v>TF</v>
          </cell>
        </row>
        <row r="101">
          <cell r="B101" t="str">
            <v>14GN-30D5A</v>
          </cell>
          <cell r="C101" t="str">
            <v>SPARE (incl)</v>
          </cell>
          <cell r="D101" t="str">
            <v>N/A</v>
          </cell>
          <cell r="E101" t="str">
            <v>N/A</v>
          </cell>
          <cell r="F101">
            <v>3</v>
          </cell>
          <cell r="G101" t="str">
            <v>N/A</v>
          </cell>
          <cell r="H101" t="str">
            <v>N/A</v>
          </cell>
          <cell r="I101" t="str">
            <v>TF</v>
          </cell>
        </row>
        <row r="102">
          <cell r="B102" t="str">
            <v>14GN-30D5A-FRBK</v>
          </cell>
          <cell r="C102" t="str">
            <v>SPARE (incl)</v>
          </cell>
          <cell r="D102" t="str">
            <v>N/A</v>
          </cell>
          <cell r="E102" t="str">
            <v>N/A</v>
          </cell>
          <cell r="F102">
            <v>3</v>
          </cell>
          <cell r="G102" t="str">
            <v>N/A</v>
          </cell>
          <cell r="H102" t="str">
            <v>N/A</v>
          </cell>
          <cell r="I102" t="str">
            <v>TF</v>
          </cell>
        </row>
        <row r="103">
          <cell r="B103" t="str">
            <v>14GN-30D5A-MRBK</v>
          </cell>
          <cell r="C103" t="str">
            <v>MR, SPARE (incl)</v>
          </cell>
          <cell r="D103" t="str">
            <v>N/A</v>
          </cell>
          <cell r="E103" t="str">
            <v>N/A</v>
          </cell>
          <cell r="F103">
            <v>1</v>
          </cell>
          <cell r="G103" t="str">
            <v>N/A</v>
          </cell>
          <cell r="H103">
            <v>1</v>
          </cell>
          <cell r="I103" t="str">
            <v>TF</v>
          </cell>
        </row>
        <row r="104">
          <cell r="B104" t="str">
            <v>14GN-30STA</v>
          </cell>
          <cell r="C104" t="str">
            <v>SPARE (incl)</v>
          </cell>
          <cell r="D104" t="str">
            <v>N/A</v>
          </cell>
          <cell r="E104" t="str">
            <v>N/A</v>
          </cell>
          <cell r="F104">
            <v>3</v>
          </cell>
          <cell r="G104" t="str">
            <v>N/A</v>
          </cell>
          <cell r="H104" t="str">
            <v>N/A</v>
          </cell>
          <cell r="I104" t="str">
            <v>TF</v>
          </cell>
        </row>
        <row r="105">
          <cell r="B105" t="str">
            <v>14GN-33D5A</v>
          </cell>
          <cell r="C105" t="str">
            <v>SPARE (incl)</v>
          </cell>
          <cell r="D105" t="str">
            <v>N/A</v>
          </cell>
          <cell r="E105" t="str">
            <v>N/A</v>
          </cell>
          <cell r="F105">
            <v>3</v>
          </cell>
          <cell r="G105" t="str">
            <v>N/A</v>
          </cell>
          <cell r="H105" t="str">
            <v>N/A</v>
          </cell>
          <cell r="I105" t="str">
            <v>TF</v>
          </cell>
        </row>
        <row r="106">
          <cell r="B106" t="str">
            <v>14GN-33D5A-FRBK</v>
          </cell>
          <cell r="C106" t="str">
            <v>SPARE (incl)</v>
          </cell>
          <cell r="D106" t="str">
            <v>N/A</v>
          </cell>
          <cell r="E106" t="str">
            <v>N/A</v>
          </cell>
          <cell r="F106">
            <v>3</v>
          </cell>
          <cell r="G106" t="str">
            <v>N/A</v>
          </cell>
          <cell r="H106" t="str">
            <v>N/A</v>
          </cell>
          <cell r="I106" t="str">
            <v>TF</v>
          </cell>
        </row>
        <row r="107">
          <cell r="B107" t="str">
            <v>14GN-33D5A-MRBK</v>
          </cell>
          <cell r="C107" t="str">
            <v>MR, SPARE (incl)</v>
          </cell>
          <cell r="D107" t="str">
            <v>N/A</v>
          </cell>
          <cell r="E107" t="str">
            <v>N/A</v>
          </cell>
          <cell r="F107">
            <v>1</v>
          </cell>
          <cell r="G107" t="str">
            <v>N/A</v>
          </cell>
          <cell r="H107">
            <v>1</v>
          </cell>
          <cell r="I107" t="str">
            <v>TF</v>
          </cell>
        </row>
        <row r="108">
          <cell r="B108" t="str">
            <v>14GN-35D5A</v>
          </cell>
          <cell r="C108" t="str">
            <v>SPARE (incl)</v>
          </cell>
          <cell r="D108" t="str">
            <v>N/A</v>
          </cell>
          <cell r="E108" t="str">
            <v>N/A</v>
          </cell>
          <cell r="F108">
            <v>3</v>
          </cell>
          <cell r="G108" t="str">
            <v>N/A</v>
          </cell>
          <cell r="H108" t="str">
            <v>N/A</v>
          </cell>
          <cell r="I108" t="str">
            <v>TF</v>
          </cell>
        </row>
        <row r="109">
          <cell r="B109" t="str">
            <v>14GN-35D5A-MRBK</v>
          </cell>
          <cell r="C109" t="str">
            <v>MR, SPARE (incl)</v>
          </cell>
          <cell r="D109" t="str">
            <v>N/A</v>
          </cell>
          <cell r="E109" t="str">
            <v>N/A</v>
          </cell>
          <cell r="F109">
            <v>3</v>
          </cell>
          <cell r="G109" t="str">
            <v>N/A</v>
          </cell>
          <cell r="H109" t="str">
            <v>N/A</v>
          </cell>
          <cell r="I109" t="str">
            <v>TF</v>
          </cell>
        </row>
        <row r="110">
          <cell r="B110" t="str">
            <v>14GN-35STA</v>
          </cell>
          <cell r="C110" t="str">
            <v>MR, SPARE (incl)</v>
          </cell>
          <cell r="D110" t="str">
            <v>N/A</v>
          </cell>
          <cell r="E110" t="str">
            <v>N/A</v>
          </cell>
          <cell r="F110">
            <v>3</v>
          </cell>
          <cell r="G110" t="str">
            <v>N/A</v>
          </cell>
          <cell r="H110" t="str">
            <v>N/A</v>
          </cell>
          <cell r="I110" t="str">
            <v>TF</v>
          </cell>
        </row>
        <row r="111">
          <cell r="B111" t="str">
            <v>14GN-40D5A</v>
          </cell>
          <cell r="C111" t="str">
            <v>SPARE (incl)</v>
          </cell>
          <cell r="D111" t="str">
            <v>N/A</v>
          </cell>
          <cell r="E111" t="str">
            <v>N/A</v>
          </cell>
          <cell r="F111">
            <v>3</v>
          </cell>
          <cell r="G111" t="str">
            <v>N/A</v>
          </cell>
          <cell r="H111" t="str">
            <v>N/A</v>
          </cell>
          <cell r="I111" t="str">
            <v>TF</v>
          </cell>
        </row>
        <row r="112">
          <cell r="B112" t="str">
            <v>14GN-40D5A-MRBK</v>
          </cell>
          <cell r="C112" t="str">
            <v>MR, SPARE (incl)</v>
          </cell>
          <cell r="D112" t="str">
            <v>N/A</v>
          </cell>
          <cell r="E112" t="str">
            <v>N/A</v>
          </cell>
          <cell r="F112">
            <v>1</v>
          </cell>
          <cell r="G112" t="str">
            <v>N/A</v>
          </cell>
          <cell r="H112">
            <v>1</v>
          </cell>
          <cell r="I112" t="str">
            <v>TF</v>
          </cell>
        </row>
        <row r="113">
          <cell r="B113" t="str">
            <v>14GN-40D5A-MRBK-SWT</v>
          </cell>
          <cell r="C113" t="str">
            <v>MR, SPARE (incl)</v>
          </cell>
          <cell r="D113" t="str">
            <v>N/A</v>
          </cell>
          <cell r="E113" t="str">
            <v>N/A</v>
          </cell>
          <cell r="F113">
            <v>2</v>
          </cell>
          <cell r="G113" t="str">
            <v>N/A</v>
          </cell>
          <cell r="H113">
            <v>2</v>
          </cell>
          <cell r="I113" t="str">
            <v>TF</v>
          </cell>
        </row>
        <row r="114">
          <cell r="B114" t="str">
            <v>14GN-40STA</v>
          </cell>
          <cell r="C114" t="str">
            <v>SPARE (incl)</v>
          </cell>
          <cell r="D114" t="str">
            <v>N/A</v>
          </cell>
          <cell r="E114" t="str">
            <v>N/A</v>
          </cell>
          <cell r="F114">
            <v>3</v>
          </cell>
          <cell r="G114" t="str">
            <v>N/A</v>
          </cell>
          <cell r="H114" t="str">
            <v>N/A</v>
          </cell>
          <cell r="I114" t="str">
            <v>TF</v>
          </cell>
        </row>
        <row r="115">
          <cell r="B115" t="str">
            <v>14GN-40STA-S8BK</v>
          </cell>
          <cell r="C115" t="str">
            <v>8SIR, SPARE (incl)</v>
          </cell>
          <cell r="D115" t="str">
            <v>N/A</v>
          </cell>
          <cell r="E115" t="str">
            <v>N/A</v>
          </cell>
          <cell r="F115">
            <v>3</v>
          </cell>
          <cell r="G115" t="str">
            <v>N/A</v>
          </cell>
          <cell r="H115">
            <v>3</v>
          </cell>
          <cell r="I115" t="str">
            <v>TF</v>
          </cell>
        </row>
        <row r="116">
          <cell r="B116" t="str">
            <v>14GN-40STA-S8BK-SWT</v>
          </cell>
          <cell r="C116" t="str">
            <v>8SIR, SPARE (incl)</v>
          </cell>
          <cell r="D116" t="str">
            <v>N/A</v>
          </cell>
          <cell r="E116" t="str">
            <v>N/A</v>
          </cell>
          <cell r="F116">
            <v>3</v>
          </cell>
          <cell r="G116" t="str">
            <v>N/A</v>
          </cell>
          <cell r="H116">
            <v>3</v>
          </cell>
          <cell r="I116" t="str">
            <v>TF</v>
          </cell>
        </row>
        <row r="117">
          <cell r="B117" t="str">
            <v>14GP-20</v>
          </cell>
          <cell r="C117" t="str">
            <v>SPARE (incl), Discontinued SKU</v>
          </cell>
          <cell r="D117" t="str">
            <v>N/A</v>
          </cell>
          <cell r="E117">
            <v>4</v>
          </cell>
          <cell r="F117" t="str">
            <v>N/A</v>
          </cell>
          <cell r="G117" t="str">
            <v>N/A</v>
          </cell>
          <cell r="H117" t="str">
            <v>N/A</v>
          </cell>
          <cell r="I117">
            <v>4</v>
          </cell>
        </row>
        <row r="118">
          <cell r="B118" t="str">
            <v>14GP-20BK</v>
          </cell>
          <cell r="C118" t="str">
            <v>SPARE (incl), Discontinued SKU</v>
          </cell>
          <cell r="D118" t="str">
            <v>N/A</v>
          </cell>
          <cell r="E118">
            <v>4</v>
          </cell>
          <cell r="F118" t="str">
            <v>N/A</v>
          </cell>
          <cell r="G118" t="str">
            <v>N/A</v>
          </cell>
          <cell r="H118" t="str">
            <v>N/A</v>
          </cell>
          <cell r="I118">
            <v>4</v>
          </cell>
        </row>
        <row r="119">
          <cell r="B119" t="str">
            <v>14GP-20BK5FUR</v>
          </cell>
          <cell r="C119" t="str">
            <v>SPARE (incl), Discontinued SKU</v>
          </cell>
          <cell r="D119" t="str">
            <v>N/A</v>
          </cell>
          <cell r="E119">
            <v>4</v>
          </cell>
          <cell r="F119" t="str">
            <v>N/A</v>
          </cell>
          <cell r="G119" t="str">
            <v>N/A</v>
          </cell>
          <cell r="H119" t="str">
            <v>N/A</v>
          </cell>
          <cell r="I119">
            <v>4</v>
          </cell>
        </row>
        <row r="120">
          <cell r="B120" t="str">
            <v>14GP-24</v>
          </cell>
          <cell r="C120" t="str">
            <v>SPARE (incl), Discontinued SKU</v>
          </cell>
          <cell r="D120" t="str">
            <v>N/A</v>
          </cell>
          <cell r="E120">
            <v>4</v>
          </cell>
          <cell r="F120" t="str">
            <v>N/A</v>
          </cell>
          <cell r="G120" t="str">
            <v>N/A</v>
          </cell>
          <cell r="H120" t="str">
            <v>N/A</v>
          </cell>
          <cell r="I120">
            <v>4</v>
          </cell>
        </row>
        <row r="121">
          <cell r="B121" t="str">
            <v>14GP-24BK</v>
          </cell>
          <cell r="C121" t="str">
            <v>SPARE (incl), Discontinued SKU</v>
          </cell>
          <cell r="D121" t="str">
            <v>N/A</v>
          </cell>
          <cell r="E121">
            <v>4</v>
          </cell>
          <cell r="F121" t="str">
            <v>N/A</v>
          </cell>
          <cell r="G121" t="str">
            <v>N/A</v>
          </cell>
          <cell r="H121" t="str">
            <v>N/A</v>
          </cell>
          <cell r="I121">
            <v>4</v>
          </cell>
        </row>
        <row r="122">
          <cell r="B122" t="str">
            <v>14GP-24BK5FUR</v>
          </cell>
          <cell r="C122" t="str">
            <v>SPARE (incl), Discontinued SKU</v>
          </cell>
          <cell r="D122" t="str">
            <v>N/A</v>
          </cell>
          <cell r="E122">
            <v>4</v>
          </cell>
          <cell r="F122" t="str">
            <v>N/A</v>
          </cell>
          <cell r="G122" t="str">
            <v>N/A</v>
          </cell>
          <cell r="H122" t="str">
            <v>N/A</v>
          </cell>
          <cell r="I122">
            <v>4</v>
          </cell>
        </row>
        <row r="123">
          <cell r="B123" t="str">
            <v>14GT-14</v>
          </cell>
          <cell r="C123" t="str">
            <v>TARP(included)</v>
          </cell>
          <cell r="D123">
            <v>3</v>
          </cell>
          <cell r="E123" t="str">
            <v>N/A</v>
          </cell>
          <cell r="F123" t="str">
            <v>N/A</v>
          </cell>
          <cell r="G123" t="str">
            <v>N/A</v>
          </cell>
          <cell r="H123" t="str">
            <v>N/A</v>
          </cell>
          <cell r="I123" t="str">
            <v>N/A</v>
          </cell>
        </row>
        <row r="124">
          <cell r="B124" t="str">
            <v>14GT-14BK6-P3</v>
          </cell>
          <cell r="C124" t="str">
            <v>HS3, 6SIR, TARP(incl)</v>
          </cell>
          <cell r="D124">
            <v>4</v>
          </cell>
          <cell r="E124" t="str">
            <v>N/A</v>
          </cell>
          <cell r="F124" t="str">
            <v>N/A</v>
          </cell>
          <cell r="G124" t="str">
            <v>N/A</v>
          </cell>
          <cell r="H124" t="str">
            <v>N/A</v>
          </cell>
          <cell r="I124">
            <v>4</v>
          </cell>
        </row>
        <row r="125">
          <cell r="B125" t="str">
            <v>14GT-14BK6-P4</v>
          </cell>
          <cell r="C125" t="str">
            <v>HS4, 6SIR, TARP(incl)</v>
          </cell>
          <cell r="D125">
            <v>3</v>
          </cell>
          <cell r="E125" t="str">
            <v>N/A</v>
          </cell>
          <cell r="F125" t="str">
            <v>N/A</v>
          </cell>
          <cell r="G125" t="str">
            <v>N/A</v>
          </cell>
          <cell r="H125" t="str">
            <v>N/A</v>
          </cell>
          <cell r="I125">
            <v>3</v>
          </cell>
        </row>
        <row r="126">
          <cell r="B126" t="str">
            <v>14GT-14BK6SIR</v>
          </cell>
          <cell r="C126" t="str">
            <v>6SIR, TARP(included)</v>
          </cell>
          <cell r="D126">
            <v>2</v>
          </cell>
          <cell r="E126" t="str">
            <v>N/A</v>
          </cell>
          <cell r="F126" t="str">
            <v>N/A</v>
          </cell>
          <cell r="G126" t="str">
            <v>N/A</v>
          </cell>
          <cell r="H126" t="str">
            <v>N/A</v>
          </cell>
          <cell r="I126">
            <v>2</v>
          </cell>
        </row>
        <row r="127">
          <cell r="B127" t="str">
            <v>14GT-16</v>
          </cell>
          <cell r="C127" t="str">
            <v>TARP(included)</v>
          </cell>
          <cell r="D127">
            <v>3</v>
          </cell>
          <cell r="E127" t="str">
            <v>N/A</v>
          </cell>
          <cell r="F127" t="str">
            <v>N/A</v>
          </cell>
          <cell r="G127" t="str">
            <v>N/A</v>
          </cell>
          <cell r="H127" t="str">
            <v>N/A</v>
          </cell>
          <cell r="I127" t="str">
            <v>N/A</v>
          </cell>
        </row>
        <row r="128">
          <cell r="B128" t="str">
            <v>14GT-16BK6-P3</v>
          </cell>
          <cell r="C128" t="str">
            <v>HS3, 6SIR, TARP(incl)</v>
          </cell>
          <cell r="D128">
            <v>4</v>
          </cell>
          <cell r="E128" t="str">
            <v>N/A</v>
          </cell>
          <cell r="F128" t="str">
            <v>N/A</v>
          </cell>
          <cell r="G128" t="str">
            <v>N/A</v>
          </cell>
          <cell r="H128" t="str">
            <v>N/A</v>
          </cell>
          <cell r="I128">
            <v>4</v>
          </cell>
        </row>
        <row r="129">
          <cell r="B129" t="str">
            <v>14GT-16BK6-P4</v>
          </cell>
          <cell r="C129" t="str">
            <v>HS4, 6SIR, TARP(incl)</v>
          </cell>
          <cell r="D129">
            <v>3</v>
          </cell>
          <cell r="E129" t="str">
            <v>N/A</v>
          </cell>
          <cell r="F129" t="str">
            <v>N/A</v>
          </cell>
          <cell r="G129" t="str">
            <v>N/A</v>
          </cell>
          <cell r="H129" t="str">
            <v>N/A</v>
          </cell>
          <cell r="I129">
            <v>3</v>
          </cell>
        </row>
        <row r="130">
          <cell r="B130" t="str">
            <v>14GT-16BK6SIR</v>
          </cell>
          <cell r="C130" t="str">
            <v>6SIR, TARP(included)</v>
          </cell>
          <cell r="D130">
            <v>3</v>
          </cell>
          <cell r="E130" t="str">
            <v>N/A</v>
          </cell>
          <cell r="F130" t="str">
            <v>N/A</v>
          </cell>
          <cell r="G130" t="str">
            <v>N/A</v>
          </cell>
          <cell r="H130" t="str">
            <v>N/A</v>
          </cell>
          <cell r="I130">
            <v>3</v>
          </cell>
        </row>
        <row r="131">
          <cell r="B131" t="str">
            <v>14GX-14</v>
          </cell>
          <cell r="C131" t="str">
            <v>TARP(included)</v>
          </cell>
          <cell r="D131">
            <v>3</v>
          </cell>
          <cell r="E131" t="str">
            <v>N/A</v>
          </cell>
          <cell r="F131" t="str">
            <v>N/A</v>
          </cell>
          <cell r="G131" t="str">
            <v>N/A</v>
          </cell>
          <cell r="H131" t="str">
            <v>N/A</v>
          </cell>
          <cell r="I131" t="str">
            <v>N/A</v>
          </cell>
        </row>
        <row r="132">
          <cell r="B132" t="str">
            <v>14GX-14BK6-P3</v>
          </cell>
          <cell r="C132" t="str">
            <v>HS3, 6SIR, SPMT, TARP(included)</v>
          </cell>
          <cell r="D132" t="str">
            <v>N/A</v>
          </cell>
          <cell r="E132" t="str">
            <v>N/A</v>
          </cell>
          <cell r="F132" t="str">
            <v>N/A</v>
          </cell>
          <cell r="G132" t="str">
            <v>N/A</v>
          </cell>
          <cell r="H132" t="str">
            <v>N/A</v>
          </cell>
          <cell r="I132" t="str">
            <v>N/A</v>
          </cell>
        </row>
        <row r="133">
          <cell r="B133" t="str">
            <v>14GX-14BK6-P4</v>
          </cell>
          <cell r="C133" t="str">
            <v>HS4, 6SIR, SPMT, TARP(included)</v>
          </cell>
          <cell r="D133">
            <v>3</v>
          </cell>
          <cell r="E133" t="str">
            <v>N/A</v>
          </cell>
          <cell r="F133" t="str">
            <v>N/A</v>
          </cell>
          <cell r="G133" t="str">
            <v>N/A</v>
          </cell>
          <cell r="H133" t="str">
            <v>N/A</v>
          </cell>
          <cell r="I133">
            <v>3</v>
          </cell>
        </row>
        <row r="134">
          <cell r="B134" t="str">
            <v>14GX-14BK6SIRPD</v>
          </cell>
          <cell r="C134" t="str">
            <v>6SIR, SPMT, TARP(included)</v>
          </cell>
          <cell r="D134">
            <v>2</v>
          </cell>
          <cell r="E134" t="str">
            <v>N/A</v>
          </cell>
          <cell r="F134" t="str">
            <v>N/A</v>
          </cell>
          <cell r="G134" t="str">
            <v>N/A</v>
          </cell>
          <cell r="H134" t="str">
            <v>N/A</v>
          </cell>
          <cell r="I134">
            <v>2</v>
          </cell>
        </row>
        <row r="135">
          <cell r="B135" t="str">
            <v>14GX-16</v>
          </cell>
          <cell r="C135" t="str">
            <v>6SIR, TARP(incl)</v>
          </cell>
          <cell r="D135">
            <v>3</v>
          </cell>
          <cell r="E135" t="str">
            <v>N/A</v>
          </cell>
          <cell r="F135" t="str">
            <v>N/A</v>
          </cell>
          <cell r="G135" t="str">
            <v>N/A</v>
          </cell>
          <cell r="H135" t="str">
            <v>N/A</v>
          </cell>
          <cell r="I135">
            <v>3</v>
          </cell>
        </row>
        <row r="136">
          <cell r="B136" t="str">
            <v>14GX-16BK6-P3</v>
          </cell>
          <cell r="C136" t="str">
            <v>HS3, 6SIR, SPMT, TARP(included)</v>
          </cell>
          <cell r="D136" t="str">
            <v>N/A</v>
          </cell>
          <cell r="E136" t="str">
            <v>N/A</v>
          </cell>
          <cell r="F136" t="str">
            <v>N/A</v>
          </cell>
          <cell r="G136" t="str">
            <v>N/A</v>
          </cell>
          <cell r="H136" t="str">
            <v>N/A</v>
          </cell>
          <cell r="I136" t="str">
            <v>N/A</v>
          </cell>
        </row>
        <row r="137">
          <cell r="B137" t="str">
            <v>14GX-16BK6-P4</v>
          </cell>
          <cell r="C137" t="str">
            <v>HS4, 6SIR, SPMT, TARP(included)</v>
          </cell>
          <cell r="D137">
            <v>2</v>
          </cell>
          <cell r="E137" t="str">
            <v>N/A</v>
          </cell>
          <cell r="F137" t="str">
            <v>N/A</v>
          </cell>
          <cell r="G137" t="str">
            <v>N/A</v>
          </cell>
          <cell r="H137" t="str">
            <v>N/A</v>
          </cell>
          <cell r="I137">
            <v>2</v>
          </cell>
        </row>
        <row r="138">
          <cell r="B138" t="str">
            <v>14GX-16BK6SIRPD</v>
          </cell>
          <cell r="C138" t="str">
            <v>6SIR, SPMT, TARP(included)</v>
          </cell>
          <cell r="D138">
            <v>1</v>
          </cell>
          <cell r="E138" t="str">
            <v>N/A</v>
          </cell>
          <cell r="F138" t="str">
            <v>N/A</v>
          </cell>
          <cell r="G138" t="str">
            <v>N/A</v>
          </cell>
          <cell r="H138" t="str">
            <v>N/A</v>
          </cell>
          <cell r="I138">
            <v>1</v>
          </cell>
        </row>
        <row r="139">
          <cell r="B139" t="str">
            <v>14LD-14</v>
          </cell>
          <cell r="C139" t="str">
            <v>SPARE (incl), Discontinued SKU</v>
          </cell>
          <cell r="D139" t="str">
            <v>N/A</v>
          </cell>
          <cell r="E139" t="str">
            <v>N/A</v>
          </cell>
          <cell r="F139" t="str">
            <v>N/A</v>
          </cell>
          <cell r="G139" t="str">
            <v>N/A</v>
          </cell>
          <cell r="H139" t="str">
            <v>N/A</v>
          </cell>
          <cell r="I139" t="str">
            <v>N/A</v>
          </cell>
        </row>
        <row r="140">
          <cell r="B140" t="str">
            <v>14LD-14BK</v>
          </cell>
          <cell r="C140" t="str">
            <v>SPARE (incl), Discontinued SKU</v>
          </cell>
          <cell r="D140" t="str">
            <v>N/A</v>
          </cell>
          <cell r="E140" t="str">
            <v>N/A</v>
          </cell>
          <cell r="F140" t="str">
            <v>N/A</v>
          </cell>
          <cell r="G140" t="str">
            <v>N/A</v>
          </cell>
          <cell r="H140" t="str">
            <v>N/A</v>
          </cell>
          <cell r="I140" t="str">
            <v>N/A</v>
          </cell>
        </row>
        <row r="141">
          <cell r="B141" t="str">
            <v>14LD-14BK6SIRPD</v>
          </cell>
          <cell r="C141" t="str">
            <v>SPARE (incl), Discontinued SKU</v>
          </cell>
          <cell r="D141" t="str">
            <v>N/A</v>
          </cell>
          <cell r="E141" t="str">
            <v>N/A</v>
          </cell>
          <cell r="F141" t="str">
            <v>N/A</v>
          </cell>
          <cell r="G141" t="str">
            <v>N/A</v>
          </cell>
          <cell r="H141" t="str">
            <v>N/A</v>
          </cell>
          <cell r="I141" t="str">
            <v>N/A</v>
          </cell>
        </row>
        <row r="142">
          <cell r="B142" t="str">
            <v>14LP-12</v>
          </cell>
          <cell r="C142" t="str">
            <v>TARP(included)</v>
          </cell>
          <cell r="D142">
            <v>3</v>
          </cell>
          <cell r="E142" t="str">
            <v>N/A</v>
          </cell>
          <cell r="F142" t="str">
            <v>N/A</v>
          </cell>
          <cell r="G142" t="str">
            <v>N/A</v>
          </cell>
          <cell r="H142" t="str">
            <v>N/A</v>
          </cell>
          <cell r="I142">
            <v>3</v>
          </cell>
        </row>
        <row r="143">
          <cell r="B143" t="str">
            <v>14LP-12BK6-12KHJ</v>
          </cell>
          <cell r="C143" t="str">
            <v>12KHJ, 6SIR, TARP(incl)</v>
          </cell>
          <cell r="D143">
            <v>3</v>
          </cell>
          <cell r="E143" t="str">
            <v>N/A</v>
          </cell>
          <cell r="F143" t="str">
            <v>N/A</v>
          </cell>
          <cell r="G143" t="str">
            <v>N/A</v>
          </cell>
          <cell r="H143" t="str">
            <v>N/A</v>
          </cell>
          <cell r="I143">
            <v>3</v>
          </cell>
        </row>
        <row r="144">
          <cell r="B144" t="str">
            <v>14LP-12BK6-12KHJ-P4</v>
          </cell>
          <cell r="C144" t="str">
            <v>12KHJ, HS4, 6SIR, TARP(incl)</v>
          </cell>
          <cell r="D144">
            <v>3</v>
          </cell>
          <cell r="E144" t="str">
            <v>N/A</v>
          </cell>
          <cell r="F144" t="str">
            <v>N/A</v>
          </cell>
          <cell r="G144" t="str">
            <v>N/A</v>
          </cell>
          <cell r="H144" t="str">
            <v>N/A</v>
          </cell>
          <cell r="I144">
            <v>3</v>
          </cell>
        </row>
        <row r="145">
          <cell r="B145" t="str">
            <v>14LP-12BK6-P3</v>
          </cell>
          <cell r="C145" t="str">
            <v>3' Sides, 6SIR, SPMT, TARP</v>
          </cell>
          <cell r="D145" t="str">
            <v>N/A</v>
          </cell>
          <cell r="E145" t="str">
            <v>N/A</v>
          </cell>
          <cell r="F145" t="str">
            <v>N/A</v>
          </cell>
          <cell r="G145" t="str">
            <v>N/A</v>
          </cell>
          <cell r="H145" t="str">
            <v>N/A</v>
          </cell>
          <cell r="I145" t="str">
            <v>N/A</v>
          </cell>
        </row>
        <row r="146">
          <cell r="B146" t="str">
            <v>14LP-12BK6-P4</v>
          </cell>
          <cell r="C146" t="str">
            <v>4' Sides, 6SIR, SPMT, TARP</v>
          </cell>
          <cell r="D146">
            <v>3</v>
          </cell>
          <cell r="E146" t="str">
            <v>N/A</v>
          </cell>
          <cell r="F146" t="str">
            <v>N/A</v>
          </cell>
          <cell r="G146" t="str">
            <v>N/A</v>
          </cell>
          <cell r="H146" t="str">
            <v>N/A</v>
          </cell>
          <cell r="I146">
            <v>3</v>
          </cell>
        </row>
        <row r="147">
          <cell r="B147" t="str">
            <v>14LP-12BK6SIRPD</v>
          </cell>
          <cell r="C147" t="str">
            <v>6SIR, SPMT, TARP</v>
          </cell>
          <cell r="D147">
            <v>1</v>
          </cell>
          <cell r="E147" t="str">
            <v>N/A</v>
          </cell>
          <cell r="F147" t="str">
            <v>N/A</v>
          </cell>
          <cell r="G147" t="str">
            <v>N/A</v>
          </cell>
          <cell r="H147" t="str">
            <v>N/A</v>
          </cell>
          <cell r="I147">
            <v>1</v>
          </cell>
        </row>
        <row r="148">
          <cell r="B148" t="str">
            <v>14LP-14</v>
          </cell>
          <cell r="C148" t="str">
            <v>TARP(included)</v>
          </cell>
          <cell r="D148">
            <v>3</v>
          </cell>
          <cell r="E148" t="str">
            <v>N/A</v>
          </cell>
          <cell r="F148" t="str">
            <v>N/A</v>
          </cell>
          <cell r="G148" t="str">
            <v>N/A</v>
          </cell>
          <cell r="H148" t="str">
            <v>N/A</v>
          </cell>
          <cell r="I148">
            <v>3</v>
          </cell>
        </row>
        <row r="149">
          <cell r="B149" t="str">
            <v>14LP-14BK6-12KHJ</v>
          </cell>
          <cell r="C149" t="str">
            <v>12KHJ, 6SIR, TARP(incl)</v>
          </cell>
          <cell r="D149">
            <v>3</v>
          </cell>
          <cell r="E149" t="str">
            <v>N/A</v>
          </cell>
          <cell r="F149" t="str">
            <v>N/A</v>
          </cell>
          <cell r="G149" t="str">
            <v>N/A</v>
          </cell>
          <cell r="H149" t="str">
            <v>N/A</v>
          </cell>
          <cell r="I149">
            <v>3</v>
          </cell>
        </row>
        <row r="150">
          <cell r="B150" t="str">
            <v>14LP-14BK6-12KHJ-P4</v>
          </cell>
          <cell r="C150" t="str">
            <v>12KHJ, HS4, 6SIR, TARP(incl)</v>
          </cell>
          <cell r="D150">
            <v>4</v>
          </cell>
          <cell r="E150" t="str">
            <v>N/A</v>
          </cell>
          <cell r="F150" t="str">
            <v>N/A</v>
          </cell>
          <cell r="G150" t="str">
            <v>N/A</v>
          </cell>
          <cell r="H150" t="str">
            <v>N/A</v>
          </cell>
          <cell r="I150">
            <v>4</v>
          </cell>
        </row>
        <row r="151">
          <cell r="B151" t="str">
            <v>14LP-14BK6-P3</v>
          </cell>
          <cell r="C151" t="str">
            <v>3' Sides, 6SIR, SPMT, TARP</v>
          </cell>
          <cell r="D151" t="str">
            <v>N/A</v>
          </cell>
          <cell r="E151" t="str">
            <v>N/A</v>
          </cell>
          <cell r="F151" t="str">
            <v>N/A</v>
          </cell>
          <cell r="G151" t="str">
            <v>N/A</v>
          </cell>
          <cell r="H151" t="str">
            <v>N/A</v>
          </cell>
          <cell r="I151" t="str">
            <v>N/A</v>
          </cell>
        </row>
        <row r="152">
          <cell r="B152" t="str">
            <v>14LP-14BK6-P4</v>
          </cell>
          <cell r="C152" t="str">
            <v>4' Sides, 6SIR, SPMT, TARP</v>
          </cell>
          <cell r="D152">
            <v>1</v>
          </cell>
          <cell r="E152" t="str">
            <v>N/A</v>
          </cell>
          <cell r="F152" t="str">
            <v>N/A</v>
          </cell>
          <cell r="G152" t="str">
            <v>N/A</v>
          </cell>
          <cell r="H152" t="str">
            <v>N/A</v>
          </cell>
          <cell r="I152">
            <v>1</v>
          </cell>
        </row>
        <row r="153">
          <cell r="B153" t="str">
            <v>14LP-14BK6SIRPD</v>
          </cell>
          <cell r="C153" t="str">
            <v>6SIR, SPMT, TARP</v>
          </cell>
          <cell r="D153">
            <v>1</v>
          </cell>
          <cell r="E153" t="str">
            <v>N/A</v>
          </cell>
          <cell r="F153" t="str">
            <v>N/A</v>
          </cell>
          <cell r="G153" t="str">
            <v>N/A</v>
          </cell>
          <cell r="H153" t="str">
            <v>N/A</v>
          </cell>
          <cell r="I153">
            <v>1</v>
          </cell>
        </row>
        <row r="154">
          <cell r="B154" t="str">
            <v>14LP-14BL6-P4</v>
          </cell>
          <cell r="C154" t="str">
            <v>4' Sides, 6SIR, SPMT, TARP</v>
          </cell>
          <cell r="D154" t="str">
            <v>N/A</v>
          </cell>
          <cell r="E154" t="str">
            <v>N/A</v>
          </cell>
          <cell r="F154" t="str">
            <v>N/A</v>
          </cell>
          <cell r="G154" t="str">
            <v>N/A</v>
          </cell>
          <cell r="H154" t="str">
            <v>N/A</v>
          </cell>
          <cell r="I154">
            <v>3</v>
          </cell>
        </row>
        <row r="155">
          <cell r="B155" t="str">
            <v>14LP-14BL6SIRPD</v>
          </cell>
          <cell r="C155" t="str">
            <v>6SIR, SPMT, TARP</v>
          </cell>
          <cell r="D155" t="str">
            <v>N/A</v>
          </cell>
          <cell r="E155" t="str">
            <v>N/A</v>
          </cell>
          <cell r="F155" t="str">
            <v>N/A</v>
          </cell>
          <cell r="G155" t="str">
            <v>N/A</v>
          </cell>
          <cell r="H155" t="str">
            <v>N/A</v>
          </cell>
          <cell r="I155">
            <v>3</v>
          </cell>
        </row>
        <row r="156">
          <cell r="B156" t="str">
            <v>14LP-14DT6-P4</v>
          </cell>
          <cell r="C156" t="str">
            <v>4' Sides, 6SIR, SPMT, TARP</v>
          </cell>
          <cell r="D156" t="str">
            <v>N/A</v>
          </cell>
          <cell r="E156" t="str">
            <v>N/A</v>
          </cell>
          <cell r="F156" t="str">
            <v>N/A</v>
          </cell>
          <cell r="G156" t="str">
            <v>N/A</v>
          </cell>
          <cell r="H156" t="str">
            <v>N/A</v>
          </cell>
          <cell r="I156">
            <v>3</v>
          </cell>
        </row>
        <row r="157">
          <cell r="B157" t="str">
            <v>14LP-14DT6SIRPD</v>
          </cell>
          <cell r="C157" t="str">
            <v>6SIR, SPMT, TARP</v>
          </cell>
          <cell r="D157" t="str">
            <v>N/A</v>
          </cell>
          <cell r="E157" t="str">
            <v>N/A</v>
          </cell>
          <cell r="F157" t="str">
            <v>N/A</v>
          </cell>
          <cell r="G157" t="str">
            <v>N/A</v>
          </cell>
          <cell r="H157" t="str">
            <v>N/A</v>
          </cell>
          <cell r="I157">
            <v>3</v>
          </cell>
        </row>
        <row r="158">
          <cell r="B158" t="str">
            <v>14LP-14GR6-P4</v>
          </cell>
          <cell r="C158" t="str"/>
          <cell r="D158" t="str">
            <v>N/A</v>
          </cell>
          <cell r="E158" t="str">
            <v>N/A</v>
          </cell>
          <cell r="F158" t="str">
            <v>N/A</v>
          </cell>
          <cell r="G158" t="str">
            <v>N/A</v>
          </cell>
          <cell r="H158" t="str">
            <v>N/A</v>
          </cell>
          <cell r="I158">
            <v>3</v>
          </cell>
        </row>
        <row r="159">
          <cell r="B159" t="str">
            <v>14LP-14GY6-P4</v>
          </cell>
          <cell r="C159" t="str">
            <v>4' Sides, 6SIR, SPMT, TARP</v>
          </cell>
          <cell r="D159" t="str">
            <v>N/A</v>
          </cell>
          <cell r="E159" t="str">
            <v>N/A</v>
          </cell>
          <cell r="F159" t="str">
            <v>N/A</v>
          </cell>
          <cell r="G159" t="str">
            <v>N/A</v>
          </cell>
          <cell r="H159" t="str">
            <v>N/A</v>
          </cell>
          <cell r="I159">
            <v>3</v>
          </cell>
        </row>
        <row r="160">
          <cell r="B160" t="str">
            <v>14LP-14GY6SIRPD</v>
          </cell>
          <cell r="C160" t="str">
            <v>6SIR, SPMT, TARP</v>
          </cell>
          <cell r="D160" t="str">
            <v>N/A</v>
          </cell>
          <cell r="E160" t="str">
            <v>N/A</v>
          </cell>
          <cell r="F160" t="str">
            <v>N/A</v>
          </cell>
          <cell r="G160" t="str">
            <v>N/A</v>
          </cell>
          <cell r="H160" t="str">
            <v>N/A</v>
          </cell>
          <cell r="I160">
            <v>3</v>
          </cell>
        </row>
        <row r="161">
          <cell r="B161" t="str">
            <v>14LP-14SG6-P4</v>
          </cell>
          <cell r="C161" t="str">
            <v>4' Sides, 6SIR, SPMT, TARP</v>
          </cell>
          <cell r="D161" t="str">
            <v>N/A</v>
          </cell>
          <cell r="E161" t="str">
            <v>N/A</v>
          </cell>
          <cell r="F161" t="str">
            <v>N/A</v>
          </cell>
          <cell r="G161" t="str">
            <v>N/A</v>
          </cell>
          <cell r="H161" t="str">
            <v>N/A</v>
          </cell>
          <cell r="I161">
            <v>3</v>
          </cell>
        </row>
        <row r="162">
          <cell r="B162" t="str">
            <v>14LP-14SG6SIRPD</v>
          </cell>
          <cell r="C162" t="str">
            <v>6SIR, SPMT, TARP</v>
          </cell>
          <cell r="D162" t="str">
            <v>N/A</v>
          </cell>
          <cell r="E162" t="str">
            <v>N/A</v>
          </cell>
          <cell r="F162" t="str">
            <v>N/A</v>
          </cell>
          <cell r="G162" t="str">
            <v>N/A</v>
          </cell>
          <cell r="H162" t="str">
            <v>N/A</v>
          </cell>
          <cell r="I162">
            <v>3</v>
          </cell>
        </row>
        <row r="163">
          <cell r="B163" t="str">
            <v>14LP-14WH6-P4</v>
          </cell>
          <cell r="C163" t="str">
            <v>4' Sides, 6SIR, SPMT, TARP</v>
          </cell>
          <cell r="D163" t="str">
            <v>N/A</v>
          </cell>
          <cell r="E163" t="str">
            <v>N/A</v>
          </cell>
          <cell r="F163" t="str">
            <v>N/A</v>
          </cell>
          <cell r="G163" t="str">
            <v>N/A</v>
          </cell>
          <cell r="H163" t="str">
            <v>N/A</v>
          </cell>
          <cell r="I163">
            <v>3</v>
          </cell>
        </row>
        <row r="164">
          <cell r="B164" t="str">
            <v>14LP-14WH6SIRPD</v>
          </cell>
          <cell r="C164" t="str">
            <v>6SIR, SPMT, TARP</v>
          </cell>
          <cell r="D164" t="str">
            <v>N/A</v>
          </cell>
          <cell r="E164" t="str">
            <v>N/A</v>
          </cell>
          <cell r="F164" t="str">
            <v>N/A</v>
          </cell>
          <cell r="G164" t="str">
            <v>N/A</v>
          </cell>
          <cell r="H164" t="str">
            <v>N/A</v>
          </cell>
          <cell r="I164">
            <v>3</v>
          </cell>
        </row>
        <row r="165">
          <cell r="B165" t="str">
            <v>14LP-16</v>
          </cell>
          <cell r="C165" t="str">
            <v>TARP(included)</v>
          </cell>
          <cell r="D165">
            <v>3</v>
          </cell>
          <cell r="E165" t="str">
            <v>N/A</v>
          </cell>
          <cell r="F165" t="str">
            <v>N/A</v>
          </cell>
          <cell r="G165" t="str">
            <v>N/A</v>
          </cell>
          <cell r="H165" t="str">
            <v>N/A</v>
          </cell>
          <cell r="I165">
            <v>3</v>
          </cell>
        </row>
        <row r="166">
          <cell r="B166" t="str">
            <v>14LP-16BK6-12KHJ</v>
          </cell>
          <cell r="C166" t="str">
            <v>12KHJ, 6SIR, TARP(incl)</v>
          </cell>
          <cell r="D166">
            <v>3</v>
          </cell>
          <cell r="E166" t="str">
            <v>N/A</v>
          </cell>
          <cell r="F166" t="str">
            <v>N/A</v>
          </cell>
          <cell r="G166" t="str">
            <v>N/A</v>
          </cell>
          <cell r="H166" t="str">
            <v>N/A</v>
          </cell>
          <cell r="I166">
            <v>3</v>
          </cell>
        </row>
        <row r="167">
          <cell r="B167" t="str">
            <v>14LP-16BK6-12KHJ-P4</v>
          </cell>
          <cell r="C167" t="str">
            <v>12KHJ, HS4, 6SIR, TARP(incl)</v>
          </cell>
          <cell r="D167">
            <v>4</v>
          </cell>
          <cell r="E167" t="str">
            <v>N/A</v>
          </cell>
          <cell r="F167" t="str">
            <v>N/A</v>
          </cell>
          <cell r="G167" t="str">
            <v>N/A</v>
          </cell>
          <cell r="H167" t="str">
            <v>N/A</v>
          </cell>
          <cell r="I167">
            <v>4</v>
          </cell>
        </row>
        <row r="168">
          <cell r="B168" t="str">
            <v>14LP-16BK6-P3</v>
          </cell>
          <cell r="C168" t="str">
            <v>3' Sides, 6SIR, SPMT, TARP</v>
          </cell>
          <cell r="D168" t="str">
            <v>N/A</v>
          </cell>
          <cell r="E168" t="str">
            <v>N/A</v>
          </cell>
          <cell r="F168" t="str">
            <v>N/A</v>
          </cell>
          <cell r="G168" t="str">
            <v>N/A</v>
          </cell>
          <cell r="H168" t="str">
            <v>N/A</v>
          </cell>
          <cell r="I168" t="str">
            <v>N/A</v>
          </cell>
        </row>
        <row r="169">
          <cell r="B169" t="str">
            <v>14LP-16BK6-P4</v>
          </cell>
          <cell r="C169" t="str">
            <v>4' Sides, 6SIR, SPMT, TARP</v>
          </cell>
          <cell r="D169">
            <v>1</v>
          </cell>
          <cell r="E169" t="str">
            <v>N/A</v>
          </cell>
          <cell r="F169" t="str">
            <v>N/A</v>
          </cell>
          <cell r="G169" t="str">
            <v>N/A</v>
          </cell>
          <cell r="H169" t="str">
            <v>N/A</v>
          </cell>
          <cell r="I169">
            <v>1</v>
          </cell>
        </row>
        <row r="170">
          <cell r="B170" t="str">
            <v>14LP-16BK6SIRPD</v>
          </cell>
          <cell r="C170" t="str">
            <v>6SIR, SPMT, TARP</v>
          </cell>
          <cell r="D170">
            <v>1</v>
          </cell>
          <cell r="E170" t="str">
            <v>N/A</v>
          </cell>
          <cell r="F170" t="str">
            <v>N/A</v>
          </cell>
          <cell r="G170" t="str">
            <v>N/A</v>
          </cell>
          <cell r="H170" t="str">
            <v>N/A</v>
          </cell>
          <cell r="I170">
            <v>1</v>
          </cell>
        </row>
        <row r="171">
          <cell r="B171" t="str">
            <v>14LP-16BL6SIRPD</v>
          </cell>
          <cell r="C171" t="str">
            <v>6SIR, SPMT, TARP</v>
          </cell>
          <cell r="D171" t="str">
            <v>N/A</v>
          </cell>
          <cell r="E171" t="str">
            <v>N/A</v>
          </cell>
          <cell r="F171" t="str">
            <v>N/A</v>
          </cell>
          <cell r="G171" t="str">
            <v>N/A</v>
          </cell>
          <cell r="H171" t="str">
            <v>N/A</v>
          </cell>
          <cell r="I171">
            <v>3</v>
          </cell>
        </row>
        <row r="172">
          <cell r="B172" t="str">
            <v>14LP-16DT6SIRPD</v>
          </cell>
          <cell r="C172" t="str">
            <v>6SIR, SPMT, TARP</v>
          </cell>
          <cell r="D172" t="str">
            <v>N/A</v>
          </cell>
          <cell r="E172" t="str">
            <v>N/A</v>
          </cell>
          <cell r="F172" t="str">
            <v>N/A</v>
          </cell>
          <cell r="G172" t="str">
            <v>N/A</v>
          </cell>
          <cell r="H172" t="str">
            <v>N/A</v>
          </cell>
          <cell r="I172">
            <v>3</v>
          </cell>
        </row>
        <row r="173">
          <cell r="B173" t="str">
            <v>14LP-16GY6SIRPD</v>
          </cell>
          <cell r="C173" t="str">
            <v>6SIR, SPMT, TARP</v>
          </cell>
          <cell r="D173" t="str">
            <v>N/A</v>
          </cell>
          <cell r="E173" t="str">
            <v>N/A</v>
          </cell>
          <cell r="F173" t="str">
            <v>N/A</v>
          </cell>
          <cell r="G173" t="str">
            <v>N/A</v>
          </cell>
          <cell r="H173" t="str">
            <v>N/A</v>
          </cell>
          <cell r="I173">
            <v>3</v>
          </cell>
        </row>
        <row r="174">
          <cell r="B174" t="str">
            <v>14LP-16SG6SIRPD</v>
          </cell>
          <cell r="C174" t="str">
            <v>6SIR, SPMT, TARP</v>
          </cell>
          <cell r="D174" t="str">
            <v>N/A</v>
          </cell>
          <cell r="E174" t="str">
            <v>N/A</v>
          </cell>
          <cell r="F174" t="str">
            <v>N/A</v>
          </cell>
          <cell r="G174" t="str">
            <v>N/A</v>
          </cell>
          <cell r="H174" t="str">
            <v>N/A</v>
          </cell>
          <cell r="I174">
            <v>3</v>
          </cell>
        </row>
        <row r="175">
          <cell r="B175" t="str">
            <v>14LP-16WH6SIRPD</v>
          </cell>
          <cell r="C175" t="str">
            <v>6SIR, SPMT, TARP</v>
          </cell>
          <cell r="D175" t="str">
            <v>N/A</v>
          </cell>
          <cell r="E175" t="str">
            <v>N/A</v>
          </cell>
          <cell r="F175" t="str">
            <v>N/A</v>
          </cell>
          <cell r="G175" t="str">
            <v>N/A</v>
          </cell>
          <cell r="H175" t="str">
            <v>N/A</v>
          </cell>
          <cell r="I175">
            <v>3</v>
          </cell>
        </row>
        <row r="176">
          <cell r="B176" t="str">
            <v>14LX-12C2A</v>
          </cell>
          <cell r="C176" t="str">
            <v>6SIR, SPMT, TARP</v>
          </cell>
          <cell r="D176">
            <v>3</v>
          </cell>
          <cell r="E176" t="str">
            <v>N/A</v>
          </cell>
          <cell r="F176" t="str">
            <v>N/A</v>
          </cell>
          <cell r="G176" t="str">
            <v>N/A</v>
          </cell>
          <cell r="H176" t="str">
            <v>N/A</v>
          </cell>
          <cell r="I176">
            <v>3</v>
          </cell>
        </row>
        <row r="177">
          <cell r="B177" t="str">
            <v>14LX-12C2A-BK</v>
          </cell>
          <cell r="C177" t="str">
            <v>6SIR, SPMT, TARP</v>
          </cell>
          <cell r="D177">
            <v>1</v>
          </cell>
          <cell r="E177" t="str">
            <v>N/A</v>
          </cell>
          <cell r="F177" t="str">
            <v>N/A</v>
          </cell>
          <cell r="G177" t="str">
            <v>N/A</v>
          </cell>
          <cell r="H177" t="str">
            <v>N/A</v>
          </cell>
          <cell r="I177">
            <v>1</v>
          </cell>
        </row>
        <row r="178">
          <cell r="B178" t="str">
            <v>14LX-12C4A</v>
          </cell>
          <cell r="C178" t="str">
            <v>HS4, 6SIR, SPMT, Tarp (incl)</v>
          </cell>
          <cell r="D178">
            <v>3</v>
          </cell>
          <cell r="E178" t="str">
            <v>N/A</v>
          </cell>
          <cell r="F178" t="str">
            <v>N/A</v>
          </cell>
          <cell r="G178" t="str">
            <v>N/A</v>
          </cell>
          <cell r="H178" t="str">
            <v>N/A</v>
          </cell>
          <cell r="I178">
            <v>4</v>
          </cell>
        </row>
        <row r="179">
          <cell r="B179" t="str">
            <v>14LX-12C4A-BK</v>
          </cell>
          <cell r="C179" t="str">
            <v>HS4, 6SIR, SPMT, Tarp (incl)</v>
          </cell>
          <cell r="D179">
            <v>1</v>
          </cell>
          <cell r="E179" t="str">
            <v>N/A</v>
          </cell>
          <cell r="F179" t="str">
            <v>N/A</v>
          </cell>
          <cell r="G179" t="str">
            <v>N/A</v>
          </cell>
          <cell r="H179" t="str">
            <v>N/A</v>
          </cell>
          <cell r="I179">
            <v>1</v>
          </cell>
        </row>
        <row r="180">
          <cell r="B180" t="str">
            <v>14LX-14C2A</v>
          </cell>
          <cell r="C180" t="str">
            <v>6SIR, SPMT, TARP</v>
          </cell>
          <cell r="D180">
            <v>3</v>
          </cell>
          <cell r="E180" t="str">
            <v>N/A</v>
          </cell>
          <cell r="F180" t="str">
            <v>N/A</v>
          </cell>
          <cell r="G180" t="str">
            <v>N/A</v>
          </cell>
          <cell r="H180" t="str">
            <v>N/A</v>
          </cell>
          <cell r="I180">
            <v>4</v>
          </cell>
        </row>
        <row r="181">
          <cell r="B181" t="str">
            <v>14LX-14C2A-BK</v>
          </cell>
          <cell r="C181" t="str">
            <v>6SIR, SPMT, TARP</v>
          </cell>
          <cell r="D181">
            <v>1</v>
          </cell>
          <cell r="E181" t="str">
            <v>N/A</v>
          </cell>
          <cell r="F181" t="str">
            <v>N/A</v>
          </cell>
          <cell r="G181" t="str">
            <v>N/A</v>
          </cell>
          <cell r="H181" t="str">
            <v>N/A</v>
          </cell>
          <cell r="I181">
            <v>1</v>
          </cell>
        </row>
        <row r="182">
          <cell r="B182" t="str">
            <v>14LX-14C4A</v>
          </cell>
          <cell r="C182" t="str">
            <v>HS4, 6SIR, SPMT, Tarp (incl)</v>
          </cell>
          <cell r="D182">
            <v>3</v>
          </cell>
          <cell r="E182" t="str">
            <v>N/A</v>
          </cell>
          <cell r="F182" t="str">
            <v>N/A</v>
          </cell>
          <cell r="G182" t="str">
            <v>N/A</v>
          </cell>
          <cell r="H182" t="str">
            <v>N/A</v>
          </cell>
          <cell r="I182">
            <v>4</v>
          </cell>
        </row>
        <row r="183">
          <cell r="B183" t="str">
            <v>14LX-14C4A-BK</v>
          </cell>
          <cell r="C183" t="str">
            <v>HS4, 6SIR, SPMT, Tarp (incl)</v>
          </cell>
          <cell r="D183">
            <v>1</v>
          </cell>
          <cell r="E183" t="str">
            <v>N/A</v>
          </cell>
          <cell r="F183" t="str">
            <v>N/A</v>
          </cell>
          <cell r="G183" t="str">
            <v>N/A</v>
          </cell>
          <cell r="H183" t="str">
            <v>N/A</v>
          </cell>
          <cell r="I183">
            <v>1</v>
          </cell>
        </row>
        <row r="184">
          <cell r="B184" t="str">
            <v>14OA-16</v>
          </cell>
          <cell r="C184"/>
          <cell r="D184" t="str">
            <v>N/A</v>
          </cell>
          <cell r="E184" t="str">
            <v>N/A</v>
          </cell>
          <cell r="F184" t="str">
            <v>N/A</v>
          </cell>
          <cell r="G184" t="str">
            <v>N/A</v>
          </cell>
          <cell r="H184" t="str">
            <v>N/A</v>
          </cell>
          <cell r="I184" t="str">
            <v>N/A</v>
          </cell>
        </row>
        <row r="185">
          <cell r="B185" t="str">
            <v>14OA-16BK-8SIR</v>
          </cell>
          <cell r="C185" t="str">
            <v>8SIR</v>
          </cell>
          <cell r="D185" t="str">
            <v>N/A</v>
          </cell>
          <cell r="E185" t="str">
            <v>N/A</v>
          </cell>
          <cell r="F185" t="str">
            <v>N/A</v>
          </cell>
          <cell r="G185" t="str">
            <v>N/A</v>
          </cell>
          <cell r="H185" t="str">
            <v>N/A</v>
          </cell>
          <cell r="I185" t="str">
            <v>N/A</v>
          </cell>
        </row>
        <row r="186">
          <cell r="B186" t="str">
            <v>14OA-16STA</v>
          </cell>
          <cell r="C186" t="str"/>
          <cell r="D186" t="str">
            <v>N/A</v>
          </cell>
          <cell r="E186">
            <v>3</v>
          </cell>
          <cell r="F186">
            <v>3</v>
          </cell>
          <cell r="G186" t="str">
            <v>N/A</v>
          </cell>
          <cell r="H186" t="str">
            <v>N/A</v>
          </cell>
          <cell r="I186" t="str">
            <v>N/A</v>
          </cell>
        </row>
        <row r="187">
          <cell r="B187" t="str">
            <v>14OA-16STA-S8BK</v>
          </cell>
          <cell r="C187" t="str">
            <v>8SIR</v>
          </cell>
          <cell r="D187" t="str">
            <v>N/A</v>
          </cell>
          <cell r="E187">
            <v>3</v>
          </cell>
          <cell r="F187">
            <v>3</v>
          </cell>
          <cell r="G187" t="str">
            <v>N/A</v>
          </cell>
          <cell r="H187" t="str">
            <v>N/A</v>
          </cell>
          <cell r="I187" t="str">
            <v>N/A</v>
          </cell>
        </row>
        <row r="188">
          <cell r="B188" t="str">
            <v>14OA-17+3</v>
          </cell>
          <cell r="C188" t="str">
            <v>3' DT, 5' FUR</v>
          </cell>
          <cell r="D188" t="str">
            <v>N/A</v>
          </cell>
          <cell r="E188" t="str">
            <v>N/A</v>
          </cell>
          <cell r="F188" t="str">
            <v>N/A</v>
          </cell>
          <cell r="G188" t="str">
            <v>N/A</v>
          </cell>
          <cell r="H188" t="str">
            <v>N/A</v>
          </cell>
          <cell r="I188" t="str">
            <v>N/A</v>
          </cell>
        </row>
        <row r="189">
          <cell r="B189" t="str">
            <v>14OA-17BK+3</v>
          </cell>
          <cell r="C189" t="str">
            <v>3' DT, 5' FUR</v>
          </cell>
          <cell r="D189" t="str">
            <v>N/A</v>
          </cell>
          <cell r="E189" t="str">
            <v>N/A</v>
          </cell>
          <cell r="F189" t="str">
            <v>N/A</v>
          </cell>
          <cell r="G189" t="str">
            <v>N/A</v>
          </cell>
          <cell r="H189" t="str">
            <v>N/A</v>
          </cell>
          <cell r="I189" t="str">
            <v>N/A</v>
          </cell>
        </row>
        <row r="190">
          <cell r="B190" t="str">
            <v>14OA-18</v>
          </cell>
          <cell r="C190"/>
          <cell r="D190" t="str">
            <v>N/A</v>
          </cell>
          <cell r="E190" t="str">
            <v>N/A</v>
          </cell>
          <cell r="F190" t="str">
            <v>N/A</v>
          </cell>
          <cell r="G190" t="str">
            <v>N/A</v>
          </cell>
          <cell r="H190" t="str">
            <v>N/A</v>
          </cell>
          <cell r="I190" t="str">
            <v>N/A</v>
          </cell>
        </row>
        <row r="191">
          <cell r="B191" t="str">
            <v>14OA-18BK-8SIR</v>
          </cell>
          <cell r="C191" t="str">
            <v>8SIR</v>
          </cell>
          <cell r="D191" t="str">
            <v>N/A</v>
          </cell>
          <cell r="E191" t="str">
            <v>N/A</v>
          </cell>
          <cell r="F191" t="str">
            <v>N/A</v>
          </cell>
          <cell r="G191" t="str">
            <v>N/A</v>
          </cell>
          <cell r="H191" t="str">
            <v>N/A</v>
          </cell>
          <cell r="I191" t="str">
            <v>N/A</v>
          </cell>
        </row>
        <row r="192">
          <cell r="B192" t="str">
            <v>14OA-18STA</v>
          </cell>
          <cell r="C192" t="str"/>
          <cell r="D192" t="str">
            <v>N/A</v>
          </cell>
          <cell r="E192" t="str">
            <v>N/A</v>
          </cell>
          <cell r="F192">
            <v>3</v>
          </cell>
          <cell r="G192" t="str">
            <v>N/A</v>
          </cell>
          <cell r="H192" t="str">
            <v>N/A</v>
          </cell>
          <cell r="I192" t="str">
            <v>N/A</v>
          </cell>
        </row>
        <row r="193">
          <cell r="B193" t="str">
            <v>14OA-18STA-S8BK</v>
          </cell>
          <cell r="C193" t="str">
            <v>8SIR</v>
          </cell>
          <cell r="D193" t="str">
            <v>N/A</v>
          </cell>
          <cell r="E193" t="str">
            <v>N/A</v>
          </cell>
          <cell r="F193">
            <v>3</v>
          </cell>
          <cell r="G193" t="str">
            <v>N/A</v>
          </cell>
          <cell r="H193" t="str">
            <v>N/A</v>
          </cell>
          <cell r="I193" t="str">
            <v>N/A</v>
          </cell>
        </row>
        <row r="194">
          <cell r="B194" t="str">
            <v>14OA-19+3</v>
          </cell>
          <cell r="C194" t="str">
            <v>3' DT, 5' FUR</v>
          </cell>
          <cell r="D194" t="str">
            <v>N/A</v>
          </cell>
          <cell r="E194" t="str">
            <v>N/A</v>
          </cell>
          <cell r="F194" t="str">
            <v>N/A</v>
          </cell>
          <cell r="G194" t="str">
            <v>N/A</v>
          </cell>
          <cell r="H194" t="str">
            <v>N/A</v>
          </cell>
          <cell r="I194" t="str">
            <v>N/A</v>
          </cell>
        </row>
        <row r="195">
          <cell r="B195" t="str">
            <v>14OA-19BK+3</v>
          </cell>
          <cell r="C195" t="str">
            <v>3' DT, 5' FUR</v>
          </cell>
          <cell r="D195" t="str">
            <v>N/A</v>
          </cell>
          <cell r="E195" t="str">
            <v>N/A</v>
          </cell>
          <cell r="F195" t="str">
            <v>N/A</v>
          </cell>
          <cell r="G195" t="str">
            <v>N/A</v>
          </cell>
          <cell r="H195" t="str">
            <v>N/A</v>
          </cell>
          <cell r="I195" t="str">
            <v>N/A</v>
          </cell>
        </row>
        <row r="196">
          <cell r="B196" t="str">
            <v>14OA-20</v>
          </cell>
          <cell r="C196"/>
          <cell r="D196" t="str">
            <v>N/A</v>
          </cell>
          <cell r="E196" t="str">
            <v>N/A</v>
          </cell>
          <cell r="F196" t="str">
            <v>N/A</v>
          </cell>
          <cell r="G196" t="str">
            <v>N/A</v>
          </cell>
          <cell r="H196" t="str">
            <v>N/A</v>
          </cell>
          <cell r="I196" t="str">
            <v>N/A</v>
          </cell>
        </row>
        <row r="197">
          <cell r="B197" t="str">
            <v>14OA-20BK-8SIR</v>
          </cell>
          <cell r="C197" t="str">
            <v>8SIR</v>
          </cell>
          <cell r="D197" t="str">
            <v>N/A</v>
          </cell>
          <cell r="E197" t="str">
            <v>N/A</v>
          </cell>
          <cell r="F197" t="str">
            <v>N/A</v>
          </cell>
          <cell r="G197" t="str">
            <v>N/A</v>
          </cell>
          <cell r="H197" t="str">
            <v>N/A</v>
          </cell>
          <cell r="I197" t="str">
            <v>N/A</v>
          </cell>
        </row>
        <row r="198">
          <cell r="B198" t="str">
            <v>14OA-20D3A</v>
          </cell>
          <cell r="C198" t="str"/>
          <cell r="D198" t="str">
            <v>N/A</v>
          </cell>
          <cell r="E198" t="str">
            <v>N/A</v>
          </cell>
          <cell r="F198">
            <v>3</v>
          </cell>
          <cell r="G198" t="str">
            <v>N/A</v>
          </cell>
          <cell r="H198" t="str">
            <v>N/A</v>
          </cell>
          <cell r="I198" t="str">
            <v>N/A</v>
          </cell>
        </row>
        <row r="199">
          <cell r="B199" t="str">
            <v>14OA-20D3A-FRBK</v>
          </cell>
          <cell r="C199" t="str">
            <v>3'DT, 5'FUR</v>
          </cell>
          <cell r="D199" t="str">
            <v>N/A</v>
          </cell>
          <cell r="E199" t="str">
            <v>N/A</v>
          </cell>
          <cell r="F199">
            <v>3</v>
          </cell>
          <cell r="G199" t="str">
            <v>N/A</v>
          </cell>
          <cell r="H199" t="str">
            <v>N/A</v>
          </cell>
          <cell r="I199" t="str">
            <v>N/A</v>
          </cell>
        </row>
        <row r="200">
          <cell r="B200" t="str">
            <v>14OA-20STA</v>
          </cell>
          <cell r="C200" t="str"/>
          <cell r="D200" t="str">
            <v>N/A</v>
          </cell>
          <cell r="E200" t="str">
            <v>N/A</v>
          </cell>
          <cell r="F200">
            <v>3</v>
          </cell>
          <cell r="G200" t="str">
            <v>N/A</v>
          </cell>
          <cell r="H200" t="str">
            <v>N/A</v>
          </cell>
          <cell r="I200" t="str">
            <v>N/A</v>
          </cell>
        </row>
        <row r="201">
          <cell r="B201" t="str">
            <v>14OA-20STA-S8BK</v>
          </cell>
          <cell r="C201" t="str">
            <v>8SIR</v>
          </cell>
          <cell r="D201" t="str">
            <v>N/A</v>
          </cell>
          <cell r="E201" t="str">
            <v>N/A</v>
          </cell>
          <cell r="F201">
            <v>1</v>
          </cell>
          <cell r="G201" t="str">
            <v>N/A</v>
          </cell>
          <cell r="H201" t="str">
            <v>N/A</v>
          </cell>
          <cell r="I201" t="str">
            <v>N/A</v>
          </cell>
        </row>
        <row r="202">
          <cell r="B202" t="str">
            <v>14OA-21+3</v>
          </cell>
          <cell r="C202" t="str">
            <v>3' DT, 5' FUR</v>
          </cell>
          <cell r="D202" t="str">
            <v>N/A</v>
          </cell>
          <cell r="E202" t="str">
            <v>N/A</v>
          </cell>
          <cell r="F202" t="str">
            <v>N/A</v>
          </cell>
          <cell r="G202" t="str">
            <v>N/A</v>
          </cell>
          <cell r="H202" t="str">
            <v>N/A</v>
          </cell>
          <cell r="I202" t="str">
            <v>N/A</v>
          </cell>
        </row>
        <row r="203">
          <cell r="B203" t="str">
            <v>14OA-21BK+3</v>
          </cell>
          <cell r="C203" t="str">
            <v>3' DT, 5' FUR</v>
          </cell>
          <cell r="D203" t="str">
            <v>N/A</v>
          </cell>
          <cell r="E203" t="str">
            <v>N/A</v>
          </cell>
          <cell r="F203" t="str">
            <v>N/A</v>
          </cell>
          <cell r="G203" t="str">
            <v>N/A</v>
          </cell>
          <cell r="H203" t="str">
            <v>N/A</v>
          </cell>
          <cell r="I203" t="str">
            <v>N/A</v>
          </cell>
        </row>
        <row r="204">
          <cell r="B204" t="str">
            <v>14OA-22</v>
          </cell>
          <cell r="C204"/>
          <cell r="D204" t="str">
            <v>N/A</v>
          </cell>
          <cell r="E204" t="str">
            <v>N/A</v>
          </cell>
          <cell r="F204" t="str">
            <v>N/A</v>
          </cell>
          <cell r="G204" t="str">
            <v>N/A</v>
          </cell>
          <cell r="H204" t="str">
            <v>N/A</v>
          </cell>
          <cell r="I204" t="str">
            <v>N/A</v>
          </cell>
        </row>
        <row r="205">
          <cell r="B205" t="str">
            <v>14OA-22BK-8SIR</v>
          </cell>
          <cell r="C205" t="str"/>
          <cell r="D205" t="str">
            <v>N/A</v>
          </cell>
          <cell r="E205" t="str">
            <v>N/A</v>
          </cell>
          <cell r="F205" t="str">
            <v>N/A</v>
          </cell>
          <cell r="G205" t="str">
            <v>N/A</v>
          </cell>
          <cell r="H205" t="str">
            <v>N/A</v>
          </cell>
          <cell r="I205" t="str">
            <v>N/A</v>
          </cell>
        </row>
        <row r="206">
          <cell r="B206" t="str">
            <v>14OA-22D3A</v>
          </cell>
          <cell r="C206" t="str"/>
          <cell r="D206" t="str">
            <v>N/A</v>
          </cell>
          <cell r="E206" t="str">
            <v>N/A</v>
          </cell>
          <cell r="F206">
            <v>3</v>
          </cell>
          <cell r="G206" t="str">
            <v>N/A</v>
          </cell>
          <cell r="H206" t="str">
            <v>N/A</v>
          </cell>
          <cell r="I206" t="str">
            <v>N/A</v>
          </cell>
        </row>
        <row r="207">
          <cell r="B207" t="str">
            <v>14OA-22D3A-FRBK</v>
          </cell>
          <cell r="C207" t="str">
            <v>3'DT, 5'FUR</v>
          </cell>
          <cell r="D207" t="str">
            <v>N/A</v>
          </cell>
          <cell r="E207" t="str">
            <v>N/A</v>
          </cell>
          <cell r="F207">
            <v>3</v>
          </cell>
          <cell r="G207" t="str">
            <v>N/A</v>
          </cell>
          <cell r="H207" t="str">
            <v>N/A</v>
          </cell>
          <cell r="I207" t="str">
            <v>N/A</v>
          </cell>
        </row>
        <row r="208">
          <cell r="B208" t="str">
            <v>14OA-22STA</v>
          </cell>
          <cell r="C208" t="str"/>
          <cell r="D208" t="str">
            <v>N/A</v>
          </cell>
          <cell r="E208" t="str">
            <v>N/A</v>
          </cell>
          <cell r="F208">
            <v>3</v>
          </cell>
          <cell r="G208" t="str">
            <v>N/A</v>
          </cell>
          <cell r="H208" t="str">
            <v>N/A</v>
          </cell>
          <cell r="I208" t="str">
            <v>N/A</v>
          </cell>
          <cell r="J208"/>
        </row>
        <row r="209">
          <cell r="B209" t="str">
            <v>14OA-22STA-S8BK</v>
          </cell>
          <cell r="C209" t="str">
            <v>8SIR</v>
          </cell>
          <cell r="D209" t="str">
            <v>N/A</v>
          </cell>
          <cell r="E209" t="str">
            <v>N/A</v>
          </cell>
          <cell r="F209">
            <v>3</v>
          </cell>
          <cell r="G209" t="str">
            <v>N/A</v>
          </cell>
          <cell r="H209" t="str">
            <v>N/A</v>
          </cell>
          <cell r="I209" t="str">
            <v>N/A</v>
          </cell>
        </row>
        <row r="210">
          <cell r="B210" t="str">
            <v>14OA-24</v>
          </cell>
          <cell r="C210"/>
          <cell r="D210" t="str">
            <v>N/A</v>
          </cell>
          <cell r="E210" t="str">
            <v>N/A</v>
          </cell>
          <cell r="F210" t="str">
            <v>N/A</v>
          </cell>
          <cell r="G210" t="str">
            <v>N/A</v>
          </cell>
          <cell r="H210" t="str">
            <v>N/A</v>
          </cell>
          <cell r="I210" t="str">
            <v>N/A</v>
          </cell>
          <cell r="J210"/>
        </row>
        <row r="211">
          <cell r="B211" t="str">
            <v>14OA-24BK-8SIR</v>
          </cell>
          <cell r="C211" t="str">
            <v>8SIR</v>
          </cell>
          <cell r="D211" t="str">
            <v>N/A</v>
          </cell>
          <cell r="E211" t="str">
            <v>N/A</v>
          </cell>
          <cell r="F211" t="str">
            <v>N/A</v>
          </cell>
          <cell r="G211" t="str">
            <v>N/A</v>
          </cell>
          <cell r="H211" t="str">
            <v>N/A</v>
          </cell>
          <cell r="I211" t="str">
            <v>N/A</v>
          </cell>
        </row>
        <row r="212">
          <cell r="B212" t="str">
            <v>14OA-24D3A</v>
          </cell>
          <cell r="C212" t="str"/>
          <cell r="D212" t="str">
            <v>N/A</v>
          </cell>
          <cell r="E212" t="str">
            <v>N/A</v>
          </cell>
          <cell r="F212">
            <v>3</v>
          </cell>
          <cell r="G212" t="str">
            <v>N/A</v>
          </cell>
          <cell r="H212" t="str">
            <v>N/A</v>
          </cell>
          <cell r="I212" t="str">
            <v>N/A</v>
          </cell>
        </row>
        <row r="213">
          <cell r="B213" t="str">
            <v>14OA-24D3A-FRBK</v>
          </cell>
          <cell r="C213" t="str">
            <v>3'DT, 5'FUR</v>
          </cell>
          <cell r="D213" t="str">
            <v>N/A</v>
          </cell>
          <cell r="E213" t="str">
            <v>N/A</v>
          </cell>
          <cell r="F213">
            <v>3</v>
          </cell>
          <cell r="G213" t="str">
            <v>N/A</v>
          </cell>
          <cell r="H213" t="str">
            <v>N/A</v>
          </cell>
          <cell r="I213" t="str">
            <v>N/A</v>
          </cell>
        </row>
        <row r="214">
          <cell r="B214" t="str">
            <v>14OA-24STA</v>
          </cell>
          <cell r="C214" t="str"/>
          <cell r="D214" t="str">
            <v>N/A</v>
          </cell>
          <cell r="E214" t="str">
            <v>N/A</v>
          </cell>
          <cell r="F214">
            <v>3</v>
          </cell>
          <cell r="G214" t="str">
            <v>N/A</v>
          </cell>
          <cell r="H214" t="str">
            <v>N/A</v>
          </cell>
          <cell r="I214" t="str">
            <v>N/A</v>
          </cell>
        </row>
        <row r="215">
          <cell r="B215" t="str">
            <v>14OA-24STA-S8BK</v>
          </cell>
          <cell r="C215" t="str">
            <v>8SIR</v>
          </cell>
          <cell r="D215" t="str">
            <v>N/A</v>
          </cell>
          <cell r="E215" t="str">
            <v>N/A</v>
          </cell>
          <cell r="F215">
            <v>3</v>
          </cell>
          <cell r="G215" t="str">
            <v>N/A</v>
          </cell>
          <cell r="H215" t="str">
            <v>N/A</v>
          </cell>
          <cell r="I215" t="str">
            <v>N/A</v>
          </cell>
        </row>
        <row r="216">
          <cell r="B216" t="str">
            <v>14OD-14</v>
          </cell>
          <cell r="C216" t="str">
            <v>6SIR, TARP(inc), Discontinued model</v>
          </cell>
          <cell r="D216" t="str">
            <v>N/A</v>
          </cell>
          <cell r="E216" t="str">
            <v>N/A</v>
          </cell>
          <cell r="F216" t="str">
            <v>N/A</v>
          </cell>
          <cell r="G216" t="str">
            <v>N/A</v>
          </cell>
          <cell r="H216" t="str">
            <v>N/A</v>
          </cell>
          <cell r="I216" t="str">
            <v>N/A</v>
          </cell>
        </row>
        <row r="217">
          <cell r="B217" t="str">
            <v>14OD-14GN</v>
          </cell>
          <cell r="C217" t="str">
            <v>6SIR, TARP(inc), Discontinued model</v>
          </cell>
          <cell r="D217" t="str">
            <v>N/A</v>
          </cell>
          <cell r="E217" t="str">
            <v>N/A</v>
          </cell>
          <cell r="F217" t="str">
            <v>N/A</v>
          </cell>
          <cell r="G217" t="str">
            <v>N/A</v>
          </cell>
          <cell r="H217" t="str">
            <v>N/A</v>
          </cell>
          <cell r="I217" t="str">
            <v>N/A</v>
          </cell>
        </row>
        <row r="218">
          <cell r="B218" t="str">
            <v>14OE-18STA</v>
          </cell>
          <cell r="C218"/>
          <cell r="D218" t="str">
            <v>N/A</v>
          </cell>
          <cell r="E218">
            <v>3</v>
          </cell>
          <cell r="F218" t="str">
            <v>N/A</v>
          </cell>
          <cell r="G218" t="str">
            <v>N/A</v>
          </cell>
          <cell r="H218" t="str">
            <v>N/A</v>
          </cell>
          <cell r="I218" t="str">
            <v>N/A</v>
          </cell>
        </row>
        <row r="219">
          <cell r="B219" t="str">
            <v>14OE-18STA-S8BK</v>
          </cell>
          <cell r="C219" t="str">
            <v>8SIR</v>
          </cell>
          <cell r="D219" t="str">
            <v>N/A</v>
          </cell>
          <cell r="E219">
            <v>3</v>
          </cell>
          <cell r="F219" t="str">
            <v>N/A</v>
          </cell>
          <cell r="G219" t="str">
            <v>N/A</v>
          </cell>
          <cell r="H219" t="str">
            <v>N/A</v>
          </cell>
          <cell r="I219" t="str">
            <v>N/A</v>
          </cell>
        </row>
        <row r="220">
          <cell r="B220" t="str">
            <v>14OE-20STA</v>
          </cell>
          <cell r="C220"/>
          <cell r="D220" t="str">
            <v>N/A</v>
          </cell>
          <cell r="E220">
            <v>3</v>
          </cell>
          <cell r="F220" t="str">
            <v>N/A</v>
          </cell>
          <cell r="G220" t="str">
            <v>N/A</v>
          </cell>
          <cell r="H220" t="str">
            <v>N/A</v>
          </cell>
          <cell r="I220" t="str">
            <v>N/A</v>
          </cell>
        </row>
        <row r="221">
          <cell r="B221" t="str">
            <v>14OE-20STA-S8BK</v>
          </cell>
          <cell r="C221" t="str">
            <v>8SIR</v>
          </cell>
          <cell r="D221" t="str">
            <v>N/A</v>
          </cell>
          <cell r="E221">
            <v>1</v>
          </cell>
          <cell r="F221" t="str">
            <v>N/A</v>
          </cell>
          <cell r="G221" t="str">
            <v>N/A</v>
          </cell>
          <cell r="H221" t="str">
            <v>N/A</v>
          </cell>
          <cell r="I221" t="str">
            <v>N/A</v>
          </cell>
        </row>
        <row r="222">
          <cell r="B222" t="str">
            <v>14OE-22STA</v>
          </cell>
          <cell r="C222"/>
          <cell r="D222" t="str">
            <v>N/A</v>
          </cell>
          <cell r="E222">
            <v>3</v>
          </cell>
          <cell r="F222" t="str">
            <v>N/A</v>
          </cell>
          <cell r="G222" t="str">
            <v>N/A</v>
          </cell>
          <cell r="H222" t="str">
            <v>N/A</v>
          </cell>
          <cell r="I222" t="str">
            <v>N/A</v>
          </cell>
        </row>
        <row r="223">
          <cell r="B223" t="str">
            <v>14OE-22STA-S8BK</v>
          </cell>
          <cell r="C223" t="str">
            <v>8SIR</v>
          </cell>
          <cell r="D223" t="str">
            <v>N/A</v>
          </cell>
          <cell r="E223">
            <v>1</v>
          </cell>
          <cell r="F223" t="str">
            <v>N/A</v>
          </cell>
          <cell r="G223" t="str">
            <v>N/A</v>
          </cell>
          <cell r="H223" t="str">
            <v>N/A</v>
          </cell>
          <cell r="I223" t="str">
            <v>N/A</v>
          </cell>
        </row>
        <row r="224">
          <cell r="B224" t="str">
            <v>14OT-22</v>
          </cell>
          <cell r="C224" t="str">
            <v>22' OA TILT DECK</v>
          </cell>
          <cell r="D224" t="str">
            <v>N/A</v>
          </cell>
          <cell r="E224">
            <v>3</v>
          </cell>
          <cell r="F224" t="str">
            <v>N/A</v>
          </cell>
          <cell r="G224" t="str">
            <v>N/A</v>
          </cell>
          <cell r="H224" t="str">
            <v>N/A</v>
          </cell>
          <cell r="I224" t="str">
            <v>N/A</v>
          </cell>
        </row>
        <row r="225">
          <cell r="B225" t="str">
            <v>14OT-22BK</v>
          </cell>
          <cell r="C225" t="str">
            <v>22' OA TILT DECK</v>
          </cell>
          <cell r="D225" t="str">
            <v>N/A</v>
          </cell>
          <cell r="E225">
            <v>1</v>
          </cell>
          <cell r="F225" t="str">
            <v>N/A</v>
          </cell>
          <cell r="G225" t="str">
            <v>N/A</v>
          </cell>
          <cell r="H225" t="str">
            <v>N/A</v>
          </cell>
          <cell r="I225" t="str">
            <v>N/A</v>
          </cell>
        </row>
        <row r="226">
          <cell r="B226" t="str">
            <v>14OT-22GN</v>
          </cell>
          <cell r="C226" t="str">
            <v>22' OA TILT DECK GOOSENECK</v>
          </cell>
          <cell r="D226" t="str">
            <v>N/A</v>
          </cell>
          <cell r="E226">
            <v>3</v>
          </cell>
          <cell r="F226" t="str">
            <v>N/A</v>
          </cell>
          <cell r="G226" t="str">
            <v>N/A</v>
          </cell>
          <cell r="H226" t="str">
            <v>N/A</v>
          </cell>
          <cell r="I226" t="str">
            <v>N/A</v>
          </cell>
        </row>
        <row r="227">
          <cell r="B227" t="str">
            <v>14OT-24</v>
          </cell>
          <cell r="C227" t="str">
            <v>24' OA TILT DECK</v>
          </cell>
          <cell r="D227" t="str">
            <v>N/A</v>
          </cell>
          <cell r="E227">
            <v>3</v>
          </cell>
          <cell r="F227" t="str">
            <v>N/A</v>
          </cell>
          <cell r="G227" t="str">
            <v>N/A</v>
          </cell>
          <cell r="H227" t="str">
            <v>N/A</v>
          </cell>
          <cell r="I227" t="str">
            <v>N/A</v>
          </cell>
        </row>
        <row r="228">
          <cell r="B228" t="str">
            <v>14OT-24BK</v>
          </cell>
          <cell r="C228" t="str">
            <v>24' OA TILT DECK</v>
          </cell>
          <cell r="D228" t="str">
            <v>N/A</v>
          </cell>
          <cell r="E228">
            <v>2</v>
          </cell>
          <cell r="F228" t="str">
            <v>N/A</v>
          </cell>
          <cell r="G228" t="str">
            <v>N/A</v>
          </cell>
          <cell r="H228" t="str">
            <v>N/A</v>
          </cell>
          <cell r="I228" t="str">
            <v>N/A</v>
          </cell>
        </row>
        <row r="229">
          <cell r="B229" t="str">
            <v>14OT-24GN</v>
          </cell>
          <cell r="C229" t="str">
            <v>24' OA TILT DECK GOOSENECK</v>
          </cell>
          <cell r="D229" t="str">
            <v>N/A</v>
          </cell>
          <cell r="E229">
            <v>3</v>
          </cell>
          <cell r="F229" t="str">
            <v>N/A</v>
          </cell>
          <cell r="G229" t="str">
            <v>N/A</v>
          </cell>
          <cell r="H229" t="str">
            <v>N/A</v>
          </cell>
          <cell r="I229" t="str">
            <v>N/A</v>
          </cell>
        </row>
        <row r="230">
          <cell r="B230" t="str">
            <v>14OT-26</v>
          </cell>
          <cell r="C230" t="str">
            <v>26' OA TILT DECK</v>
          </cell>
          <cell r="D230" t="str">
            <v>N/A</v>
          </cell>
          <cell r="E230">
            <v>3</v>
          </cell>
          <cell r="F230" t="str">
            <v>N/A</v>
          </cell>
          <cell r="G230" t="str">
            <v>N/A</v>
          </cell>
          <cell r="H230" t="str">
            <v>N/A</v>
          </cell>
          <cell r="I230" t="str">
            <v>N/A</v>
          </cell>
        </row>
        <row r="231">
          <cell r="B231" t="str">
            <v>14OT-26BK</v>
          </cell>
          <cell r="C231" t="str">
            <v>26' OA TILT DECK</v>
          </cell>
          <cell r="D231" t="str">
            <v>N/A</v>
          </cell>
          <cell r="E231">
            <v>2</v>
          </cell>
          <cell r="F231" t="str">
            <v>N/A</v>
          </cell>
          <cell r="G231" t="str">
            <v>N/A</v>
          </cell>
          <cell r="H231" t="str">
            <v>N/A</v>
          </cell>
          <cell r="I231" t="str">
            <v>N/A</v>
          </cell>
        </row>
        <row r="232">
          <cell r="B232" t="str">
            <v>14OT-26GN</v>
          </cell>
          <cell r="C232" t="str"/>
          <cell r="D232" t="str">
            <v>N/A</v>
          </cell>
          <cell r="E232">
            <v>3</v>
          </cell>
          <cell r="F232" t="str">
            <v>N/A</v>
          </cell>
          <cell r="G232" t="str">
            <v>N/A</v>
          </cell>
          <cell r="H232" t="str">
            <v>N/A</v>
          </cell>
          <cell r="I232" t="str">
            <v>N/A</v>
          </cell>
        </row>
        <row r="233">
          <cell r="B233" t="str">
            <v>14PH-20</v>
          </cell>
          <cell r="C233" t="str">
            <v>SPARE (incl)</v>
          </cell>
          <cell r="D233" t="str">
            <v>N/A</v>
          </cell>
          <cell r="E233" t="str">
            <v>N/A</v>
          </cell>
          <cell r="F233">
            <v>3</v>
          </cell>
          <cell r="G233" t="str">
            <v>N/A</v>
          </cell>
          <cell r="H233" t="str">
            <v>N/A</v>
          </cell>
          <cell r="I233" t="str">
            <v>N/A</v>
          </cell>
        </row>
        <row r="234">
          <cell r="B234" t="str">
            <v>14PH-20+5</v>
          </cell>
          <cell r="C234" t="str">
            <v>SPARE (incl)</v>
          </cell>
          <cell r="D234" t="str">
            <v>N/A</v>
          </cell>
          <cell r="E234" t="str">
            <v>N/A</v>
          </cell>
          <cell r="F234">
            <v>3</v>
          </cell>
          <cell r="G234" t="str">
            <v>N/A</v>
          </cell>
          <cell r="H234" t="str">
            <v>N/A</v>
          </cell>
          <cell r="I234" t="str">
            <v>N/A</v>
          </cell>
        </row>
        <row r="235">
          <cell r="B235" t="str">
            <v>14PH-20BK+5</v>
          </cell>
          <cell r="C235" t="str">
            <v>SPARE (incl)</v>
          </cell>
          <cell r="D235" t="str">
            <v>N/A</v>
          </cell>
          <cell r="E235" t="str">
            <v>N/A</v>
          </cell>
          <cell r="F235">
            <v>3</v>
          </cell>
          <cell r="G235" t="str">
            <v>N/A</v>
          </cell>
          <cell r="H235" t="str">
            <v>N/A</v>
          </cell>
          <cell r="I235" t="str">
            <v>N/A</v>
          </cell>
        </row>
        <row r="236">
          <cell r="B236" t="str">
            <v>14PH-20BK+5MR</v>
          </cell>
          <cell r="C236" t="str">
            <v>MEGA RAMPS, SPARE (incl)</v>
          </cell>
          <cell r="D236" t="str">
            <v>N/A</v>
          </cell>
          <cell r="E236" t="str">
            <v>N/A</v>
          </cell>
          <cell r="F236">
            <v>2</v>
          </cell>
          <cell r="G236" t="str">
            <v>N/A</v>
          </cell>
          <cell r="H236">
            <v>2</v>
          </cell>
          <cell r="I236" t="str">
            <v>TF</v>
          </cell>
        </row>
        <row r="237">
          <cell r="B237" t="str">
            <v>14PH-25</v>
          </cell>
          <cell r="C237" t="str">
            <v>SPARE (incl)</v>
          </cell>
          <cell r="D237" t="str">
            <v>N/A</v>
          </cell>
          <cell r="E237" t="str">
            <v>N/A</v>
          </cell>
          <cell r="F237">
            <v>4</v>
          </cell>
          <cell r="G237" t="str">
            <v>N/A</v>
          </cell>
          <cell r="H237" t="str">
            <v>N/A</v>
          </cell>
          <cell r="I237" t="str">
            <v>N/A</v>
          </cell>
        </row>
        <row r="238">
          <cell r="B238" t="str">
            <v>14PH-25+5</v>
          </cell>
          <cell r="C238" t="str">
            <v>SPARE (incl)</v>
          </cell>
          <cell r="D238" t="str">
            <v>N/A</v>
          </cell>
          <cell r="E238" t="str">
            <v>N/A</v>
          </cell>
          <cell r="F238">
            <v>3</v>
          </cell>
          <cell r="G238" t="str">
            <v>N/A</v>
          </cell>
          <cell r="H238" t="str">
            <v>N/A</v>
          </cell>
          <cell r="I238" t="str">
            <v>N/A</v>
          </cell>
        </row>
        <row r="239">
          <cell r="B239" t="str">
            <v>14PH-25BK+5</v>
          </cell>
          <cell r="C239" t="str">
            <v>SPARE (incl)</v>
          </cell>
          <cell r="D239">
            <v>1</v>
          </cell>
          <cell r="E239">
            <v>1</v>
          </cell>
          <cell r="F239">
            <v>3</v>
          </cell>
          <cell r="G239" t="str">
            <v>N/A</v>
          </cell>
          <cell r="H239" t="str">
            <v>N/A</v>
          </cell>
          <cell r="I239" t="str">
            <v>N/A</v>
          </cell>
        </row>
        <row r="240">
          <cell r="B240" t="str">
            <v>14PH-25BK+5MR</v>
          </cell>
          <cell r="C240" t="str">
            <v>MEGA RAMPS, SPARE (incl)</v>
          </cell>
          <cell r="D240" t="str">
            <v>N/A</v>
          </cell>
          <cell r="E240" t="str">
            <v>N/A</v>
          </cell>
          <cell r="F240">
            <v>2</v>
          </cell>
          <cell r="G240" t="str">
            <v>N/A</v>
          </cell>
          <cell r="H240">
            <v>3</v>
          </cell>
          <cell r="I240" t="str">
            <v>TF</v>
          </cell>
        </row>
        <row r="241">
          <cell r="B241" t="str">
            <v>14PH-30</v>
          </cell>
          <cell r="C241" t="str">
            <v>Discontinued SKU</v>
          </cell>
          <cell r="D241" t="str">
            <v>N/A</v>
          </cell>
          <cell r="E241" t="str">
            <v>N/A</v>
          </cell>
          <cell r="F241">
            <v>4</v>
          </cell>
          <cell r="G241" t="str">
            <v>N/A</v>
          </cell>
          <cell r="H241" t="str">
            <v>N/A</v>
          </cell>
          <cell r="I241" t="str">
            <v>N/A</v>
          </cell>
        </row>
        <row r="242">
          <cell r="B242" t="str">
            <v>14PI-16</v>
          </cell>
          <cell r="C242"/>
          <cell r="D242" t="str">
            <v>N/A</v>
          </cell>
          <cell r="E242">
            <v>3</v>
          </cell>
          <cell r="F242" t="str">
            <v>N/A</v>
          </cell>
          <cell r="G242" t="str">
            <v>N/A</v>
          </cell>
          <cell r="H242" t="str">
            <v>N/A</v>
          </cell>
          <cell r="I242">
            <v>3</v>
          </cell>
        </row>
        <row r="243">
          <cell r="B243" t="str">
            <v>14PI-16BK</v>
          </cell>
          <cell r="C243"/>
          <cell r="D243" t="str">
            <v>N/A</v>
          </cell>
          <cell r="E243">
            <v>2</v>
          </cell>
          <cell r="F243" t="str">
            <v>N/A</v>
          </cell>
          <cell r="G243" t="str">
            <v>N/A</v>
          </cell>
          <cell r="H243" t="str">
            <v>N/A</v>
          </cell>
          <cell r="I243">
            <v>3</v>
          </cell>
        </row>
        <row r="244">
          <cell r="B244" t="str">
            <v>14PI-16BK5FUR</v>
          </cell>
          <cell r="C244" t="str">
            <v>FUR5</v>
          </cell>
          <cell r="D244" t="str">
            <v>N/A</v>
          </cell>
          <cell r="E244">
            <v>3</v>
          </cell>
          <cell r="F244" t="str">
            <v>N/A</v>
          </cell>
          <cell r="G244" t="str">
            <v>N/A</v>
          </cell>
          <cell r="H244" t="str">
            <v>N/A</v>
          </cell>
          <cell r="I244">
            <v>3</v>
          </cell>
        </row>
        <row r="245">
          <cell r="B245" t="str">
            <v>14PI-18</v>
          </cell>
          <cell r="C245"/>
          <cell r="D245" t="str">
            <v>N/A</v>
          </cell>
          <cell r="E245">
            <v>3</v>
          </cell>
          <cell r="F245" t="str">
            <v>N/A</v>
          </cell>
          <cell r="G245" t="str">
            <v>N/A</v>
          </cell>
          <cell r="H245" t="str">
            <v>N/A</v>
          </cell>
          <cell r="I245">
            <v>3</v>
          </cell>
        </row>
        <row r="246">
          <cell r="B246" t="str">
            <v>14PI-18BK</v>
          </cell>
          <cell r="C246"/>
          <cell r="D246" t="str">
            <v>N/A</v>
          </cell>
          <cell r="E246">
            <v>2</v>
          </cell>
          <cell r="F246" t="str">
            <v>N/A</v>
          </cell>
          <cell r="G246" t="str">
            <v>N/A</v>
          </cell>
          <cell r="H246" t="str">
            <v>N/A</v>
          </cell>
          <cell r="I246">
            <v>3</v>
          </cell>
        </row>
        <row r="247">
          <cell r="B247" t="str">
            <v>14PI-18BK5FUR</v>
          </cell>
          <cell r="C247" t="str">
            <v>FUR5</v>
          </cell>
          <cell r="D247" t="str">
            <v>N/A</v>
          </cell>
          <cell r="E247">
            <v>3</v>
          </cell>
          <cell r="F247" t="str">
            <v>N/A</v>
          </cell>
          <cell r="G247" t="str">
            <v>N/A</v>
          </cell>
          <cell r="H247" t="str">
            <v>N/A</v>
          </cell>
          <cell r="I247">
            <v>3</v>
          </cell>
        </row>
        <row r="248">
          <cell r="B248" t="str">
            <v>14PI-20</v>
          </cell>
          <cell r="C248"/>
          <cell r="D248" t="str">
            <v>N/A</v>
          </cell>
          <cell r="E248">
            <v>3</v>
          </cell>
          <cell r="F248" t="str">
            <v>N/A</v>
          </cell>
          <cell r="G248" t="str">
            <v>N/A</v>
          </cell>
          <cell r="H248" t="str">
            <v>N/A</v>
          </cell>
          <cell r="I248">
            <v>3</v>
          </cell>
        </row>
        <row r="249">
          <cell r="B249" t="str">
            <v>14PI-20BK</v>
          </cell>
          <cell r="C249"/>
          <cell r="D249" t="str">
            <v>N/A</v>
          </cell>
          <cell r="E249">
            <v>1</v>
          </cell>
          <cell r="F249" t="str">
            <v>N/A</v>
          </cell>
          <cell r="G249" t="str">
            <v>N/A</v>
          </cell>
          <cell r="H249" t="str">
            <v>N/A</v>
          </cell>
          <cell r="I249">
            <v>2</v>
          </cell>
        </row>
        <row r="250">
          <cell r="B250" t="str">
            <v>14PI-20BK4HDIR</v>
          </cell>
          <cell r="C250" t="str">
            <v>4' HDIR GATE</v>
          </cell>
          <cell r="D250" t="str">
            <v>N/A</v>
          </cell>
          <cell r="E250">
            <v>3</v>
          </cell>
          <cell r="F250" t="str">
            <v>N/A</v>
          </cell>
          <cell r="G250" t="str">
            <v>N/A</v>
          </cell>
          <cell r="H250" t="str">
            <v>N/A</v>
          </cell>
          <cell r="I250">
            <v>3</v>
          </cell>
        </row>
        <row r="251">
          <cell r="B251" t="str">
            <v>14PI-20BK5FUR</v>
          </cell>
          <cell r="C251" t="str">
            <v>FUR5</v>
          </cell>
          <cell r="D251" t="str">
            <v>N/A</v>
          </cell>
          <cell r="E251">
            <v>2</v>
          </cell>
          <cell r="F251" t="str">
            <v>N/A</v>
          </cell>
          <cell r="G251" t="str">
            <v>N/A</v>
          </cell>
          <cell r="H251" t="str">
            <v>N/A</v>
          </cell>
          <cell r="I251">
            <v>3</v>
          </cell>
        </row>
        <row r="252">
          <cell r="B252" t="str">
            <v>14PI-25</v>
          </cell>
          <cell r="C252"/>
          <cell r="D252" t="str">
            <v>N/A</v>
          </cell>
          <cell r="E252">
            <v>4</v>
          </cell>
          <cell r="F252" t="str">
            <v>N/A</v>
          </cell>
          <cell r="G252" t="str">
            <v>N/A</v>
          </cell>
          <cell r="H252" t="str">
            <v>N/A</v>
          </cell>
          <cell r="I252" t="str">
            <v>N/A</v>
          </cell>
        </row>
        <row r="253">
          <cell r="B253" t="str">
            <v>14RB-14</v>
          </cell>
          <cell r="C253" t="str">
            <v>Roll-Off Dump, w/ Tarp</v>
          </cell>
          <cell r="D253">
            <v>3</v>
          </cell>
          <cell r="E253" t="str">
            <v>N/A</v>
          </cell>
          <cell r="F253" t="str">
            <v>N/A</v>
          </cell>
          <cell r="G253" t="str">
            <v>N/A</v>
          </cell>
          <cell r="H253" t="str">
            <v>N/A</v>
          </cell>
          <cell r="I253" t="str">
            <v>N/A</v>
          </cell>
        </row>
        <row r="254">
          <cell r="B254" t="str">
            <v>14RB-14BK</v>
          </cell>
          <cell r="C254" t="str">
            <v>Roll-Off Dump, w/ Tarp</v>
          </cell>
          <cell r="D254">
            <v>2</v>
          </cell>
          <cell r="E254" t="str">
            <v>N/A</v>
          </cell>
          <cell r="F254" t="str">
            <v>N/A</v>
          </cell>
          <cell r="G254" t="str">
            <v>N/A</v>
          </cell>
          <cell r="H254" t="str">
            <v>N/A</v>
          </cell>
          <cell r="I254" t="str">
            <v>N/A</v>
          </cell>
        </row>
        <row r="255">
          <cell r="B255" t="str">
            <v>14RD-14</v>
          </cell>
          <cell r="C255" t="str">
            <v>GN Roll-Off Dump, w/ Tarp</v>
          </cell>
          <cell r="D255">
            <v>3</v>
          </cell>
          <cell r="E255" t="str">
            <v>N/A</v>
          </cell>
          <cell r="F255" t="str">
            <v>N/A</v>
          </cell>
          <cell r="G255" t="str">
            <v>N/A</v>
          </cell>
          <cell r="H255" t="str">
            <v>N/A</v>
          </cell>
          <cell r="I255" t="str">
            <v>N/A</v>
          </cell>
        </row>
        <row r="256">
          <cell r="B256" t="str">
            <v>14RD-14BK</v>
          </cell>
          <cell r="C256" t="str">
            <v>GN Roll-Off Dump, w/ Tarp</v>
          </cell>
          <cell r="D256">
            <v>2</v>
          </cell>
          <cell r="E256" t="str">
            <v>N/A</v>
          </cell>
          <cell r="F256" t="str">
            <v>N/A</v>
          </cell>
          <cell r="G256" t="str">
            <v>N/A</v>
          </cell>
          <cell r="H256" t="str">
            <v>N/A</v>
          </cell>
          <cell r="I256" t="str">
            <v>N/A</v>
          </cell>
        </row>
        <row r="257">
          <cell r="B257" t="str">
            <v>14TD-14</v>
          </cell>
          <cell r="C257" t="str">
            <v>TARP(included)</v>
          </cell>
          <cell r="D257">
            <v>3</v>
          </cell>
          <cell r="E257" t="str">
            <v>N/A</v>
          </cell>
          <cell r="F257" t="str">
            <v>N/A</v>
          </cell>
          <cell r="G257" t="str">
            <v>N/A</v>
          </cell>
          <cell r="H257" t="str">
            <v>N/A</v>
          </cell>
          <cell r="I257" t="str">
            <v>N/A</v>
          </cell>
        </row>
        <row r="258">
          <cell r="B258" t="str">
            <v>14TD-14BK6-P3</v>
          </cell>
          <cell r="C258" t="str">
            <v>HS3, 6SIR, TARP(incl)</v>
          </cell>
          <cell r="D258" t="str">
            <v>N/A</v>
          </cell>
          <cell r="E258" t="str">
            <v>N/A</v>
          </cell>
          <cell r="F258" t="str">
            <v>N/A</v>
          </cell>
          <cell r="G258" t="str">
            <v>N/A</v>
          </cell>
          <cell r="H258" t="str">
            <v>N/A</v>
          </cell>
          <cell r="I258" t="str">
            <v>N/A</v>
          </cell>
        </row>
        <row r="259">
          <cell r="B259" t="str">
            <v>14TD-14BK6-P4</v>
          </cell>
          <cell r="C259" t="str">
            <v>HS4, 6SIR, TARP(incl)</v>
          </cell>
          <cell r="D259">
            <v>3</v>
          </cell>
          <cell r="E259" t="str">
            <v>N/A</v>
          </cell>
          <cell r="F259" t="str">
            <v>N/A</v>
          </cell>
          <cell r="G259" t="str">
            <v>N/A</v>
          </cell>
          <cell r="H259" t="str">
            <v>N/A</v>
          </cell>
          <cell r="I259">
            <v>3</v>
          </cell>
        </row>
        <row r="260">
          <cell r="B260" t="str">
            <v>14TD-14BK6SIR</v>
          </cell>
          <cell r="C260" t="str">
            <v>6SIR, TARP(included)</v>
          </cell>
          <cell r="D260">
            <v>1</v>
          </cell>
          <cell r="E260" t="str">
            <v>N/A</v>
          </cell>
          <cell r="F260" t="str">
            <v>N/A</v>
          </cell>
          <cell r="G260" t="str">
            <v>N/A</v>
          </cell>
          <cell r="H260" t="str">
            <v>N/A</v>
          </cell>
          <cell r="I260">
            <v>1</v>
          </cell>
        </row>
        <row r="261">
          <cell r="B261" t="str">
            <v>14TD-14C2A</v>
          </cell>
          <cell r="C261"/>
          <cell r="D261" t="str">
            <v>N/A</v>
          </cell>
          <cell r="E261" t="str">
            <v>N/A</v>
          </cell>
          <cell r="F261" t="str">
            <v>N/A</v>
          </cell>
          <cell r="G261" t="str">
            <v>N/A</v>
          </cell>
          <cell r="H261" t="str">
            <v>N/A</v>
          </cell>
          <cell r="I261">
            <v>3</v>
          </cell>
        </row>
        <row r="262">
          <cell r="B262" t="str">
            <v>14TD-14C2A-BK</v>
          </cell>
          <cell r="C262" t="str">
            <v>Telescopic, 6SIR, Tarp</v>
          </cell>
          <cell r="D262">
            <v>1</v>
          </cell>
          <cell r="E262" t="str">
            <v>N/A</v>
          </cell>
          <cell r="F262" t="str">
            <v>N/A</v>
          </cell>
          <cell r="G262" t="str">
            <v>N/A</v>
          </cell>
          <cell r="H262" t="str">
            <v>N/A</v>
          </cell>
          <cell r="I262">
            <v>1</v>
          </cell>
        </row>
        <row r="263">
          <cell r="B263" t="str">
            <v>14TD-14C2A-XSERP-BK</v>
          </cell>
          <cell r="C263" t="str">
            <v>6SIR, Arm Tarp, WR, 5WCH, TU(G)</v>
          </cell>
          <cell r="D263">
            <v>3</v>
          </cell>
          <cell r="E263" t="str">
            <v>N/A</v>
          </cell>
          <cell r="F263" t="str">
            <v>N/A</v>
          </cell>
          <cell r="G263" t="str">
            <v>N/A</v>
          </cell>
          <cell r="H263" t="str">
            <v>N/A</v>
          </cell>
          <cell r="I263">
            <v>3</v>
          </cell>
        </row>
        <row r="264">
          <cell r="B264" t="str">
            <v>14TD-14C4A</v>
          </cell>
          <cell r="C264"/>
          <cell r="D264" t="str">
            <v>N/A</v>
          </cell>
          <cell r="E264" t="str">
            <v>N/A</v>
          </cell>
          <cell r="F264" t="str">
            <v>N/A</v>
          </cell>
          <cell r="G264" t="str">
            <v>N/A</v>
          </cell>
          <cell r="H264" t="str">
            <v>N/A</v>
          </cell>
          <cell r="I264">
            <v>3</v>
          </cell>
        </row>
        <row r="265">
          <cell r="B265" t="str">
            <v>14TD-14C4A-BK</v>
          </cell>
          <cell r="C265" t="str">
            <v>Telescopic, HS4, 6SIR, Tarp</v>
          </cell>
          <cell r="D265">
            <v>2</v>
          </cell>
          <cell r="E265" t="str">
            <v>N/A</v>
          </cell>
          <cell r="F265" t="str">
            <v>N/A</v>
          </cell>
          <cell r="G265" t="str">
            <v>N/A</v>
          </cell>
          <cell r="H265" t="str">
            <v>N/A</v>
          </cell>
          <cell r="I265">
            <v>2</v>
          </cell>
        </row>
        <row r="266">
          <cell r="B266" t="str">
            <v>14TD-14C4A-XCERP-BK</v>
          </cell>
          <cell r="C266" t="str">
            <v>HS4, 6SIR, Arm Tarp, WR, 5WCH, TU(G)</v>
          </cell>
          <cell r="D266">
            <v>3</v>
          </cell>
          <cell r="E266" t="str">
            <v>N/A</v>
          </cell>
          <cell r="F266" t="str">
            <v>N/A</v>
          </cell>
          <cell r="G266" t="str">
            <v>N/A</v>
          </cell>
          <cell r="H266" t="str">
            <v>N/A</v>
          </cell>
          <cell r="I266">
            <v>3</v>
          </cell>
        </row>
        <row r="267">
          <cell r="B267" t="str">
            <v>14TD-16</v>
          </cell>
          <cell r="C267" t="str">
            <v>TARP(included)</v>
          </cell>
          <cell r="D267">
            <v>3</v>
          </cell>
          <cell r="E267" t="str">
            <v>N/A</v>
          </cell>
          <cell r="F267" t="str">
            <v>N/A</v>
          </cell>
          <cell r="G267" t="str">
            <v>N/A</v>
          </cell>
          <cell r="H267" t="str">
            <v>N/A</v>
          </cell>
          <cell r="I267" t="str">
            <v>N/A</v>
          </cell>
        </row>
        <row r="268">
          <cell r="B268" t="str">
            <v>14TD-16BK6-P3</v>
          </cell>
          <cell r="C268" t="str">
            <v>HS3, 6SIR, TARP(incl)</v>
          </cell>
          <cell r="D268" t="str">
            <v>N/A</v>
          </cell>
          <cell r="E268" t="str">
            <v>N/A</v>
          </cell>
          <cell r="F268" t="str">
            <v>N/A</v>
          </cell>
          <cell r="G268" t="str">
            <v>N/A</v>
          </cell>
          <cell r="H268" t="str">
            <v>N/A</v>
          </cell>
          <cell r="I268" t="str">
            <v>N/A</v>
          </cell>
        </row>
        <row r="269">
          <cell r="B269" t="str">
            <v>14TD-16BK6-P4</v>
          </cell>
          <cell r="C269" t="str">
            <v>HS4, 6SIR, TARP(incl)</v>
          </cell>
          <cell r="D269">
            <v>3</v>
          </cell>
          <cell r="E269" t="str">
            <v>N/A</v>
          </cell>
          <cell r="F269" t="str">
            <v>N/A</v>
          </cell>
          <cell r="G269" t="str">
            <v>N/A</v>
          </cell>
          <cell r="H269" t="str">
            <v>N/A</v>
          </cell>
          <cell r="I269">
            <v>3</v>
          </cell>
        </row>
        <row r="270">
          <cell r="B270" t="str">
            <v>14TD-16BK6SIR</v>
          </cell>
          <cell r="C270" t="str">
            <v>6SIR, TARP(included)</v>
          </cell>
          <cell r="D270">
            <v>2</v>
          </cell>
          <cell r="E270" t="str">
            <v>N/A</v>
          </cell>
          <cell r="F270" t="str">
            <v>N/A</v>
          </cell>
          <cell r="G270" t="str">
            <v>N/A</v>
          </cell>
          <cell r="H270" t="str">
            <v>N/A</v>
          </cell>
          <cell r="I270">
            <v>2</v>
          </cell>
        </row>
        <row r="271">
          <cell r="B271" t="str">
            <v>14TD-16C2A</v>
          </cell>
          <cell r="C271"/>
          <cell r="D271">
            <v>3</v>
          </cell>
          <cell r="E271" t="str">
            <v>N/A</v>
          </cell>
          <cell r="F271" t="str">
            <v>N/A</v>
          </cell>
          <cell r="G271" t="str">
            <v>N/A</v>
          </cell>
          <cell r="H271" t="str">
            <v>N/A</v>
          </cell>
          <cell r="I271">
            <v>3</v>
          </cell>
        </row>
        <row r="272">
          <cell r="B272" t="str">
            <v>14TD-16C2A-BK</v>
          </cell>
          <cell r="C272" t="str">
            <v>Telescopic, 6SIR, Tarp</v>
          </cell>
          <cell r="D272">
            <v>1</v>
          </cell>
          <cell r="E272" t="str">
            <v>N/A</v>
          </cell>
          <cell r="F272" t="str">
            <v>N/A</v>
          </cell>
          <cell r="G272" t="str">
            <v>N/A</v>
          </cell>
          <cell r="H272" t="str">
            <v>N/A</v>
          </cell>
          <cell r="I272">
            <v>1</v>
          </cell>
        </row>
        <row r="273">
          <cell r="B273" t="str">
            <v>14TD-16C4A</v>
          </cell>
          <cell r="C273"/>
          <cell r="D273">
            <v>3</v>
          </cell>
          <cell r="E273" t="str">
            <v>N/A</v>
          </cell>
          <cell r="F273" t="str">
            <v>N/A</v>
          </cell>
          <cell r="G273" t="str">
            <v>N/A</v>
          </cell>
          <cell r="H273" t="str">
            <v>N/A</v>
          </cell>
          <cell r="I273">
            <v>3</v>
          </cell>
        </row>
        <row r="274">
          <cell r="B274" t="str">
            <v>14TD-16C4A-BK</v>
          </cell>
          <cell r="C274" t="str">
            <v>Telescopic, HS4, 6SIR, Tarp</v>
          </cell>
          <cell r="D274">
            <v>3</v>
          </cell>
          <cell r="E274" t="str">
            <v>N/A</v>
          </cell>
          <cell r="F274" t="str">
            <v>N/A</v>
          </cell>
          <cell r="G274" t="str">
            <v>N/A</v>
          </cell>
          <cell r="H274" t="str">
            <v>N/A</v>
          </cell>
          <cell r="I274">
            <v>3</v>
          </cell>
        </row>
        <row r="275">
          <cell r="B275" t="str">
            <v>14TL-20</v>
          </cell>
          <cell r="C275"/>
          <cell r="D275" t="str">
            <v>N/A</v>
          </cell>
          <cell r="E275">
            <v>3</v>
          </cell>
          <cell r="F275" t="str">
            <v>N/A</v>
          </cell>
          <cell r="G275" t="str">
            <v>N/A</v>
          </cell>
          <cell r="H275" t="str">
            <v>N/A</v>
          </cell>
          <cell r="I275" t="str">
            <v>TF</v>
          </cell>
        </row>
        <row r="276">
          <cell r="B276" t="str">
            <v>14TL-20BK</v>
          </cell>
          <cell r="C276"/>
          <cell r="D276" t="str">
            <v>N/A</v>
          </cell>
          <cell r="E276">
            <v>1</v>
          </cell>
          <cell r="F276" t="str">
            <v>N/A</v>
          </cell>
          <cell r="G276" t="str">
            <v>N/A</v>
          </cell>
          <cell r="H276">
            <v>1</v>
          </cell>
          <cell r="I276" t="str">
            <v>TF</v>
          </cell>
        </row>
        <row r="277">
          <cell r="B277" t="str">
            <v>14TL-20GN</v>
          </cell>
          <cell r="C277"/>
          <cell r="D277" t="str">
            <v>N/A</v>
          </cell>
          <cell r="E277">
            <v>4</v>
          </cell>
          <cell r="F277" t="str">
            <v>N/A</v>
          </cell>
          <cell r="G277" t="str">
            <v>N/A</v>
          </cell>
          <cell r="H277" t="str">
            <v>N/A</v>
          </cell>
          <cell r="I277" t="str">
            <v>N/A</v>
          </cell>
        </row>
        <row r="278">
          <cell r="B278" t="str">
            <v>14TL-22</v>
          </cell>
          <cell r="C278"/>
          <cell r="D278" t="str">
            <v>N/A</v>
          </cell>
          <cell r="E278">
            <v>3</v>
          </cell>
          <cell r="F278" t="str">
            <v>N/A</v>
          </cell>
          <cell r="G278" t="str">
            <v>N/A</v>
          </cell>
          <cell r="H278" t="str">
            <v>N/A</v>
          </cell>
          <cell r="I278" t="str">
            <v>TF</v>
          </cell>
        </row>
        <row r="279">
          <cell r="B279" t="str">
            <v>14TL-22BK</v>
          </cell>
          <cell r="C279"/>
          <cell r="D279" t="str">
            <v>N/A</v>
          </cell>
          <cell r="E279">
            <v>1</v>
          </cell>
          <cell r="F279" t="str">
            <v>N/A</v>
          </cell>
          <cell r="G279" t="str">
            <v>N/A</v>
          </cell>
          <cell r="H279">
            <v>1</v>
          </cell>
          <cell r="I279" t="str">
            <v>TF</v>
          </cell>
        </row>
        <row r="280">
          <cell r="B280" t="str">
            <v>14TL-22GN</v>
          </cell>
          <cell r="C280"/>
          <cell r="D280" t="str">
            <v>N/A</v>
          </cell>
          <cell r="E280">
            <v>3</v>
          </cell>
          <cell r="F280" t="str">
            <v>N/A</v>
          </cell>
          <cell r="G280" t="str">
            <v>N/A</v>
          </cell>
          <cell r="H280" t="str">
            <v>N/A</v>
          </cell>
          <cell r="I280" t="str">
            <v>N/A</v>
          </cell>
        </row>
        <row r="281">
          <cell r="B281" t="str">
            <v>14TL-24GN</v>
          </cell>
          <cell r="C281"/>
          <cell r="D281" t="str">
            <v>N/A</v>
          </cell>
          <cell r="E281">
            <v>3</v>
          </cell>
          <cell r="F281" t="str">
            <v>N/A</v>
          </cell>
          <cell r="G281" t="str">
            <v>N/A</v>
          </cell>
          <cell r="H281" t="str">
            <v>N/A</v>
          </cell>
          <cell r="I281" t="str">
            <v>N/A</v>
          </cell>
        </row>
        <row r="282">
          <cell r="B282" t="str">
            <v>14XD-14C2A</v>
          </cell>
          <cell r="C282"/>
          <cell r="D282">
            <v>3</v>
          </cell>
          <cell r="E282" t="str">
            <v>N/A</v>
          </cell>
          <cell r="F282" t="str">
            <v>N/A</v>
          </cell>
          <cell r="G282" t="str">
            <v>N/A</v>
          </cell>
          <cell r="H282" t="str">
            <v>N/A</v>
          </cell>
          <cell r="I282">
            <v>3</v>
          </cell>
        </row>
        <row r="283">
          <cell r="B283" t="str">
            <v>14XD-14C2A-BK</v>
          </cell>
          <cell r="C283" t="str">
            <v>6SIR, Spec Tarp, LR-G tires, 15,400# GVWR</v>
          </cell>
          <cell r="D283">
            <v>1</v>
          </cell>
          <cell r="E283" t="str">
            <v>N/A</v>
          </cell>
          <cell r="F283" t="str">
            <v>N/A</v>
          </cell>
          <cell r="G283" t="str">
            <v>N/A</v>
          </cell>
          <cell r="H283" t="str">
            <v>N/A</v>
          </cell>
          <cell r="I283">
            <v>1</v>
          </cell>
        </row>
        <row r="284">
          <cell r="B284" t="str">
            <v>14XD-14C2A-BK-12KHJ</v>
          </cell>
          <cell r="C284" t="str">
            <v>6SIR, Spec Tarp, LR-G tires, 12KHDJ</v>
          </cell>
          <cell r="D284">
            <v>3</v>
          </cell>
          <cell r="E284" t="str">
            <v>N/A</v>
          </cell>
          <cell r="F284" t="str">
            <v>N/A</v>
          </cell>
          <cell r="G284" t="str">
            <v>N/A</v>
          </cell>
          <cell r="H284" t="str">
            <v>N/A</v>
          </cell>
          <cell r="I284">
            <v>3</v>
          </cell>
        </row>
        <row r="285">
          <cell r="B285" t="str">
            <v>14XD-14C4A</v>
          </cell>
          <cell r="C285"/>
          <cell r="D285">
            <v>3</v>
          </cell>
          <cell r="E285" t="str">
            <v>N/A</v>
          </cell>
          <cell r="F285" t="str">
            <v>N/A</v>
          </cell>
          <cell r="G285" t="str">
            <v>N/A</v>
          </cell>
          <cell r="H285" t="str">
            <v>N/A</v>
          </cell>
          <cell r="I285">
            <v>3</v>
          </cell>
        </row>
        <row r="286">
          <cell r="B286" t="str">
            <v>14XD-14C4A-BK</v>
          </cell>
          <cell r="C286" t="str">
            <v>HS4, 6SIR, Spec Tarp, LR-G tires, 15,400#</v>
          </cell>
          <cell r="D286">
            <v>2</v>
          </cell>
          <cell r="E286" t="str">
            <v>N/A</v>
          </cell>
          <cell r="F286" t="str">
            <v>N/A</v>
          </cell>
          <cell r="G286" t="str">
            <v>N/A</v>
          </cell>
          <cell r="H286" t="str">
            <v>N/A</v>
          </cell>
          <cell r="I286">
            <v>2</v>
          </cell>
        </row>
        <row r="287">
          <cell r="B287" t="str">
            <v>14XD-16C2A</v>
          </cell>
          <cell r="C287"/>
          <cell r="D287">
            <v>3</v>
          </cell>
          <cell r="E287" t="str">
            <v>N/A</v>
          </cell>
          <cell r="F287" t="str">
            <v>N/A</v>
          </cell>
          <cell r="G287" t="str">
            <v>N/A</v>
          </cell>
          <cell r="H287" t="str">
            <v>N/A</v>
          </cell>
          <cell r="I287">
            <v>3</v>
          </cell>
        </row>
        <row r="288">
          <cell r="B288" t="str">
            <v>14XD-16C2A-BK</v>
          </cell>
          <cell r="C288" t="str">
            <v>6SIR, Spec Tarp, LR-G tires, 15,400# GVWR</v>
          </cell>
          <cell r="D288">
            <v>3</v>
          </cell>
          <cell r="E288" t="str">
            <v>N/A</v>
          </cell>
          <cell r="F288" t="str">
            <v>N/A</v>
          </cell>
          <cell r="G288" t="str">
            <v>N/A</v>
          </cell>
          <cell r="H288" t="str">
            <v>N/A</v>
          </cell>
          <cell r="I288">
            <v>3</v>
          </cell>
        </row>
        <row r="289">
          <cell r="B289" t="str">
            <v>14XD-16C2A-BK-12KHJ</v>
          </cell>
          <cell r="C289" t="str">
            <v>6SIR, Spec Tarp, LR-G tires, 12KHDJ</v>
          </cell>
          <cell r="D289">
            <v>3</v>
          </cell>
          <cell r="E289" t="str">
            <v>N/A</v>
          </cell>
          <cell r="F289" t="str">
            <v>N/A</v>
          </cell>
          <cell r="G289" t="str">
            <v>N/A</v>
          </cell>
          <cell r="H289" t="str">
            <v>N/A</v>
          </cell>
          <cell r="I289">
            <v>3</v>
          </cell>
        </row>
        <row r="290">
          <cell r="B290" t="str">
            <v>14XD-16C4A</v>
          </cell>
          <cell r="C290"/>
          <cell r="D290">
            <v>3</v>
          </cell>
          <cell r="E290" t="str">
            <v>N/A</v>
          </cell>
          <cell r="F290" t="str">
            <v>N/A</v>
          </cell>
          <cell r="G290" t="str">
            <v>N/A</v>
          </cell>
          <cell r="H290" t="str">
            <v>N/A</v>
          </cell>
          <cell r="I290">
            <v>3</v>
          </cell>
        </row>
        <row r="291">
          <cell r="B291" t="str">
            <v>14XD-16C4A-BK</v>
          </cell>
          <cell r="C291" t="str">
            <v>HS4, 6SIR, Spec Tarp, LR-G tires, 15,400#</v>
          </cell>
          <cell r="D291">
            <v>3</v>
          </cell>
          <cell r="E291" t="str">
            <v>N/A</v>
          </cell>
          <cell r="F291" t="str">
            <v>N/A</v>
          </cell>
          <cell r="G291" t="str">
            <v>N/A</v>
          </cell>
          <cell r="H291" t="str">
            <v>N/A</v>
          </cell>
          <cell r="I291">
            <v>3</v>
          </cell>
        </row>
        <row r="292">
          <cell r="B292" t="str">
            <v>16EH-18D3A</v>
          </cell>
          <cell r="C292"/>
          <cell r="D292" t="str">
            <v>N/A</v>
          </cell>
          <cell r="E292">
            <v>3</v>
          </cell>
          <cell r="F292" t="str">
            <v>N/A</v>
          </cell>
          <cell r="G292" t="str">
            <v>N/A</v>
          </cell>
          <cell r="H292" t="str">
            <v>N/A</v>
          </cell>
          <cell r="I292" t="str">
            <v>TF</v>
          </cell>
        </row>
        <row r="293">
          <cell r="B293" t="str">
            <v>16EH-18D3A-KRBK</v>
          </cell>
          <cell r="C293" t="str">
            <v>DT, KNEE RAMPS</v>
          </cell>
          <cell r="D293" t="str">
            <v>N/A</v>
          </cell>
          <cell r="E293">
            <v>3</v>
          </cell>
          <cell r="F293" t="str">
            <v>N/A</v>
          </cell>
          <cell r="G293" t="str">
            <v>N/A</v>
          </cell>
          <cell r="H293">
            <v>3</v>
          </cell>
          <cell r="I293">
            <v>3</v>
          </cell>
        </row>
        <row r="294">
          <cell r="B294" t="str">
            <v>16EH-18D3A-MRBK</v>
          </cell>
          <cell r="C294" t="str">
            <v>DT, MEGA RAMPS</v>
          </cell>
          <cell r="D294" t="str">
            <v>N/A</v>
          </cell>
          <cell r="E294">
            <v>3</v>
          </cell>
          <cell r="F294" t="str">
            <v>N/A</v>
          </cell>
          <cell r="G294" t="str">
            <v>N/A</v>
          </cell>
          <cell r="H294">
            <v>3</v>
          </cell>
          <cell r="I294">
            <v>3</v>
          </cell>
        </row>
        <row r="295">
          <cell r="B295" t="str">
            <v>16EH-20D3A</v>
          </cell>
          <cell r="C295"/>
          <cell r="D295" t="str">
            <v>N/A</v>
          </cell>
          <cell r="E295">
            <v>3</v>
          </cell>
          <cell r="F295" t="str">
            <v>N/A</v>
          </cell>
          <cell r="G295" t="str">
            <v>N/A</v>
          </cell>
          <cell r="H295" t="str">
            <v>N/A</v>
          </cell>
          <cell r="I295" t="str">
            <v>TF</v>
          </cell>
        </row>
        <row r="296">
          <cell r="B296" t="str">
            <v>16EH-20D3A-KRBK</v>
          </cell>
          <cell r="C296" t="str">
            <v>DT, KNEE RAMPS</v>
          </cell>
          <cell r="D296" t="str">
            <v>N/A</v>
          </cell>
          <cell r="E296">
            <v>3</v>
          </cell>
          <cell r="F296" t="str">
            <v>N/A</v>
          </cell>
          <cell r="G296" t="str">
            <v>N/A</v>
          </cell>
          <cell r="H296">
            <v>3</v>
          </cell>
          <cell r="I296">
            <v>3</v>
          </cell>
        </row>
        <row r="297">
          <cell r="B297" t="str">
            <v>16EH-20D3A-MRBK</v>
          </cell>
          <cell r="C297" t="str">
            <v>DT, MEGA RAMPS</v>
          </cell>
          <cell r="D297" t="str">
            <v>N/A</v>
          </cell>
          <cell r="E297">
            <v>2</v>
          </cell>
          <cell r="F297" t="str">
            <v>N/A</v>
          </cell>
          <cell r="G297" t="str">
            <v>N/A</v>
          </cell>
          <cell r="H297">
            <v>2</v>
          </cell>
          <cell r="I297">
            <v>2</v>
          </cell>
        </row>
        <row r="298">
          <cell r="B298" t="str">
            <v>16EH-22D3A</v>
          </cell>
          <cell r="C298"/>
          <cell r="D298" t="str">
            <v>N/A</v>
          </cell>
          <cell r="E298">
            <v>3</v>
          </cell>
          <cell r="F298" t="str">
            <v>N/A</v>
          </cell>
          <cell r="G298" t="str">
            <v>N/A</v>
          </cell>
          <cell r="H298" t="str">
            <v>N/A</v>
          </cell>
          <cell r="I298" t="str">
            <v>TF</v>
          </cell>
        </row>
        <row r="299">
          <cell r="B299" t="str">
            <v>16EH-22D3A-KRBK</v>
          </cell>
          <cell r="C299" t="str">
            <v>DT, KNEE RAMPS</v>
          </cell>
          <cell r="D299" t="str">
            <v>N/A</v>
          </cell>
          <cell r="E299">
            <v>3</v>
          </cell>
          <cell r="F299" t="str">
            <v>N/A</v>
          </cell>
          <cell r="G299" t="str">
            <v>N/A</v>
          </cell>
          <cell r="H299">
            <v>3</v>
          </cell>
          <cell r="I299">
            <v>3</v>
          </cell>
        </row>
        <row r="300">
          <cell r="B300" t="str">
            <v>16EH-22D3A-MRBK</v>
          </cell>
          <cell r="C300" t="str">
            <v>DT, MEGA RAMPS</v>
          </cell>
          <cell r="D300" t="str">
            <v>N/A</v>
          </cell>
          <cell r="E300">
            <v>1</v>
          </cell>
          <cell r="F300" t="str">
            <v>N/A</v>
          </cell>
          <cell r="G300" t="str">
            <v>N/A</v>
          </cell>
          <cell r="H300">
            <v>1</v>
          </cell>
          <cell r="I300">
            <v>1</v>
          </cell>
        </row>
        <row r="301">
          <cell r="B301" t="str">
            <v>16EH-24D3A</v>
          </cell>
          <cell r="C301"/>
          <cell r="D301" t="str">
            <v>N/A</v>
          </cell>
          <cell r="E301">
            <v>3</v>
          </cell>
          <cell r="F301" t="str">
            <v>N/A</v>
          </cell>
          <cell r="G301" t="str">
            <v>N/A</v>
          </cell>
          <cell r="H301" t="str">
            <v>N/A</v>
          </cell>
          <cell r="I301" t="str">
            <v>TF</v>
          </cell>
        </row>
        <row r="302">
          <cell r="B302" t="str">
            <v>16EH-24D3A-KRBK</v>
          </cell>
          <cell r="C302" t="str">
            <v>DT, KNEE RAMPS</v>
          </cell>
          <cell r="D302" t="str">
            <v>N/A</v>
          </cell>
          <cell r="E302">
            <v>3</v>
          </cell>
          <cell r="F302" t="str">
            <v>N/A</v>
          </cell>
          <cell r="G302" t="str">
            <v>N/A</v>
          </cell>
          <cell r="H302">
            <v>3</v>
          </cell>
          <cell r="I302">
            <v>3</v>
          </cell>
        </row>
        <row r="303">
          <cell r="B303" t="str">
            <v>16EH-24D3A-MRBK</v>
          </cell>
          <cell r="C303" t="str">
            <v>DT, MEGA RAMPS</v>
          </cell>
          <cell r="D303" t="str">
            <v>N/A</v>
          </cell>
          <cell r="E303">
            <v>3</v>
          </cell>
          <cell r="F303" t="str">
            <v>N/A</v>
          </cell>
          <cell r="G303" t="str">
            <v>N/A</v>
          </cell>
          <cell r="H303">
            <v>3</v>
          </cell>
          <cell r="I303">
            <v>3</v>
          </cell>
        </row>
        <row r="304">
          <cell r="B304" t="str">
            <v>16EHG-20D3A</v>
          </cell>
          <cell r="C304" t="str">
            <v>GN STYLE</v>
          </cell>
          <cell r="D304" t="str">
            <v>N/A</v>
          </cell>
          <cell r="E304">
            <v>3</v>
          </cell>
          <cell r="F304" t="str">
            <v>N/A</v>
          </cell>
          <cell r="G304" t="str">
            <v>N/A</v>
          </cell>
          <cell r="H304" t="str">
            <v>N/A</v>
          </cell>
          <cell r="I304" t="str">
            <v>N/A</v>
          </cell>
        </row>
        <row r="305">
          <cell r="B305" t="str">
            <v>16EHG-22D3A</v>
          </cell>
          <cell r="C305" t="str">
            <v>GN STYLE</v>
          </cell>
          <cell r="D305" t="str">
            <v>N/A</v>
          </cell>
          <cell r="E305">
            <v>3</v>
          </cell>
          <cell r="F305" t="str">
            <v>N/A</v>
          </cell>
          <cell r="G305" t="str">
            <v>N/A</v>
          </cell>
          <cell r="H305" t="str">
            <v>N/A</v>
          </cell>
          <cell r="I305" t="str">
            <v>N/A</v>
          </cell>
        </row>
        <row r="306">
          <cell r="B306" t="str">
            <v>16EHG-24D3A</v>
          </cell>
          <cell r="C306" t="str">
            <v>GN STYLE</v>
          </cell>
          <cell r="D306" t="str">
            <v>N/A</v>
          </cell>
          <cell r="E306">
            <v>3</v>
          </cell>
          <cell r="F306" t="str">
            <v>N/A</v>
          </cell>
          <cell r="G306" t="str">
            <v>N/A</v>
          </cell>
          <cell r="H306" t="str">
            <v>N/A</v>
          </cell>
          <cell r="I306" t="str">
            <v>N/A</v>
          </cell>
        </row>
        <row r="307">
          <cell r="B307" t="str">
            <v>16GN-20</v>
          </cell>
          <cell r="C307" t="str">
            <v>SPARE (incl)</v>
          </cell>
          <cell r="D307" t="str">
            <v>N/A</v>
          </cell>
          <cell r="E307" t="str">
            <v>N/A</v>
          </cell>
          <cell r="F307" t="str">
            <v>N/A</v>
          </cell>
          <cell r="G307" t="str">
            <v>N/A</v>
          </cell>
          <cell r="H307" t="str">
            <v>N/A</v>
          </cell>
          <cell r="I307" t="str">
            <v>N/A</v>
          </cell>
        </row>
        <row r="308">
          <cell r="B308" t="str">
            <v>16GN-20+5</v>
          </cell>
          <cell r="C308" t="str">
            <v>SPARE (incl), Discontinued SKU</v>
          </cell>
          <cell r="D308" t="str">
            <v>N/A</v>
          </cell>
          <cell r="E308" t="str">
            <v>N/A</v>
          </cell>
          <cell r="F308" t="str">
            <v>N/A</v>
          </cell>
          <cell r="G308" t="str">
            <v>N/A</v>
          </cell>
          <cell r="H308" t="str">
            <v>N/A</v>
          </cell>
          <cell r="I308" t="str">
            <v>N/A</v>
          </cell>
        </row>
        <row r="309">
          <cell r="B309" t="str">
            <v>16GN-20BK+5</v>
          </cell>
          <cell r="C309" t="str">
            <v>SPARE (incl), Discontinued SKU</v>
          </cell>
          <cell r="D309" t="str">
            <v>N/A</v>
          </cell>
          <cell r="E309" t="str">
            <v>N/A</v>
          </cell>
          <cell r="F309" t="str">
            <v>N/A</v>
          </cell>
          <cell r="G309" t="str">
            <v>N/A</v>
          </cell>
          <cell r="H309" t="str">
            <v>N/A</v>
          </cell>
          <cell r="I309" t="str">
            <v>N/A</v>
          </cell>
        </row>
        <row r="310">
          <cell r="B310" t="str">
            <v>16GN-20BK+5MR</v>
          </cell>
          <cell r="C310" t="str">
            <v>MR, SPARE (incl), Discontinued SKU</v>
          </cell>
          <cell r="D310" t="str">
            <v>N/A</v>
          </cell>
          <cell r="E310" t="str">
            <v>N/A</v>
          </cell>
          <cell r="F310" t="str">
            <v>N/A</v>
          </cell>
          <cell r="G310" t="str">
            <v>N/A</v>
          </cell>
          <cell r="H310" t="str">
            <v>N/A</v>
          </cell>
          <cell r="I310" t="str">
            <v>N/A</v>
          </cell>
        </row>
        <row r="311">
          <cell r="B311" t="str">
            <v>16GN-20STA</v>
          </cell>
          <cell r="C311" t="str">
            <v>SPARE (incl)</v>
          </cell>
          <cell r="D311" t="str">
            <v>N/A</v>
          </cell>
          <cell r="E311" t="str">
            <v>N/A</v>
          </cell>
          <cell r="F311">
            <v>3</v>
          </cell>
          <cell r="G311" t="str">
            <v>N/A</v>
          </cell>
          <cell r="H311" t="str">
            <v>N/A</v>
          </cell>
          <cell r="I311" t="str">
            <v>N/A</v>
          </cell>
        </row>
        <row r="312">
          <cell r="B312" t="str">
            <v>16GN-22</v>
          </cell>
          <cell r="C312" t="str">
            <v>SPARE (incl)</v>
          </cell>
          <cell r="D312" t="str">
            <v>N/A</v>
          </cell>
          <cell r="E312" t="str">
            <v>N/A</v>
          </cell>
          <cell r="F312" t="str">
            <v>N/A</v>
          </cell>
          <cell r="G312" t="str">
            <v>N/A</v>
          </cell>
          <cell r="H312" t="str">
            <v>N/A</v>
          </cell>
          <cell r="I312" t="str">
            <v>N/A</v>
          </cell>
        </row>
        <row r="313">
          <cell r="B313" t="str">
            <v>16GN-22+5</v>
          </cell>
          <cell r="C313" t="str">
            <v>SPARE (incl), Discontinued SKU</v>
          </cell>
          <cell r="D313" t="str">
            <v>N/A</v>
          </cell>
          <cell r="E313" t="str">
            <v>N/A</v>
          </cell>
          <cell r="F313" t="str">
            <v>N/A</v>
          </cell>
          <cell r="G313" t="str">
            <v>N/A</v>
          </cell>
          <cell r="H313" t="str">
            <v>N/A</v>
          </cell>
          <cell r="I313" t="str">
            <v>N/A</v>
          </cell>
        </row>
        <row r="314">
          <cell r="B314" t="str">
            <v>16GN-22STA</v>
          </cell>
          <cell r="C314" t="str">
            <v>SPARE (incl)</v>
          </cell>
          <cell r="D314" t="str">
            <v>N/A</v>
          </cell>
          <cell r="E314" t="str">
            <v>N/A</v>
          </cell>
          <cell r="F314">
            <v>3</v>
          </cell>
          <cell r="G314" t="str">
            <v>N/A</v>
          </cell>
          <cell r="H314" t="str">
            <v>N/A</v>
          </cell>
          <cell r="I314" t="str">
            <v>N/A</v>
          </cell>
        </row>
        <row r="315">
          <cell r="B315" t="str">
            <v>16GN-25</v>
          </cell>
          <cell r="C315" t="str">
            <v>SPARE (incl)</v>
          </cell>
          <cell r="D315" t="str">
            <v>N/A</v>
          </cell>
          <cell r="E315" t="str">
            <v>N/A</v>
          </cell>
          <cell r="F315" t="str">
            <v>N/A</v>
          </cell>
          <cell r="G315" t="str">
            <v>N/A</v>
          </cell>
          <cell r="H315" t="str">
            <v>N/A</v>
          </cell>
          <cell r="I315" t="str">
            <v>N/A</v>
          </cell>
        </row>
        <row r="316">
          <cell r="B316" t="str">
            <v>16GN-25+5</v>
          </cell>
          <cell r="C316" t="str">
            <v>SPARE (incl), Discontinued SKU</v>
          </cell>
          <cell r="D316" t="str">
            <v>N/A</v>
          </cell>
          <cell r="E316" t="str">
            <v>N/A</v>
          </cell>
          <cell r="F316" t="str">
            <v>N/A</v>
          </cell>
          <cell r="G316" t="str">
            <v>N/A</v>
          </cell>
          <cell r="H316" t="str">
            <v>N/A</v>
          </cell>
          <cell r="I316" t="str">
            <v>N/A</v>
          </cell>
        </row>
        <row r="317">
          <cell r="B317" t="str">
            <v>16GN-25BK+5</v>
          </cell>
          <cell r="C317" t="str">
            <v>SPARE (incl), Discontinued SKU</v>
          </cell>
          <cell r="D317" t="str">
            <v>N/A</v>
          </cell>
          <cell r="E317" t="str">
            <v>N/A</v>
          </cell>
          <cell r="F317" t="str">
            <v>N/A</v>
          </cell>
          <cell r="G317" t="str">
            <v>N/A</v>
          </cell>
          <cell r="H317" t="str">
            <v>N/A</v>
          </cell>
          <cell r="I317" t="str">
            <v>N/A</v>
          </cell>
        </row>
        <row r="318">
          <cell r="B318" t="str">
            <v>16GN-25BK+5MR</v>
          </cell>
          <cell r="C318" t="str">
            <v>MR, SPARE (incl), Discontinued SKU</v>
          </cell>
          <cell r="D318" t="str">
            <v>N/A</v>
          </cell>
          <cell r="E318" t="str">
            <v>N/A</v>
          </cell>
          <cell r="F318" t="str">
            <v>N/A</v>
          </cell>
          <cell r="G318" t="str">
            <v>N/A</v>
          </cell>
          <cell r="H318" t="str">
            <v>N/A</v>
          </cell>
          <cell r="I318" t="str">
            <v>N/A</v>
          </cell>
        </row>
        <row r="319">
          <cell r="B319" t="str">
            <v>16GN-25D5A</v>
          </cell>
          <cell r="C319" t="str">
            <v>SPARE (incl)</v>
          </cell>
          <cell r="D319" t="str">
            <v>N/A</v>
          </cell>
          <cell r="E319" t="str">
            <v>N/A</v>
          </cell>
          <cell r="F319">
            <v>3</v>
          </cell>
          <cell r="G319" t="str">
            <v>N/A</v>
          </cell>
          <cell r="H319" t="str">
            <v>N/A</v>
          </cell>
          <cell r="I319" t="str">
            <v>N/A</v>
          </cell>
        </row>
        <row r="320">
          <cell r="B320" t="str">
            <v>16GN-25D5A-FRBK</v>
          </cell>
          <cell r="C320" t="str">
            <v>SPARE (incl)</v>
          </cell>
          <cell r="D320" t="str">
            <v>N/A</v>
          </cell>
          <cell r="E320" t="str">
            <v>N/A</v>
          </cell>
          <cell r="F320">
            <v>3</v>
          </cell>
          <cell r="G320" t="str">
            <v>N/A</v>
          </cell>
          <cell r="H320" t="str">
            <v>N/A</v>
          </cell>
          <cell r="I320" t="str">
            <v>N/A</v>
          </cell>
          <cell r="J320"/>
        </row>
        <row r="321">
          <cell r="B321" t="str">
            <v>16GN-25D5A-MRBK</v>
          </cell>
          <cell r="C321" t="str">
            <v>MR, SPARE (incl)</v>
          </cell>
          <cell r="D321" t="str">
            <v>N/A</v>
          </cell>
          <cell r="E321" t="str">
            <v>N/A</v>
          </cell>
          <cell r="F321">
            <v>2</v>
          </cell>
          <cell r="G321" t="str">
            <v>N/A</v>
          </cell>
          <cell r="H321" t="str">
            <v>N/A</v>
          </cell>
          <cell r="I321" t="str">
            <v>TF</v>
          </cell>
        </row>
        <row r="322">
          <cell r="B322" t="str">
            <v>16GN-25STA</v>
          </cell>
          <cell r="C322" t="str">
            <v>SPARE (incl)</v>
          </cell>
          <cell r="D322" t="str">
            <v>N/A</v>
          </cell>
          <cell r="E322" t="str">
            <v>N/A</v>
          </cell>
          <cell r="F322">
            <v>3</v>
          </cell>
          <cell r="G322" t="str">
            <v>N/A</v>
          </cell>
          <cell r="H322" t="str">
            <v>N/A</v>
          </cell>
          <cell r="I322" t="str">
            <v>N/A</v>
          </cell>
          <cell r="J322"/>
        </row>
        <row r="323">
          <cell r="B323" t="str">
            <v>16GN-27D5A</v>
          </cell>
          <cell r="C323" t="str">
            <v>SPARE (incl)</v>
          </cell>
          <cell r="D323" t="str">
            <v>N/A</v>
          </cell>
          <cell r="E323" t="str">
            <v>N/A</v>
          </cell>
          <cell r="F323">
            <v>3</v>
          </cell>
          <cell r="G323" t="str">
            <v>N/A</v>
          </cell>
          <cell r="H323" t="str">
            <v>N/A</v>
          </cell>
          <cell r="I323" t="str">
            <v>N/A</v>
          </cell>
        </row>
        <row r="324">
          <cell r="B324" t="str">
            <v>16GN-28+5</v>
          </cell>
          <cell r="C324" t="str">
            <v>SPARE (incl), Discontinued SKU</v>
          </cell>
          <cell r="D324" t="str">
            <v>N/A</v>
          </cell>
          <cell r="E324" t="str">
            <v>N/A</v>
          </cell>
          <cell r="F324" t="str">
            <v>N/A</v>
          </cell>
          <cell r="G324" t="str">
            <v>N/A</v>
          </cell>
          <cell r="H324" t="str">
            <v>N/A</v>
          </cell>
          <cell r="I324" t="str">
            <v>N/A</v>
          </cell>
          <cell r="J324"/>
        </row>
        <row r="325">
          <cell r="B325" t="str">
            <v>16GN-28BK+5</v>
          </cell>
          <cell r="C325" t="str">
            <v>SPARE (incl), Discontinued SKU</v>
          </cell>
          <cell r="D325" t="str">
            <v>N/A</v>
          </cell>
          <cell r="E325" t="str">
            <v>N/A</v>
          </cell>
          <cell r="F325" t="str">
            <v>N/A</v>
          </cell>
          <cell r="G325" t="str">
            <v>N/A</v>
          </cell>
          <cell r="H325" t="str">
            <v>N/A</v>
          </cell>
          <cell r="I325" t="str">
            <v>N/A</v>
          </cell>
        </row>
        <row r="326">
          <cell r="B326" t="str">
            <v>16GN-28BK+5MR</v>
          </cell>
          <cell r="C326" t="str">
            <v>MR, SPARE (incl), Discontinued SKU</v>
          </cell>
          <cell r="D326" t="str">
            <v>N/A</v>
          </cell>
          <cell r="E326" t="str">
            <v>N/A</v>
          </cell>
          <cell r="F326" t="str">
            <v>N/A</v>
          </cell>
          <cell r="G326" t="str">
            <v>N/A</v>
          </cell>
          <cell r="H326" t="str">
            <v>N/A</v>
          </cell>
          <cell r="I326" t="str">
            <v>N/A</v>
          </cell>
        </row>
        <row r="327">
          <cell r="B327" t="str">
            <v>16GN-28STA</v>
          </cell>
          <cell r="C327" t="str">
            <v>SPARE (incl)</v>
          </cell>
          <cell r="D327" t="str">
            <v>N/A</v>
          </cell>
          <cell r="E327" t="str">
            <v>N/A</v>
          </cell>
          <cell r="F327">
            <v>3</v>
          </cell>
          <cell r="G327" t="str">
            <v>N/A</v>
          </cell>
          <cell r="H327" t="str">
            <v>N/A</v>
          </cell>
          <cell r="I327" t="str">
            <v>N/A</v>
          </cell>
        </row>
        <row r="328">
          <cell r="B328" t="str">
            <v>16GN-30</v>
          </cell>
          <cell r="C328" t="str">
            <v>SPARE (incl)</v>
          </cell>
          <cell r="D328" t="str">
            <v>N/A</v>
          </cell>
          <cell r="E328" t="str">
            <v>N/A</v>
          </cell>
          <cell r="F328" t="str">
            <v>N/A</v>
          </cell>
          <cell r="G328" t="str">
            <v>N/A</v>
          </cell>
          <cell r="H328" t="str">
            <v>N/A</v>
          </cell>
          <cell r="I328" t="str">
            <v>N/A</v>
          </cell>
        </row>
        <row r="329">
          <cell r="B329" t="str">
            <v>16GN-30+5</v>
          </cell>
          <cell r="C329" t="str">
            <v>SPARE (incl), Discontinued SKU</v>
          </cell>
          <cell r="D329" t="str">
            <v>N/A</v>
          </cell>
          <cell r="E329" t="str">
            <v>N/A</v>
          </cell>
          <cell r="F329" t="str">
            <v>N/A</v>
          </cell>
          <cell r="G329" t="str">
            <v>N/A</v>
          </cell>
          <cell r="H329" t="str">
            <v>N/A</v>
          </cell>
          <cell r="I329" t="str">
            <v>N/A</v>
          </cell>
        </row>
        <row r="330">
          <cell r="B330" t="str">
            <v>16GN-30BK+5</v>
          </cell>
          <cell r="C330" t="str">
            <v>SPARE (incl), Discontinued SKU</v>
          </cell>
          <cell r="D330" t="str">
            <v>N/A</v>
          </cell>
          <cell r="E330" t="str">
            <v>N/A</v>
          </cell>
          <cell r="F330" t="str">
            <v>N/A</v>
          </cell>
          <cell r="G330" t="str">
            <v>N/A</v>
          </cell>
          <cell r="H330" t="str">
            <v>N/A</v>
          </cell>
          <cell r="I330" t="str">
            <v>N/A</v>
          </cell>
        </row>
        <row r="331">
          <cell r="B331" t="str">
            <v>16GN-30BK+5MR</v>
          </cell>
          <cell r="C331" t="str">
            <v>MR, SPARE (incl), Discontinued SKU</v>
          </cell>
          <cell r="D331" t="str">
            <v>N/A</v>
          </cell>
          <cell r="E331" t="str">
            <v>N/A</v>
          </cell>
          <cell r="F331" t="str">
            <v>N/A</v>
          </cell>
          <cell r="G331" t="str">
            <v>N/A</v>
          </cell>
          <cell r="H331" t="str">
            <v>N/A</v>
          </cell>
          <cell r="I331" t="str">
            <v>N/A</v>
          </cell>
        </row>
        <row r="332">
          <cell r="B332" t="str">
            <v>16GN-30D5A</v>
          </cell>
          <cell r="C332" t="str">
            <v>SPARE (incl)</v>
          </cell>
          <cell r="D332" t="str">
            <v>N/A</v>
          </cell>
          <cell r="E332" t="str">
            <v>N/A</v>
          </cell>
          <cell r="F332">
            <v>3</v>
          </cell>
          <cell r="G332" t="str">
            <v>N/A</v>
          </cell>
          <cell r="H332" t="str">
            <v>N/A</v>
          </cell>
          <cell r="I332" t="str">
            <v>N/A</v>
          </cell>
        </row>
        <row r="333">
          <cell r="B333" t="str">
            <v>16GN-30D5A-FRBK</v>
          </cell>
          <cell r="C333" t="str">
            <v>SPARE (incl)</v>
          </cell>
          <cell r="D333" t="str">
            <v>N/A</v>
          </cell>
          <cell r="E333" t="str">
            <v>N/A</v>
          </cell>
          <cell r="F333">
            <v>3</v>
          </cell>
          <cell r="G333" t="str">
            <v>N/A</v>
          </cell>
          <cell r="H333" t="str">
            <v>N/A</v>
          </cell>
          <cell r="I333" t="str">
            <v>N/A</v>
          </cell>
        </row>
        <row r="334">
          <cell r="B334" t="str">
            <v>16GN-30D5A-MRBK</v>
          </cell>
          <cell r="C334" t="str">
            <v>MR, SPARE (incl)</v>
          </cell>
          <cell r="D334" t="str">
            <v>N/A</v>
          </cell>
          <cell r="E334" t="str">
            <v>N/A</v>
          </cell>
          <cell r="F334">
            <v>2</v>
          </cell>
          <cell r="G334" t="str">
            <v>N/A</v>
          </cell>
          <cell r="H334">
            <v>2</v>
          </cell>
          <cell r="I334" t="str">
            <v>TF</v>
          </cell>
        </row>
        <row r="335">
          <cell r="B335" t="str">
            <v>16GN-30STA</v>
          </cell>
          <cell r="C335" t="str">
            <v>SPARE (incl)</v>
          </cell>
          <cell r="D335" t="str">
            <v>N/A</v>
          </cell>
          <cell r="E335" t="str">
            <v>N/A</v>
          </cell>
          <cell r="F335">
            <v>3</v>
          </cell>
          <cell r="G335" t="str">
            <v>N/A</v>
          </cell>
          <cell r="H335" t="str">
            <v>N/A</v>
          </cell>
          <cell r="I335" t="str">
            <v>N/A</v>
          </cell>
        </row>
        <row r="336">
          <cell r="B336" t="str">
            <v>16GN-33D5A</v>
          </cell>
          <cell r="C336" t="str">
            <v>SPARE (incl)</v>
          </cell>
          <cell r="D336" t="str">
            <v>N/A</v>
          </cell>
          <cell r="E336" t="str">
            <v>N/A</v>
          </cell>
          <cell r="F336">
            <v>3</v>
          </cell>
          <cell r="G336" t="str">
            <v>N/A</v>
          </cell>
          <cell r="H336" t="str">
            <v>N/A</v>
          </cell>
          <cell r="I336" t="str">
            <v>N/A</v>
          </cell>
        </row>
        <row r="337">
          <cell r="B337" t="str">
            <v>16GN-33D5A-FRBK</v>
          </cell>
          <cell r="C337" t="str">
            <v>SPARE (incl)</v>
          </cell>
          <cell r="D337" t="str">
            <v>N/A</v>
          </cell>
          <cell r="E337" t="str">
            <v>N/A</v>
          </cell>
          <cell r="F337">
            <v>3</v>
          </cell>
          <cell r="G337" t="str">
            <v>N/A</v>
          </cell>
          <cell r="H337" t="str">
            <v>N/A</v>
          </cell>
          <cell r="I337" t="str">
            <v>N/A</v>
          </cell>
        </row>
        <row r="338">
          <cell r="B338" t="str">
            <v>16GN-33D5A-MRBK</v>
          </cell>
          <cell r="C338" t="str">
            <v>MR, SPARE (incl)</v>
          </cell>
          <cell r="D338" t="str">
            <v>N/A</v>
          </cell>
          <cell r="E338" t="str">
            <v>N/A</v>
          </cell>
          <cell r="F338">
            <v>3</v>
          </cell>
          <cell r="G338" t="str">
            <v>N/A</v>
          </cell>
          <cell r="H338">
            <v>3</v>
          </cell>
          <cell r="I338" t="str">
            <v>TF</v>
          </cell>
        </row>
        <row r="339">
          <cell r="B339" t="str">
            <v>16GN-35</v>
          </cell>
          <cell r="C339" t="str">
            <v>SPARE (incl)</v>
          </cell>
          <cell r="D339" t="str">
            <v>N/A</v>
          </cell>
          <cell r="E339" t="str">
            <v>N/A</v>
          </cell>
          <cell r="F339" t="str">
            <v>N/A</v>
          </cell>
          <cell r="G339" t="str">
            <v>N/A</v>
          </cell>
          <cell r="H339" t="str">
            <v>N/A</v>
          </cell>
          <cell r="I339" t="str">
            <v>N/A</v>
          </cell>
        </row>
        <row r="340">
          <cell r="B340" t="str">
            <v>16GN-35+5</v>
          </cell>
          <cell r="C340" t="str">
            <v>SPARE (incl), Discontinued SKU</v>
          </cell>
          <cell r="D340" t="str">
            <v>N/A</v>
          </cell>
          <cell r="E340" t="str">
            <v>N/A</v>
          </cell>
          <cell r="F340" t="str">
            <v>N/A</v>
          </cell>
          <cell r="G340" t="str">
            <v>N/A</v>
          </cell>
          <cell r="H340" t="str">
            <v>N/A</v>
          </cell>
          <cell r="I340" t="str">
            <v>N/A</v>
          </cell>
        </row>
        <row r="341">
          <cell r="B341" t="str">
            <v>16GN-35BK+5</v>
          </cell>
          <cell r="C341" t="str">
            <v>SPARE (incl), Discontinued SKU</v>
          </cell>
          <cell r="D341" t="str">
            <v>N/A</v>
          </cell>
          <cell r="E341" t="str">
            <v>N/A</v>
          </cell>
          <cell r="F341" t="str">
            <v>N/A</v>
          </cell>
          <cell r="G341" t="str">
            <v>N/A</v>
          </cell>
          <cell r="H341" t="str">
            <v>N/A</v>
          </cell>
          <cell r="I341" t="str">
            <v>N/A</v>
          </cell>
        </row>
        <row r="342">
          <cell r="B342" t="str">
            <v>16GN-35BK+5MR</v>
          </cell>
          <cell r="C342" t="str">
            <v>MR, SPARE (incl), Discontinued SKU</v>
          </cell>
          <cell r="D342" t="str">
            <v>N/A</v>
          </cell>
          <cell r="E342" t="str">
            <v>N/A</v>
          </cell>
          <cell r="F342" t="str">
            <v>N/A</v>
          </cell>
          <cell r="G342" t="str">
            <v>N/A</v>
          </cell>
          <cell r="H342" t="str">
            <v>N/A</v>
          </cell>
          <cell r="I342" t="str">
            <v>N/A</v>
          </cell>
        </row>
        <row r="343">
          <cell r="B343" t="str">
            <v>16GN-35D5A</v>
          </cell>
          <cell r="C343" t="str">
            <v>SPARE (incl)</v>
          </cell>
          <cell r="D343" t="str">
            <v>N/A</v>
          </cell>
          <cell r="E343" t="str">
            <v>N/A</v>
          </cell>
          <cell r="F343">
            <v>3</v>
          </cell>
          <cell r="G343" t="str">
            <v>N/A</v>
          </cell>
          <cell r="H343" t="str">
            <v>N/A</v>
          </cell>
          <cell r="I343" t="str">
            <v>N/A</v>
          </cell>
        </row>
        <row r="344">
          <cell r="B344" t="str">
            <v>16GN-35D5A-FRBK</v>
          </cell>
          <cell r="C344" t="str">
            <v>SPARE (incl)</v>
          </cell>
          <cell r="D344" t="str">
            <v>N/A</v>
          </cell>
          <cell r="E344" t="str">
            <v>N/A</v>
          </cell>
          <cell r="F344">
            <v>3</v>
          </cell>
          <cell r="G344" t="str">
            <v>N/A</v>
          </cell>
          <cell r="H344" t="str">
            <v>N/A</v>
          </cell>
          <cell r="I344" t="str">
            <v>N/A</v>
          </cell>
        </row>
        <row r="345">
          <cell r="B345" t="str">
            <v>16GN-35D5A-MRBK</v>
          </cell>
          <cell r="C345" t="str">
            <v>MR, SPARE (incl)</v>
          </cell>
          <cell r="D345" t="str">
            <v>N/A</v>
          </cell>
          <cell r="E345" t="str">
            <v>N/A</v>
          </cell>
          <cell r="F345">
            <v>3</v>
          </cell>
          <cell r="G345" t="str">
            <v>N/A</v>
          </cell>
          <cell r="H345" t="str">
            <v>N/A</v>
          </cell>
          <cell r="I345" t="str">
            <v>TF</v>
          </cell>
        </row>
        <row r="346">
          <cell r="B346" t="str">
            <v>16GN-35STA</v>
          </cell>
          <cell r="C346" t="str"/>
          <cell r="D346" t="str">
            <v>N/A</v>
          </cell>
          <cell r="E346" t="str">
            <v>N/A</v>
          </cell>
          <cell r="F346">
            <v>3</v>
          </cell>
          <cell r="G346" t="str">
            <v>N/A</v>
          </cell>
          <cell r="H346" t="str">
            <v>N/A</v>
          </cell>
          <cell r="I346" t="str">
            <v>N/A</v>
          </cell>
        </row>
        <row r="347">
          <cell r="B347" t="str">
            <v>16GN-36</v>
          </cell>
          <cell r="C347" t="str">
            <v>SPARE (incl)</v>
          </cell>
          <cell r="D347" t="str">
            <v>N/A</v>
          </cell>
          <cell r="E347" t="str">
            <v>N/A</v>
          </cell>
          <cell r="F347" t="str">
            <v>N/A</v>
          </cell>
          <cell r="G347" t="str">
            <v>N/A</v>
          </cell>
          <cell r="H347" t="str">
            <v>N/A</v>
          </cell>
          <cell r="I347" t="str">
            <v>N/A</v>
          </cell>
        </row>
        <row r="348">
          <cell r="B348" t="str">
            <v>16GN-40</v>
          </cell>
          <cell r="C348" t="str">
            <v>SPARE (incl)</v>
          </cell>
          <cell r="D348" t="str">
            <v>N/A</v>
          </cell>
          <cell r="E348" t="str">
            <v>N/A</v>
          </cell>
          <cell r="F348" t="str">
            <v>N/A</v>
          </cell>
          <cell r="G348" t="str">
            <v>N/A</v>
          </cell>
          <cell r="H348" t="str">
            <v>N/A</v>
          </cell>
          <cell r="I348" t="str">
            <v>N/A</v>
          </cell>
        </row>
        <row r="349">
          <cell r="B349" t="str">
            <v>16GN-40BK8SIR</v>
          </cell>
          <cell r="C349" t="str">
            <v>SPARE (incl)</v>
          </cell>
          <cell r="D349" t="str">
            <v>N/A</v>
          </cell>
          <cell r="E349" t="str">
            <v>N/A</v>
          </cell>
          <cell r="F349" t="str">
            <v>N/A</v>
          </cell>
          <cell r="G349" t="str">
            <v>N/A</v>
          </cell>
          <cell r="H349" t="str">
            <v>N/A</v>
          </cell>
          <cell r="I349" t="str">
            <v>N/A</v>
          </cell>
        </row>
        <row r="350">
          <cell r="B350" t="str">
            <v>16GN-40D5A</v>
          </cell>
          <cell r="C350" t="str">
            <v>SPARE (incl)</v>
          </cell>
          <cell r="D350" t="str">
            <v>N/A</v>
          </cell>
          <cell r="E350" t="str">
            <v>N/A</v>
          </cell>
          <cell r="F350">
            <v>3</v>
          </cell>
          <cell r="G350" t="str">
            <v>N/A</v>
          </cell>
          <cell r="H350" t="str">
            <v>N/A</v>
          </cell>
          <cell r="I350" t="str">
            <v>N/A</v>
          </cell>
        </row>
        <row r="351">
          <cell r="B351" t="str">
            <v>16GN-40D5A-FRBK</v>
          </cell>
          <cell r="C351" t="str">
            <v>SPARE (incl)</v>
          </cell>
          <cell r="D351" t="str">
            <v>N/A</v>
          </cell>
          <cell r="E351" t="str">
            <v>N/A</v>
          </cell>
          <cell r="F351">
            <v>3</v>
          </cell>
          <cell r="G351" t="str">
            <v>N/A</v>
          </cell>
          <cell r="H351" t="str">
            <v>N/A</v>
          </cell>
          <cell r="I351" t="str">
            <v>N/A</v>
          </cell>
        </row>
        <row r="352">
          <cell r="B352" t="str">
            <v>16GN-40D5A-FRBK-SWT</v>
          </cell>
          <cell r="C352" t="str">
            <v>SPARE (incl)</v>
          </cell>
          <cell r="D352" t="str">
            <v>N/A</v>
          </cell>
          <cell r="E352" t="str">
            <v>N/A</v>
          </cell>
          <cell r="F352">
            <v>3</v>
          </cell>
          <cell r="G352" t="str">
            <v>N/A</v>
          </cell>
          <cell r="H352" t="str">
            <v>N/A</v>
          </cell>
          <cell r="I352" t="str">
            <v>N/A</v>
          </cell>
        </row>
        <row r="353">
          <cell r="B353" t="str">
            <v>16GN-40D5A-MRBK</v>
          </cell>
          <cell r="C353" t="str">
            <v>MR, SPARE (incl)</v>
          </cell>
          <cell r="D353" t="str">
            <v>N/A</v>
          </cell>
          <cell r="E353" t="str">
            <v>N/A</v>
          </cell>
          <cell r="F353">
            <v>1</v>
          </cell>
          <cell r="G353" t="str">
            <v>N/A</v>
          </cell>
          <cell r="H353">
            <v>1</v>
          </cell>
          <cell r="I353" t="str">
            <v>TF</v>
          </cell>
        </row>
        <row r="354">
          <cell r="B354" t="str">
            <v>16GN-40D5A-MRBK-SWT</v>
          </cell>
          <cell r="C354" t="str">
            <v>MR, SPARE (incl)</v>
          </cell>
          <cell r="D354" t="str">
            <v>N/A</v>
          </cell>
          <cell r="E354" t="str">
            <v>N/A</v>
          </cell>
          <cell r="F354">
            <v>2</v>
          </cell>
          <cell r="G354" t="str">
            <v>N/A</v>
          </cell>
          <cell r="H354">
            <v>2</v>
          </cell>
          <cell r="I354" t="str">
            <v>TF</v>
          </cell>
        </row>
        <row r="355">
          <cell r="B355" t="str">
            <v>16GN-40STA</v>
          </cell>
          <cell r="C355" t="str">
            <v>SPARE (incl)</v>
          </cell>
          <cell r="D355" t="str">
            <v>N/A</v>
          </cell>
          <cell r="E355" t="str">
            <v>N/A</v>
          </cell>
          <cell r="F355">
            <v>3</v>
          </cell>
          <cell r="G355" t="str">
            <v>N/A</v>
          </cell>
          <cell r="H355" t="str">
            <v>N/A</v>
          </cell>
          <cell r="I355" t="str">
            <v>N/A</v>
          </cell>
        </row>
        <row r="356">
          <cell r="B356" t="str">
            <v>16GN-40STA-S8BK</v>
          </cell>
          <cell r="C356" t="str">
            <v>8SIR, SPARE (incl)</v>
          </cell>
          <cell r="D356" t="str">
            <v>N/A</v>
          </cell>
          <cell r="E356" t="str">
            <v>N/A</v>
          </cell>
          <cell r="F356">
            <v>3</v>
          </cell>
          <cell r="G356" t="str">
            <v>N/A</v>
          </cell>
          <cell r="H356" t="str">
            <v>N/A</v>
          </cell>
          <cell r="I356" t="str">
            <v>TF</v>
          </cell>
        </row>
        <row r="357">
          <cell r="B357" t="str">
            <v>16GN-40STA-S8BK-SWT</v>
          </cell>
          <cell r="C357" t="str">
            <v>8SIR, SPARE (incl)</v>
          </cell>
          <cell r="D357" t="str">
            <v>N/A</v>
          </cell>
          <cell r="E357" t="str">
            <v>N/A</v>
          </cell>
          <cell r="F357">
            <v>3</v>
          </cell>
          <cell r="G357" t="str">
            <v>N/A</v>
          </cell>
          <cell r="H357" t="str">
            <v>N/A</v>
          </cell>
          <cell r="I357" t="str">
            <v>TF</v>
          </cell>
        </row>
        <row r="358">
          <cell r="B358" t="str">
            <v>16GX-14</v>
          </cell>
          <cell r="C358"/>
          <cell r="D358">
            <v>3</v>
          </cell>
          <cell r="E358" t="str">
            <v>N/A</v>
          </cell>
          <cell r="F358" t="str">
            <v>N/A</v>
          </cell>
          <cell r="G358" t="str">
            <v>N/A</v>
          </cell>
          <cell r="H358" t="str">
            <v>N/A</v>
          </cell>
          <cell r="I358">
            <v>3</v>
          </cell>
        </row>
        <row r="359">
          <cell r="B359" t="str">
            <v>16GX-14BK6-P3</v>
          </cell>
          <cell r="C359" t="str">
            <v>HS4, 6SIR, SPMT, TARP(included)</v>
          </cell>
          <cell r="D359" t="str">
            <v>N/A</v>
          </cell>
          <cell r="E359" t="str">
            <v>N/A</v>
          </cell>
          <cell r="F359" t="str">
            <v>N/A</v>
          </cell>
          <cell r="G359" t="str">
            <v>N/A</v>
          </cell>
          <cell r="H359" t="str">
            <v>N/A</v>
          </cell>
          <cell r="I359" t="str">
            <v>N/A</v>
          </cell>
        </row>
        <row r="360">
          <cell r="B360" t="str">
            <v>16GX-14BK6-P4</v>
          </cell>
          <cell r="C360" t="str">
            <v>HS4, 6SIR, SPMT, TARP(included)</v>
          </cell>
          <cell r="D360">
            <v>3</v>
          </cell>
          <cell r="E360" t="str">
            <v>N/A</v>
          </cell>
          <cell r="F360" t="str">
            <v>N/A</v>
          </cell>
          <cell r="G360" t="str">
            <v>N/A</v>
          </cell>
          <cell r="H360" t="str">
            <v>N/A</v>
          </cell>
          <cell r="I360">
            <v>3</v>
          </cell>
        </row>
        <row r="361">
          <cell r="B361" t="str">
            <v>16GX-14BK6SIRPD</v>
          </cell>
          <cell r="C361" t="str">
            <v>6SIR, SPMT, TARP(included)</v>
          </cell>
          <cell r="D361">
            <v>3</v>
          </cell>
          <cell r="E361" t="str">
            <v>N/A</v>
          </cell>
          <cell r="F361" t="str">
            <v>N/A</v>
          </cell>
          <cell r="G361" t="str">
            <v>N/A</v>
          </cell>
          <cell r="H361" t="str">
            <v>N/A</v>
          </cell>
          <cell r="I361">
            <v>3</v>
          </cell>
        </row>
        <row r="362">
          <cell r="B362" t="str">
            <v>16GX-16</v>
          </cell>
          <cell r="C362"/>
          <cell r="D362">
            <v>3</v>
          </cell>
          <cell r="E362" t="str">
            <v>N/A</v>
          </cell>
          <cell r="F362" t="str">
            <v>N/A</v>
          </cell>
          <cell r="G362" t="str">
            <v>N/A</v>
          </cell>
          <cell r="H362" t="str">
            <v>N/A</v>
          </cell>
          <cell r="I362">
            <v>3</v>
          </cell>
        </row>
        <row r="363">
          <cell r="B363" t="str">
            <v>16GX-16BK6-P3</v>
          </cell>
          <cell r="C363" t="str">
            <v>HS4, 6SIR, SPMT, TARP(included)</v>
          </cell>
          <cell r="D363" t="str">
            <v>N/A</v>
          </cell>
          <cell r="E363" t="str">
            <v>N/A</v>
          </cell>
          <cell r="F363" t="str">
            <v>N/A</v>
          </cell>
          <cell r="G363" t="str">
            <v>N/A</v>
          </cell>
          <cell r="H363" t="str">
            <v>N/A</v>
          </cell>
          <cell r="I363" t="str">
            <v>N/A</v>
          </cell>
        </row>
        <row r="364">
          <cell r="B364" t="str">
            <v>16GX-16BK6-P4</v>
          </cell>
          <cell r="C364" t="str">
            <v>HS4, 6SIR, SPMT, TARP(included)</v>
          </cell>
          <cell r="D364">
            <v>3</v>
          </cell>
          <cell r="E364" t="str">
            <v>N/A</v>
          </cell>
          <cell r="F364" t="str">
            <v>N/A</v>
          </cell>
          <cell r="G364" t="str">
            <v>N/A</v>
          </cell>
          <cell r="H364" t="str">
            <v>N/A</v>
          </cell>
          <cell r="I364">
            <v>3</v>
          </cell>
        </row>
        <row r="365">
          <cell r="B365" t="str">
            <v>16GX-16BK6SIRPD</v>
          </cell>
          <cell r="C365" t="str">
            <v>6SIR, SPMT, TARP(included)</v>
          </cell>
          <cell r="D365">
            <v>3</v>
          </cell>
          <cell r="E365" t="str">
            <v>N/A</v>
          </cell>
          <cell r="F365" t="str">
            <v>N/A</v>
          </cell>
          <cell r="G365" t="str">
            <v>N/A</v>
          </cell>
          <cell r="H365" t="str">
            <v>N/A</v>
          </cell>
          <cell r="I365">
            <v>3</v>
          </cell>
        </row>
        <row r="366">
          <cell r="B366" t="str">
            <v>16LP-14</v>
          </cell>
          <cell r="C366" t="str">
            <v>TARP(included)</v>
          </cell>
          <cell r="D366">
            <v>3</v>
          </cell>
          <cell r="E366" t="str">
            <v>N/A</v>
          </cell>
          <cell r="F366" t="str">
            <v>N/A</v>
          </cell>
          <cell r="G366" t="str">
            <v>N/A</v>
          </cell>
          <cell r="H366" t="str">
            <v>N/A</v>
          </cell>
          <cell r="I366">
            <v>3</v>
          </cell>
        </row>
        <row r="367">
          <cell r="B367" t="str">
            <v>16LP-14BK6-12KHJ</v>
          </cell>
          <cell r="C367" t="str">
            <v>12KHJ, 6SIR, TARP(incl)</v>
          </cell>
          <cell r="D367">
            <v>4</v>
          </cell>
          <cell r="E367" t="str">
            <v>N/A</v>
          </cell>
          <cell r="F367" t="str">
            <v>N/A</v>
          </cell>
          <cell r="G367" t="str">
            <v>N/A</v>
          </cell>
          <cell r="H367" t="str">
            <v>N/A</v>
          </cell>
          <cell r="I367">
            <v>4</v>
          </cell>
        </row>
        <row r="368">
          <cell r="B368" t="str">
            <v>16LP-14BK6-12KHJ-P4</v>
          </cell>
          <cell r="C368" t="str">
            <v>12KHJ, HS4, 6SIR, TARP(incl)</v>
          </cell>
          <cell r="D368">
            <v>4</v>
          </cell>
          <cell r="E368" t="str">
            <v>N/A</v>
          </cell>
          <cell r="F368" t="str">
            <v>N/A</v>
          </cell>
          <cell r="G368" t="str">
            <v>N/A</v>
          </cell>
          <cell r="H368" t="str">
            <v>N/A</v>
          </cell>
          <cell r="I368">
            <v>4</v>
          </cell>
        </row>
        <row r="369">
          <cell r="B369" t="str">
            <v>16LP-14BK6-P3</v>
          </cell>
          <cell r="C369" t="str">
            <v>3' Sides, 6SIR, SPMT, TARP</v>
          </cell>
          <cell r="D369" t="str">
            <v>N/A</v>
          </cell>
          <cell r="E369" t="str">
            <v>N/A</v>
          </cell>
          <cell r="F369" t="str">
            <v>N/A</v>
          </cell>
          <cell r="G369" t="str">
            <v>N/A</v>
          </cell>
          <cell r="H369" t="str">
            <v>N/A</v>
          </cell>
          <cell r="I369" t="str">
            <v>N/A</v>
          </cell>
        </row>
        <row r="370">
          <cell r="B370" t="str">
            <v>16LP-14BK6-P4</v>
          </cell>
          <cell r="C370" t="str">
            <v>4' Sides, 6SIR, SPMT, TARP</v>
          </cell>
          <cell r="D370">
            <v>3</v>
          </cell>
          <cell r="E370" t="str">
            <v>N/A</v>
          </cell>
          <cell r="F370" t="str">
            <v>N/A</v>
          </cell>
          <cell r="G370" t="str">
            <v>N/A</v>
          </cell>
          <cell r="H370" t="str">
            <v>N/A</v>
          </cell>
          <cell r="I370">
            <v>3</v>
          </cell>
        </row>
        <row r="371">
          <cell r="B371" t="str">
            <v>16LP-14BK6SIRPD</v>
          </cell>
          <cell r="C371" t="str">
            <v>6SIR, SPMT, TARP(included)</v>
          </cell>
          <cell r="D371">
            <v>2</v>
          </cell>
          <cell r="E371" t="str">
            <v>N/A</v>
          </cell>
          <cell r="F371" t="str">
            <v>N/A</v>
          </cell>
          <cell r="G371" t="str">
            <v>N/A</v>
          </cell>
          <cell r="H371" t="str">
            <v>N/A</v>
          </cell>
          <cell r="I371">
            <v>2</v>
          </cell>
        </row>
        <row r="372">
          <cell r="B372" t="str">
            <v>16LP-16</v>
          </cell>
          <cell r="C372" t="str">
            <v>TARP(included)</v>
          </cell>
          <cell r="D372">
            <v>3</v>
          </cell>
          <cell r="E372" t="str">
            <v>N/A</v>
          </cell>
          <cell r="F372" t="str">
            <v>N/A</v>
          </cell>
          <cell r="G372" t="str">
            <v>N/A</v>
          </cell>
          <cell r="H372" t="str">
            <v>N/A</v>
          </cell>
          <cell r="I372">
            <v>3</v>
          </cell>
        </row>
        <row r="373">
          <cell r="B373" t="str">
            <v>16LP-16BK6-12KHJ</v>
          </cell>
          <cell r="C373" t="str">
            <v>12KHJ, 6SIR, TARP(incl)</v>
          </cell>
          <cell r="D373">
            <v>4</v>
          </cell>
          <cell r="E373" t="str">
            <v>N/A</v>
          </cell>
          <cell r="F373" t="str">
            <v>N/A</v>
          </cell>
          <cell r="G373" t="str">
            <v>N/A</v>
          </cell>
          <cell r="H373" t="str">
            <v>N/A</v>
          </cell>
          <cell r="I373">
            <v>4</v>
          </cell>
        </row>
        <row r="374">
          <cell r="B374" t="str">
            <v>16LP-16BK6-12KHJ-P4</v>
          </cell>
          <cell r="C374" t="str">
            <v>12KHJ, HS4, 6SIR, TARP(incl)</v>
          </cell>
          <cell r="D374">
            <v>4</v>
          </cell>
          <cell r="E374" t="str">
            <v>N/A</v>
          </cell>
          <cell r="F374" t="str">
            <v>N/A</v>
          </cell>
          <cell r="G374" t="str">
            <v>N/A</v>
          </cell>
          <cell r="H374" t="str">
            <v>N/A</v>
          </cell>
          <cell r="I374">
            <v>4</v>
          </cell>
        </row>
        <row r="375">
          <cell r="B375" t="str">
            <v>16LP-16BK6-P3</v>
          </cell>
          <cell r="C375" t="str">
            <v>3' Sides, 6SIR, SPMT, TARP</v>
          </cell>
          <cell r="D375" t="str">
            <v>N/A</v>
          </cell>
          <cell r="E375" t="str">
            <v>N/A</v>
          </cell>
          <cell r="F375" t="str">
            <v>N/A</v>
          </cell>
          <cell r="G375" t="str">
            <v>N/A</v>
          </cell>
          <cell r="H375" t="str">
            <v>N/A</v>
          </cell>
          <cell r="I375" t="str">
            <v>N/A</v>
          </cell>
        </row>
        <row r="376">
          <cell r="B376" t="str">
            <v>16LP-16BK6-P4</v>
          </cell>
          <cell r="C376" t="str">
            <v>4' Sides, 6SIR, SPMT, TARP</v>
          </cell>
          <cell r="D376">
            <v>2</v>
          </cell>
          <cell r="E376" t="str">
            <v>N/A</v>
          </cell>
          <cell r="F376" t="str">
            <v>N/A</v>
          </cell>
          <cell r="G376" t="str">
            <v>N/A</v>
          </cell>
          <cell r="H376" t="str">
            <v>N/A</v>
          </cell>
          <cell r="I376">
            <v>2</v>
          </cell>
        </row>
        <row r="377">
          <cell r="B377" t="str">
            <v>16LP-16BK6SIRPD</v>
          </cell>
          <cell r="C377" t="str">
            <v>6SIR, SPMT, TARP</v>
          </cell>
          <cell r="D377">
            <v>1</v>
          </cell>
          <cell r="E377" t="str">
            <v>N/A</v>
          </cell>
          <cell r="F377" t="str">
            <v>N/A</v>
          </cell>
          <cell r="G377" t="str">
            <v>N/A</v>
          </cell>
          <cell r="H377" t="str">
            <v>N/A</v>
          </cell>
          <cell r="I377">
            <v>1</v>
          </cell>
        </row>
        <row r="378">
          <cell r="B378" t="str">
            <v>16OA-16STA</v>
          </cell>
          <cell r="C378"/>
          <cell r="D378" t="str">
            <v>N/A</v>
          </cell>
          <cell r="E378" t="str">
            <v>TF</v>
          </cell>
          <cell r="F378">
            <v>3</v>
          </cell>
          <cell r="G378" t="str">
            <v>N/A</v>
          </cell>
          <cell r="H378" t="str">
            <v>N/A</v>
          </cell>
          <cell r="I378" t="str">
            <v>N/A</v>
          </cell>
        </row>
        <row r="379">
          <cell r="B379" t="str">
            <v>16OA-16STA-S8BK</v>
          </cell>
          <cell r="C379" t="str">
            <v>8SIR</v>
          </cell>
          <cell r="D379" t="str">
            <v>N/A</v>
          </cell>
          <cell r="E379" t="str">
            <v>TF</v>
          </cell>
          <cell r="F379">
            <v>3</v>
          </cell>
          <cell r="G379" t="str">
            <v>N/A</v>
          </cell>
          <cell r="H379" t="str">
            <v>N/A</v>
          </cell>
          <cell r="I379" t="str">
            <v>N/A</v>
          </cell>
        </row>
        <row r="380">
          <cell r="B380" t="str">
            <v>16OA-18STA</v>
          </cell>
          <cell r="C380"/>
          <cell r="D380" t="str">
            <v>N/A</v>
          </cell>
          <cell r="E380" t="str">
            <v>TF</v>
          </cell>
          <cell r="F380">
            <v>3</v>
          </cell>
          <cell r="G380" t="str">
            <v>N/A</v>
          </cell>
          <cell r="H380" t="str">
            <v>N/A</v>
          </cell>
          <cell r="I380" t="str">
            <v>N/A</v>
          </cell>
        </row>
        <row r="381">
          <cell r="B381" t="str">
            <v>16OA-18STA-S8BK</v>
          </cell>
          <cell r="C381" t="str">
            <v>8SIR</v>
          </cell>
          <cell r="D381" t="str">
            <v>N/A</v>
          </cell>
          <cell r="E381" t="str">
            <v>TF</v>
          </cell>
          <cell r="F381">
            <v>3</v>
          </cell>
          <cell r="G381" t="str">
            <v>N/A</v>
          </cell>
          <cell r="H381" t="str">
            <v>N/A</v>
          </cell>
          <cell r="I381" t="str">
            <v>N/A</v>
          </cell>
        </row>
        <row r="382">
          <cell r="B382" t="str">
            <v>16OA-20</v>
          </cell>
          <cell r="C382" t="str"/>
          <cell r="D382" t="str">
            <v>N/A</v>
          </cell>
          <cell r="E382" t="str">
            <v>TF</v>
          </cell>
          <cell r="F382">
            <v>3</v>
          </cell>
          <cell r="G382" t="str">
            <v>N/A</v>
          </cell>
          <cell r="H382" t="str">
            <v>N/A</v>
          </cell>
          <cell r="I382" t="str">
            <v>N/A</v>
          </cell>
        </row>
        <row r="383">
          <cell r="B383" t="str">
            <v>16OA-20BK-8SIR</v>
          </cell>
          <cell r="C383" t="str">
            <v>8SIR</v>
          </cell>
          <cell r="D383" t="str">
            <v>N/A</v>
          </cell>
          <cell r="E383" t="str">
            <v>TF</v>
          </cell>
          <cell r="F383">
            <v>3</v>
          </cell>
          <cell r="G383" t="str">
            <v>N/A</v>
          </cell>
          <cell r="H383" t="str">
            <v>N/A</v>
          </cell>
          <cell r="I383" t="str">
            <v>N/A</v>
          </cell>
        </row>
        <row r="384">
          <cell r="B384" t="str">
            <v>16OA-20D3A</v>
          </cell>
          <cell r="C384" t="str">
            <v>3' DT, 5' FUR</v>
          </cell>
          <cell r="D384" t="str">
            <v>N/A</v>
          </cell>
          <cell r="E384" t="str">
            <v>TF</v>
          </cell>
          <cell r="F384">
            <v>3</v>
          </cell>
          <cell r="G384" t="str">
            <v>N/A</v>
          </cell>
          <cell r="H384" t="str">
            <v>N/A</v>
          </cell>
          <cell r="I384" t="str">
            <v>N/A</v>
          </cell>
        </row>
        <row r="385">
          <cell r="B385" t="str">
            <v>16OA-20D3A-FRBK</v>
          </cell>
          <cell r="C385" t="str">
            <v>3' DT, 5' FUR</v>
          </cell>
          <cell r="D385" t="str">
            <v>N/A</v>
          </cell>
          <cell r="E385" t="str">
            <v>TF</v>
          </cell>
          <cell r="F385">
            <v>3</v>
          </cell>
          <cell r="G385" t="str">
            <v>N/A</v>
          </cell>
          <cell r="H385" t="str">
            <v>N/A</v>
          </cell>
          <cell r="I385" t="str">
            <v>N/A</v>
          </cell>
        </row>
        <row r="386">
          <cell r="B386" t="str">
            <v>16OA-20STA</v>
          </cell>
          <cell r="C386"/>
          <cell r="D386" t="str">
            <v>N/A</v>
          </cell>
          <cell r="E386" t="str">
            <v>TF</v>
          </cell>
          <cell r="F386">
            <v>3</v>
          </cell>
          <cell r="G386" t="str">
            <v>N/A</v>
          </cell>
          <cell r="H386" t="str">
            <v>N/A</v>
          </cell>
          <cell r="I386" t="str">
            <v>N/A</v>
          </cell>
        </row>
        <row r="387">
          <cell r="B387" t="str">
            <v>16OA-20STA-S8BK</v>
          </cell>
          <cell r="C387" t="str">
            <v>8SIR</v>
          </cell>
          <cell r="D387" t="str">
            <v>N/A</v>
          </cell>
          <cell r="E387" t="str">
            <v>TF</v>
          </cell>
          <cell r="F387">
            <v>2</v>
          </cell>
          <cell r="G387" t="str">
            <v>N/A</v>
          </cell>
          <cell r="H387" t="str">
            <v>N/A</v>
          </cell>
          <cell r="I387" t="str">
            <v>N/A</v>
          </cell>
        </row>
        <row r="388">
          <cell r="B388" t="str">
            <v>16OA-22D3A</v>
          </cell>
          <cell r="C388" t="str">
            <v>3' DT, 5' FUR</v>
          </cell>
          <cell r="D388" t="str">
            <v>N/A</v>
          </cell>
          <cell r="E388" t="str">
            <v>TF</v>
          </cell>
          <cell r="F388">
            <v>3</v>
          </cell>
          <cell r="G388" t="str">
            <v>N/A</v>
          </cell>
          <cell r="H388" t="str">
            <v>N/A</v>
          </cell>
          <cell r="I388" t="str">
            <v>N/A</v>
          </cell>
        </row>
        <row r="389">
          <cell r="B389" t="str">
            <v>16OA-22D3A-FRBK</v>
          </cell>
          <cell r="C389" t="str">
            <v>3' DT, 5' FUR</v>
          </cell>
          <cell r="D389" t="str">
            <v>N/A</v>
          </cell>
          <cell r="E389" t="str">
            <v>TF</v>
          </cell>
          <cell r="F389">
            <v>3</v>
          </cell>
          <cell r="G389" t="str">
            <v>N/A</v>
          </cell>
          <cell r="H389" t="str">
            <v>N/A</v>
          </cell>
          <cell r="I389" t="str">
            <v>N/A</v>
          </cell>
        </row>
        <row r="390">
          <cell r="B390" t="str">
            <v>16OA-22STA</v>
          </cell>
          <cell r="C390"/>
          <cell r="D390" t="str">
            <v>N/A</v>
          </cell>
          <cell r="E390" t="str">
            <v>TF</v>
          </cell>
          <cell r="F390">
            <v>3</v>
          </cell>
          <cell r="G390" t="str">
            <v>N/A</v>
          </cell>
          <cell r="H390" t="str">
            <v>N/A</v>
          </cell>
          <cell r="I390" t="str">
            <v>N/A</v>
          </cell>
        </row>
        <row r="391">
          <cell r="B391" t="str">
            <v>16OA-22STA-S8BK</v>
          </cell>
          <cell r="C391" t="str">
            <v>8SIR</v>
          </cell>
          <cell r="D391" t="str">
            <v>N/A</v>
          </cell>
          <cell r="E391" t="str">
            <v>TF</v>
          </cell>
          <cell r="F391">
            <v>3</v>
          </cell>
          <cell r="G391" t="str">
            <v>N/A</v>
          </cell>
          <cell r="H391" t="str">
            <v>N/A</v>
          </cell>
          <cell r="I391" t="str">
            <v>N/A</v>
          </cell>
        </row>
        <row r="392">
          <cell r="B392" t="str">
            <v>16OA-24D3A</v>
          </cell>
          <cell r="C392" t="str">
            <v>3' DT, 5' FUR</v>
          </cell>
          <cell r="D392" t="str">
            <v>N/A</v>
          </cell>
          <cell r="E392" t="str">
            <v>TF</v>
          </cell>
          <cell r="F392">
            <v>3</v>
          </cell>
          <cell r="G392" t="str">
            <v>N/A</v>
          </cell>
          <cell r="H392" t="str">
            <v>N/A</v>
          </cell>
          <cell r="I392" t="str">
            <v>N/A</v>
          </cell>
        </row>
        <row r="393">
          <cell r="B393" t="str">
            <v>16OA-24D3A-FRBK</v>
          </cell>
          <cell r="C393" t="str">
            <v>3' DT, 5' FUR</v>
          </cell>
          <cell r="D393" t="str">
            <v>N/A</v>
          </cell>
          <cell r="E393" t="str">
            <v>TF</v>
          </cell>
          <cell r="F393">
            <v>3</v>
          </cell>
          <cell r="G393" t="str">
            <v>N/A</v>
          </cell>
          <cell r="H393" t="str">
            <v>N/A</v>
          </cell>
          <cell r="I393" t="str">
            <v>N/A</v>
          </cell>
        </row>
        <row r="394">
          <cell r="B394" t="str">
            <v>16OA-24STA</v>
          </cell>
          <cell r="C394"/>
          <cell r="D394" t="str">
            <v>N/A</v>
          </cell>
          <cell r="E394" t="str">
            <v>TF</v>
          </cell>
          <cell r="F394">
            <v>3</v>
          </cell>
          <cell r="G394" t="str">
            <v>N/A</v>
          </cell>
          <cell r="H394" t="str">
            <v>N/A</v>
          </cell>
          <cell r="I394" t="str">
            <v>N/A</v>
          </cell>
        </row>
        <row r="395">
          <cell r="B395" t="str">
            <v>16OA-24STA-S8BK</v>
          </cell>
          <cell r="C395" t="str">
            <v>8SIR</v>
          </cell>
          <cell r="D395" t="str">
            <v>N/A</v>
          </cell>
          <cell r="E395" t="str">
            <v>TF</v>
          </cell>
          <cell r="F395">
            <v>3</v>
          </cell>
          <cell r="G395" t="str">
            <v>N/A</v>
          </cell>
          <cell r="H395" t="str">
            <v>N/A</v>
          </cell>
          <cell r="I395" t="str">
            <v>N/A</v>
          </cell>
        </row>
        <row r="396">
          <cell r="B396" t="str">
            <v>16OT-22</v>
          </cell>
          <cell r="C396" t="str">
            <v>22' OA TILT DECK</v>
          </cell>
          <cell r="D396" t="str">
            <v>N/A</v>
          </cell>
          <cell r="E396">
            <v>3</v>
          </cell>
          <cell r="F396" t="str">
            <v>N/A</v>
          </cell>
          <cell r="G396" t="str">
            <v>N/A</v>
          </cell>
          <cell r="H396" t="str">
            <v>N/A</v>
          </cell>
          <cell r="I396" t="str">
            <v>N/A</v>
          </cell>
        </row>
        <row r="397">
          <cell r="B397" t="str">
            <v>16OT-22BK</v>
          </cell>
          <cell r="C397" t="str">
            <v>22' OA TILT DECK</v>
          </cell>
          <cell r="D397" t="str">
            <v>N/A</v>
          </cell>
          <cell r="E397">
            <v>3</v>
          </cell>
          <cell r="F397" t="str">
            <v>N/A</v>
          </cell>
          <cell r="G397" t="str">
            <v>N/A</v>
          </cell>
          <cell r="H397" t="str">
            <v>N/A</v>
          </cell>
          <cell r="I397" t="str">
            <v>N/A</v>
          </cell>
        </row>
        <row r="398">
          <cell r="B398" t="str">
            <v>16OT-22GN</v>
          </cell>
          <cell r="C398" t="str">
            <v>22' OA TILT DECK GOOSENECK</v>
          </cell>
          <cell r="D398" t="str">
            <v>N/A</v>
          </cell>
          <cell r="E398">
            <v>3</v>
          </cell>
          <cell r="F398" t="str">
            <v>N/A</v>
          </cell>
          <cell r="G398" t="str">
            <v>N/A</v>
          </cell>
          <cell r="H398" t="str">
            <v>N/A</v>
          </cell>
          <cell r="I398" t="str">
            <v>N/A</v>
          </cell>
        </row>
        <row r="399">
          <cell r="B399" t="str">
            <v>16OT-24</v>
          </cell>
          <cell r="C399" t="str">
            <v>24' OA TILT DECK</v>
          </cell>
          <cell r="D399" t="str">
            <v>N/A</v>
          </cell>
          <cell r="E399">
            <v>3</v>
          </cell>
          <cell r="F399" t="str">
            <v>N/A</v>
          </cell>
          <cell r="G399" t="str">
            <v>N/A</v>
          </cell>
          <cell r="H399" t="str">
            <v>N/A</v>
          </cell>
          <cell r="I399" t="str">
            <v>N/A</v>
          </cell>
        </row>
        <row r="400">
          <cell r="B400" t="str">
            <v>16OT-24BK</v>
          </cell>
          <cell r="C400" t="str">
            <v>24' OA TILT DECK</v>
          </cell>
          <cell r="D400" t="str">
            <v>N/A</v>
          </cell>
          <cell r="E400">
            <v>3</v>
          </cell>
          <cell r="F400" t="str">
            <v>N/A</v>
          </cell>
          <cell r="G400" t="str">
            <v>N/A</v>
          </cell>
          <cell r="H400" t="str">
            <v>N/A</v>
          </cell>
          <cell r="I400" t="str">
            <v>N/A</v>
          </cell>
        </row>
        <row r="401">
          <cell r="B401" t="str">
            <v>16OT-24GN</v>
          </cell>
          <cell r="C401" t="str">
            <v>24' OA TILT DECK GOOSENECK</v>
          </cell>
          <cell r="D401" t="str">
            <v>N/A</v>
          </cell>
          <cell r="E401">
            <v>3</v>
          </cell>
          <cell r="F401" t="str">
            <v>N/A</v>
          </cell>
          <cell r="G401" t="str">
            <v>N/A</v>
          </cell>
          <cell r="H401" t="str">
            <v>N/A</v>
          </cell>
          <cell r="I401" t="str">
            <v>N/A</v>
          </cell>
        </row>
        <row r="402">
          <cell r="B402" t="str">
            <v>16OT-26</v>
          </cell>
          <cell r="C402" t="str">
            <v>26' OA TILT DECK</v>
          </cell>
          <cell r="D402" t="str">
            <v>N/A</v>
          </cell>
          <cell r="E402">
            <v>3</v>
          </cell>
          <cell r="F402" t="str">
            <v>N/A</v>
          </cell>
          <cell r="G402" t="str">
            <v>N/A</v>
          </cell>
          <cell r="H402" t="str">
            <v>N/A</v>
          </cell>
          <cell r="I402" t="str">
            <v>N/A</v>
          </cell>
        </row>
        <row r="403">
          <cell r="B403" t="str">
            <v>16OT-26BK</v>
          </cell>
          <cell r="C403" t="str">
            <v>26' OA TILT DECK</v>
          </cell>
          <cell r="D403" t="str">
            <v>N/A</v>
          </cell>
          <cell r="E403">
            <v>3</v>
          </cell>
          <cell r="F403" t="str">
            <v>N/A</v>
          </cell>
          <cell r="G403" t="str">
            <v>N/A</v>
          </cell>
          <cell r="H403" t="str">
            <v>N/A</v>
          </cell>
          <cell r="I403" t="str">
            <v>N/A</v>
          </cell>
        </row>
        <row r="404">
          <cell r="B404" t="str">
            <v>16OT-26GN</v>
          </cell>
          <cell r="C404" t="str"/>
          <cell r="D404" t="str">
            <v>N/A</v>
          </cell>
          <cell r="E404">
            <v>3</v>
          </cell>
          <cell r="F404" t="str">
            <v>N/A</v>
          </cell>
          <cell r="G404" t="str">
            <v>N/A</v>
          </cell>
          <cell r="H404" t="str">
            <v>N/A</v>
          </cell>
          <cell r="I404" t="str">
            <v>N/A</v>
          </cell>
        </row>
        <row r="405">
          <cell r="B405" t="str">
            <v>16PH-20+5</v>
          </cell>
          <cell r="C405"/>
          <cell r="D405" t="str">
            <v>N/A</v>
          </cell>
          <cell r="E405" t="str">
            <v>N/A</v>
          </cell>
          <cell r="F405" t="str">
            <v>N/A</v>
          </cell>
          <cell r="G405" t="str">
            <v>N/A</v>
          </cell>
          <cell r="H405" t="str">
            <v>N/A</v>
          </cell>
          <cell r="I405" t="str">
            <v>N/A</v>
          </cell>
        </row>
        <row r="406">
          <cell r="B406" t="str">
            <v>16PI-20</v>
          </cell>
          <cell r="C406"/>
          <cell r="D406" t="str">
            <v>N/A</v>
          </cell>
          <cell r="E406" t="str">
            <v>N/A</v>
          </cell>
          <cell r="F406" t="str">
            <v>N/A</v>
          </cell>
          <cell r="G406" t="str">
            <v>N/A</v>
          </cell>
          <cell r="H406" t="str">
            <v>N/A</v>
          </cell>
          <cell r="I406" t="str">
            <v>N/A</v>
          </cell>
        </row>
        <row r="407">
          <cell r="B407" t="str">
            <v>16RB-14</v>
          </cell>
          <cell r="C407" t="str">
            <v>Roll-Off Dump, w/ Tarp</v>
          </cell>
          <cell r="D407">
            <v>3</v>
          </cell>
          <cell r="E407" t="str">
            <v>N/A</v>
          </cell>
          <cell r="F407" t="str">
            <v>N/A</v>
          </cell>
          <cell r="G407" t="str">
            <v>N/A</v>
          </cell>
          <cell r="H407" t="str">
            <v>N/A</v>
          </cell>
          <cell r="I407" t="str">
            <v>N/A</v>
          </cell>
        </row>
        <row r="408">
          <cell r="B408" t="str">
            <v>16RB-14BK</v>
          </cell>
          <cell r="C408" t="str">
            <v>Roll-Off Dump, w/ Tarp</v>
          </cell>
          <cell r="D408" t="str">
            <v>N/A</v>
          </cell>
          <cell r="E408" t="str">
            <v>N/A</v>
          </cell>
          <cell r="F408" t="str">
            <v>N/A</v>
          </cell>
          <cell r="G408" t="str">
            <v>N/A</v>
          </cell>
          <cell r="H408" t="str">
            <v>N/A</v>
          </cell>
          <cell r="I408" t="str">
            <v>N/A</v>
          </cell>
        </row>
        <row r="409">
          <cell r="B409" t="str">
            <v>16RD-14</v>
          </cell>
          <cell r="C409" t="str">
            <v>GN Roll-Off Dump, w/ Tarp</v>
          </cell>
          <cell r="D409" t="str">
            <v>N/A</v>
          </cell>
          <cell r="E409" t="str">
            <v>N/A</v>
          </cell>
          <cell r="F409" t="str">
            <v>N/A</v>
          </cell>
          <cell r="G409" t="str">
            <v>N/A</v>
          </cell>
          <cell r="H409" t="str">
            <v>N/A</v>
          </cell>
          <cell r="I409" t="str">
            <v>N/A</v>
          </cell>
        </row>
        <row r="410">
          <cell r="B410" t="str">
            <v>16RD-14BK</v>
          </cell>
          <cell r="C410" t="str">
            <v>GN Roll-Off Dump, w/ Tarp</v>
          </cell>
          <cell r="D410" t="str">
            <v>N/A</v>
          </cell>
          <cell r="E410" t="str">
            <v>N/A</v>
          </cell>
          <cell r="F410" t="str">
            <v>N/A</v>
          </cell>
          <cell r="G410" t="str">
            <v>N/A</v>
          </cell>
          <cell r="H410" t="str">
            <v>N/A</v>
          </cell>
          <cell r="I410" t="str">
            <v>N/A</v>
          </cell>
        </row>
        <row r="411">
          <cell r="B411" t="str">
            <v>16TD-14C2A</v>
          </cell>
          <cell r="C411"/>
          <cell r="D411">
            <v>3</v>
          </cell>
          <cell r="E411" t="str">
            <v>N/A</v>
          </cell>
          <cell r="F411" t="str">
            <v>N/A</v>
          </cell>
          <cell r="G411" t="str">
            <v>N/A</v>
          </cell>
          <cell r="H411" t="str">
            <v>N/A</v>
          </cell>
          <cell r="I411">
            <v>3</v>
          </cell>
        </row>
        <row r="412">
          <cell r="B412" t="str">
            <v>16TD-14C2A-BK</v>
          </cell>
          <cell r="C412" t="str">
            <v>Telescopic, 6SIR, Tarp</v>
          </cell>
          <cell r="D412">
            <v>3</v>
          </cell>
          <cell r="E412" t="str">
            <v>N/A</v>
          </cell>
          <cell r="F412" t="str">
            <v>N/A</v>
          </cell>
          <cell r="G412" t="str">
            <v>N/A</v>
          </cell>
          <cell r="H412" t="str">
            <v>N/A</v>
          </cell>
          <cell r="I412">
            <v>3</v>
          </cell>
        </row>
        <row r="413">
          <cell r="B413" t="str">
            <v>16TD-14C4A</v>
          </cell>
          <cell r="C413"/>
          <cell r="D413">
            <v>3</v>
          </cell>
          <cell r="E413" t="str">
            <v>N/A</v>
          </cell>
          <cell r="F413" t="str">
            <v>N/A</v>
          </cell>
          <cell r="G413" t="str">
            <v>N/A</v>
          </cell>
          <cell r="H413" t="str">
            <v>N/A</v>
          </cell>
          <cell r="I413">
            <v>3</v>
          </cell>
        </row>
        <row r="414">
          <cell r="B414" t="str">
            <v>16TD-14C4A-BK</v>
          </cell>
          <cell r="C414" t="str">
            <v>Telescopic, HS4, 6SIR, Tarp</v>
          </cell>
          <cell r="D414">
            <v>3</v>
          </cell>
          <cell r="E414" t="str">
            <v>N/A</v>
          </cell>
          <cell r="F414" t="str">
            <v>N/A</v>
          </cell>
          <cell r="G414" t="str">
            <v>N/A</v>
          </cell>
          <cell r="H414" t="str">
            <v>N/A</v>
          </cell>
          <cell r="I414">
            <v>3</v>
          </cell>
        </row>
        <row r="415">
          <cell r="B415" t="str">
            <v>16TD-16BK6SIR</v>
          </cell>
          <cell r="C415" t="str">
            <v>6SIR, Tarp (incl)</v>
          </cell>
          <cell r="D415">
            <v>3</v>
          </cell>
          <cell r="E415" t="str">
            <v>N/A</v>
          </cell>
          <cell r="F415" t="str">
            <v>N/A</v>
          </cell>
          <cell r="G415" t="str">
            <v>N/A</v>
          </cell>
          <cell r="H415" t="str">
            <v>N/A</v>
          </cell>
          <cell r="I415" t="str">
            <v>N/A</v>
          </cell>
        </row>
        <row r="416">
          <cell r="B416" t="str">
            <v>16TD-16C2A</v>
          </cell>
          <cell r="C416"/>
          <cell r="D416">
            <v>3</v>
          </cell>
          <cell r="E416" t="str">
            <v>N/A</v>
          </cell>
          <cell r="F416" t="str">
            <v>N/A</v>
          </cell>
          <cell r="G416" t="str">
            <v>N/A</v>
          </cell>
          <cell r="H416" t="str">
            <v>N/A</v>
          </cell>
          <cell r="I416">
            <v>3</v>
          </cell>
        </row>
        <row r="417">
          <cell r="B417" t="str">
            <v>16TD-16C2A-BK</v>
          </cell>
          <cell r="C417" t="str">
            <v>Telescopic, 6SIR, Tarp</v>
          </cell>
          <cell r="D417">
            <v>3</v>
          </cell>
          <cell r="E417" t="str">
            <v>N/A</v>
          </cell>
          <cell r="F417" t="str">
            <v>N/A</v>
          </cell>
          <cell r="G417" t="str">
            <v>N/A</v>
          </cell>
          <cell r="H417" t="str">
            <v>N/A</v>
          </cell>
          <cell r="I417">
            <v>3</v>
          </cell>
        </row>
        <row r="418">
          <cell r="B418" t="str">
            <v>16TD-16C4A</v>
          </cell>
          <cell r="C418"/>
          <cell r="D418">
            <v>3</v>
          </cell>
          <cell r="E418" t="str">
            <v>N/A</v>
          </cell>
          <cell r="F418" t="str">
            <v>N/A</v>
          </cell>
          <cell r="G418" t="str">
            <v>N/A</v>
          </cell>
          <cell r="H418" t="str">
            <v>N/A</v>
          </cell>
          <cell r="I418">
            <v>3</v>
          </cell>
        </row>
        <row r="419">
          <cell r="B419" t="str">
            <v>16TD-16C4A-BK</v>
          </cell>
          <cell r="C419" t="str">
            <v>Telescopic, HS4, 6SIR, Tarp</v>
          </cell>
          <cell r="D419">
            <v>3</v>
          </cell>
          <cell r="E419" t="str">
            <v>N/A</v>
          </cell>
          <cell r="F419" t="str">
            <v>N/A</v>
          </cell>
          <cell r="G419" t="str">
            <v>N/A</v>
          </cell>
          <cell r="H419" t="str">
            <v>N/A</v>
          </cell>
          <cell r="I419">
            <v>3</v>
          </cell>
        </row>
        <row r="420">
          <cell r="B420" t="str">
            <v>16TL-20</v>
          </cell>
          <cell r="C420"/>
          <cell r="D420" t="str">
            <v>N/A</v>
          </cell>
          <cell r="E420">
            <v>3</v>
          </cell>
          <cell r="F420" t="str">
            <v>N/A</v>
          </cell>
          <cell r="G420" t="str">
            <v>N/A</v>
          </cell>
          <cell r="H420" t="str">
            <v>N/A</v>
          </cell>
          <cell r="I420" t="str">
            <v>TF</v>
          </cell>
        </row>
        <row r="421">
          <cell r="B421" t="str">
            <v>16TL-20BK</v>
          </cell>
          <cell r="C421" t="str"/>
          <cell r="D421" t="str">
            <v>N/A</v>
          </cell>
          <cell r="E421">
            <v>2</v>
          </cell>
          <cell r="F421" t="str">
            <v>N/A</v>
          </cell>
          <cell r="G421" t="str">
            <v>N/A</v>
          </cell>
          <cell r="H421">
            <v>2</v>
          </cell>
          <cell r="I421" t="str">
            <v>TF</v>
          </cell>
        </row>
        <row r="422">
          <cell r="B422" t="str">
            <v>16TL-20GN</v>
          </cell>
          <cell r="C422"/>
          <cell r="D422" t="str">
            <v>N/A</v>
          </cell>
          <cell r="E422">
            <v>4</v>
          </cell>
          <cell r="F422" t="str">
            <v>N/A</v>
          </cell>
          <cell r="G422" t="str">
            <v>N/A</v>
          </cell>
          <cell r="H422" t="str">
            <v>N/A</v>
          </cell>
          <cell r="I422" t="str">
            <v>N/A</v>
          </cell>
        </row>
        <row r="423">
          <cell r="B423" t="str">
            <v>16TL-22</v>
          </cell>
          <cell r="C423"/>
          <cell r="D423" t="str">
            <v>N/A</v>
          </cell>
          <cell r="E423">
            <v>3</v>
          </cell>
          <cell r="F423" t="str">
            <v>N/A</v>
          </cell>
          <cell r="G423" t="str">
            <v>N/A</v>
          </cell>
          <cell r="H423" t="str">
            <v>N/A</v>
          </cell>
          <cell r="I423" t="str">
            <v>TF</v>
          </cell>
        </row>
        <row r="424">
          <cell r="B424" t="str">
            <v>16TL-22BK</v>
          </cell>
          <cell r="C424" t="str"/>
          <cell r="D424" t="str">
            <v>N/A</v>
          </cell>
          <cell r="E424">
            <v>1</v>
          </cell>
          <cell r="F424" t="str">
            <v>N/A</v>
          </cell>
          <cell r="G424" t="str">
            <v>N/A</v>
          </cell>
          <cell r="H424">
            <v>1</v>
          </cell>
          <cell r="I424" t="str">
            <v>TF</v>
          </cell>
        </row>
        <row r="425">
          <cell r="B425" t="str">
            <v>16TL-22GN</v>
          </cell>
          <cell r="C425"/>
          <cell r="D425" t="str">
            <v>N/A</v>
          </cell>
          <cell r="E425">
            <v>4</v>
          </cell>
          <cell r="F425" t="str">
            <v>N/A</v>
          </cell>
          <cell r="G425" t="str">
            <v>N/A</v>
          </cell>
          <cell r="H425" t="str">
            <v>N/A</v>
          </cell>
          <cell r="I425" t="str">
            <v>N/A</v>
          </cell>
        </row>
        <row r="426">
          <cell r="B426" t="str">
            <v>20AC-51</v>
          </cell>
          <cell r="C426"/>
          <cell r="D426">
            <v>3</v>
          </cell>
          <cell r="E426" t="str">
            <v>N/A</v>
          </cell>
          <cell r="F426" t="str">
            <v>N/A</v>
          </cell>
          <cell r="G426" t="str">
            <v>N/A</v>
          </cell>
          <cell r="H426" t="str">
            <v>N/A</v>
          </cell>
          <cell r="I426">
            <v>3</v>
          </cell>
        </row>
        <row r="427">
          <cell r="B427" t="str">
            <v>20GX-16</v>
          </cell>
          <cell r="C427" t="str">
            <v>SPARE (incl)</v>
          </cell>
          <cell r="D427">
            <v>3</v>
          </cell>
          <cell r="E427" t="str">
            <v>N/A</v>
          </cell>
          <cell r="F427" t="str">
            <v>N/A</v>
          </cell>
          <cell r="G427" t="str">
            <v>N/A</v>
          </cell>
          <cell r="H427" t="str">
            <v>N/A</v>
          </cell>
          <cell r="I427">
            <v>3</v>
          </cell>
        </row>
        <row r="428">
          <cell r="B428" t="str">
            <v>20GX-16BK6-P4</v>
          </cell>
          <cell r="C428" t="str">
            <v>HS4, 6SIR, TARP&amp; SPARE (incl)</v>
          </cell>
          <cell r="D428">
            <v>3</v>
          </cell>
          <cell r="E428" t="str">
            <v>N/A</v>
          </cell>
          <cell r="F428" t="str">
            <v>N/A</v>
          </cell>
          <cell r="G428" t="str">
            <v>N/A</v>
          </cell>
          <cell r="H428" t="str">
            <v>N/A</v>
          </cell>
          <cell r="I428">
            <v>3</v>
          </cell>
        </row>
        <row r="429">
          <cell r="B429" t="str">
            <v>20GX-16BK6SIRPD</v>
          </cell>
          <cell r="C429" t="str">
            <v>3' Sides, 6SIR, TARP &amp; SPARE (incl)</v>
          </cell>
          <cell r="D429">
            <v>2</v>
          </cell>
          <cell r="E429" t="str">
            <v>N/A</v>
          </cell>
          <cell r="F429" t="str">
            <v>N/A</v>
          </cell>
          <cell r="G429" t="str">
            <v>N/A</v>
          </cell>
          <cell r="H429" t="str">
            <v>N/A</v>
          </cell>
          <cell r="I429">
            <v>2</v>
          </cell>
        </row>
        <row r="430">
          <cell r="B430" t="str">
            <v>20LP-16</v>
          </cell>
          <cell r="C430" t="str">
            <v>SPARE (incl)</v>
          </cell>
          <cell r="D430">
            <v>3</v>
          </cell>
          <cell r="E430" t="str">
            <v>N/A</v>
          </cell>
          <cell r="F430" t="str">
            <v>N/A</v>
          </cell>
          <cell r="G430" t="str">
            <v>N/A</v>
          </cell>
          <cell r="H430" t="str">
            <v>N/A</v>
          </cell>
          <cell r="I430">
            <v>3</v>
          </cell>
        </row>
        <row r="431">
          <cell r="B431" t="str">
            <v>20LP-16BK6-P4</v>
          </cell>
          <cell r="C431" t="str">
            <v>HS4, 6SIR, TARP&amp; SPARE (incl)</v>
          </cell>
          <cell r="D431">
            <v>3</v>
          </cell>
          <cell r="E431" t="str">
            <v>N/A</v>
          </cell>
          <cell r="F431" t="str">
            <v>N/A</v>
          </cell>
          <cell r="G431" t="str">
            <v>N/A</v>
          </cell>
          <cell r="H431" t="str">
            <v>N/A</v>
          </cell>
          <cell r="I431">
            <v>3</v>
          </cell>
        </row>
        <row r="432">
          <cell r="B432" t="str">
            <v>20LP-16BK6SIRPD</v>
          </cell>
          <cell r="C432" t="str">
            <v>3' Sides, 6SIR, TARP &amp; SPARE (incl)</v>
          </cell>
          <cell r="D432">
            <v>2</v>
          </cell>
          <cell r="E432" t="str">
            <v>N/A</v>
          </cell>
          <cell r="F432" t="str">
            <v>N/A</v>
          </cell>
          <cell r="G432" t="str">
            <v>N/A</v>
          </cell>
          <cell r="H432" t="str">
            <v>N/A</v>
          </cell>
          <cell r="I432">
            <v>2</v>
          </cell>
        </row>
        <row r="433">
          <cell r="B433" t="str">
            <v>22GN-20STA</v>
          </cell>
          <cell r="C433" t="str">
            <v>SPARE (incl)</v>
          </cell>
          <cell r="D433" t="str">
            <v>N/A</v>
          </cell>
          <cell r="E433" t="str">
            <v>N/A</v>
          </cell>
          <cell r="F433">
            <v>3</v>
          </cell>
          <cell r="G433" t="str">
            <v>N/A</v>
          </cell>
          <cell r="H433" t="str">
            <v>N/A</v>
          </cell>
          <cell r="I433" t="str">
            <v>N/A</v>
          </cell>
        </row>
        <row r="434">
          <cell r="B434" t="str">
            <v>22GN-25BK+5MR</v>
          </cell>
          <cell r="C434" t="str">
            <v>SPARE (incl), Discontinued SKU</v>
          </cell>
          <cell r="D434" t="str">
            <v>N/A</v>
          </cell>
          <cell r="E434" t="str">
            <v>N/A</v>
          </cell>
          <cell r="F434" t="str">
            <v>N/A</v>
          </cell>
          <cell r="G434" t="str">
            <v>N/A</v>
          </cell>
          <cell r="H434" t="str">
            <v>N/A</v>
          </cell>
          <cell r="I434" t="str">
            <v>N/A</v>
          </cell>
        </row>
        <row r="435">
          <cell r="B435" t="str">
            <v>22GN-25D5A</v>
          </cell>
          <cell r="C435" t="str">
            <v>SPARE (incl)</v>
          </cell>
          <cell r="D435" t="str">
            <v>N/A</v>
          </cell>
          <cell r="E435" t="str">
            <v>N/A</v>
          </cell>
          <cell r="F435">
            <v>3</v>
          </cell>
          <cell r="G435" t="str">
            <v>N/A</v>
          </cell>
          <cell r="H435" t="str">
            <v>N/A</v>
          </cell>
          <cell r="I435" t="str">
            <v>N/A</v>
          </cell>
        </row>
        <row r="436">
          <cell r="B436" t="str">
            <v>22GN-25D5A-FRBK</v>
          </cell>
          <cell r="C436" t="str">
            <v>SPARE (incl)</v>
          </cell>
          <cell r="D436" t="str">
            <v>N/A</v>
          </cell>
          <cell r="E436" t="str">
            <v>N/A</v>
          </cell>
          <cell r="F436">
            <v>3</v>
          </cell>
          <cell r="G436" t="str">
            <v>N/A</v>
          </cell>
          <cell r="H436" t="str">
            <v>N/A</v>
          </cell>
          <cell r="I436" t="str">
            <v>N/A</v>
          </cell>
        </row>
        <row r="437">
          <cell r="B437" t="str">
            <v>22GN-25D5A-MRBK</v>
          </cell>
          <cell r="C437" t="str">
            <v>MR, SPARE (incl)</v>
          </cell>
          <cell r="D437" t="str">
            <v>N/A</v>
          </cell>
          <cell r="E437" t="str">
            <v>N/A</v>
          </cell>
          <cell r="F437">
            <v>1</v>
          </cell>
          <cell r="G437" t="str">
            <v>N/A</v>
          </cell>
          <cell r="H437">
            <v>1</v>
          </cell>
          <cell r="I437" t="str">
            <v>TF</v>
          </cell>
        </row>
        <row r="438">
          <cell r="B438" t="str">
            <v>22GN-25STA</v>
          </cell>
          <cell r="C438" t="str">
            <v>SPARE (incl)</v>
          </cell>
          <cell r="D438" t="str">
            <v>N/A</v>
          </cell>
          <cell r="E438" t="str">
            <v>N/A</v>
          </cell>
          <cell r="F438">
            <v>3</v>
          </cell>
          <cell r="G438" t="str">
            <v>N/A</v>
          </cell>
          <cell r="H438" t="str">
            <v>N/A</v>
          </cell>
          <cell r="I438" t="str">
            <v>N/A</v>
          </cell>
        </row>
        <row r="439">
          <cell r="B439" t="str">
            <v>22GN-28STA</v>
          </cell>
          <cell r="C439" t="str">
            <v>SPARE (incl)</v>
          </cell>
          <cell r="D439" t="str">
            <v>N/A</v>
          </cell>
          <cell r="E439" t="str">
            <v>N/A</v>
          </cell>
          <cell r="F439">
            <v>3</v>
          </cell>
          <cell r="G439" t="str">
            <v>N/A</v>
          </cell>
          <cell r="H439" t="str">
            <v>N/A</v>
          </cell>
          <cell r="I439" t="str">
            <v>N/A</v>
          </cell>
        </row>
        <row r="440">
          <cell r="B440" t="str">
            <v>22GN-30D5A</v>
          </cell>
          <cell r="C440" t="str">
            <v>SPARE (incl)</v>
          </cell>
          <cell r="D440" t="str">
            <v>N/A</v>
          </cell>
          <cell r="E440" t="str">
            <v>N/A</v>
          </cell>
          <cell r="F440">
            <v>3</v>
          </cell>
          <cell r="G440" t="str">
            <v>N/A</v>
          </cell>
          <cell r="H440" t="str">
            <v>N/A</v>
          </cell>
          <cell r="I440" t="str">
            <v>N/A</v>
          </cell>
        </row>
        <row r="441">
          <cell r="B441" t="str">
            <v>22GN-30D5A-FRBK</v>
          </cell>
          <cell r="C441" t="str">
            <v>SPARE (incl)</v>
          </cell>
          <cell r="D441" t="str">
            <v>N/A</v>
          </cell>
          <cell r="E441" t="str">
            <v>N/A</v>
          </cell>
          <cell r="F441">
            <v>3</v>
          </cell>
          <cell r="G441" t="str">
            <v>N/A</v>
          </cell>
          <cell r="H441" t="str">
            <v>N/A</v>
          </cell>
          <cell r="I441" t="str">
            <v>N/A</v>
          </cell>
        </row>
        <row r="442">
          <cell r="B442" t="str">
            <v>22GN-30D5A-MRBK</v>
          </cell>
          <cell r="C442" t="str">
            <v>MR, SPARE (incl)</v>
          </cell>
          <cell r="D442" t="str">
            <v>N/A</v>
          </cell>
          <cell r="E442" t="str">
            <v>N/A</v>
          </cell>
          <cell r="F442">
            <v>1</v>
          </cell>
          <cell r="G442" t="str">
            <v>N/A</v>
          </cell>
          <cell r="H442">
            <v>1</v>
          </cell>
          <cell r="I442" t="str">
            <v>TF</v>
          </cell>
        </row>
        <row r="443">
          <cell r="B443" t="str">
            <v>22GN-30STA</v>
          </cell>
          <cell r="C443" t="str">
            <v>SPARE (incl)</v>
          </cell>
          <cell r="D443" t="str">
            <v>N/A</v>
          </cell>
          <cell r="E443" t="str">
            <v>N/A</v>
          </cell>
          <cell r="F443">
            <v>3</v>
          </cell>
          <cell r="G443" t="str">
            <v>N/A</v>
          </cell>
          <cell r="H443" t="str">
            <v>N/A</v>
          </cell>
          <cell r="I443" t="str">
            <v>N/A</v>
          </cell>
        </row>
        <row r="444">
          <cell r="B444" t="str">
            <v>22GN-33D5A</v>
          </cell>
          <cell r="C444" t="str">
            <v>SPARE (incl)</v>
          </cell>
          <cell r="D444" t="str">
            <v>N/A</v>
          </cell>
          <cell r="E444" t="str">
            <v>N/A</v>
          </cell>
          <cell r="F444">
            <v>3</v>
          </cell>
          <cell r="G444" t="str">
            <v>N/A</v>
          </cell>
          <cell r="H444" t="str">
            <v>N/A</v>
          </cell>
          <cell r="I444" t="str">
            <v>N/A</v>
          </cell>
        </row>
        <row r="445">
          <cell r="B445" t="str">
            <v>22GN-33D5A-FRBK</v>
          </cell>
          <cell r="C445" t="str">
            <v>SPARE (incl)</v>
          </cell>
          <cell r="D445" t="str">
            <v>N/A</v>
          </cell>
          <cell r="E445" t="str">
            <v>N/A</v>
          </cell>
          <cell r="F445">
            <v>3</v>
          </cell>
          <cell r="G445" t="str">
            <v>N/A</v>
          </cell>
          <cell r="H445" t="str">
            <v>N/A</v>
          </cell>
          <cell r="I445" t="str">
            <v>N/A</v>
          </cell>
        </row>
        <row r="446">
          <cell r="B446" t="str">
            <v>22GN-33D5A-MRBK</v>
          </cell>
          <cell r="C446" t="str">
            <v>MR, SPARE (incl)</v>
          </cell>
          <cell r="D446" t="str">
            <v>N/A</v>
          </cell>
          <cell r="E446" t="str">
            <v>N/A</v>
          </cell>
          <cell r="F446">
            <v>1</v>
          </cell>
          <cell r="G446" t="str">
            <v>N/A</v>
          </cell>
          <cell r="H446">
            <v>1</v>
          </cell>
          <cell r="I446" t="str">
            <v>TF</v>
          </cell>
        </row>
        <row r="447">
          <cell r="B447" t="str">
            <v>22GN-33STA</v>
          </cell>
          <cell r="C447" t="str">
            <v>SPARE (incl)</v>
          </cell>
          <cell r="D447" t="str">
            <v>N/A</v>
          </cell>
          <cell r="E447" t="str">
            <v>N/A</v>
          </cell>
          <cell r="F447">
            <v>3</v>
          </cell>
          <cell r="G447" t="str">
            <v>N/A</v>
          </cell>
          <cell r="H447" t="str">
            <v>N/A</v>
          </cell>
          <cell r="I447" t="str">
            <v>N/A</v>
          </cell>
        </row>
        <row r="448">
          <cell r="B448" t="str">
            <v>22GN-35+5</v>
          </cell>
          <cell r="C448" t="str">
            <v>Discontinued SKU</v>
          </cell>
          <cell r="D448" t="str">
            <v>N/A</v>
          </cell>
          <cell r="E448" t="str">
            <v>N/A</v>
          </cell>
          <cell r="F448" t="str">
            <v>N/A</v>
          </cell>
          <cell r="G448" t="str">
            <v>N/A</v>
          </cell>
          <cell r="H448" t="str">
            <v>N/A</v>
          </cell>
          <cell r="I448" t="str">
            <v>N/A</v>
          </cell>
        </row>
        <row r="449">
          <cell r="B449" t="str">
            <v>22GN-35-HDTS</v>
          </cell>
          <cell r="C449" t="str">
            <v>9' Hyd Dovetail (New style)</v>
          </cell>
          <cell r="D449" t="str">
            <v>N/A</v>
          </cell>
          <cell r="E449" t="str">
            <v>N/A</v>
          </cell>
          <cell r="F449" t="str">
            <v>N/A</v>
          </cell>
          <cell r="G449" t="str">
            <v>N/A</v>
          </cell>
          <cell r="H449" t="str">
            <v>N/A</v>
          </cell>
          <cell r="I449" t="str">
            <v>N/A</v>
          </cell>
        </row>
        <row r="450">
          <cell r="B450" t="str">
            <v>22GN-35BK-HDTS</v>
          </cell>
          <cell r="C450" t="str">
            <v>9' Hyd Dovetail (New style)</v>
          </cell>
          <cell r="D450" t="str">
            <v>N/A</v>
          </cell>
          <cell r="E450" t="str">
            <v>N/A</v>
          </cell>
          <cell r="F450" t="str">
            <v>N/A</v>
          </cell>
          <cell r="G450" t="str">
            <v>N/A</v>
          </cell>
          <cell r="H450" t="str">
            <v>N/A</v>
          </cell>
          <cell r="I450" t="str">
            <v>N/A</v>
          </cell>
        </row>
        <row r="451">
          <cell r="B451" t="str">
            <v>22GN-35D5A</v>
          </cell>
          <cell r="C451" t="str">
            <v>SPARE (incl)</v>
          </cell>
          <cell r="D451" t="str">
            <v>N/A</v>
          </cell>
          <cell r="E451" t="str">
            <v>N/A</v>
          </cell>
          <cell r="F451">
            <v>3</v>
          </cell>
          <cell r="G451" t="str">
            <v>N/A</v>
          </cell>
          <cell r="H451" t="str">
            <v>N/A</v>
          </cell>
          <cell r="I451" t="str">
            <v>N/A</v>
          </cell>
        </row>
        <row r="452">
          <cell r="B452" t="str">
            <v>22GN-35D5A-FRBK</v>
          </cell>
          <cell r="C452" t="str">
            <v>SPARE (incl)</v>
          </cell>
          <cell r="D452" t="str">
            <v>N/A</v>
          </cell>
          <cell r="E452" t="str">
            <v>N/A</v>
          </cell>
          <cell r="F452">
            <v>3</v>
          </cell>
          <cell r="G452" t="str">
            <v>N/A</v>
          </cell>
          <cell r="H452" t="str">
            <v>N/A</v>
          </cell>
          <cell r="I452" t="str">
            <v>N/A</v>
          </cell>
        </row>
        <row r="453">
          <cell r="B453" t="str">
            <v>22GN-35D5A-MRBK</v>
          </cell>
          <cell r="C453" t="str">
            <v>MR, SPARE (incl)</v>
          </cell>
          <cell r="D453" t="str">
            <v>N/A</v>
          </cell>
          <cell r="E453" t="str">
            <v>N/A</v>
          </cell>
          <cell r="F453">
            <v>1</v>
          </cell>
          <cell r="G453" t="str">
            <v>N/A</v>
          </cell>
          <cell r="H453">
            <v>1</v>
          </cell>
          <cell r="I453" t="str">
            <v>TF</v>
          </cell>
        </row>
        <row r="454">
          <cell r="B454" t="str">
            <v>22GN-35STA</v>
          </cell>
          <cell r="C454" t="str">
            <v>SPARE (incl)</v>
          </cell>
          <cell r="D454" t="str">
            <v>N/A</v>
          </cell>
          <cell r="E454" t="str">
            <v>N/A</v>
          </cell>
          <cell r="F454">
            <v>3</v>
          </cell>
          <cell r="G454" t="str">
            <v>N/A</v>
          </cell>
          <cell r="H454" t="str">
            <v>N/A</v>
          </cell>
          <cell r="I454" t="str">
            <v>N/A</v>
          </cell>
        </row>
        <row r="455">
          <cell r="B455" t="str">
            <v>22GN-36STA</v>
          </cell>
          <cell r="C455" t="str">
            <v>SPARE (incl)</v>
          </cell>
          <cell r="D455" t="str">
            <v>N/A</v>
          </cell>
          <cell r="E455" t="str">
            <v>N/A</v>
          </cell>
          <cell r="F455">
            <v>3</v>
          </cell>
          <cell r="G455" t="str">
            <v>N/A</v>
          </cell>
          <cell r="H455" t="str">
            <v>N/A</v>
          </cell>
          <cell r="I455" t="str">
            <v>N/A</v>
          </cell>
        </row>
        <row r="456">
          <cell r="B456" t="str">
            <v>22GN-40-HDTS</v>
          </cell>
          <cell r="C456" t="str">
            <v>9' Hyd Dovetail (New style)</v>
          </cell>
          <cell r="D456" t="str">
            <v>N/A</v>
          </cell>
          <cell r="E456" t="str">
            <v>N/A</v>
          </cell>
          <cell r="F456" t="str">
            <v>N/A</v>
          </cell>
          <cell r="G456" t="str">
            <v>N/A</v>
          </cell>
          <cell r="H456" t="str">
            <v>N/A</v>
          </cell>
          <cell r="I456" t="str">
            <v>N/A</v>
          </cell>
        </row>
        <row r="457">
          <cell r="B457" t="str">
            <v>22GN-40BK-HDTS</v>
          </cell>
          <cell r="C457" t="str">
            <v>9' Hyd Dovetail (New style)</v>
          </cell>
          <cell r="D457" t="str">
            <v>N/A</v>
          </cell>
          <cell r="E457" t="str">
            <v>N/A</v>
          </cell>
          <cell r="F457" t="str">
            <v>N/A</v>
          </cell>
          <cell r="G457" t="str">
            <v>N/A</v>
          </cell>
          <cell r="H457" t="str">
            <v>N/A</v>
          </cell>
          <cell r="I457" t="str">
            <v>N/A</v>
          </cell>
        </row>
        <row r="458">
          <cell r="B458" t="str">
            <v>22GN-40BK8SIR</v>
          </cell>
          <cell r="C458" t="str">
            <v>Discontinued SKU</v>
          </cell>
          <cell r="D458" t="str">
            <v>N/A</v>
          </cell>
          <cell r="E458" t="str">
            <v>N/A</v>
          </cell>
          <cell r="F458" t="str">
            <v>N/A</v>
          </cell>
          <cell r="G458" t="str">
            <v>N/A</v>
          </cell>
          <cell r="H458" t="str">
            <v>N/A</v>
          </cell>
          <cell r="I458" t="str">
            <v>N/A</v>
          </cell>
        </row>
        <row r="459">
          <cell r="B459" t="str">
            <v>22GN-40D5A</v>
          </cell>
          <cell r="C459" t="str">
            <v>SPARE (incl)</v>
          </cell>
          <cell r="D459" t="str">
            <v>N/A</v>
          </cell>
          <cell r="E459" t="str">
            <v>N/A</v>
          </cell>
          <cell r="F459">
            <v>3</v>
          </cell>
          <cell r="G459" t="str">
            <v>N/A</v>
          </cell>
          <cell r="H459" t="str">
            <v>N/A</v>
          </cell>
          <cell r="I459" t="str">
            <v>N/A</v>
          </cell>
        </row>
        <row r="460">
          <cell r="B460" t="str">
            <v>22GN-40D5A-FRBK</v>
          </cell>
          <cell r="C460" t="str">
            <v>SPARE (incl)</v>
          </cell>
          <cell r="D460" t="str">
            <v>N/A</v>
          </cell>
          <cell r="E460" t="str">
            <v>N/A</v>
          </cell>
          <cell r="F460">
            <v>3</v>
          </cell>
          <cell r="G460" t="str">
            <v>N/A</v>
          </cell>
          <cell r="H460" t="str">
            <v>N/A</v>
          </cell>
          <cell r="I460" t="str">
            <v>N/A</v>
          </cell>
        </row>
        <row r="461">
          <cell r="B461" t="str">
            <v>22GN-40D5A-MRBK</v>
          </cell>
          <cell r="C461" t="str">
            <v>MR, SPARE (incl)</v>
          </cell>
          <cell r="D461" t="str">
            <v>N/A</v>
          </cell>
          <cell r="E461" t="str">
            <v>N/A</v>
          </cell>
          <cell r="F461">
            <v>1</v>
          </cell>
          <cell r="G461" t="str">
            <v>N/A</v>
          </cell>
          <cell r="H461">
            <v>1</v>
          </cell>
          <cell r="I461" t="str">
            <v>TF</v>
          </cell>
        </row>
        <row r="462">
          <cell r="B462" t="str">
            <v>22GN-40STA</v>
          </cell>
          <cell r="C462" t="str">
            <v>SPARE (incl)</v>
          </cell>
          <cell r="D462" t="str">
            <v>N/A</v>
          </cell>
          <cell r="E462" t="str">
            <v>N/A</v>
          </cell>
          <cell r="F462">
            <v>3</v>
          </cell>
          <cell r="G462" t="str">
            <v>N/A</v>
          </cell>
          <cell r="H462" t="str">
            <v>N/A</v>
          </cell>
          <cell r="I462" t="str">
            <v>N/A</v>
          </cell>
        </row>
        <row r="463">
          <cell r="B463" t="str">
            <v>22GN-40STA-S8BK</v>
          </cell>
          <cell r="C463" t="str">
            <v>8SIR, SPARE (incl)</v>
          </cell>
          <cell r="D463" t="str">
            <v>N/A</v>
          </cell>
          <cell r="E463" t="str">
            <v>N/A</v>
          </cell>
          <cell r="F463">
            <v>2</v>
          </cell>
          <cell r="G463" t="str">
            <v>N/A</v>
          </cell>
          <cell r="H463" t="str">
            <v>N/A</v>
          </cell>
          <cell r="I463" t="str">
            <v>TF</v>
          </cell>
        </row>
        <row r="464">
          <cell r="B464" t="str">
            <v>22GN-40STA-XRBK</v>
          </cell>
          <cell r="C464" t="str">
            <v>SPARE (incl)</v>
          </cell>
          <cell r="D464" t="str">
            <v>N/A</v>
          </cell>
          <cell r="E464" t="str">
            <v>N/A</v>
          </cell>
          <cell r="F464">
            <v>3</v>
          </cell>
          <cell r="G464" t="str">
            <v>N/A</v>
          </cell>
          <cell r="H464" t="str">
            <v>N/A</v>
          </cell>
          <cell r="I464" t="str">
            <v>N/A</v>
          </cell>
        </row>
        <row r="465">
          <cell r="B465" t="str">
            <v>22PH-20</v>
          </cell>
          <cell r="C465" t="str"/>
          <cell r="D465" t="str">
            <v>N/A</v>
          </cell>
          <cell r="E465" t="str">
            <v>N/A</v>
          </cell>
          <cell r="F465">
            <v>4</v>
          </cell>
          <cell r="G465" t="str">
            <v>N/A</v>
          </cell>
          <cell r="H465" t="str">
            <v>N/A</v>
          </cell>
          <cell r="I465" t="str">
            <v>N/A</v>
          </cell>
        </row>
        <row r="466">
          <cell r="B466" t="str">
            <v>22PH-20+5</v>
          </cell>
          <cell r="C466" t="str">
            <v>SPARE (incl)</v>
          </cell>
          <cell r="D466" t="str">
            <v>N/A</v>
          </cell>
          <cell r="E466" t="str">
            <v>N/A</v>
          </cell>
          <cell r="F466">
            <v>3</v>
          </cell>
          <cell r="G466" t="str">
            <v>N/A</v>
          </cell>
          <cell r="H466" t="str">
            <v>N/A</v>
          </cell>
          <cell r="I466" t="str">
            <v>N/A</v>
          </cell>
        </row>
        <row r="467">
          <cell r="B467" t="str">
            <v>22PH-20BK+5</v>
          </cell>
          <cell r="C467" t="str">
            <v>SPARE (incl)</v>
          </cell>
          <cell r="D467" t="str">
            <v>N/A</v>
          </cell>
          <cell r="E467" t="str">
            <v>N/A</v>
          </cell>
          <cell r="F467">
            <v>3</v>
          </cell>
          <cell r="G467" t="str">
            <v>N/A</v>
          </cell>
          <cell r="H467" t="str">
            <v>N/A</v>
          </cell>
          <cell r="I467" t="str">
            <v>N/A</v>
          </cell>
        </row>
        <row r="468">
          <cell r="B468" t="str">
            <v>22PH-20BK+5MR</v>
          </cell>
          <cell r="C468" t="str">
            <v>MEGA RAMPS, SPARE (incl)</v>
          </cell>
          <cell r="D468" t="str">
            <v>N/A</v>
          </cell>
          <cell r="E468" t="str">
            <v>N/A</v>
          </cell>
          <cell r="F468">
            <v>2</v>
          </cell>
          <cell r="G468" t="str">
            <v>N/A</v>
          </cell>
          <cell r="H468">
            <v>2</v>
          </cell>
          <cell r="I468" t="str">
            <v>TF</v>
          </cell>
        </row>
        <row r="469">
          <cell r="B469" t="str">
            <v>22PH-25</v>
          </cell>
          <cell r="C469" t="str">
            <v>SPARE (incl)</v>
          </cell>
          <cell r="D469" t="str">
            <v>N/A</v>
          </cell>
          <cell r="E469" t="str">
            <v>N/A</v>
          </cell>
          <cell r="F469">
            <v>3</v>
          </cell>
          <cell r="G469" t="str">
            <v>N/A</v>
          </cell>
          <cell r="H469" t="str">
            <v>N/A</v>
          </cell>
          <cell r="I469" t="str">
            <v>N/A</v>
          </cell>
        </row>
        <row r="470">
          <cell r="B470" t="str">
            <v>22PH-25+5</v>
          </cell>
          <cell r="C470" t="str">
            <v>SPARE (incl)</v>
          </cell>
          <cell r="D470" t="str">
            <v>N/A</v>
          </cell>
          <cell r="E470" t="str">
            <v>N/A</v>
          </cell>
          <cell r="F470">
            <v>3</v>
          </cell>
          <cell r="G470" t="str">
            <v>N/A</v>
          </cell>
          <cell r="H470" t="str">
            <v>N/A</v>
          </cell>
          <cell r="I470" t="str">
            <v>N/A</v>
          </cell>
        </row>
        <row r="471">
          <cell r="B471" t="str">
            <v>22PH-25BK+5</v>
          </cell>
          <cell r="C471" t="str">
            <v>SPARE (incl)</v>
          </cell>
          <cell r="D471" t="str">
            <v>N/A</v>
          </cell>
          <cell r="E471" t="str">
            <v>N/A</v>
          </cell>
          <cell r="F471">
            <v>3</v>
          </cell>
          <cell r="G471" t="str">
            <v>N/A</v>
          </cell>
          <cell r="H471" t="str">
            <v>N/A</v>
          </cell>
          <cell r="I471" t="str">
            <v>N/A</v>
          </cell>
        </row>
        <row r="472">
          <cell r="B472" t="str">
            <v>22PH-25BK+5MR</v>
          </cell>
          <cell r="C472" t="str">
            <v>MEGA RAMPS, SPARE (incl)</v>
          </cell>
          <cell r="D472" t="str">
            <v>N/A</v>
          </cell>
          <cell r="E472" t="str">
            <v>N/A</v>
          </cell>
          <cell r="F472">
            <v>2</v>
          </cell>
          <cell r="G472" t="str">
            <v>N/A</v>
          </cell>
          <cell r="H472">
            <v>2</v>
          </cell>
          <cell r="I472" t="str">
            <v>TF</v>
          </cell>
        </row>
        <row r="473">
          <cell r="B473" t="str">
            <v>25DU-20</v>
          </cell>
          <cell r="C473" t="str">
            <v>SPARE (incl)</v>
          </cell>
          <cell r="D473" t="str">
            <v>N/A</v>
          </cell>
          <cell r="E473">
            <v>3</v>
          </cell>
          <cell r="F473" t="str">
            <v>N/A</v>
          </cell>
          <cell r="G473" t="str">
            <v>N/A</v>
          </cell>
          <cell r="H473" t="str">
            <v>N/A</v>
          </cell>
          <cell r="I473" t="str">
            <v>N/A</v>
          </cell>
        </row>
        <row r="474">
          <cell r="B474" t="str">
            <v>25DU-20BK8SIR</v>
          </cell>
          <cell r="C474" t="str">
            <v>8SIR, SPARE (incl)</v>
          </cell>
          <cell r="D474" t="str">
            <v>N/A</v>
          </cell>
          <cell r="E474">
            <v>1</v>
          </cell>
          <cell r="F474" t="str">
            <v>N/A</v>
          </cell>
          <cell r="G474" t="str">
            <v>N/A</v>
          </cell>
          <cell r="H474" t="str">
            <v>N/A</v>
          </cell>
          <cell r="I474" t="str">
            <v>N/A</v>
          </cell>
        </row>
        <row r="475">
          <cell r="B475" t="str">
            <v>25DU-20P</v>
          </cell>
          <cell r="C475" t="str"/>
          <cell r="D475" t="str">
            <v>N/A</v>
          </cell>
          <cell r="E475">
            <v>4</v>
          </cell>
          <cell r="F475" t="str">
            <v>N/A</v>
          </cell>
          <cell r="G475" t="str">
            <v>N/A</v>
          </cell>
          <cell r="H475" t="str">
            <v>N/A</v>
          </cell>
          <cell r="I475" t="str">
            <v>N/A</v>
          </cell>
        </row>
        <row r="476">
          <cell r="B476" t="str">
            <v>25GN-20STA</v>
          </cell>
          <cell r="C476" t="str">
            <v>SPARE (incl)</v>
          </cell>
          <cell r="D476" t="str">
            <v>N/A</v>
          </cell>
          <cell r="E476" t="str">
            <v>N/A</v>
          </cell>
          <cell r="F476">
            <v>3</v>
          </cell>
          <cell r="G476" t="str">
            <v>N/A</v>
          </cell>
          <cell r="H476" t="str">
            <v>N/A</v>
          </cell>
          <cell r="I476" t="str">
            <v>N/A</v>
          </cell>
        </row>
        <row r="477">
          <cell r="B477" t="str">
            <v>25GN-25+5</v>
          </cell>
          <cell r="C477" t="str">
            <v>Discontinued SKU</v>
          </cell>
          <cell r="D477" t="str">
            <v>N/A</v>
          </cell>
          <cell r="E477" t="str">
            <v>N/A</v>
          </cell>
          <cell r="F477" t="str">
            <v>N/A</v>
          </cell>
          <cell r="G477" t="str">
            <v>N/A</v>
          </cell>
          <cell r="H477" t="str">
            <v>N/A</v>
          </cell>
          <cell r="I477" t="str">
            <v>N/A</v>
          </cell>
        </row>
        <row r="478">
          <cell r="B478" t="str">
            <v>25GN-25D5A</v>
          </cell>
          <cell r="C478" t="str">
            <v>SPARE (incl)</v>
          </cell>
          <cell r="D478" t="str">
            <v>N/A</v>
          </cell>
          <cell r="E478" t="str">
            <v>N/A</v>
          </cell>
          <cell r="F478">
            <v>3</v>
          </cell>
          <cell r="G478" t="str">
            <v>N/A</v>
          </cell>
          <cell r="H478" t="str">
            <v>N/A</v>
          </cell>
          <cell r="I478" t="str">
            <v>N/A</v>
          </cell>
        </row>
        <row r="479">
          <cell r="B479" t="str">
            <v>25GN-25D5A-FRBK</v>
          </cell>
          <cell r="C479" t="str">
            <v>SPARE (incl)</v>
          </cell>
          <cell r="D479" t="str">
            <v>N/A</v>
          </cell>
          <cell r="E479" t="str">
            <v>N/A</v>
          </cell>
          <cell r="F479">
            <v>3</v>
          </cell>
          <cell r="G479" t="str">
            <v>N/A</v>
          </cell>
          <cell r="H479" t="str">
            <v>N/A</v>
          </cell>
          <cell r="I479" t="str">
            <v>N/A</v>
          </cell>
        </row>
        <row r="480">
          <cell r="B480" t="str">
            <v>25GN-25D5A-MRBK</v>
          </cell>
          <cell r="C480" t="str">
            <v>MR, SPARE (incl)</v>
          </cell>
          <cell r="D480" t="str">
            <v>N/A</v>
          </cell>
          <cell r="E480" t="str">
            <v>N/A</v>
          </cell>
          <cell r="F480">
            <v>2</v>
          </cell>
          <cell r="G480" t="str">
            <v>N/A</v>
          </cell>
          <cell r="H480" t="str">
            <v>N/A</v>
          </cell>
          <cell r="I480" t="str">
            <v>TF</v>
          </cell>
        </row>
        <row r="481">
          <cell r="B481" t="str">
            <v>25GN-25STA</v>
          </cell>
          <cell r="C481" t="str">
            <v>SPARE (incl)</v>
          </cell>
          <cell r="D481" t="str">
            <v>N/A</v>
          </cell>
          <cell r="E481" t="str">
            <v>N/A</v>
          </cell>
          <cell r="F481">
            <v>3</v>
          </cell>
          <cell r="G481" t="str">
            <v>N/A</v>
          </cell>
          <cell r="H481" t="str">
            <v>N/A</v>
          </cell>
          <cell r="I481" t="str">
            <v>N/A</v>
          </cell>
        </row>
        <row r="482">
          <cell r="B482" t="str">
            <v>25GN-28+5</v>
          </cell>
          <cell r="C482" t="str">
            <v>Discontinued SKU</v>
          </cell>
          <cell r="D482" t="str">
            <v>N/A</v>
          </cell>
          <cell r="E482" t="str">
            <v>N/A</v>
          </cell>
          <cell r="F482" t="str">
            <v>N/A</v>
          </cell>
          <cell r="G482" t="str">
            <v>N/A</v>
          </cell>
          <cell r="H482" t="str">
            <v>N/A</v>
          </cell>
          <cell r="I482" t="str">
            <v>N/A</v>
          </cell>
        </row>
        <row r="483">
          <cell r="B483" t="str">
            <v>25GN-28BK+5MR</v>
          </cell>
          <cell r="C483" t="str">
            <v>MEGA RAMPS, SPARE (incl)</v>
          </cell>
          <cell r="D483" t="str">
            <v>N/A</v>
          </cell>
          <cell r="E483" t="str">
            <v>N/A</v>
          </cell>
          <cell r="F483" t="str">
            <v>N/A</v>
          </cell>
          <cell r="G483" t="str">
            <v>N/A</v>
          </cell>
          <cell r="H483" t="str">
            <v>N/A</v>
          </cell>
          <cell r="I483" t="str">
            <v>N/A</v>
          </cell>
        </row>
        <row r="484">
          <cell r="B484" t="str">
            <v>25GN-28STA</v>
          </cell>
          <cell r="C484" t="str">
            <v>SPARE (incl)</v>
          </cell>
          <cell r="D484" t="str">
            <v>N/A</v>
          </cell>
          <cell r="E484" t="str">
            <v>N/A</v>
          </cell>
          <cell r="F484">
            <v>3</v>
          </cell>
          <cell r="G484" t="str">
            <v>N/A</v>
          </cell>
          <cell r="H484" t="str">
            <v>N/A</v>
          </cell>
          <cell r="I484" t="str">
            <v>N/A</v>
          </cell>
        </row>
        <row r="485">
          <cell r="B485" t="str">
            <v>25GN-30D5A</v>
          </cell>
          <cell r="C485" t="str">
            <v>SPARE (incl)</v>
          </cell>
          <cell r="D485" t="str">
            <v>N/A</v>
          </cell>
          <cell r="E485" t="str">
            <v>N/A</v>
          </cell>
          <cell r="F485">
            <v>3</v>
          </cell>
          <cell r="G485" t="str">
            <v>N/A</v>
          </cell>
          <cell r="H485" t="str">
            <v>N/A</v>
          </cell>
          <cell r="I485" t="str">
            <v>N/A</v>
          </cell>
        </row>
        <row r="486">
          <cell r="B486" t="str">
            <v>25GN-30D5A-FRBK</v>
          </cell>
          <cell r="C486" t="str">
            <v>SPARE (incl)</v>
          </cell>
          <cell r="D486" t="str">
            <v>N/A</v>
          </cell>
          <cell r="E486" t="str">
            <v>N/A</v>
          </cell>
          <cell r="F486">
            <v>3</v>
          </cell>
          <cell r="G486" t="str">
            <v>N/A</v>
          </cell>
          <cell r="H486" t="str">
            <v>N/A</v>
          </cell>
          <cell r="I486" t="str">
            <v>N/A</v>
          </cell>
        </row>
        <row r="487">
          <cell r="B487" t="str">
            <v>25GN-30D5A-MRBK</v>
          </cell>
          <cell r="C487" t="str">
            <v>MR, SPARE (incl)</v>
          </cell>
          <cell r="D487" t="str">
            <v>N/A</v>
          </cell>
          <cell r="E487" t="str">
            <v>N/A</v>
          </cell>
          <cell r="F487">
            <v>1</v>
          </cell>
          <cell r="G487" t="str">
            <v>N/A</v>
          </cell>
          <cell r="H487">
            <v>1</v>
          </cell>
          <cell r="I487" t="str">
            <v>TF</v>
          </cell>
        </row>
        <row r="488">
          <cell r="B488" t="str">
            <v>25GN-30STA</v>
          </cell>
          <cell r="C488" t="str">
            <v>SPARE (incl)</v>
          </cell>
          <cell r="D488" t="str">
            <v>N/A</v>
          </cell>
          <cell r="E488" t="str">
            <v>N/A</v>
          </cell>
          <cell r="F488">
            <v>3</v>
          </cell>
          <cell r="G488" t="str">
            <v>N/A</v>
          </cell>
          <cell r="H488" t="str">
            <v>N/A</v>
          </cell>
          <cell r="I488" t="str">
            <v>N/A</v>
          </cell>
        </row>
        <row r="489">
          <cell r="B489" t="str">
            <v>25GN-33D5A</v>
          </cell>
          <cell r="C489" t="str">
            <v>SPARE (incl)</v>
          </cell>
          <cell r="D489" t="str">
            <v>N/A</v>
          </cell>
          <cell r="E489" t="str">
            <v>N/A</v>
          </cell>
          <cell r="F489">
            <v>3</v>
          </cell>
          <cell r="G489" t="str">
            <v>N/A</v>
          </cell>
          <cell r="H489" t="str">
            <v>N/A</v>
          </cell>
          <cell r="I489" t="str">
            <v>N/A</v>
          </cell>
        </row>
        <row r="490">
          <cell r="B490" t="str">
            <v>25GN-33D5A-FRBK</v>
          </cell>
          <cell r="C490" t="str">
            <v>SPARE (incl)</v>
          </cell>
          <cell r="D490" t="str">
            <v>N/A</v>
          </cell>
          <cell r="E490" t="str">
            <v>N/A</v>
          </cell>
          <cell r="F490">
            <v>3</v>
          </cell>
          <cell r="G490" t="str">
            <v>N/A</v>
          </cell>
          <cell r="H490" t="str">
            <v>N/A</v>
          </cell>
          <cell r="I490" t="str">
            <v>N/A</v>
          </cell>
        </row>
        <row r="491">
          <cell r="B491" t="str">
            <v>25GN-33D5A-MRBK</v>
          </cell>
          <cell r="C491" t="str">
            <v>MR, SPARE (incl)</v>
          </cell>
          <cell r="D491" t="str">
            <v>N/A</v>
          </cell>
          <cell r="E491" t="str">
            <v>N/A</v>
          </cell>
          <cell r="F491">
            <v>1</v>
          </cell>
          <cell r="G491" t="str">
            <v>N/A</v>
          </cell>
          <cell r="H491" t="str">
            <v>N/A</v>
          </cell>
          <cell r="I491" t="str">
            <v>TF</v>
          </cell>
        </row>
        <row r="492">
          <cell r="B492" t="str">
            <v>25GN-33STA</v>
          </cell>
          <cell r="C492" t="str">
            <v>SPARE (incl)</v>
          </cell>
          <cell r="D492" t="str">
            <v>N/A</v>
          </cell>
          <cell r="E492" t="str">
            <v>N/A</v>
          </cell>
          <cell r="F492">
            <v>3</v>
          </cell>
          <cell r="G492" t="str">
            <v>N/A</v>
          </cell>
          <cell r="H492" t="str">
            <v>N/A</v>
          </cell>
          <cell r="I492" t="str">
            <v>N/A</v>
          </cell>
        </row>
        <row r="493">
          <cell r="B493" t="str">
            <v>25GN-35+5</v>
          </cell>
          <cell r="C493"/>
          <cell r="D493" t="str">
            <v>N/A</v>
          </cell>
          <cell r="E493" t="str">
            <v>N/A</v>
          </cell>
          <cell r="F493" t="str">
            <v>N/A</v>
          </cell>
          <cell r="G493" t="str">
            <v>N/A</v>
          </cell>
          <cell r="H493" t="str">
            <v>N/A</v>
          </cell>
          <cell r="I493" t="str">
            <v>N/A</v>
          </cell>
        </row>
        <row r="494">
          <cell r="B494" t="str">
            <v>25GN-35-HDTS</v>
          </cell>
          <cell r="C494" t="str">
            <v>HYD - DT, SPARE (incl), Dicontinued SKU</v>
          </cell>
          <cell r="D494" t="str">
            <v>N/A</v>
          </cell>
          <cell r="E494" t="str">
            <v>N/A</v>
          </cell>
          <cell r="F494" t="str">
            <v>N/A</v>
          </cell>
          <cell r="G494" t="str">
            <v>N/A</v>
          </cell>
          <cell r="H494" t="str">
            <v>N/A</v>
          </cell>
          <cell r="I494" t="str">
            <v>N/A</v>
          </cell>
        </row>
        <row r="495">
          <cell r="B495" t="str">
            <v>25GN-35BK+5MR</v>
          </cell>
          <cell r="C495" t="str">
            <v>Discontinued SKU</v>
          </cell>
          <cell r="D495" t="str">
            <v>N/A</v>
          </cell>
          <cell r="E495" t="str">
            <v>N/A</v>
          </cell>
          <cell r="F495" t="str">
            <v>N/A</v>
          </cell>
          <cell r="G495" t="str">
            <v>N/A</v>
          </cell>
          <cell r="H495" t="str">
            <v>N/A</v>
          </cell>
          <cell r="I495" t="str">
            <v>N/A</v>
          </cell>
        </row>
        <row r="496">
          <cell r="B496" t="str">
            <v>25GN-35BK-HDTS</v>
          </cell>
          <cell r="C496" t="str">
            <v>HYD - DT, SPARE (incl), Dicontinued SKU</v>
          </cell>
          <cell r="D496" t="str">
            <v>N/A</v>
          </cell>
          <cell r="E496" t="str">
            <v>N/A</v>
          </cell>
          <cell r="F496" t="str">
            <v>N/A</v>
          </cell>
          <cell r="G496" t="str">
            <v>N/A</v>
          </cell>
          <cell r="H496" t="str">
            <v>N/A</v>
          </cell>
          <cell r="I496" t="str">
            <v>N/A</v>
          </cell>
        </row>
        <row r="497">
          <cell r="B497" t="str">
            <v>25GN-35D5A</v>
          </cell>
          <cell r="C497" t="str">
            <v>SPARE (incl)</v>
          </cell>
          <cell r="D497" t="str">
            <v>N/A</v>
          </cell>
          <cell r="E497" t="str">
            <v>N/A</v>
          </cell>
          <cell r="F497">
            <v>3</v>
          </cell>
          <cell r="G497" t="str">
            <v>N/A</v>
          </cell>
          <cell r="H497" t="str">
            <v>N/A</v>
          </cell>
          <cell r="I497" t="str">
            <v>N/A</v>
          </cell>
        </row>
        <row r="498">
          <cell r="B498" t="str">
            <v>25GN-35D5A-FRBK</v>
          </cell>
          <cell r="C498" t="str">
            <v>SPARE (incl)</v>
          </cell>
          <cell r="D498" t="str">
            <v>N/A</v>
          </cell>
          <cell r="E498" t="str">
            <v>N/A</v>
          </cell>
          <cell r="F498">
            <v>3</v>
          </cell>
          <cell r="G498" t="str">
            <v>N/A</v>
          </cell>
          <cell r="H498" t="str">
            <v>N/A</v>
          </cell>
          <cell r="I498" t="str">
            <v>N/A</v>
          </cell>
        </row>
        <row r="499">
          <cell r="B499" t="str">
            <v>25GN-35D5A-MRBK</v>
          </cell>
          <cell r="C499" t="str">
            <v>MR, SPARE (incl)</v>
          </cell>
          <cell r="D499" t="str">
            <v>N/A</v>
          </cell>
          <cell r="E499" t="str">
            <v>N/A</v>
          </cell>
          <cell r="F499">
            <v>2</v>
          </cell>
          <cell r="G499" t="str">
            <v>N/A</v>
          </cell>
          <cell r="H499" t="str">
            <v>N/A</v>
          </cell>
          <cell r="I499" t="str">
            <v>TF</v>
          </cell>
        </row>
        <row r="500">
          <cell r="B500" t="str">
            <v>25GN-35STA</v>
          </cell>
          <cell r="C500" t="str">
            <v>SPARE (incl)</v>
          </cell>
          <cell r="D500" t="str">
            <v>N/A</v>
          </cell>
          <cell r="E500" t="str">
            <v>N/A</v>
          </cell>
          <cell r="F500">
            <v>3</v>
          </cell>
          <cell r="G500" t="str">
            <v>N/A</v>
          </cell>
          <cell r="H500" t="str">
            <v>N/A</v>
          </cell>
          <cell r="I500" t="str">
            <v>N/A</v>
          </cell>
        </row>
        <row r="501">
          <cell r="B501" t="str">
            <v>25GN-36STA</v>
          </cell>
          <cell r="C501" t="str">
            <v>SPARE (incl)</v>
          </cell>
          <cell r="D501" t="str">
            <v>N/A</v>
          </cell>
          <cell r="E501" t="str">
            <v>N/A</v>
          </cell>
          <cell r="F501">
            <v>3</v>
          </cell>
          <cell r="G501" t="str">
            <v>N/A</v>
          </cell>
          <cell r="H501" t="str">
            <v>N/A</v>
          </cell>
          <cell r="I501" t="str">
            <v>N/A</v>
          </cell>
        </row>
        <row r="502">
          <cell r="B502" t="str">
            <v>25GN-40-HDTS</v>
          </cell>
          <cell r="C502" t="str">
            <v>HYD - DT, SPARE (incl), Dicontinued SKU</v>
          </cell>
          <cell r="D502" t="str">
            <v>N/A</v>
          </cell>
          <cell r="E502" t="str">
            <v>N/A</v>
          </cell>
          <cell r="F502" t="str">
            <v>N/A</v>
          </cell>
          <cell r="G502" t="str">
            <v>N/A</v>
          </cell>
          <cell r="H502" t="str">
            <v>N/A</v>
          </cell>
          <cell r="I502" t="str">
            <v>N/A</v>
          </cell>
        </row>
        <row r="503">
          <cell r="B503" t="str">
            <v>25GN-40BK-HDTS</v>
          </cell>
          <cell r="C503" t="str">
            <v>HYD - DT, SPARE (incl), Dicontinued SKU</v>
          </cell>
          <cell r="D503" t="str">
            <v>N/A</v>
          </cell>
          <cell r="E503" t="str">
            <v>N/A</v>
          </cell>
          <cell r="F503" t="str">
            <v>N/A</v>
          </cell>
          <cell r="G503" t="str">
            <v>N/A</v>
          </cell>
          <cell r="H503" t="str">
            <v>N/A</v>
          </cell>
          <cell r="I503" t="str">
            <v>N/A</v>
          </cell>
        </row>
        <row r="504">
          <cell r="B504" t="str">
            <v>25GN-40D5A</v>
          </cell>
          <cell r="C504" t="str">
            <v>SPARE (incl)</v>
          </cell>
          <cell r="D504" t="str">
            <v>N/A</v>
          </cell>
          <cell r="E504" t="str">
            <v>N/A</v>
          </cell>
          <cell r="F504">
            <v>3</v>
          </cell>
          <cell r="G504" t="str">
            <v>N/A</v>
          </cell>
          <cell r="H504" t="str">
            <v>N/A</v>
          </cell>
          <cell r="I504" t="str">
            <v>N/A</v>
          </cell>
        </row>
        <row r="505">
          <cell r="B505" t="str">
            <v>25GN-40D5A-FRBK</v>
          </cell>
          <cell r="C505" t="str">
            <v>SPARE (incl)</v>
          </cell>
          <cell r="D505" t="str">
            <v>N/A</v>
          </cell>
          <cell r="E505" t="str">
            <v>N/A</v>
          </cell>
          <cell r="F505">
            <v>3</v>
          </cell>
          <cell r="G505" t="str">
            <v>N/A</v>
          </cell>
          <cell r="H505" t="str">
            <v>N/A</v>
          </cell>
          <cell r="I505" t="str">
            <v>N/A</v>
          </cell>
        </row>
        <row r="506">
          <cell r="B506" t="str">
            <v>25GN-40D5A-MRBK</v>
          </cell>
          <cell r="C506" t="str">
            <v>MR, SPARE (incl)</v>
          </cell>
          <cell r="D506" t="str">
            <v>N/A</v>
          </cell>
          <cell r="E506" t="str">
            <v>N/A</v>
          </cell>
          <cell r="F506">
            <v>1</v>
          </cell>
          <cell r="G506" t="str">
            <v>N/A</v>
          </cell>
          <cell r="H506">
            <v>1</v>
          </cell>
          <cell r="I506" t="str">
            <v>TF</v>
          </cell>
        </row>
        <row r="507">
          <cell r="B507" t="str">
            <v>25GN-40D5A-MRBKEHD</v>
          </cell>
          <cell r="C507" t="str">
            <v>EHYD.Disc, MR, SPARE (incl)</v>
          </cell>
          <cell r="D507" t="str">
            <v>N/A</v>
          </cell>
          <cell r="E507" t="str">
            <v>N/A</v>
          </cell>
          <cell r="F507">
            <v>3</v>
          </cell>
          <cell r="G507" t="str">
            <v>N/A</v>
          </cell>
          <cell r="H507" t="str">
            <v>N/A</v>
          </cell>
          <cell r="I507" t="str">
            <v>N/A</v>
          </cell>
        </row>
        <row r="508">
          <cell r="B508" t="str">
            <v>25GN-40STA</v>
          </cell>
          <cell r="C508" t="str">
            <v>SPARE (incl)</v>
          </cell>
          <cell r="D508" t="str">
            <v>N/A</v>
          </cell>
          <cell r="E508" t="str">
            <v>N/A</v>
          </cell>
          <cell r="F508">
            <v>3</v>
          </cell>
          <cell r="G508" t="str">
            <v>N/A</v>
          </cell>
          <cell r="H508" t="str">
            <v>N/A</v>
          </cell>
          <cell r="I508" t="str">
            <v>N/A</v>
          </cell>
        </row>
        <row r="509">
          <cell r="B509" t="str">
            <v>25GN-40STA-S8BK</v>
          </cell>
          <cell r="C509" t="str">
            <v>8SIR, SPARE (incl)</v>
          </cell>
          <cell r="D509" t="str">
            <v>N/A</v>
          </cell>
          <cell r="E509" t="str">
            <v>N/A</v>
          </cell>
          <cell r="F509">
            <v>3</v>
          </cell>
          <cell r="G509" t="str">
            <v>N/A</v>
          </cell>
          <cell r="H509" t="str">
            <v>N/A</v>
          </cell>
          <cell r="I509" t="str">
            <v>TF</v>
          </cell>
        </row>
        <row r="510">
          <cell r="B510" t="str">
            <v>25GN-40STA-XRBK</v>
          </cell>
          <cell r="C510" t="str">
            <v>8SIR, SPARE (incl)</v>
          </cell>
          <cell r="D510" t="str">
            <v>N/A</v>
          </cell>
          <cell r="E510" t="str">
            <v>N/A</v>
          </cell>
          <cell r="F510">
            <v>3</v>
          </cell>
          <cell r="G510" t="str">
            <v>N/A</v>
          </cell>
          <cell r="H510" t="str">
            <v>N/A</v>
          </cell>
          <cell r="I510" t="str">
            <v>N/A</v>
          </cell>
        </row>
        <row r="511">
          <cell r="B511" t="str">
            <v>25PH-20+5</v>
          </cell>
          <cell r="C511" t="str">
            <v>SPARE (incl)</v>
          </cell>
          <cell r="D511" t="str">
            <v>N/A</v>
          </cell>
          <cell r="E511" t="str">
            <v>N/A</v>
          </cell>
          <cell r="F511">
            <v>3</v>
          </cell>
          <cell r="G511" t="str">
            <v>N/A</v>
          </cell>
          <cell r="H511" t="str">
            <v>N/A</v>
          </cell>
          <cell r="I511" t="str">
            <v>N/A</v>
          </cell>
        </row>
        <row r="512">
          <cell r="B512" t="str">
            <v>25PH-20BK+5</v>
          </cell>
          <cell r="C512" t="str">
            <v>SPARE (incl)</v>
          </cell>
          <cell r="D512" t="str">
            <v>N/A</v>
          </cell>
          <cell r="E512" t="str">
            <v>N/A</v>
          </cell>
          <cell r="F512">
            <v>3</v>
          </cell>
          <cell r="G512" t="str">
            <v>N/A</v>
          </cell>
          <cell r="H512" t="str">
            <v>N/A</v>
          </cell>
          <cell r="I512" t="str">
            <v>N/A</v>
          </cell>
        </row>
        <row r="513">
          <cell r="B513" t="str">
            <v>25PH-20BK+5MR</v>
          </cell>
          <cell r="C513" t="str">
            <v>MEGA RAMPS, SPARE (incl)</v>
          </cell>
          <cell r="D513" t="str">
            <v>N/A</v>
          </cell>
          <cell r="E513" t="str">
            <v>N/A</v>
          </cell>
          <cell r="F513">
            <v>3</v>
          </cell>
          <cell r="G513" t="str">
            <v>N/A</v>
          </cell>
          <cell r="H513">
            <v>3</v>
          </cell>
          <cell r="I513" t="str">
            <v>TF</v>
          </cell>
        </row>
        <row r="514">
          <cell r="B514" t="str">
            <v>25PH-25</v>
          </cell>
          <cell r="C514" t="str">
            <v>SPARE (incl)</v>
          </cell>
          <cell r="D514" t="str">
            <v>N/A</v>
          </cell>
          <cell r="E514" t="str">
            <v>N/A</v>
          </cell>
          <cell r="F514">
            <v>3</v>
          </cell>
          <cell r="G514" t="str">
            <v>N/A</v>
          </cell>
          <cell r="H514" t="str">
            <v>N/A</v>
          </cell>
          <cell r="I514" t="str">
            <v>N/A</v>
          </cell>
        </row>
        <row r="515">
          <cell r="B515" t="str">
            <v>25PH-25+5</v>
          </cell>
          <cell r="C515" t="str">
            <v>SPARE (incl)</v>
          </cell>
          <cell r="D515" t="str">
            <v>N/A</v>
          </cell>
          <cell r="E515" t="str">
            <v>N/A</v>
          </cell>
          <cell r="F515">
            <v>3</v>
          </cell>
          <cell r="G515" t="str">
            <v>N/A</v>
          </cell>
          <cell r="H515" t="str">
            <v>N/A</v>
          </cell>
          <cell r="I515" t="str">
            <v>N/A</v>
          </cell>
        </row>
        <row r="516">
          <cell r="B516" t="str">
            <v>25PH-25BK+5</v>
          </cell>
          <cell r="C516" t="str">
            <v>SPARE (incl)</v>
          </cell>
          <cell r="D516" t="str">
            <v>N/A</v>
          </cell>
          <cell r="E516" t="str">
            <v>N/A</v>
          </cell>
          <cell r="F516">
            <v>3</v>
          </cell>
          <cell r="G516" t="str">
            <v>N/A</v>
          </cell>
          <cell r="H516" t="str">
            <v>N/A</v>
          </cell>
          <cell r="I516" t="str">
            <v>N/A</v>
          </cell>
        </row>
        <row r="517">
          <cell r="B517" t="str">
            <v>25PH-25BK+5MR</v>
          </cell>
          <cell r="C517" t="str">
            <v>MEGA RAMPS, SPARE (incl)</v>
          </cell>
          <cell r="D517" t="str">
            <v>N/A</v>
          </cell>
          <cell r="E517" t="str">
            <v>N/A</v>
          </cell>
          <cell r="F517">
            <v>3</v>
          </cell>
          <cell r="G517" t="str">
            <v>N/A</v>
          </cell>
          <cell r="H517">
            <v>3</v>
          </cell>
          <cell r="I517" t="str">
            <v>TF</v>
          </cell>
        </row>
        <row r="518">
          <cell r="B518" t="str">
            <v>30ES-08</v>
          </cell>
          <cell r="C518" t="str">
            <v>Discontinued SKU</v>
          </cell>
          <cell r="D518" t="str">
            <v>N/A</v>
          </cell>
          <cell r="E518" t="str">
            <v>N/A</v>
          </cell>
          <cell r="F518" t="str">
            <v>N/A</v>
          </cell>
          <cell r="G518" t="str">
            <v>N/A</v>
          </cell>
          <cell r="H518" t="str">
            <v>N/A</v>
          </cell>
          <cell r="I518" t="str">
            <v>N/A</v>
          </cell>
        </row>
        <row r="519">
          <cell r="B519" t="str">
            <v>30ES-08BK4RG</v>
          </cell>
          <cell r="C519" t="str">
            <v>Discontinued SKU</v>
          </cell>
          <cell r="D519" t="str">
            <v>N/A</v>
          </cell>
          <cell r="E519" t="str">
            <v>N/A</v>
          </cell>
          <cell r="F519" t="str">
            <v>N/A</v>
          </cell>
          <cell r="G519" t="str">
            <v>N/A</v>
          </cell>
          <cell r="H519" t="str">
            <v>N/A</v>
          </cell>
          <cell r="I519" t="str">
            <v>N/A</v>
          </cell>
        </row>
        <row r="520">
          <cell r="B520" t="str">
            <v>30ES-10</v>
          </cell>
          <cell r="C520" t="str">
            <v>Discontinued SKU</v>
          </cell>
          <cell r="D520" t="str">
            <v>N/A</v>
          </cell>
          <cell r="E520" t="str">
            <v>N/A</v>
          </cell>
          <cell r="F520" t="str">
            <v>N/A</v>
          </cell>
          <cell r="G520" t="str">
            <v>N/A</v>
          </cell>
          <cell r="H520" t="str">
            <v>N/A</v>
          </cell>
          <cell r="I520" t="str">
            <v>N/A</v>
          </cell>
        </row>
        <row r="521">
          <cell r="B521" t="str">
            <v>30ES-10BK4RG</v>
          </cell>
          <cell r="C521" t="str">
            <v>Discontinued SKU</v>
          </cell>
          <cell r="D521" t="str">
            <v>N/A</v>
          </cell>
          <cell r="E521" t="str">
            <v>N/A</v>
          </cell>
          <cell r="F521" t="str">
            <v>N/A</v>
          </cell>
          <cell r="G521" t="str">
            <v>N/A</v>
          </cell>
          <cell r="H521" t="str">
            <v>N/A</v>
          </cell>
          <cell r="I521" t="str">
            <v>N/A</v>
          </cell>
        </row>
        <row r="522">
          <cell r="B522" t="str">
            <v>30SA-08</v>
          </cell>
          <cell r="C522"/>
          <cell r="D522" t="str">
            <v>N/A</v>
          </cell>
          <cell r="E522">
            <v>3</v>
          </cell>
          <cell r="F522" t="str">
            <v>N/A</v>
          </cell>
          <cell r="G522" t="str">
            <v>N/A</v>
          </cell>
          <cell r="H522" t="str">
            <v>N/A</v>
          </cell>
          <cell r="I522">
            <v>4</v>
          </cell>
        </row>
        <row r="523">
          <cell r="B523" t="str">
            <v>30SA-08BK4RG</v>
          </cell>
          <cell r="C523" t="str">
            <v>RG, SPMT</v>
          </cell>
          <cell r="D523" t="str">
            <v>N/A</v>
          </cell>
          <cell r="E523" t="str">
            <v>N/A</v>
          </cell>
          <cell r="F523" t="str">
            <v>N/A</v>
          </cell>
          <cell r="G523" t="str">
            <v>N/A</v>
          </cell>
          <cell r="H523" t="str">
            <v>N/A</v>
          </cell>
          <cell r="I523" t="str">
            <v>N/A</v>
          </cell>
        </row>
        <row r="524">
          <cell r="B524" t="str">
            <v>30SA-08BKEX2</v>
          </cell>
          <cell r="C524" t="str">
            <v>ENEX2, RG, SPMT</v>
          </cell>
          <cell r="D524" t="str">
            <v>N/A</v>
          </cell>
          <cell r="E524" t="str">
            <v>N/A</v>
          </cell>
          <cell r="F524" t="str">
            <v>N/A</v>
          </cell>
          <cell r="G524" t="str">
            <v>N/A</v>
          </cell>
          <cell r="H524" t="str">
            <v>N/A</v>
          </cell>
          <cell r="I524" t="str">
            <v>N/A</v>
          </cell>
        </row>
        <row r="525">
          <cell r="B525" t="str">
            <v>30SA-08R1A-4PBK</v>
          </cell>
          <cell r="C525" t="str">
            <v>RG, SPMT</v>
          </cell>
          <cell r="D525" t="str">
            <v>TF</v>
          </cell>
          <cell r="E525">
            <v>1</v>
          </cell>
          <cell r="F525" t="str">
            <v>N/A</v>
          </cell>
          <cell r="G525" t="str">
            <v>N/A</v>
          </cell>
          <cell r="H525" t="str">
            <v>N/A</v>
          </cell>
          <cell r="I525">
            <v>1</v>
          </cell>
        </row>
        <row r="526">
          <cell r="B526" t="str">
            <v>30SA-10</v>
          </cell>
          <cell r="C526"/>
          <cell r="D526" t="str">
            <v>N/A</v>
          </cell>
          <cell r="E526">
            <v>3</v>
          </cell>
          <cell r="F526" t="str">
            <v>N/A</v>
          </cell>
          <cell r="G526" t="str">
            <v>N/A</v>
          </cell>
          <cell r="H526" t="str">
            <v>N/A</v>
          </cell>
          <cell r="I526">
            <v>4</v>
          </cell>
        </row>
        <row r="527">
          <cell r="B527" t="str">
            <v>30SA-10BK4RG</v>
          </cell>
          <cell r="C527" t="str">
            <v>RG, SPMT</v>
          </cell>
          <cell r="D527" t="str">
            <v>N/A</v>
          </cell>
          <cell r="E527" t="str">
            <v>N/A</v>
          </cell>
          <cell r="F527" t="str">
            <v>N/A</v>
          </cell>
          <cell r="G527" t="str">
            <v>N/A</v>
          </cell>
          <cell r="H527" t="str">
            <v>N/A</v>
          </cell>
          <cell r="I527" t="str">
            <v>N/A</v>
          </cell>
        </row>
        <row r="528">
          <cell r="B528" t="str">
            <v>30SA-10BKEX2</v>
          </cell>
          <cell r="C528" t="str">
            <v>ENEX2, RG, SPMT</v>
          </cell>
          <cell r="D528" t="str">
            <v>N/A</v>
          </cell>
          <cell r="E528">
            <v>4</v>
          </cell>
          <cell r="F528" t="str">
            <v>N/A</v>
          </cell>
          <cell r="G528" t="str">
            <v>N/A</v>
          </cell>
          <cell r="H528" t="str">
            <v>N/A</v>
          </cell>
          <cell r="I528" t="str">
            <v>N/A</v>
          </cell>
        </row>
        <row r="529">
          <cell r="B529" t="str">
            <v>30SA-10R1A-4PBK</v>
          </cell>
          <cell r="C529" t="str">
            <v>RG, SPMT</v>
          </cell>
          <cell r="D529" t="str">
            <v>TF</v>
          </cell>
          <cell r="E529">
            <v>1</v>
          </cell>
          <cell r="F529" t="str">
            <v>N/A</v>
          </cell>
          <cell r="G529" t="str">
            <v>N/A</v>
          </cell>
          <cell r="H529" t="str">
            <v>N/A</v>
          </cell>
          <cell r="I529">
            <v>1</v>
          </cell>
        </row>
        <row r="530">
          <cell r="B530" t="str">
            <v>30SA-12BK4RG</v>
          </cell>
          <cell r="C530" t="str">
            <v>RG, SPMT</v>
          </cell>
          <cell r="D530" t="str">
            <v>N/A</v>
          </cell>
          <cell r="E530" t="str">
            <v>N/A</v>
          </cell>
          <cell r="F530" t="str">
            <v>N/A</v>
          </cell>
          <cell r="G530" t="str">
            <v>N/A</v>
          </cell>
          <cell r="H530" t="str">
            <v>N/A</v>
          </cell>
          <cell r="I530" t="str">
            <v>N/A</v>
          </cell>
        </row>
        <row r="531">
          <cell r="B531" t="str">
            <v>30SV-08</v>
          </cell>
          <cell r="C531"/>
          <cell r="D531" t="str">
            <v>N/A</v>
          </cell>
          <cell r="E531">
            <v>3</v>
          </cell>
          <cell r="F531" t="str">
            <v>N/A</v>
          </cell>
          <cell r="G531" t="str">
            <v>N/A</v>
          </cell>
          <cell r="H531" t="str">
            <v>N/A</v>
          </cell>
          <cell r="I531" t="str">
            <v>N/A</v>
          </cell>
        </row>
        <row r="532">
          <cell r="B532" t="str">
            <v>30SV-08BK</v>
          </cell>
          <cell r="C532" t="str">
            <v>RG, SPMT</v>
          </cell>
          <cell r="D532" t="str">
            <v>N/A</v>
          </cell>
          <cell r="E532">
            <v>2</v>
          </cell>
          <cell r="F532" t="str">
            <v>N/A</v>
          </cell>
          <cell r="G532" t="str">
            <v>N/A</v>
          </cell>
          <cell r="H532" t="str">
            <v>N/A</v>
          </cell>
          <cell r="I532">
            <v>2</v>
          </cell>
        </row>
        <row r="533">
          <cell r="B533" t="str">
            <v>30SV-10</v>
          </cell>
          <cell r="C533"/>
          <cell r="D533" t="str">
            <v>N/A</v>
          </cell>
          <cell r="E533">
            <v>3</v>
          </cell>
          <cell r="F533" t="str">
            <v>N/A</v>
          </cell>
          <cell r="G533" t="str">
            <v>N/A</v>
          </cell>
          <cell r="H533" t="str">
            <v>N/A</v>
          </cell>
          <cell r="I533" t="str">
            <v>N/A</v>
          </cell>
        </row>
        <row r="534">
          <cell r="B534" t="str">
            <v>30SV-10BK</v>
          </cell>
          <cell r="C534" t="str">
            <v>RG, SPMT</v>
          </cell>
          <cell r="D534" t="str">
            <v>N/A</v>
          </cell>
          <cell r="E534">
            <v>1</v>
          </cell>
          <cell r="F534" t="str">
            <v>N/A</v>
          </cell>
          <cell r="G534" t="str">
            <v>N/A</v>
          </cell>
          <cell r="H534" t="str">
            <v>N/A</v>
          </cell>
          <cell r="I534">
            <v>1</v>
          </cell>
        </row>
        <row r="535">
          <cell r="B535" t="str">
            <v>30SV-12</v>
          </cell>
          <cell r="C535"/>
          <cell r="D535" t="str">
            <v>N/A</v>
          </cell>
          <cell r="E535">
            <v>3</v>
          </cell>
          <cell r="F535" t="str">
            <v>N/A</v>
          </cell>
          <cell r="G535" t="str">
            <v>N/A</v>
          </cell>
          <cell r="H535" t="str">
            <v>N/A</v>
          </cell>
          <cell r="I535" t="str">
            <v>N/A</v>
          </cell>
        </row>
        <row r="536">
          <cell r="B536" t="str">
            <v>30SV-12BK</v>
          </cell>
          <cell r="C536" t="str">
            <v>RG, SPMT</v>
          </cell>
          <cell r="D536" t="str">
            <v>N/A</v>
          </cell>
          <cell r="E536">
            <v>3</v>
          </cell>
          <cell r="F536" t="str">
            <v>N/A</v>
          </cell>
          <cell r="G536" t="str">
            <v>N/A</v>
          </cell>
          <cell r="H536" t="str">
            <v>N/A</v>
          </cell>
          <cell r="I536">
            <v>3</v>
          </cell>
        </row>
        <row r="537">
          <cell r="B537" t="str">
            <v>35ES-12</v>
          </cell>
          <cell r="C537" t="str">
            <v>Discontinued SKU</v>
          </cell>
          <cell r="D537" t="str">
            <v>N/A</v>
          </cell>
          <cell r="E537" t="str">
            <v>N/A</v>
          </cell>
          <cell r="F537" t="str">
            <v>N/A</v>
          </cell>
          <cell r="G537" t="str">
            <v>N/A</v>
          </cell>
          <cell r="H537" t="str">
            <v>N/A</v>
          </cell>
          <cell r="I537" t="str">
            <v>N/A</v>
          </cell>
        </row>
        <row r="538">
          <cell r="B538" t="str">
            <v>35ES-12BK4RG</v>
          </cell>
          <cell r="C538" t="str">
            <v>Discontinued SKU</v>
          </cell>
          <cell r="D538" t="str">
            <v>N/A</v>
          </cell>
          <cell r="E538" t="str">
            <v>N/A</v>
          </cell>
          <cell r="F538" t="str">
            <v>N/A</v>
          </cell>
          <cell r="G538" t="str">
            <v>N/A</v>
          </cell>
          <cell r="H538" t="str">
            <v>N/A</v>
          </cell>
          <cell r="I538" t="str">
            <v>N/A</v>
          </cell>
        </row>
        <row r="539">
          <cell r="B539" t="str">
            <v>35ES-14</v>
          </cell>
          <cell r="C539" t="str">
            <v>Discontinued SKU</v>
          </cell>
          <cell r="D539" t="str">
            <v>N/A</v>
          </cell>
          <cell r="E539" t="str">
            <v>N/A</v>
          </cell>
          <cell r="F539" t="str">
            <v>N/A</v>
          </cell>
          <cell r="G539" t="str">
            <v>N/A</v>
          </cell>
          <cell r="H539" t="str">
            <v>N/A</v>
          </cell>
          <cell r="I539" t="str">
            <v>N/A</v>
          </cell>
        </row>
        <row r="540">
          <cell r="B540" t="str">
            <v>35ES-14BK4RG</v>
          </cell>
          <cell r="C540" t="str">
            <v>Discontinued SKU</v>
          </cell>
          <cell r="D540" t="str">
            <v>N/A</v>
          </cell>
          <cell r="E540" t="str">
            <v>N/A</v>
          </cell>
          <cell r="F540" t="str">
            <v>N/A</v>
          </cell>
          <cell r="G540" t="str">
            <v>N/A</v>
          </cell>
          <cell r="H540" t="str">
            <v>N/A</v>
          </cell>
          <cell r="I540" t="str">
            <v>N/A</v>
          </cell>
        </row>
        <row r="541">
          <cell r="B541" t="str">
            <v>35LS-12</v>
          </cell>
          <cell r="C541" t="str">
            <v>Discontinued SKU</v>
          </cell>
          <cell r="D541" t="str">
            <v>N/A</v>
          </cell>
          <cell r="E541" t="str">
            <v>N/A</v>
          </cell>
          <cell r="F541" t="str">
            <v>N/A</v>
          </cell>
          <cell r="G541" t="str">
            <v>N/A</v>
          </cell>
          <cell r="H541" t="str">
            <v>N/A</v>
          </cell>
          <cell r="I541" t="str">
            <v>N/A</v>
          </cell>
        </row>
        <row r="542">
          <cell r="B542" t="str">
            <v>35LS-12BK</v>
          </cell>
          <cell r="C542" t="str">
            <v>Discontinued SKU</v>
          </cell>
          <cell r="D542" t="str">
            <v>N/A</v>
          </cell>
          <cell r="E542" t="str">
            <v>N/A</v>
          </cell>
          <cell r="F542" t="str">
            <v>N/A</v>
          </cell>
          <cell r="G542" t="str">
            <v>N/A</v>
          </cell>
          <cell r="H542" t="str">
            <v>N/A</v>
          </cell>
          <cell r="I542" t="str">
            <v>N/A</v>
          </cell>
        </row>
        <row r="543">
          <cell r="B543" t="str">
            <v>35LS-12BK-P4</v>
          </cell>
          <cell r="C543" t="str">
            <v>Discontinued SKU</v>
          </cell>
          <cell r="D543" t="str">
            <v>N/A</v>
          </cell>
          <cell r="E543" t="str">
            <v>N/A</v>
          </cell>
          <cell r="F543" t="str">
            <v>N/A</v>
          </cell>
          <cell r="G543" t="str">
            <v>N/A</v>
          </cell>
          <cell r="H543" t="str">
            <v>N/A</v>
          </cell>
          <cell r="I543" t="str">
            <v>N/A</v>
          </cell>
        </row>
        <row r="544">
          <cell r="B544" t="str">
            <v>35LS-14</v>
          </cell>
          <cell r="C544" t="str">
            <v>Discontinued SKU</v>
          </cell>
          <cell r="D544" t="str">
            <v>N/A</v>
          </cell>
          <cell r="E544" t="str">
            <v>N/A</v>
          </cell>
          <cell r="F544" t="str">
            <v>N/A</v>
          </cell>
          <cell r="G544" t="str">
            <v>N/A</v>
          </cell>
          <cell r="H544" t="str">
            <v>N/A</v>
          </cell>
          <cell r="I544" t="str">
            <v>N/A</v>
          </cell>
        </row>
        <row r="545">
          <cell r="B545" t="str">
            <v>35LS-14BK</v>
          </cell>
          <cell r="C545" t="str">
            <v>Discontinued SKU</v>
          </cell>
          <cell r="D545" t="str">
            <v>N/A</v>
          </cell>
          <cell r="E545">
            <v>4</v>
          </cell>
          <cell r="F545" t="str">
            <v>N/A</v>
          </cell>
          <cell r="G545" t="str">
            <v>N/A</v>
          </cell>
          <cell r="H545" t="str">
            <v>N/A</v>
          </cell>
          <cell r="I545">
            <v>4</v>
          </cell>
        </row>
        <row r="546">
          <cell r="B546" t="str">
            <v>35LS-14BK-P4</v>
          </cell>
          <cell r="C546" t="str">
            <v>Discontinued SKU</v>
          </cell>
          <cell r="D546" t="str">
            <v>N/A</v>
          </cell>
          <cell r="E546">
            <v>4</v>
          </cell>
          <cell r="F546" t="str">
            <v>N/A</v>
          </cell>
          <cell r="G546" t="str">
            <v>N/A</v>
          </cell>
          <cell r="H546" t="str">
            <v>N/A</v>
          </cell>
          <cell r="I546">
            <v>4</v>
          </cell>
        </row>
        <row r="547">
          <cell r="B547" t="str">
            <v>35SA-10</v>
          </cell>
          <cell r="C547"/>
          <cell r="D547" t="str">
            <v>N/A</v>
          </cell>
          <cell r="E547">
            <v>3</v>
          </cell>
          <cell r="F547" t="str">
            <v>N/A</v>
          </cell>
          <cell r="G547" t="str">
            <v>N/A</v>
          </cell>
          <cell r="H547" t="str">
            <v>N/A</v>
          </cell>
          <cell r="I547">
            <v>3</v>
          </cell>
        </row>
        <row r="548">
          <cell r="B548" t="str">
            <v>35SA-10BK4RG</v>
          </cell>
          <cell r="C548" t="str">
            <v>RG, SPMT</v>
          </cell>
          <cell r="D548" t="str">
            <v>N/A</v>
          </cell>
          <cell r="E548" t="str">
            <v>N/A</v>
          </cell>
          <cell r="F548" t="str">
            <v>N/A</v>
          </cell>
          <cell r="G548" t="str">
            <v>N/A</v>
          </cell>
          <cell r="H548" t="str">
            <v>N/A</v>
          </cell>
          <cell r="I548" t="str">
            <v>N/A</v>
          </cell>
        </row>
        <row r="549">
          <cell r="B549" t="str">
            <v>35SA-10BKEX2</v>
          </cell>
          <cell r="C549" t="str">
            <v>ENEX2, RG, SPMT</v>
          </cell>
          <cell r="D549" t="str">
            <v>N/A</v>
          </cell>
          <cell r="E549">
            <v>4</v>
          </cell>
          <cell r="F549" t="str">
            <v>N/A</v>
          </cell>
          <cell r="G549" t="str">
            <v>N/A</v>
          </cell>
          <cell r="H549" t="str">
            <v>N/A</v>
          </cell>
          <cell r="I549" t="str">
            <v>N/A</v>
          </cell>
        </row>
        <row r="550">
          <cell r="B550" t="str">
            <v>35SA-10R1A-4PBK</v>
          </cell>
          <cell r="C550" t="str">
            <v>RG, SPMT</v>
          </cell>
          <cell r="D550" t="str">
            <v>N/A</v>
          </cell>
          <cell r="E550">
            <v>1</v>
          </cell>
          <cell r="F550" t="str">
            <v>N/A</v>
          </cell>
          <cell r="G550" t="str">
            <v>N/A</v>
          </cell>
          <cell r="H550" t="str">
            <v>N/A</v>
          </cell>
          <cell r="I550">
            <v>1</v>
          </cell>
        </row>
        <row r="551">
          <cell r="B551" t="str">
            <v>35SA-12</v>
          </cell>
          <cell r="C551"/>
          <cell r="D551" t="str">
            <v>N/A</v>
          </cell>
          <cell r="E551">
            <v>3</v>
          </cell>
          <cell r="F551" t="str">
            <v>N/A</v>
          </cell>
          <cell r="G551" t="str">
            <v>N/A</v>
          </cell>
          <cell r="H551" t="str">
            <v>N/A</v>
          </cell>
          <cell r="I551" t="str">
            <v>N/A</v>
          </cell>
        </row>
        <row r="552">
          <cell r="B552" t="str">
            <v>35SA-12BK4RG</v>
          </cell>
          <cell r="C552" t="str">
            <v>RG, SPMT</v>
          </cell>
          <cell r="D552" t="str">
            <v>N/A</v>
          </cell>
          <cell r="E552" t="str">
            <v>N/A</v>
          </cell>
          <cell r="F552" t="str">
            <v>N/A</v>
          </cell>
          <cell r="G552" t="str">
            <v>N/A</v>
          </cell>
          <cell r="H552" t="str">
            <v>N/A</v>
          </cell>
          <cell r="I552" t="str">
            <v>N/A</v>
          </cell>
        </row>
        <row r="553">
          <cell r="B553" t="str">
            <v>35SA-12BKEX2</v>
          </cell>
          <cell r="C553" t="str">
            <v>ENEX2, RG, SPMT</v>
          </cell>
          <cell r="D553" t="str">
            <v>N/A</v>
          </cell>
          <cell r="E553">
            <v>4</v>
          </cell>
          <cell r="F553" t="str">
            <v>N/A</v>
          </cell>
          <cell r="G553" t="str">
            <v>N/A</v>
          </cell>
          <cell r="H553" t="str">
            <v>N/A</v>
          </cell>
          <cell r="I553" t="str">
            <v>N/A</v>
          </cell>
        </row>
        <row r="554">
          <cell r="B554" t="str">
            <v>35SA-12BKRSX</v>
          </cell>
          <cell r="C554" t="str">
            <v>Discontinued SKU</v>
          </cell>
          <cell r="D554" t="str">
            <v>N/A</v>
          </cell>
          <cell r="E554">
            <v>4</v>
          </cell>
          <cell r="F554" t="str">
            <v>N/A</v>
          </cell>
          <cell r="G554" t="str">
            <v>N/A</v>
          </cell>
          <cell r="H554" t="str">
            <v>N/A</v>
          </cell>
          <cell r="I554" t="str">
            <v>N/A</v>
          </cell>
        </row>
        <row r="555">
          <cell r="B555" t="str">
            <v>35SA-12R1A-4PBK</v>
          </cell>
          <cell r="C555" t="str">
            <v>RG, SPMT</v>
          </cell>
          <cell r="D555" t="str">
            <v>N/A</v>
          </cell>
          <cell r="E555">
            <v>1</v>
          </cell>
          <cell r="F555" t="str">
            <v>N/A</v>
          </cell>
          <cell r="G555" t="str">
            <v>N/A</v>
          </cell>
          <cell r="H555" t="str">
            <v>N/A</v>
          </cell>
          <cell r="I555">
            <v>1</v>
          </cell>
        </row>
        <row r="556">
          <cell r="B556" t="str">
            <v>35SA-12RSX</v>
          </cell>
          <cell r="C556" t="str">
            <v>Discontinued SKU</v>
          </cell>
          <cell r="D556" t="str">
            <v>N/A</v>
          </cell>
          <cell r="E556">
            <v>4</v>
          </cell>
          <cell r="F556" t="str">
            <v>N/A</v>
          </cell>
          <cell r="G556" t="str">
            <v>N/A</v>
          </cell>
          <cell r="H556" t="str">
            <v>N/A</v>
          </cell>
          <cell r="I556" t="str">
            <v>N/A</v>
          </cell>
        </row>
        <row r="557">
          <cell r="B557" t="str">
            <v>35SA-12X</v>
          </cell>
          <cell r="C557"/>
          <cell r="D557" t="str">
            <v>N/A</v>
          </cell>
          <cell r="E557" t="str">
            <v>N/A</v>
          </cell>
          <cell r="F557" t="str">
            <v>N/A</v>
          </cell>
          <cell r="G557" t="str">
            <v>N/A</v>
          </cell>
          <cell r="H557" t="str">
            <v>N/A</v>
          </cell>
          <cell r="I557" t="str">
            <v>N/A</v>
          </cell>
        </row>
        <row r="558">
          <cell r="B558" t="str">
            <v>35SA-12XBK4RG</v>
          </cell>
          <cell r="C558" t="str">
            <v>RG, SPMT</v>
          </cell>
          <cell r="D558" t="str">
            <v>N/A</v>
          </cell>
          <cell r="E558" t="str">
            <v>N/A</v>
          </cell>
          <cell r="F558" t="str">
            <v>N/A</v>
          </cell>
          <cell r="G558" t="str">
            <v>N/A</v>
          </cell>
          <cell r="H558" t="str">
            <v>N/A</v>
          </cell>
          <cell r="I558" t="str">
            <v>N/A</v>
          </cell>
        </row>
        <row r="559">
          <cell r="B559" t="str">
            <v>35SA-14</v>
          </cell>
          <cell r="C559"/>
          <cell r="D559" t="str">
            <v>N/A</v>
          </cell>
          <cell r="E559">
            <v>3</v>
          </cell>
          <cell r="F559" t="str">
            <v>N/A</v>
          </cell>
          <cell r="G559" t="str">
            <v>N/A</v>
          </cell>
          <cell r="H559" t="str">
            <v>N/A</v>
          </cell>
          <cell r="I559">
            <v>3</v>
          </cell>
        </row>
        <row r="560">
          <cell r="B560" t="str">
            <v>35SA-14BK4RG</v>
          </cell>
          <cell r="C560" t="str">
            <v>RG, SPMT</v>
          </cell>
          <cell r="D560" t="str">
            <v>N/A</v>
          </cell>
          <cell r="E560" t="str">
            <v>N/A</v>
          </cell>
          <cell r="F560" t="str">
            <v>N/A</v>
          </cell>
          <cell r="G560" t="str">
            <v>N/A</v>
          </cell>
          <cell r="H560" t="str">
            <v>N/A</v>
          </cell>
          <cell r="I560" t="str">
            <v>N/A</v>
          </cell>
        </row>
        <row r="561">
          <cell r="B561" t="str">
            <v>35SA-14BKRSX</v>
          </cell>
          <cell r="C561" t="str">
            <v>Discontinued SKU</v>
          </cell>
          <cell r="D561" t="str">
            <v>N/A</v>
          </cell>
          <cell r="E561">
            <v>4</v>
          </cell>
          <cell r="F561" t="str">
            <v>N/A</v>
          </cell>
          <cell r="G561" t="str">
            <v>N/A</v>
          </cell>
          <cell r="H561" t="str">
            <v>N/A</v>
          </cell>
          <cell r="I561" t="str">
            <v>N/A</v>
          </cell>
        </row>
        <row r="562">
          <cell r="B562" t="str">
            <v>35SA-14R1A-4PBK</v>
          </cell>
          <cell r="C562" t="str">
            <v>RG, SPMT</v>
          </cell>
          <cell r="D562" t="str">
            <v>N/A</v>
          </cell>
          <cell r="E562">
            <v>1</v>
          </cell>
          <cell r="F562" t="str">
            <v>N/A</v>
          </cell>
          <cell r="G562" t="str">
            <v>N/A</v>
          </cell>
          <cell r="H562" t="str">
            <v>N/A</v>
          </cell>
          <cell r="I562">
            <v>1</v>
          </cell>
        </row>
        <row r="563">
          <cell r="B563" t="str">
            <v>35SA-14RSX</v>
          </cell>
          <cell r="C563" t="str">
            <v>Discontinued SKU</v>
          </cell>
          <cell r="D563" t="str">
            <v>N/A</v>
          </cell>
          <cell r="E563">
            <v>4</v>
          </cell>
          <cell r="F563" t="str">
            <v>N/A</v>
          </cell>
          <cell r="G563" t="str">
            <v>N/A</v>
          </cell>
          <cell r="H563" t="str">
            <v>N/A</v>
          </cell>
          <cell r="I563" t="str">
            <v>N/A</v>
          </cell>
        </row>
        <row r="564">
          <cell r="B564" t="str">
            <v>35SA-14X</v>
          </cell>
          <cell r="C564"/>
          <cell r="D564" t="str">
            <v>N/A</v>
          </cell>
          <cell r="E564" t="str">
            <v>N/A</v>
          </cell>
          <cell r="F564" t="str">
            <v>N/A</v>
          </cell>
          <cell r="G564" t="str">
            <v>N/A</v>
          </cell>
          <cell r="H564" t="str">
            <v>N/A</v>
          </cell>
          <cell r="I564">
            <v>3</v>
          </cell>
          <cell r="J564"/>
        </row>
        <row r="565">
          <cell r="B565" t="str">
            <v>35SA-14XBK4RG</v>
          </cell>
          <cell r="C565" t="str">
            <v>RG, SPMT</v>
          </cell>
          <cell r="D565" t="str">
            <v>N/A</v>
          </cell>
          <cell r="E565" t="str">
            <v>N/A</v>
          </cell>
          <cell r="F565" t="str">
            <v>N/A</v>
          </cell>
          <cell r="G565" t="str">
            <v>N/A</v>
          </cell>
          <cell r="H565" t="str">
            <v>N/A</v>
          </cell>
          <cell r="I565" t="str">
            <v>N/A</v>
          </cell>
        </row>
        <row r="566">
          <cell r="B566" t="str">
            <v>35SV-10</v>
          </cell>
          <cell r="C566"/>
          <cell r="D566" t="str">
            <v>N/A</v>
          </cell>
          <cell r="E566">
            <v>3</v>
          </cell>
          <cell r="F566" t="str">
            <v>N/A</v>
          </cell>
          <cell r="G566" t="str">
            <v>N/A</v>
          </cell>
          <cell r="H566" t="str">
            <v>N/A</v>
          </cell>
          <cell r="I566">
            <v>3</v>
          </cell>
        </row>
        <row r="567">
          <cell r="B567" t="str">
            <v>35SV-10BK</v>
          </cell>
          <cell r="C567" t="str">
            <v>RG, SPMT</v>
          </cell>
          <cell r="D567" t="str">
            <v>N/A</v>
          </cell>
          <cell r="E567">
            <v>2</v>
          </cell>
          <cell r="F567" t="str">
            <v>N/A</v>
          </cell>
          <cell r="G567" t="str">
            <v>N/A</v>
          </cell>
          <cell r="H567" t="str">
            <v>N/A</v>
          </cell>
          <cell r="I567">
            <v>2</v>
          </cell>
        </row>
        <row r="568">
          <cell r="B568" t="str">
            <v>35SV-12</v>
          </cell>
          <cell r="C568"/>
          <cell r="D568" t="str">
            <v>N/A</v>
          </cell>
          <cell r="E568">
            <v>3</v>
          </cell>
          <cell r="F568" t="str">
            <v>N/A</v>
          </cell>
          <cell r="G568" t="str">
            <v>N/A</v>
          </cell>
          <cell r="H568" t="str">
            <v>N/A</v>
          </cell>
          <cell r="I568">
            <v>3</v>
          </cell>
        </row>
        <row r="569">
          <cell r="B569" t="str">
            <v>35SV-12BK</v>
          </cell>
          <cell r="C569" t="str">
            <v>RG, SPMT</v>
          </cell>
          <cell r="D569" t="str">
            <v>N/A</v>
          </cell>
          <cell r="E569">
            <v>1</v>
          </cell>
          <cell r="F569" t="str">
            <v>N/A</v>
          </cell>
          <cell r="G569" t="str">
            <v>N/A</v>
          </cell>
          <cell r="H569" t="str">
            <v>N/A</v>
          </cell>
          <cell r="I569">
            <v>1</v>
          </cell>
          <cell r="J569"/>
        </row>
        <row r="570">
          <cell r="B570" t="str">
            <v>35SV-14</v>
          </cell>
          <cell r="C570"/>
          <cell r="D570" t="str">
            <v>N/A</v>
          </cell>
          <cell r="E570">
            <v>3</v>
          </cell>
          <cell r="F570" t="str">
            <v>N/A</v>
          </cell>
          <cell r="G570" t="str">
            <v>N/A</v>
          </cell>
          <cell r="H570" t="str">
            <v>N/A</v>
          </cell>
          <cell r="I570">
            <v>3</v>
          </cell>
        </row>
        <row r="571">
          <cell r="B571" t="str">
            <v>35SV-14BK</v>
          </cell>
          <cell r="C571" t="str">
            <v>RG, SPMT</v>
          </cell>
          <cell r="D571" t="str">
            <v>N/A</v>
          </cell>
          <cell r="E571">
            <v>3</v>
          </cell>
          <cell r="F571" t="str">
            <v>N/A</v>
          </cell>
          <cell r="G571" t="str">
            <v>N/A</v>
          </cell>
          <cell r="H571" t="str">
            <v>N/A</v>
          </cell>
          <cell r="I571">
            <v>3</v>
          </cell>
        </row>
        <row r="572">
          <cell r="B572" t="str">
            <v>35SX-12</v>
          </cell>
          <cell r="C572" t="str">
            <v>Xwide</v>
          </cell>
          <cell r="D572" t="str">
            <v>N/A</v>
          </cell>
          <cell r="E572">
            <v>3</v>
          </cell>
          <cell r="F572" t="str">
            <v>N/A</v>
          </cell>
          <cell r="G572" t="str">
            <v>N/A</v>
          </cell>
          <cell r="H572" t="str">
            <v>N/A</v>
          </cell>
          <cell r="I572">
            <v>3</v>
          </cell>
        </row>
        <row r="573">
          <cell r="B573" t="str">
            <v>35SX-12R1A-4PBK</v>
          </cell>
          <cell r="C573" t="str">
            <v>Xwide, RG, SPMT</v>
          </cell>
          <cell r="D573" t="str">
            <v>N/A</v>
          </cell>
          <cell r="E573">
            <v>3</v>
          </cell>
          <cell r="F573" t="str">
            <v>N/A</v>
          </cell>
          <cell r="G573" t="str">
            <v>N/A</v>
          </cell>
          <cell r="H573" t="str">
            <v>N/A</v>
          </cell>
          <cell r="I573">
            <v>3</v>
          </cell>
        </row>
        <row r="574">
          <cell r="B574" t="str">
            <v>35SX-14</v>
          </cell>
          <cell r="C574" t="str">
            <v>Xwide</v>
          </cell>
          <cell r="D574" t="str">
            <v>N/A</v>
          </cell>
          <cell r="E574">
            <v>3</v>
          </cell>
          <cell r="F574" t="str">
            <v>N/A</v>
          </cell>
          <cell r="G574" t="str">
            <v>N/A</v>
          </cell>
          <cell r="H574" t="str">
            <v>N/A</v>
          </cell>
          <cell r="I574">
            <v>3</v>
          </cell>
        </row>
        <row r="575">
          <cell r="B575" t="str">
            <v>35SX-14R1A-4PBK</v>
          </cell>
          <cell r="C575" t="str">
            <v>Xwide, RG, SPMT</v>
          </cell>
          <cell r="D575" t="str">
            <v>N/A</v>
          </cell>
          <cell r="E575">
            <v>3</v>
          </cell>
          <cell r="F575" t="str">
            <v>N/A</v>
          </cell>
          <cell r="G575" t="str">
            <v>N/A</v>
          </cell>
          <cell r="H575" t="str">
            <v>N/A</v>
          </cell>
          <cell r="I575">
            <v>3</v>
          </cell>
        </row>
        <row r="576">
          <cell r="B576" t="str">
            <v>35UT-14</v>
          </cell>
          <cell r="C576" t="str">
            <v>SPMT</v>
          </cell>
          <cell r="D576" t="str">
            <v>N/A</v>
          </cell>
          <cell r="E576">
            <v>3</v>
          </cell>
          <cell r="F576" t="str">
            <v>N/A</v>
          </cell>
          <cell r="G576" t="str">
            <v>N/A</v>
          </cell>
          <cell r="H576" t="str">
            <v>N/A</v>
          </cell>
          <cell r="I576">
            <v>3</v>
          </cell>
        </row>
        <row r="577">
          <cell r="B577" t="str">
            <v>35UT-14BK</v>
          </cell>
          <cell r="C577" t="str">
            <v>4BFRG, SPMT, TBOX</v>
          </cell>
          <cell r="D577" t="str">
            <v>N/A</v>
          </cell>
          <cell r="E577">
            <v>2</v>
          </cell>
          <cell r="F577" t="str">
            <v>N/A</v>
          </cell>
          <cell r="G577" t="str">
            <v>N/A</v>
          </cell>
          <cell r="H577" t="str">
            <v>N/A</v>
          </cell>
          <cell r="I577">
            <v>2</v>
          </cell>
        </row>
        <row r="578">
          <cell r="B578" t="str">
            <v>3XGN-20</v>
          </cell>
          <cell r="C578" t="str"/>
          <cell r="D578" t="str">
            <v>N/A</v>
          </cell>
          <cell r="E578">
            <v>3</v>
          </cell>
          <cell r="F578" t="str">
            <v>N/A</v>
          </cell>
          <cell r="G578" t="str">
            <v>N/A</v>
          </cell>
          <cell r="H578" t="str">
            <v>N/A</v>
          </cell>
          <cell r="I578" t="str">
            <v>N/A</v>
          </cell>
        </row>
        <row r="579">
          <cell r="B579" t="str">
            <v>3XGN-20+5</v>
          </cell>
          <cell r="C579" t="str">
            <v>SPARE (incl)</v>
          </cell>
          <cell r="D579" t="str">
            <v>N/A</v>
          </cell>
          <cell r="E579">
            <v>3</v>
          </cell>
          <cell r="F579" t="str">
            <v>N/A</v>
          </cell>
          <cell r="G579" t="str">
            <v>N/A</v>
          </cell>
          <cell r="H579" t="str">
            <v>N/A</v>
          </cell>
          <cell r="I579" t="str">
            <v>N/A</v>
          </cell>
        </row>
        <row r="580">
          <cell r="B580" t="str">
            <v>3XGN-25</v>
          </cell>
          <cell r="C580"/>
          <cell r="D580" t="str">
            <v>N/A</v>
          </cell>
          <cell r="E580">
            <v>3</v>
          </cell>
          <cell r="F580" t="str">
            <v>N/A</v>
          </cell>
          <cell r="G580" t="str">
            <v>N/A</v>
          </cell>
          <cell r="H580" t="str">
            <v>N/A</v>
          </cell>
          <cell r="I580" t="str">
            <v>N/A</v>
          </cell>
        </row>
        <row r="581">
          <cell r="B581" t="str">
            <v>3XGN-25+5</v>
          </cell>
          <cell r="C581" t="str">
            <v>SPARE (incl)</v>
          </cell>
          <cell r="D581" t="str">
            <v>N/A</v>
          </cell>
          <cell r="E581">
            <v>3</v>
          </cell>
          <cell r="F581" t="str">
            <v>N/A</v>
          </cell>
          <cell r="G581" t="str">
            <v>N/A</v>
          </cell>
          <cell r="H581" t="str">
            <v>N/A</v>
          </cell>
          <cell r="I581" t="str">
            <v>N/A</v>
          </cell>
        </row>
        <row r="582">
          <cell r="B582" t="str">
            <v>3XGN-25BK+5-MR</v>
          </cell>
          <cell r="C582" t="str">
            <v>MR, SPARE (incl), Discontinued SKU</v>
          </cell>
          <cell r="D582" t="str">
            <v>N/A</v>
          </cell>
          <cell r="E582">
            <v>4</v>
          </cell>
          <cell r="F582" t="str">
            <v>N/A</v>
          </cell>
          <cell r="G582" t="str">
            <v>N/A</v>
          </cell>
          <cell r="H582" t="str">
            <v>N/A</v>
          </cell>
          <cell r="I582" t="str">
            <v>N/A</v>
          </cell>
        </row>
        <row r="583">
          <cell r="B583" t="str">
            <v>3XGN-28+5</v>
          </cell>
          <cell r="C583" t="str">
            <v>SPARE (incl)</v>
          </cell>
          <cell r="D583" t="str">
            <v>N/A</v>
          </cell>
          <cell r="E583">
            <v>3</v>
          </cell>
          <cell r="F583" t="str">
            <v>N/A</v>
          </cell>
          <cell r="G583" t="str">
            <v>N/A</v>
          </cell>
          <cell r="H583" t="str">
            <v>N/A</v>
          </cell>
          <cell r="I583" t="str">
            <v>N/A</v>
          </cell>
        </row>
        <row r="584">
          <cell r="B584" t="str">
            <v>3XGN-30+5</v>
          </cell>
          <cell r="C584" t="str">
            <v>SPARE (incl)</v>
          </cell>
          <cell r="D584" t="str">
            <v>N/A</v>
          </cell>
          <cell r="E584">
            <v>3</v>
          </cell>
          <cell r="F584" t="str">
            <v>N/A</v>
          </cell>
          <cell r="G584" t="str">
            <v>N/A</v>
          </cell>
          <cell r="H584" t="str">
            <v>N/A</v>
          </cell>
          <cell r="I584" t="str">
            <v>N/A</v>
          </cell>
        </row>
        <row r="585">
          <cell r="B585" t="str">
            <v>3XGN-35+5</v>
          </cell>
          <cell r="C585" t="str">
            <v>SPARE (incl)</v>
          </cell>
          <cell r="D585" t="str">
            <v>N/A</v>
          </cell>
          <cell r="E585">
            <v>3</v>
          </cell>
          <cell r="F585" t="str">
            <v>N/A</v>
          </cell>
          <cell r="G585" t="str">
            <v>N/A</v>
          </cell>
          <cell r="H585" t="str">
            <v>N/A</v>
          </cell>
          <cell r="I585" t="str">
            <v>N/A</v>
          </cell>
        </row>
        <row r="586">
          <cell r="B586" t="str">
            <v>3XGN-36</v>
          </cell>
          <cell r="C586" t="str">
            <v>SPARE (incl)</v>
          </cell>
          <cell r="D586" t="str">
            <v>N/A</v>
          </cell>
          <cell r="E586">
            <v>3</v>
          </cell>
          <cell r="F586" t="str">
            <v>N/A</v>
          </cell>
          <cell r="G586" t="str">
            <v>N/A</v>
          </cell>
          <cell r="H586" t="str">
            <v>N/A</v>
          </cell>
          <cell r="I586" t="str">
            <v>N/A</v>
          </cell>
        </row>
        <row r="587">
          <cell r="B587" t="str">
            <v>3XGN-40</v>
          </cell>
          <cell r="C587" t="str">
            <v>SPARE (incl)</v>
          </cell>
          <cell r="D587" t="str">
            <v>N/A</v>
          </cell>
          <cell r="E587">
            <v>3</v>
          </cell>
          <cell r="F587" t="str">
            <v>N/A</v>
          </cell>
          <cell r="G587" t="str">
            <v>N/A</v>
          </cell>
          <cell r="H587" t="str">
            <v>N/A</v>
          </cell>
          <cell r="I587" t="str">
            <v>N/A</v>
          </cell>
        </row>
        <row r="588">
          <cell r="B588" t="str">
            <v>3XPH-20+5</v>
          </cell>
          <cell r="C588" t="str">
            <v>SPARE (incl)</v>
          </cell>
          <cell r="D588" t="str">
            <v>N/A</v>
          </cell>
          <cell r="E588">
            <v>3</v>
          </cell>
          <cell r="F588" t="str">
            <v>N/A</v>
          </cell>
          <cell r="G588" t="str">
            <v>N/A</v>
          </cell>
          <cell r="H588" t="str">
            <v>N/A</v>
          </cell>
          <cell r="I588" t="str">
            <v>N/A</v>
          </cell>
        </row>
        <row r="589">
          <cell r="B589" t="str">
            <v>3XPH-25+5</v>
          </cell>
          <cell r="C589" t="str">
            <v>SPARE (incl)</v>
          </cell>
          <cell r="D589" t="str">
            <v>N/A</v>
          </cell>
          <cell r="E589">
            <v>3</v>
          </cell>
          <cell r="F589" t="str">
            <v>N/A</v>
          </cell>
          <cell r="G589" t="str">
            <v>N/A</v>
          </cell>
          <cell r="H589" t="str">
            <v>N/A</v>
          </cell>
          <cell r="I589" t="str">
            <v>N/A</v>
          </cell>
        </row>
        <row r="590">
          <cell r="B590" t="str">
            <v>45ES-12</v>
          </cell>
          <cell r="C590" t="str">
            <v>Discontinued SKU</v>
          </cell>
          <cell r="D590" t="str">
            <v>N/A</v>
          </cell>
          <cell r="E590" t="str">
            <v>N/A</v>
          </cell>
          <cell r="F590" t="str">
            <v>N/A</v>
          </cell>
          <cell r="G590" t="str">
            <v>N/A</v>
          </cell>
          <cell r="H590" t="str">
            <v>N/A</v>
          </cell>
          <cell r="I590" t="str">
            <v>N/A</v>
          </cell>
        </row>
        <row r="591">
          <cell r="B591" t="str">
            <v>45ES-12BK4RG</v>
          </cell>
          <cell r="C591" t="str">
            <v>Discontinued SKU</v>
          </cell>
          <cell r="D591" t="str">
            <v>N/A</v>
          </cell>
          <cell r="E591" t="str">
            <v>N/A</v>
          </cell>
          <cell r="F591" t="str">
            <v>N/A</v>
          </cell>
          <cell r="G591" t="str">
            <v>N/A</v>
          </cell>
          <cell r="H591" t="str">
            <v>N/A</v>
          </cell>
          <cell r="I591" t="str">
            <v>N/A</v>
          </cell>
        </row>
        <row r="592">
          <cell r="B592" t="str">
            <v>45ES-14</v>
          </cell>
          <cell r="C592" t="str">
            <v>Discontinued SKU</v>
          </cell>
          <cell r="D592" t="str">
            <v>N/A</v>
          </cell>
          <cell r="E592" t="str">
            <v>N/A</v>
          </cell>
          <cell r="F592" t="str">
            <v>N/A</v>
          </cell>
          <cell r="G592" t="str">
            <v>N/A</v>
          </cell>
          <cell r="H592" t="str">
            <v>N/A</v>
          </cell>
          <cell r="I592" t="str">
            <v>N/A</v>
          </cell>
        </row>
        <row r="593">
          <cell r="B593" t="str">
            <v>45ES-14BK4RG</v>
          </cell>
          <cell r="C593" t="str">
            <v>Discontinued SKU</v>
          </cell>
          <cell r="D593" t="str">
            <v>N/A</v>
          </cell>
          <cell r="E593" t="str">
            <v>N/A</v>
          </cell>
          <cell r="F593" t="str">
            <v>N/A</v>
          </cell>
          <cell r="G593" t="str">
            <v>N/A</v>
          </cell>
          <cell r="H593" t="str">
            <v>N/A</v>
          </cell>
          <cell r="I593" t="str">
            <v>N/A</v>
          </cell>
        </row>
        <row r="594">
          <cell r="B594" t="str">
            <v>45ES-16</v>
          </cell>
          <cell r="C594" t="str">
            <v>Discontinued SKU</v>
          </cell>
          <cell r="D594" t="str">
            <v>N/A</v>
          </cell>
          <cell r="E594" t="str">
            <v>N/A</v>
          </cell>
          <cell r="F594" t="str">
            <v>N/A</v>
          </cell>
          <cell r="G594" t="str">
            <v>N/A</v>
          </cell>
          <cell r="H594" t="str">
            <v>N/A</v>
          </cell>
          <cell r="I594" t="str">
            <v>N/A</v>
          </cell>
        </row>
        <row r="595">
          <cell r="B595" t="str">
            <v>45ES-16BK4RG</v>
          </cell>
          <cell r="C595" t="str">
            <v>Discontinued SKU</v>
          </cell>
          <cell r="D595" t="str">
            <v>N/A</v>
          </cell>
          <cell r="E595" t="str">
            <v>N/A</v>
          </cell>
          <cell r="F595" t="str">
            <v>N/A</v>
          </cell>
          <cell r="G595" t="str">
            <v>N/A</v>
          </cell>
          <cell r="H595" t="str">
            <v>N/A</v>
          </cell>
          <cell r="I595" t="str">
            <v>N/A</v>
          </cell>
        </row>
        <row r="596">
          <cell r="B596" t="str">
            <v>4XPH-20</v>
          </cell>
          <cell r="C596" t="str"/>
          <cell r="D596" t="str">
            <v>N/A</v>
          </cell>
          <cell r="E596">
            <v>3</v>
          </cell>
          <cell r="F596" t="str">
            <v>N/A</v>
          </cell>
          <cell r="G596" t="str">
            <v>N/A</v>
          </cell>
          <cell r="H596" t="str">
            <v>N/A</v>
          </cell>
          <cell r="I596" t="str">
            <v>N/A</v>
          </cell>
        </row>
        <row r="597">
          <cell r="B597" t="str">
            <v>4XPH-20+5</v>
          </cell>
          <cell r="C597" t="str">
            <v>SPARE (incl)</v>
          </cell>
          <cell r="D597" t="str">
            <v>N/A</v>
          </cell>
          <cell r="E597">
            <v>3</v>
          </cell>
          <cell r="F597" t="str">
            <v>N/A</v>
          </cell>
          <cell r="G597" t="str">
            <v>N/A</v>
          </cell>
          <cell r="H597" t="str">
            <v>N/A</v>
          </cell>
          <cell r="I597" t="str">
            <v>N/A</v>
          </cell>
        </row>
        <row r="598">
          <cell r="B598" t="str">
            <v>4XPH-24+5</v>
          </cell>
          <cell r="C598" t="str">
            <v>SPARE (incl)</v>
          </cell>
          <cell r="D598" t="str">
            <v>N/A</v>
          </cell>
          <cell r="E598">
            <v>3</v>
          </cell>
          <cell r="F598" t="str">
            <v>N/A</v>
          </cell>
          <cell r="G598" t="str">
            <v>N/A</v>
          </cell>
          <cell r="H598" t="str">
            <v>N/A</v>
          </cell>
          <cell r="I598" t="str">
            <v>N/A</v>
          </cell>
        </row>
        <row r="599">
          <cell r="B599" t="str">
            <v>50SA-08</v>
          </cell>
          <cell r="C599" t="str">
            <v>Discontinued SKU</v>
          </cell>
          <cell r="D599" t="str">
            <v>N/A</v>
          </cell>
          <cell r="E599" t="str">
            <v>N/A</v>
          </cell>
          <cell r="F599" t="str">
            <v>N/A</v>
          </cell>
          <cell r="G599" t="str">
            <v>N/A</v>
          </cell>
          <cell r="H599" t="str">
            <v>N/A</v>
          </cell>
          <cell r="I599" t="str">
            <v>N/A</v>
          </cell>
        </row>
        <row r="600">
          <cell r="B600" t="str">
            <v>50SA-12</v>
          </cell>
          <cell r="C600" t="str">
            <v>Discontinued SKU</v>
          </cell>
          <cell r="D600" t="str">
            <v>N/A</v>
          </cell>
          <cell r="E600">
            <v>4</v>
          </cell>
          <cell r="F600" t="str">
            <v>N/A</v>
          </cell>
          <cell r="G600" t="str">
            <v>N/A</v>
          </cell>
          <cell r="H600" t="str">
            <v>N/A</v>
          </cell>
          <cell r="I600" t="str">
            <v>N/A</v>
          </cell>
        </row>
        <row r="601">
          <cell r="B601" t="str">
            <v>50SA-12X</v>
          </cell>
          <cell r="C601"/>
          <cell r="D601" t="str">
            <v>N/A</v>
          </cell>
          <cell r="E601">
            <v>4</v>
          </cell>
          <cell r="F601" t="str">
            <v>N/A</v>
          </cell>
          <cell r="G601" t="str">
            <v>N/A</v>
          </cell>
          <cell r="H601" t="str">
            <v>N/A</v>
          </cell>
          <cell r="I601" t="str">
            <v>N/A</v>
          </cell>
        </row>
        <row r="602">
          <cell r="B602" t="str">
            <v>50SA-14</v>
          </cell>
          <cell r="C602"/>
          <cell r="D602" t="str">
            <v>N/A</v>
          </cell>
          <cell r="E602">
            <v>4</v>
          </cell>
          <cell r="F602" t="str">
            <v>N/A</v>
          </cell>
          <cell r="G602" t="str">
            <v>N/A</v>
          </cell>
          <cell r="H602" t="str">
            <v>N/A</v>
          </cell>
          <cell r="I602" t="str">
            <v>N/A</v>
          </cell>
        </row>
        <row r="603">
          <cell r="B603" t="str">
            <v>50SA-14X</v>
          </cell>
          <cell r="C603"/>
          <cell r="D603" t="str">
            <v>N/A</v>
          </cell>
          <cell r="E603">
            <v>4</v>
          </cell>
          <cell r="F603" t="str">
            <v>N/A</v>
          </cell>
          <cell r="G603" t="str">
            <v>N/A</v>
          </cell>
          <cell r="H603" t="str">
            <v>N/A</v>
          </cell>
          <cell r="I603" t="str">
            <v>N/A</v>
          </cell>
        </row>
        <row r="604">
          <cell r="B604" t="str">
            <v>50SR-08-5WDD</v>
          </cell>
          <cell r="C604" t="str">
            <v>Discontinued SKU</v>
          </cell>
          <cell r="D604">
            <v>4</v>
          </cell>
          <cell r="E604" t="str">
            <v>N/A</v>
          </cell>
          <cell r="F604" t="str">
            <v>N/A</v>
          </cell>
          <cell r="G604" t="str">
            <v>N/A</v>
          </cell>
          <cell r="H604" t="str">
            <v>N/A</v>
          </cell>
          <cell r="I604" t="str">
            <v>N/A</v>
          </cell>
        </row>
        <row r="605">
          <cell r="B605" t="str">
            <v>5XPH-24+5</v>
          </cell>
          <cell r="C605" t="str">
            <v>SPARE (incl)</v>
          </cell>
          <cell r="D605" t="str">
            <v>N/A</v>
          </cell>
          <cell r="E605">
            <v>3</v>
          </cell>
          <cell r="F605" t="str">
            <v>N/A</v>
          </cell>
          <cell r="G605" t="str">
            <v>N/A</v>
          </cell>
          <cell r="H605" t="str">
            <v>N/A</v>
          </cell>
          <cell r="I605" t="str">
            <v>N/A</v>
          </cell>
        </row>
        <row r="606">
          <cell r="B606" t="str">
            <v>5XPH-28+5</v>
          </cell>
          <cell r="C606" t="str">
            <v>SPARE (incl)</v>
          </cell>
          <cell r="D606" t="str">
            <v>N/A</v>
          </cell>
          <cell r="E606">
            <v>3</v>
          </cell>
          <cell r="F606" t="str">
            <v>N/A</v>
          </cell>
          <cell r="G606" t="str">
            <v>N/A</v>
          </cell>
          <cell r="H606" t="str">
            <v>N/A</v>
          </cell>
          <cell r="I606" t="str">
            <v>N/A</v>
          </cell>
        </row>
        <row r="607">
          <cell r="B607" t="str">
            <v>60EC-14</v>
          </cell>
          <cell r="C607" t="str"/>
          <cell r="D607" t="str">
            <v>N/A</v>
          </cell>
          <cell r="E607">
            <v>4</v>
          </cell>
          <cell r="F607" t="str">
            <v>N/A</v>
          </cell>
          <cell r="G607" t="str">
            <v>N/A</v>
          </cell>
          <cell r="H607" t="str">
            <v>N/A</v>
          </cell>
          <cell r="I607">
            <v>3</v>
          </cell>
        </row>
        <row r="608">
          <cell r="B608" t="str">
            <v>60EC-14BK</v>
          </cell>
          <cell r="C608" t="str">
            <v>SRAMPS, SPMT</v>
          </cell>
          <cell r="D608" t="str">
            <v>N/A</v>
          </cell>
          <cell r="E608">
            <v>4</v>
          </cell>
          <cell r="F608" t="str">
            <v>N/A</v>
          </cell>
          <cell r="G608" t="str">
            <v>N/A</v>
          </cell>
          <cell r="H608" t="str">
            <v>N/A</v>
          </cell>
          <cell r="I608">
            <v>4</v>
          </cell>
        </row>
        <row r="609">
          <cell r="B609" t="str">
            <v>60EC-14BK2B</v>
          </cell>
          <cell r="C609" t="str">
            <v>BRK2, SRAMPS, SPMT</v>
          </cell>
          <cell r="D609" t="str">
            <v>N/A</v>
          </cell>
          <cell r="E609">
            <v>4</v>
          </cell>
          <cell r="F609" t="str">
            <v>N/A</v>
          </cell>
          <cell r="G609" t="str">
            <v>N/A</v>
          </cell>
          <cell r="H609" t="str">
            <v>N/A</v>
          </cell>
          <cell r="I609">
            <v>4</v>
          </cell>
        </row>
        <row r="610">
          <cell r="B610" t="str">
            <v>60EC-16</v>
          </cell>
          <cell r="C610" t="str"/>
          <cell r="D610" t="str">
            <v>N/A</v>
          </cell>
          <cell r="E610">
            <v>3</v>
          </cell>
          <cell r="F610" t="str">
            <v>N/A</v>
          </cell>
          <cell r="G610" t="str">
            <v>N/A</v>
          </cell>
          <cell r="H610" t="str">
            <v>N/A</v>
          </cell>
          <cell r="I610">
            <v>3</v>
          </cell>
        </row>
        <row r="611">
          <cell r="B611" t="str">
            <v>60EC-16BK</v>
          </cell>
          <cell r="C611" t="str">
            <v>SRAMPS, SPMT</v>
          </cell>
          <cell r="D611" t="str">
            <v>N/A</v>
          </cell>
          <cell r="E611">
            <v>1</v>
          </cell>
          <cell r="F611" t="str">
            <v>N/A</v>
          </cell>
          <cell r="G611" t="str">
            <v>N/A</v>
          </cell>
          <cell r="H611" t="str">
            <v>N/A</v>
          </cell>
          <cell r="I611">
            <v>1</v>
          </cell>
        </row>
        <row r="612">
          <cell r="B612" t="str">
            <v>60EC-16BK2B</v>
          </cell>
          <cell r="C612" t="str">
            <v>BRK2, SRAMPS, SPMT</v>
          </cell>
          <cell r="D612" t="str">
            <v>N/A</v>
          </cell>
          <cell r="E612">
            <v>1</v>
          </cell>
          <cell r="F612" t="str">
            <v>N/A</v>
          </cell>
          <cell r="G612" t="str">
            <v>N/A</v>
          </cell>
          <cell r="H612" t="str">
            <v>N/A</v>
          </cell>
          <cell r="I612">
            <v>1</v>
          </cell>
        </row>
        <row r="613">
          <cell r="B613" t="str">
            <v>60EC-18</v>
          </cell>
          <cell r="C613" t="str"/>
          <cell r="D613" t="str">
            <v>N/A</v>
          </cell>
          <cell r="E613">
            <v>3</v>
          </cell>
          <cell r="F613" t="str">
            <v>N/A</v>
          </cell>
          <cell r="G613" t="str">
            <v>N/A</v>
          </cell>
          <cell r="H613" t="str">
            <v>N/A</v>
          </cell>
          <cell r="I613">
            <v>3</v>
          </cell>
        </row>
        <row r="614">
          <cell r="B614" t="str">
            <v>60EC-18BK</v>
          </cell>
          <cell r="C614" t="str">
            <v>SRAMPS, SPMT</v>
          </cell>
          <cell r="D614" t="str">
            <v>N/A</v>
          </cell>
          <cell r="E614">
            <v>3</v>
          </cell>
          <cell r="F614" t="str">
            <v>N/A</v>
          </cell>
          <cell r="G614" t="str">
            <v>N/A</v>
          </cell>
          <cell r="H614" t="str">
            <v>N/A</v>
          </cell>
          <cell r="I614">
            <v>3</v>
          </cell>
        </row>
        <row r="615">
          <cell r="B615" t="str">
            <v>60EC-18BK2B</v>
          </cell>
          <cell r="C615" t="str">
            <v>BRK2, SRAMPS, SPMT</v>
          </cell>
          <cell r="D615" t="str">
            <v>N/A</v>
          </cell>
          <cell r="E615">
            <v>2</v>
          </cell>
          <cell r="F615" t="str">
            <v>N/A</v>
          </cell>
          <cell r="G615" t="str">
            <v>N/A</v>
          </cell>
          <cell r="H615" t="str">
            <v>N/A</v>
          </cell>
          <cell r="I615">
            <v>2</v>
          </cell>
        </row>
        <row r="616">
          <cell r="B616" t="str">
            <v>60ES-12</v>
          </cell>
          <cell r="C616" t="str">
            <v>Discontinued SKU</v>
          </cell>
          <cell r="D616" t="str">
            <v>N/A</v>
          </cell>
          <cell r="E616" t="str">
            <v>N/A</v>
          </cell>
          <cell r="F616" t="str">
            <v>N/A</v>
          </cell>
          <cell r="G616" t="str">
            <v>N/A</v>
          </cell>
          <cell r="H616" t="str">
            <v>N/A</v>
          </cell>
          <cell r="I616" t="str">
            <v>N/A</v>
          </cell>
        </row>
        <row r="617">
          <cell r="B617" t="str">
            <v>60ES-12BK4RG</v>
          </cell>
          <cell r="C617" t="str">
            <v>Discontinued SKU</v>
          </cell>
          <cell r="D617" t="str">
            <v>N/A</v>
          </cell>
          <cell r="E617" t="str">
            <v>N/A</v>
          </cell>
          <cell r="F617" t="str">
            <v>N/A</v>
          </cell>
          <cell r="G617" t="str">
            <v>N/A</v>
          </cell>
          <cell r="H617" t="str">
            <v>N/A</v>
          </cell>
          <cell r="I617" t="str">
            <v>N/A</v>
          </cell>
        </row>
        <row r="618">
          <cell r="B618" t="str">
            <v>60ES-12BK4RG2B</v>
          </cell>
          <cell r="C618" t="str">
            <v>Discontinued SKU</v>
          </cell>
          <cell r="D618" t="str">
            <v>N/A</v>
          </cell>
          <cell r="E618" t="str">
            <v>N/A</v>
          </cell>
          <cell r="F618" t="str">
            <v>N/A</v>
          </cell>
          <cell r="G618" t="str">
            <v>N/A</v>
          </cell>
          <cell r="H618" t="str">
            <v>N/A</v>
          </cell>
          <cell r="I618" t="str">
            <v>N/A</v>
          </cell>
        </row>
        <row r="619">
          <cell r="B619" t="str">
            <v>60ES-14</v>
          </cell>
          <cell r="C619" t="str">
            <v>Discontinued SKU</v>
          </cell>
          <cell r="D619" t="str">
            <v>N/A</v>
          </cell>
          <cell r="E619" t="str">
            <v>N/A</v>
          </cell>
          <cell r="F619" t="str">
            <v>N/A</v>
          </cell>
          <cell r="G619" t="str">
            <v>N/A</v>
          </cell>
          <cell r="H619" t="str">
            <v>N/A</v>
          </cell>
          <cell r="I619" t="str">
            <v>N/A</v>
          </cell>
        </row>
        <row r="620">
          <cell r="B620" t="str">
            <v>60ES-14BK4RG</v>
          </cell>
          <cell r="C620" t="str">
            <v>Discontinued SKU</v>
          </cell>
          <cell r="D620" t="str">
            <v>N/A</v>
          </cell>
          <cell r="E620" t="str">
            <v>N/A</v>
          </cell>
          <cell r="F620" t="str">
            <v>N/A</v>
          </cell>
          <cell r="G620" t="str">
            <v>N/A</v>
          </cell>
          <cell r="H620" t="str">
            <v>N/A</v>
          </cell>
          <cell r="I620" t="str">
            <v>N/A</v>
          </cell>
        </row>
        <row r="621">
          <cell r="B621" t="str">
            <v>60ES-14BK4RG2B</v>
          </cell>
          <cell r="C621" t="str">
            <v>Discontinued SKU</v>
          </cell>
          <cell r="D621" t="str">
            <v>N/A</v>
          </cell>
          <cell r="E621" t="str">
            <v>N/A</v>
          </cell>
          <cell r="F621" t="str">
            <v>N/A</v>
          </cell>
          <cell r="G621" t="str">
            <v>N/A</v>
          </cell>
          <cell r="H621" t="str">
            <v>N/A</v>
          </cell>
          <cell r="I621" t="str">
            <v>N/A</v>
          </cell>
        </row>
        <row r="622">
          <cell r="B622" t="str">
            <v>60ES-16</v>
          </cell>
          <cell r="C622" t="str">
            <v>Discontinued SKU</v>
          </cell>
          <cell r="D622" t="str">
            <v>N/A</v>
          </cell>
          <cell r="E622" t="str">
            <v>N/A</v>
          </cell>
          <cell r="F622" t="str">
            <v>N/A</v>
          </cell>
          <cell r="G622" t="str">
            <v>N/A</v>
          </cell>
          <cell r="H622" t="str">
            <v>N/A</v>
          </cell>
          <cell r="I622" t="str">
            <v>N/A</v>
          </cell>
        </row>
        <row r="623">
          <cell r="B623" t="str">
            <v>60ES-16BK4RG</v>
          </cell>
          <cell r="C623" t="str">
            <v>Discontinued SKU</v>
          </cell>
          <cell r="D623" t="str">
            <v>N/A</v>
          </cell>
          <cell r="E623" t="str">
            <v>N/A</v>
          </cell>
          <cell r="F623" t="str">
            <v>N/A</v>
          </cell>
          <cell r="G623" t="str">
            <v>N/A</v>
          </cell>
          <cell r="H623" t="str">
            <v>N/A</v>
          </cell>
          <cell r="I623" t="str">
            <v>N/A</v>
          </cell>
        </row>
        <row r="624">
          <cell r="B624" t="str">
            <v>60ES-16BK4RG2B</v>
          </cell>
          <cell r="C624" t="str">
            <v>Discontinued SKU</v>
          </cell>
          <cell r="D624" t="str">
            <v>N/A</v>
          </cell>
          <cell r="E624" t="str">
            <v>N/A</v>
          </cell>
          <cell r="F624" t="str">
            <v>N/A</v>
          </cell>
          <cell r="G624" t="str">
            <v>N/A</v>
          </cell>
          <cell r="H624" t="str">
            <v>N/A</v>
          </cell>
          <cell r="I624" t="str">
            <v>N/A</v>
          </cell>
        </row>
        <row r="625">
          <cell r="B625" t="str">
            <v>60PI-12</v>
          </cell>
          <cell r="C625"/>
          <cell r="D625" t="str">
            <v>N/A</v>
          </cell>
          <cell r="E625">
            <v>3</v>
          </cell>
          <cell r="F625" t="str">
            <v>N/A</v>
          </cell>
          <cell r="G625" t="str">
            <v>N/A</v>
          </cell>
          <cell r="H625" t="str">
            <v>N/A</v>
          </cell>
          <cell r="I625">
            <v>3</v>
          </cell>
        </row>
        <row r="626">
          <cell r="B626" t="str">
            <v>60PI-12BK4RG</v>
          </cell>
          <cell r="C626" t="str">
            <v>RG, SPMT</v>
          </cell>
          <cell r="D626" t="str">
            <v>N/A</v>
          </cell>
          <cell r="E626">
            <v>1</v>
          </cell>
          <cell r="F626" t="str">
            <v>N/A</v>
          </cell>
          <cell r="G626" t="str">
            <v>N/A</v>
          </cell>
          <cell r="H626" t="str">
            <v>N/A</v>
          </cell>
          <cell r="I626">
            <v>1</v>
          </cell>
        </row>
        <row r="627">
          <cell r="B627" t="str">
            <v>60PI-12BK4RG2B</v>
          </cell>
          <cell r="C627" t="str">
            <v>BRK2, RG, SPMT</v>
          </cell>
          <cell r="D627" t="str">
            <v>N/A</v>
          </cell>
          <cell r="E627">
            <v>1</v>
          </cell>
          <cell r="F627" t="str">
            <v>N/A</v>
          </cell>
          <cell r="G627" t="str">
            <v>N/A</v>
          </cell>
          <cell r="H627" t="str">
            <v>N/A</v>
          </cell>
          <cell r="I627">
            <v>1</v>
          </cell>
        </row>
        <row r="628">
          <cell r="B628" t="str">
            <v>60PI-14</v>
          </cell>
          <cell r="C628"/>
          <cell r="D628" t="str">
            <v>N/A</v>
          </cell>
          <cell r="E628">
            <v>3</v>
          </cell>
          <cell r="F628" t="str">
            <v>N/A</v>
          </cell>
          <cell r="G628" t="str">
            <v>N/A</v>
          </cell>
          <cell r="H628" t="str">
            <v>N/A</v>
          </cell>
          <cell r="I628">
            <v>3</v>
          </cell>
        </row>
        <row r="629">
          <cell r="B629" t="str">
            <v>60PI-14BK4RG</v>
          </cell>
          <cell r="C629" t="str">
            <v>RG, SPMT</v>
          </cell>
          <cell r="D629" t="str">
            <v>N/A</v>
          </cell>
          <cell r="E629">
            <v>1</v>
          </cell>
          <cell r="F629" t="str">
            <v>N/A</v>
          </cell>
          <cell r="G629" t="str">
            <v>N/A</v>
          </cell>
          <cell r="H629" t="str">
            <v>N/A</v>
          </cell>
          <cell r="I629">
            <v>1</v>
          </cell>
        </row>
        <row r="630">
          <cell r="B630" t="str">
            <v>60PI-14BK4RG2B</v>
          </cell>
          <cell r="C630" t="str">
            <v>BRK2, RG, SPMT</v>
          </cell>
          <cell r="D630" t="str">
            <v>N/A</v>
          </cell>
          <cell r="E630">
            <v>1</v>
          </cell>
          <cell r="F630" t="str">
            <v>N/A</v>
          </cell>
          <cell r="G630" t="str">
            <v>N/A</v>
          </cell>
          <cell r="H630" t="str">
            <v>N/A</v>
          </cell>
          <cell r="I630">
            <v>1</v>
          </cell>
        </row>
        <row r="631">
          <cell r="B631" t="str">
            <v>60PI-14BKEX2</v>
          </cell>
          <cell r="C631" t="str">
            <v>ENEX2, RG, SPMT</v>
          </cell>
          <cell r="D631" t="str">
            <v>N/A</v>
          </cell>
          <cell r="E631">
            <v>4</v>
          </cell>
          <cell r="F631" t="str">
            <v>N/A</v>
          </cell>
          <cell r="G631" t="str">
            <v>N/A</v>
          </cell>
          <cell r="H631" t="str">
            <v>N/A</v>
          </cell>
          <cell r="I631" t="str">
            <v>N/A</v>
          </cell>
        </row>
        <row r="632">
          <cell r="B632" t="str">
            <v>60PI-16</v>
          </cell>
          <cell r="C632"/>
          <cell r="D632" t="str">
            <v>N/A</v>
          </cell>
          <cell r="E632">
            <v>3</v>
          </cell>
          <cell r="F632" t="str">
            <v>N/A</v>
          </cell>
          <cell r="G632" t="str">
            <v>N/A</v>
          </cell>
          <cell r="H632" t="str">
            <v>N/A</v>
          </cell>
          <cell r="I632">
            <v>3</v>
          </cell>
        </row>
        <row r="633">
          <cell r="B633" t="str">
            <v>60PI-16BK4AR</v>
          </cell>
          <cell r="C633" t="str">
            <v>4SIR, SPMT</v>
          </cell>
          <cell r="D633" t="str">
            <v>N/A</v>
          </cell>
          <cell r="E633">
            <v>3</v>
          </cell>
          <cell r="F633" t="str">
            <v>N/A</v>
          </cell>
          <cell r="G633" t="str">
            <v>N/A</v>
          </cell>
          <cell r="H633" t="str">
            <v>N/A</v>
          </cell>
          <cell r="I633">
            <v>3</v>
          </cell>
        </row>
        <row r="634">
          <cell r="B634" t="str">
            <v>60PI-16BK4AR2B</v>
          </cell>
          <cell r="C634" t="str">
            <v>BRK2, 4SIR, SPMT</v>
          </cell>
          <cell r="D634" t="str">
            <v>N/A</v>
          </cell>
          <cell r="E634">
            <v>3</v>
          </cell>
          <cell r="F634" t="str">
            <v>N/A</v>
          </cell>
          <cell r="G634" t="str">
            <v>N/A</v>
          </cell>
          <cell r="H634" t="str">
            <v>N/A</v>
          </cell>
          <cell r="I634" t="str">
            <v>N/A</v>
          </cell>
        </row>
        <row r="635">
          <cell r="B635" t="str">
            <v>60PI-16BK4RG</v>
          </cell>
          <cell r="C635" t="str">
            <v>RG, SPMT</v>
          </cell>
          <cell r="D635" t="str">
            <v>N/A</v>
          </cell>
          <cell r="E635">
            <v>1</v>
          </cell>
          <cell r="F635" t="str">
            <v>N/A</v>
          </cell>
          <cell r="G635" t="str">
            <v>N/A</v>
          </cell>
          <cell r="H635" t="str">
            <v>N/A</v>
          </cell>
          <cell r="I635">
            <v>1</v>
          </cell>
        </row>
        <row r="636">
          <cell r="B636" t="str">
            <v>60PI-16BK4RG2B</v>
          </cell>
          <cell r="C636" t="str">
            <v>BRK2, RG, SPMT</v>
          </cell>
          <cell r="D636" t="str">
            <v>N/A</v>
          </cell>
          <cell r="E636">
            <v>1</v>
          </cell>
          <cell r="F636" t="str">
            <v>N/A</v>
          </cell>
          <cell r="G636" t="str">
            <v>N/A</v>
          </cell>
          <cell r="H636" t="str">
            <v>N/A</v>
          </cell>
          <cell r="I636">
            <v>1</v>
          </cell>
        </row>
        <row r="637">
          <cell r="B637" t="str">
            <v>60PI-16BKEX2</v>
          </cell>
          <cell r="C637" t="str">
            <v>ENEX2, RG, SPMT</v>
          </cell>
          <cell r="D637" t="str">
            <v>N/A</v>
          </cell>
          <cell r="E637">
            <v>4</v>
          </cell>
          <cell r="F637" t="str">
            <v>N/A</v>
          </cell>
          <cell r="G637" t="str">
            <v>N/A</v>
          </cell>
          <cell r="H637" t="str">
            <v>N/A</v>
          </cell>
          <cell r="I637" t="str">
            <v>N/A</v>
          </cell>
        </row>
        <row r="638">
          <cell r="B638" t="str">
            <v>70CH-14</v>
          </cell>
          <cell r="C638"/>
          <cell r="D638" t="str">
            <v>N/A</v>
          </cell>
          <cell r="E638">
            <v>3</v>
          </cell>
          <cell r="F638" t="str">
            <v>N/A</v>
          </cell>
          <cell r="G638" t="str">
            <v>N/A</v>
          </cell>
          <cell r="H638" t="str">
            <v>N/A</v>
          </cell>
          <cell r="I638">
            <v>3</v>
          </cell>
        </row>
        <row r="639">
          <cell r="B639" t="str">
            <v>70CH-14BK</v>
          </cell>
          <cell r="C639" t="str">
            <v>SRAMPS, SPMT</v>
          </cell>
          <cell r="D639" t="str">
            <v>N/A</v>
          </cell>
          <cell r="E639">
            <v>3</v>
          </cell>
          <cell r="F639" t="str">
            <v>N/A</v>
          </cell>
          <cell r="G639" t="str">
            <v>N/A</v>
          </cell>
          <cell r="H639" t="str">
            <v>N/A</v>
          </cell>
          <cell r="I639">
            <v>3</v>
          </cell>
        </row>
        <row r="640">
          <cell r="B640" t="str">
            <v>70CH-14BK-GA</v>
          </cell>
          <cell r="C640" t="str">
            <v>Discontinued SKU</v>
          </cell>
          <cell r="D640" t="str">
            <v>N/A</v>
          </cell>
          <cell r="E640" t="str">
            <v>N/A</v>
          </cell>
          <cell r="F640" t="str">
            <v>N/A</v>
          </cell>
          <cell r="G640" t="str">
            <v>N/A</v>
          </cell>
          <cell r="H640" t="str">
            <v>N/A</v>
          </cell>
          <cell r="I640" t="str">
            <v>N/A</v>
          </cell>
        </row>
        <row r="641">
          <cell r="B641" t="str">
            <v>70CH-14BK2B</v>
          </cell>
          <cell r="C641" t="str">
            <v>BRK2, SRAMPS, SPMT</v>
          </cell>
          <cell r="D641" t="str">
            <v>N/A</v>
          </cell>
          <cell r="E641">
            <v>3</v>
          </cell>
          <cell r="F641" t="str">
            <v>N/A</v>
          </cell>
          <cell r="G641" t="str">
            <v>N/A</v>
          </cell>
          <cell r="H641" t="str">
            <v>N/A</v>
          </cell>
          <cell r="I641">
            <v>3</v>
          </cell>
        </row>
        <row r="642">
          <cell r="B642" t="str">
            <v>70CH-16</v>
          </cell>
          <cell r="C642"/>
          <cell r="D642" t="str">
            <v>N/A</v>
          </cell>
          <cell r="E642">
            <v>3</v>
          </cell>
          <cell r="F642" t="str">
            <v>N/A</v>
          </cell>
          <cell r="G642" t="str">
            <v>N/A</v>
          </cell>
          <cell r="H642" t="str">
            <v>N/A</v>
          </cell>
          <cell r="I642">
            <v>3</v>
          </cell>
        </row>
        <row r="643">
          <cell r="B643" t="str">
            <v>70CH-16BK</v>
          </cell>
          <cell r="C643" t="str">
            <v>SPMT</v>
          </cell>
          <cell r="D643" t="str">
            <v>N/A</v>
          </cell>
          <cell r="E643">
            <v>3</v>
          </cell>
          <cell r="F643" t="str">
            <v>N/A</v>
          </cell>
          <cell r="G643" t="str">
            <v>N/A</v>
          </cell>
          <cell r="H643" t="str">
            <v>N/A</v>
          </cell>
          <cell r="I643">
            <v>3</v>
          </cell>
        </row>
        <row r="644">
          <cell r="B644" t="str">
            <v>70CH-16BK-GA</v>
          </cell>
          <cell r="C644" t="str">
            <v>Discontinued SKU</v>
          </cell>
          <cell r="D644" t="str">
            <v>N/A</v>
          </cell>
          <cell r="E644" t="str">
            <v>N/A</v>
          </cell>
          <cell r="F644" t="str">
            <v>N/A</v>
          </cell>
          <cell r="G644" t="str">
            <v>N/A</v>
          </cell>
          <cell r="H644" t="str">
            <v>N/A</v>
          </cell>
          <cell r="I644" t="str">
            <v>N/A</v>
          </cell>
        </row>
        <row r="645">
          <cell r="B645" t="str">
            <v>70CH-16BK2B</v>
          </cell>
          <cell r="C645" t="str">
            <v>Brk2, Adj.Coupler, Sramps, Spmt</v>
          </cell>
          <cell r="D645" t="str">
            <v>N/A</v>
          </cell>
          <cell r="E645">
            <v>2</v>
          </cell>
          <cell r="F645" t="str">
            <v>N/A</v>
          </cell>
          <cell r="G645" t="str">
            <v>N/A</v>
          </cell>
          <cell r="H645" t="str">
            <v>N/A</v>
          </cell>
          <cell r="I645">
            <v>2</v>
          </cell>
        </row>
        <row r="646">
          <cell r="B646" t="str">
            <v>70CH-16BKDT</v>
          </cell>
          <cell r="C646" t="str">
            <v>DT, Sramps, Spmt</v>
          </cell>
          <cell r="D646" t="str">
            <v>N/A</v>
          </cell>
          <cell r="E646">
            <v>3</v>
          </cell>
          <cell r="F646" t="str">
            <v>N/A</v>
          </cell>
          <cell r="G646" t="str">
            <v>N/A</v>
          </cell>
          <cell r="H646" t="str">
            <v>N/A</v>
          </cell>
          <cell r="I646">
            <v>3</v>
          </cell>
        </row>
        <row r="647">
          <cell r="B647" t="str">
            <v>70CH-16BKDT-GA</v>
          </cell>
          <cell r="C647" t="str">
            <v>Discontinued SKU</v>
          </cell>
          <cell r="D647" t="str">
            <v>N/A</v>
          </cell>
          <cell r="E647" t="str">
            <v>N/A</v>
          </cell>
          <cell r="F647" t="str">
            <v>N/A</v>
          </cell>
          <cell r="G647" t="str">
            <v>N/A</v>
          </cell>
          <cell r="H647" t="str">
            <v>N/A</v>
          </cell>
          <cell r="I647" t="str">
            <v>N/A</v>
          </cell>
        </row>
        <row r="648">
          <cell r="B648" t="str">
            <v>70CH-16BKDT2B</v>
          </cell>
          <cell r="C648" t="str">
            <v>DT, Brk2, Sramps, Spmt</v>
          </cell>
          <cell r="D648" t="str">
            <v>N/A</v>
          </cell>
          <cell r="E648">
            <v>3</v>
          </cell>
          <cell r="F648" t="str">
            <v>N/A</v>
          </cell>
          <cell r="G648" t="str">
            <v>N/A</v>
          </cell>
          <cell r="H648" t="str">
            <v>N/A</v>
          </cell>
          <cell r="I648">
            <v>3</v>
          </cell>
        </row>
        <row r="649">
          <cell r="B649" t="str">
            <v>70CH-18</v>
          </cell>
          <cell r="C649"/>
          <cell r="D649" t="str">
            <v>N/A</v>
          </cell>
          <cell r="E649">
            <v>3</v>
          </cell>
          <cell r="F649" t="str">
            <v>N/A</v>
          </cell>
          <cell r="G649" t="str">
            <v>N/A</v>
          </cell>
          <cell r="H649" t="str">
            <v>N/A</v>
          </cell>
          <cell r="I649">
            <v>3</v>
          </cell>
        </row>
        <row r="650">
          <cell r="B650" t="str">
            <v>70CH-18BK</v>
          </cell>
          <cell r="C650" t="str">
            <v>SRAMPS, SPMT</v>
          </cell>
          <cell r="D650" t="str">
            <v>N/A</v>
          </cell>
          <cell r="E650">
            <v>2</v>
          </cell>
          <cell r="F650" t="str">
            <v>N/A</v>
          </cell>
          <cell r="G650" t="str">
            <v>N/A</v>
          </cell>
          <cell r="H650" t="str">
            <v>N/A</v>
          </cell>
          <cell r="I650">
            <v>2</v>
          </cell>
        </row>
        <row r="651">
          <cell r="B651" t="str">
            <v>70CH-18BK-GA</v>
          </cell>
          <cell r="C651" t="str">
            <v>Discontinued SKU</v>
          </cell>
          <cell r="D651" t="str">
            <v>N/A</v>
          </cell>
          <cell r="E651" t="str">
            <v>N/A</v>
          </cell>
          <cell r="F651" t="str">
            <v>N/A</v>
          </cell>
          <cell r="G651" t="str">
            <v>N/A</v>
          </cell>
          <cell r="H651" t="str">
            <v>N/A</v>
          </cell>
          <cell r="I651" t="str">
            <v>N/A</v>
          </cell>
        </row>
        <row r="652">
          <cell r="B652" t="str">
            <v>70CH-18BK2B</v>
          </cell>
          <cell r="C652" t="str">
            <v>Brk2, Adj.Coupler, Sramps, Spmt</v>
          </cell>
          <cell r="D652" t="str">
            <v>N/A</v>
          </cell>
          <cell r="E652">
            <v>3</v>
          </cell>
          <cell r="F652" t="str">
            <v>N/A</v>
          </cell>
          <cell r="G652" t="str">
            <v>N/A</v>
          </cell>
          <cell r="H652" t="str">
            <v>N/A</v>
          </cell>
          <cell r="I652">
            <v>3</v>
          </cell>
        </row>
        <row r="653">
          <cell r="B653" t="str">
            <v>70CH-18BKDT</v>
          </cell>
          <cell r="C653" t="str">
            <v>DT, Adj.Coupler, Sramps, Spmt</v>
          </cell>
          <cell r="D653" t="str">
            <v>N/A</v>
          </cell>
          <cell r="E653">
            <v>1</v>
          </cell>
          <cell r="F653" t="str">
            <v>N/A</v>
          </cell>
          <cell r="G653" t="str">
            <v>N/A</v>
          </cell>
          <cell r="H653" t="str">
            <v>N/A</v>
          </cell>
          <cell r="I653">
            <v>1</v>
          </cell>
        </row>
        <row r="654">
          <cell r="B654" t="str">
            <v>70CH-18BKDT-GA</v>
          </cell>
          <cell r="C654" t="str">
            <v>Discontinued SKU</v>
          </cell>
          <cell r="D654" t="str">
            <v>N/A</v>
          </cell>
          <cell r="E654" t="str">
            <v>N/A</v>
          </cell>
          <cell r="F654" t="str">
            <v>N/A</v>
          </cell>
          <cell r="G654" t="str">
            <v>N/A</v>
          </cell>
          <cell r="H654" t="str">
            <v>N/A</v>
          </cell>
          <cell r="I654" t="str">
            <v>N/A</v>
          </cell>
        </row>
        <row r="655">
          <cell r="B655" t="str">
            <v>70CH-18BKDT2B</v>
          </cell>
          <cell r="C655" t="str">
            <v>Brk2, DT, Adj.Coupler, Sramps, Spmt</v>
          </cell>
          <cell r="D655" t="str">
            <v>N/A</v>
          </cell>
          <cell r="E655">
            <v>1</v>
          </cell>
          <cell r="F655" t="str">
            <v>N/A</v>
          </cell>
          <cell r="G655" t="str">
            <v>N/A</v>
          </cell>
          <cell r="H655" t="str">
            <v>N/A</v>
          </cell>
          <cell r="I655">
            <v>1</v>
          </cell>
        </row>
        <row r="656">
          <cell r="B656" t="str">
            <v>70CH-20</v>
          </cell>
          <cell r="C656"/>
          <cell r="D656" t="str">
            <v>N/A</v>
          </cell>
          <cell r="E656">
            <v>3</v>
          </cell>
          <cell r="F656" t="str">
            <v>N/A</v>
          </cell>
          <cell r="G656" t="str">
            <v>N/A</v>
          </cell>
          <cell r="H656" t="str">
            <v>N/A</v>
          </cell>
          <cell r="I656">
            <v>3</v>
          </cell>
        </row>
        <row r="657">
          <cell r="B657" t="str">
            <v>70CH-20BK</v>
          </cell>
          <cell r="C657" t="str">
            <v>SRAMPS, SPMT</v>
          </cell>
          <cell r="D657" t="str">
            <v>N/A</v>
          </cell>
          <cell r="E657">
            <v>3</v>
          </cell>
          <cell r="F657" t="str">
            <v>N/A</v>
          </cell>
          <cell r="G657" t="str">
            <v>N/A</v>
          </cell>
          <cell r="H657" t="str">
            <v>N/A</v>
          </cell>
          <cell r="I657">
            <v>3</v>
          </cell>
        </row>
        <row r="658">
          <cell r="B658" t="str">
            <v>70CH-20BK-GA</v>
          </cell>
          <cell r="C658" t="str">
            <v>Discontinued SKU</v>
          </cell>
          <cell r="D658" t="str">
            <v>N/A</v>
          </cell>
          <cell r="E658" t="str">
            <v>N/A</v>
          </cell>
          <cell r="F658" t="str">
            <v>N/A</v>
          </cell>
          <cell r="G658" t="str">
            <v>N/A</v>
          </cell>
          <cell r="H658" t="str">
            <v>N/A</v>
          </cell>
          <cell r="I658" t="str">
            <v>N/A</v>
          </cell>
        </row>
        <row r="659">
          <cell r="B659" t="str">
            <v>70CH-20BK2B</v>
          </cell>
          <cell r="C659" t="str">
            <v>Brk2, Adj.Coupler, Sramps, Spmt</v>
          </cell>
          <cell r="D659" t="str">
            <v>N/A</v>
          </cell>
          <cell r="E659">
            <v>3</v>
          </cell>
          <cell r="F659" t="str">
            <v>N/A</v>
          </cell>
          <cell r="G659" t="str">
            <v>N/A</v>
          </cell>
          <cell r="H659" t="str">
            <v>N/A</v>
          </cell>
          <cell r="I659">
            <v>3</v>
          </cell>
        </row>
        <row r="660">
          <cell r="B660" t="str">
            <v>70CH-20BKDT</v>
          </cell>
          <cell r="C660" t="str">
            <v>DT, Adj.Coupler, Sramps, Spmt</v>
          </cell>
          <cell r="D660" t="str">
            <v>N/A</v>
          </cell>
          <cell r="E660">
            <v>1</v>
          </cell>
          <cell r="F660" t="str">
            <v>N/A</v>
          </cell>
          <cell r="G660" t="str">
            <v>N/A</v>
          </cell>
          <cell r="H660" t="str">
            <v>N/A</v>
          </cell>
          <cell r="I660">
            <v>1</v>
          </cell>
        </row>
        <row r="661">
          <cell r="B661" t="str">
            <v>70CH-20BKDT-GA</v>
          </cell>
          <cell r="C661" t="str">
            <v>Discontinued SKU</v>
          </cell>
          <cell r="D661" t="str">
            <v>N/A</v>
          </cell>
          <cell r="E661" t="str">
            <v>N/A</v>
          </cell>
          <cell r="F661" t="str">
            <v>N/A</v>
          </cell>
          <cell r="G661" t="str">
            <v>N/A</v>
          </cell>
          <cell r="H661" t="str">
            <v>N/A</v>
          </cell>
          <cell r="I661" t="str">
            <v>N/A</v>
          </cell>
        </row>
        <row r="662">
          <cell r="B662" t="str">
            <v>70CH-20BKDT2B</v>
          </cell>
          <cell r="C662" t="str">
            <v>Brk2, DT, Adj.Coupler, Sramps, Spmt</v>
          </cell>
          <cell r="D662" t="str">
            <v>N/A</v>
          </cell>
          <cell r="E662">
            <v>1</v>
          </cell>
          <cell r="F662" t="str">
            <v>N/A</v>
          </cell>
          <cell r="G662" t="str">
            <v>N/A</v>
          </cell>
          <cell r="H662" t="str">
            <v>N/A</v>
          </cell>
          <cell r="I662">
            <v>1</v>
          </cell>
        </row>
        <row r="663">
          <cell r="B663" t="str">
            <v>70DM-18</v>
          </cell>
          <cell r="C663"/>
          <cell r="D663" t="str">
            <v>N/A</v>
          </cell>
          <cell r="E663">
            <v>3</v>
          </cell>
          <cell r="F663" t="str">
            <v>N/A</v>
          </cell>
          <cell r="G663" t="str">
            <v>N/A</v>
          </cell>
          <cell r="H663" t="str">
            <v>N/A</v>
          </cell>
          <cell r="I663">
            <v>3</v>
          </cell>
        </row>
        <row r="664">
          <cell r="B664" t="str">
            <v>70DM-18BK</v>
          </cell>
          <cell r="C664"/>
          <cell r="D664" t="str">
            <v>N/A</v>
          </cell>
          <cell r="E664">
            <v>3</v>
          </cell>
          <cell r="F664" t="str">
            <v>N/A</v>
          </cell>
          <cell r="G664" t="str">
            <v>N/A</v>
          </cell>
          <cell r="H664" t="str">
            <v>N/A</v>
          </cell>
          <cell r="I664">
            <v>3</v>
          </cell>
        </row>
        <row r="665">
          <cell r="B665" t="str">
            <v>70DM-18BK-GA</v>
          </cell>
          <cell r="C665" t="str">
            <v>Discontinued SKU</v>
          </cell>
          <cell r="D665" t="str">
            <v>N/A</v>
          </cell>
          <cell r="E665" t="str">
            <v>N/A</v>
          </cell>
          <cell r="F665" t="str">
            <v>N/A</v>
          </cell>
          <cell r="G665" t="str">
            <v>N/A</v>
          </cell>
          <cell r="H665" t="str">
            <v>N/A</v>
          </cell>
          <cell r="I665" t="str">
            <v>N/A</v>
          </cell>
        </row>
        <row r="666">
          <cell r="B666" t="str">
            <v>70DM-18BK2B</v>
          </cell>
          <cell r="C666" t="str">
            <v>Brk2</v>
          </cell>
          <cell r="D666" t="str">
            <v>N/A</v>
          </cell>
          <cell r="E666">
            <v>3</v>
          </cell>
          <cell r="F666" t="str">
            <v>N/A</v>
          </cell>
          <cell r="G666" t="str">
            <v>N/A</v>
          </cell>
          <cell r="H666" t="str">
            <v>N/A</v>
          </cell>
          <cell r="I666">
            <v>3</v>
          </cell>
        </row>
        <row r="667">
          <cell r="B667" t="str">
            <v>70DM-20</v>
          </cell>
          <cell r="C667"/>
          <cell r="D667" t="str">
            <v>N/A</v>
          </cell>
          <cell r="E667">
            <v>3</v>
          </cell>
          <cell r="F667" t="str">
            <v>N/A</v>
          </cell>
          <cell r="G667" t="str">
            <v>N/A</v>
          </cell>
          <cell r="H667" t="str">
            <v>N/A</v>
          </cell>
          <cell r="I667">
            <v>3</v>
          </cell>
        </row>
        <row r="668">
          <cell r="B668" t="str">
            <v>70DM-20BK</v>
          </cell>
          <cell r="C668"/>
          <cell r="D668" t="str">
            <v>N/A</v>
          </cell>
          <cell r="E668">
            <v>2</v>
          </cell>
          <cell r="F668" t="str">
            <v>N/A</v>
          </cell>
          <cell r="G668" t="str">
            <v>N/A</v>
          </cell>
          <cell r="H668" t="str">
            <v>N/A</v>
          </cell>
          <cell r="I668" t="str">
            <v>N/A</v>
          </cell>
        </row>
        <row r="669">
          <cell r="B669" t="str">
            <v>70DM-20BK-GA</v>
          </cell>
          <cell r="C669" t="str">
            <v>Discontinued SKU</v>
          </cell>
          <cell r="D669" t="str">
            <v>N/A</v>
          </cell>
          <cell r="E669" t="str">
            <v>N/A</v>
          </cell>
          <cell r="F669" t="str">
            <v>N/A</v>
          </cell>
          <cell r="G669" t="str">
            <v>N/A</v>
          </cell>
          <cell r="H669" t="str">
            <v>N/A</v>
          </cell>
          <cell r="I669" t="str">
            <v>N/A</v>
          </cell>
        </row>
        <row r="670">
          <cell r="B670" t="str">
            <v>70DM-20BK2B</v>
          </cell>
          <cell r="C670" t="str">
            <v>Brk2</v>
          </cell>
          <cell r="D670" t="str">
            <v>N/A</v>
          </cell>
          <cell r="E670">
            <v>3</v>
          </cell>
          <cell r="F670" t="str">
            <v>N/A</v>
          </cell>
          <cell r="G670" t="str">
            <v>N/A</v>
          </cell>
          <cell r="H670" t="str">
            <v>N/A</v>
          </cell>
          <cell r="I670">
            <v>3</v>
          </cell>
        </row>
        <row r="671">
          <cell r="B671" t="str">
            <v>70LR-14</v>
          </cell>
          <cell r="C671" t="str">
            <v>Discontinued SKU</v>
          </cell>
          <cell r="D671" t="str">
            <v>N/A</v>
          </cell>
          <cell r="E671" t="str">
            <v>N/A</v>
          </cell>
          <cell r="F671" t="str">
            <v>N/A</v>
          </cell>
          <cell r="G671" t="str">
            <v>N/A</v>
          </cell>
          <cell r="H671" t="str">
            <v>N/A</v>
          </cell>
          <cell r="I671" t="str">
            <v>N/A</v>
          </cell>
        </row>
        <row r="672">
          <cell r="B672" t="str">
            <v>70LR-14BK</v>
          </cell>
          <cell r="C672" t="str">
            <v>RLB, WERack, ENEX2</v>
          </cell>
          <cell r="D672" t="str">
            <v>N/A</v>
          </cell>
          <cell r="E672">
            <v>4</v>
          </cell>
          <cell r="F672" t="str">
            <v>N/A</v>
          </cell>
          <cell r="G672" t="str">
            <v>N/A</v>
          </cell>
          <cell r="H672" t="str">
            <v>N/A</v>
          </cell>
          <cell r="I672" t="str">
            <v>N/A</v>
          </cell>
        </row>
        <row r="673">
          <cell r="B673" t="str">
            <v>70LR-14BK-GA</v>
          </cell>
          <cell r="C673" t="str">
            <v>Discontinued SKU</v>
          </cell>
          <cell r="D673" t="str">
            <v>N/A</v>
          </cell>
          <cell r="E673" t="str">
            <v>N/A</v>
          </cell>
          <cell r="F673" t="str">
            <v>N/A</v>
          </cell>
          <cell r="G673" t="str">
            <v>N/A</v>
          </cell>
          <cell r="H673" t="str">
            <v>N/A</v>
          </cell>
          <cell r="I673" t="str">
            <v>N/A</v>
          </cell>
        </row>
        <row r="674">
          <cell r="B674" t="str">
            <v>70LR-14BK-P4</v>
          </cell>
          <cell r="C674" t="str">
            <v>RLB, WERack, ENEX4</v>
          </cell>
          <cell r="D674" t="str">
            <v>N/A</v>
          </cell>
          <cell r="E674">
            <v>4</v>
          </cell>
          <cell r="F674" t="str">
            <v>N/A</v>
          </cell>
          <cell r="G674" t="str">
            <v>N/A</v>
          </cell>
          <cell r="H674" t="str">
            <v>N/A</v>
          </cell>
          <cell r="I674" t="str">
            <v>N/A</v>
          </cell>
        </row>
        <row r="675">
          <cell r="B675" t="str">
            <v>70LR-14BK2B</v>
          </cell>
          <cell r="C675" t="str">
            <v>Discontinued SKU</v>
          </cell>
          <cell r="D675" t="str">
            <v>N/A</v>
          </cell>
          <cell r="E675">
            <v>4</v>
          </cell>
          <cell r="F675" t="str">
            <v>N/A</v>
          </cell>
          <cell r="G675" t="str">
            <v>N/A</v>
          </cell>
          <cell r="H675" t="str">
            <v>N/A</v>
          </cell>
          <cell r="I675" t="str">
            <v>N/A</v>
          </cell>
        </row>
        <row r="676">
          <cell r="B676" t="str">
            <v>70LR-16</v>
          </cell>
          <cell r="C676" t="str">
            <v>Discontinued SKU</v>
          </cell>
          <cell r="D676" t="str">
            <v>N/A</v>
          </cell>
          <cell r="E676" t="str">
            <v>N/A</v>
          </cell>
          <cell r="F676" t="str">
            <v>N/A</v>
          </cell>
          <cell r="G676" t="str">
            <v>N/A</v>
          </cell>
          <cell r="H676" t="str">
            <v>N/A</v>
          </cell>
          <cell r="I676" t="str">
            <v>N/A</v>
          </cell>
        </row>
        <row r="677">
          <cell r="B677" t="str">
            <v>70LR-16BK</v>
          </cell>
          <cell r="C677" t="str">
            <v>RLB, WERack, ENEX2</v>
          </cell>
          <cell r="D677" t="str">
            <v>N/A</v>
          </cell>
          <cell r="E677">
            <v>4</v>
          </cell>
          <cell r="F677" t="str">
            <v>N/A</v>
          </cell>
          <cell r="G677" t="str">
            <v>N/A</v>
          </cell>
          <cell r="H677" t="str">
            <v>N/A</v>
          </cell>
          <cell r="I677" t="str">
            <v>N/A</v>
          </cell>
        </row>
        <row r="678">
          <cell r="B678" t="str">
            <v>70LR-16BK-GA</v>
          </cell>
          <cell r="C678" t="str">
            <v>Discontinued SKU</v>
          </cell>
          <cell r="D678" t="str">
            <v>N/A</v>
          </cell>
          <cell r="E678" t="str">
            <v>N/A</v>
          </cell>
          <cell r="F678" t="str">
            <v>N/A</v>
          </cell>
          <cell r="G678" t="str">
            <v>N/A</v>
          </cell>
          <cell r="H678" t="str">
            <v>N/A</v>
          </cell>
          <cell r="I678" t="str">
            <v>N/A</v>
          </cell>
        </row>
        <row r="679">
          <cell r="B679" t="str">
            <v>70LR-16BK-P4</v>
          </cell>
          <cell r="C679" t="str">
            <v>RLB, WERack, ENEX4</v>
          </cell>
          <cell r="D679" t="str">
            <v>N/A</v>
          </cell>
          <cell r="E679">
            <v>4</v>
          </cell>
          <cell r="F679" t="str">
            <v>N/A</v>
          </cell>
          <cell r="G679" t="str">
            <v>N/A</v>
          </cell>
          <cell r="H679" t="str">
            <v>N/A</v>
          </cell>
          <cell r="I679" t="str">
            <v>N/A</v>
          </cell>
        </row>
        <row r="680">
          <cell r="B680" t="str">
            <v>70LR-16BK2B</v>
          </cell>
          <cell r="C680" t="str">
            <v>Discontinued SKU</v>
          </cell>
          <cell r="D680" t="str">
            <v>N/A</v>
          </cell>
          <cell r="E680">
            <v>4</v>
          </cell>
          <cell r="F680" t="str">
            <v>N/A</v>
          </cell>
          <cell r="G680" t="str">
            <v>N/A</v>
          </cell>
          <cell r="H680" t="str">
            <v>N/A</v>
          </cell>
          <cell r="I680" t="str">
            <v>N/A</v>
          </cell>
        </row>
        <row r="681">
          <cell r="B681" t="str">
            <v>70M1-10</v>
          </cell>
          <cell r="C681" t="str">
            <v>Discontinued SKU</v>
          </cell>
          <cell r="D681" t="str">
            <v>N/A</v>
          </cell>
          <cell r="E681" t="str">
            <v>N/A</v>
          </cell>
          <cell r="F681" t="str">
            <v>N/A</v>
          </cell>
          <cell r="G681" t="str">
            <v>N/A</v>
          </cell>
          <cell r="H681" t="str">
            <v>N/A</v>
          </cell>
          <cell r="I681" t="str">
            <v>N/A</v>
          </cell>
        </row>
        <row r="682">
          <cell r="B682" t="str">
            <v>70PI-14</v>
          </cell>
          <cell r="C682"/>
          <cell r="D682" t="str">
            <v>N/A</v>
          </cell>
          <cell r="E682">
            <v>3</v>
          </cell>
          <cell r="F682" t="str">
            <v>N/A</v>
          </cell>
          <cell r="G682" t="str">
            <v>N/A</v>
          </cell>
          <cell r="H682" t="str">
            <v>N/A</v>
          </cell>
          <cell r="I682">
            <v>3</v>
          </cell>
        </row>
        <row r="683">
          <cell r="B683" t="str">
            <v>70PI-14R1A-4PBK</v>
          </cell>
          <cell r="C683" t="str">
            <v>RG, SPMT</v>
          </cell>
          <cell r="D683" t="str">
            <v>N/A</v>
          </cell>
          <cell r="E683">
            <v>2</v>
          </cell>
          <cell r="F683" t="str">
            <v>N/A</v>
          </cell>
          <cell r="G683" t="str">
            <v>N/A</v>
          </cell>
          <cell r="H683" t="str">
            <v>N/A</v>
          </cell>
          <cell r="I683">
            <v>2</v>
          </cell>
        </row>
        <row r="684">
          <cell r="B684" t="str">
            <v>70PI-14R1A-4PBK-BRK2</v>
          </cell>
          <cell r="C684" t="str">
            <v>BRK2, RG, SPMT</v>
          </cell>
          <cell r="D684" t="str">
            <v>N/A</v>
          </cell>
          <cell r="E684">
            <v>2</v>
          </cell>
          <cell r="F684" t="str">
            <v>N/A</v>
          </cell>
          <cell r="G684" t="str">
            <v>N/A</v>
          </cell>
          <cell r="H684" t="str">
            <v>N/A</v>
          </cell>
          <cell r="I684">
            <v>2</v>
          </cell>
        </row>
        <row r="685">
          <cell r="B685" t="str">
            <v>70PI-14R1A-4SBK</v>
          </cell>
          <cell r="C685" t="str">
            <v>4SIR, SPMT</v>
          </cell>
          <cell r="D685" t="str">
            <v>N/A</v>
          </cell>
          <cell r="E685">
            <v>3</v>
          </cell>
          <cell r="F685" t="str">
            <v>N/A</v>
          </cell>
          <cell r="G685" t="str">
            <v>N/A</v>
          </cell>
          <cell r="H685" t="str">
            <v>N/A</v>
          </cell>
          <cell r="I685">
            <v>3</v>
          </cell>
        </row>
        <row r="686">
          <cell r="B686" t="str">
            <v>70PI-14R1A-4SBK-BRK2</v>
          </cell>
          <cell r="C686" t="str">
            <v>BRK2, 4SIR, SPMT</v>
          </cell>
          <cell r="D686" t="str">
            <v>N/A</v>
          </cell>
          <cell r="E686">
            <v>3</v>
          </cell>
          <cell r="F686" t="str">
            <v>N/A</v>
          </cell>
          <cell r="G686" t="str">
            <v>N/A</v>
          </cell>
          <cell r="H686" t="str">
            <v>N/A</v>
          </cell>
          <cell r="I686">
            <v>3</v>
          </cell>
        </row>
        <row r="687">
          <cell r="B687" t="str">
            <v>70PI-14X</v>
          </cell>
          <cell r="C687"/>
          <cell r="D687" t="str">
            <v>N/A</v>
          </cell>
          <cell r="E687">
            <v>4</v>
          </cell>
          <cell r="F687" t="str">
            <v>N/A</v>
          </cell>
          <cell r="G687" t="str">
            <v>N/A</v>
          </cell>
          <cell r="H687" t="str">
            <v>N/A</v>
          </cell>
          <cell r="I687" t="str">
            <v>N/A</v>
          </cell>
        </row>
        <row r="688">
          <cell r="B688" t="str">
            <v>70PI-14XBK</v>
          </cell>
          <cell r="C688" t="str">
            <v>Discontinued SKU</v>
          </cell>
          <cell r="D688" t="str">
            <v>N/A</v>
          </cell>
          <cell r="E688" t="str">
            <v>N/A</v>
          </cell>
          <cell r="F688" t="str">
            <v>N/A</v>
          </cell>
          <cell r="G688" t="str">
            <v>N/A</v>
          </cell>
          <cell r="H688" t="str">
            <v>N/A</v>
          </cell>
          <cell r="I688" t="str">
            <v>N/A</v>
          </cell>
        </row>
        <row r="689">
          <cell r="B689" t="str">
            <v>70PI-14XBK-GA</v>
          </cell>
          <cell r="C689" t="str">
            <v>Discontinued SKU</v>
          </cell>
          <cell r="D689" t="str">
            <v>N/A</v>
          </cell>
          <cell r="E689" t="str">
            <v>N/A</v>
          </cell>
          <cell r="F689" t="str">
            <v>N/A</v>
          </cell>
          <cell r="G689" t="str">
            <v>N/A</v>
          </cell>
          <cell r="H689" t="str">
            <v>N/A</v>
          </cell>
          <cell r="I689" t="str">
            <v>N/A</v>
          </cell>
        </row>
        <row r="690">
          <cell r="B690" t="str">
            <v>70PI-14XBK2B</v>
          </cell>
          <cell r="C690" t="str">
            <v>Discontinued SKU</v>
          </cell>
          <cell r="D690" t="str">
            <v>N/A</v>
          </cell>
          <cell r="E690" t="str">
            <v>N/A</v>
          </cell>
          <cell r="F690" t="str">
            <v>N/A</v>
          </cell>
          <cell r="G690" t="str">
            <v>N/A</v>
          </cell>
          <cell r="H690" t="str">
            <v>N/A</v>
          </cell>
          <cell r="I690" t="str">
            <v>N/A</v>
          </cell>
        </row>
        <row r="691">
          <cell r="B691" t="str">
            <v>70PI-14XBK4RG</v>
          </cell>
          <cell r="C691" t="str">
            <v>Discontinued SKU</v>
          </cell>
          <cell r="D691" t="str">
            <v>N/A</v>
          </cell>
          <cell r="E691" t="str">
            <v>N/A</v>
          </cell>
          <cell r="F691" t="str">
            <v>N/A</v>
          </cell>
          <cell r="G691" t="str">
            <v>N/A</v>
          </cell>
          <cell r="H691" t="str">
            <v>N/A</v>
          </cell>
          <cell r="I691" t="str">
            <v>N/A</v>
          </cell>
        </row>
        <row r="692">
          <cell r="B692" t="str">
            <v>70PI-14XBK4RG-GA</v>
          </cell>
          <cell r="C692" t="str">
            <v>Discontinued SKU</v>
          </cell>
          <cell r="D692" t="str">
            <v>N/A</v>
          </cell>
          <cell r="E692" t="str">
            <v>N/A</v>
          </cell>
          <cell r="F692" t="str">
            <v>N/A</v>
          </cell>
          <cell r="G692" t="str">
            <v>N/A</v>
          </cell>
          <cell r="H692" t="str">
            <v>N/A</v>
          </cell>
          <cell r="I692" t="str">
            <v>N/A</v>
          </cell>
        </row>
        <row r="693">
          <cell r="B693" t="str">
            <v>70PI-14XBK4RG2B</v>
          </cell>
          <cell r="C693" t="str">
            <v>Discontinued SKU</v>
          </cell>
          <cell r="D693" t="str">
            <v>N/A</v>
          </cell>
          <cell r="E693" t="str">
            <v>N/A</v>
          </cell>
          <cell r="F693" t="str">
            <v>N/A</v>
          </cell>
          <cell r="G693" t="str">
            <v>N/A</v>
          </cell>
          <cell r="H693" t="str">
            <v>N/A</v>
          </cell>
          <cell r="I693" t="str">
            <v>N/A</v>
          </cell>
        </row>
        <row r="694">
          <cell r="B694" t="str">
            <v>70PI-16</v>
          </cell>
          <cell r="C694"/>
          <cell r="D694" t="str">
            <v>N/A</v>
          </cell>
          <cell r="E694">
            <v>3</v>
          </cell>
          <cell r="F694" t="str">
            <v>N/A</v>
          </cell>
          <cell r="G694" t="str">
            <v>N/A</v>
          </cell>
          <cell r="H694" t="str">
            <v>N/A</v>
          </cell>
          <cell r="I694">
            <v>3</v>
          </cell>
        </row>
        <row r="695">
          <cell r="B695" t="str">
            <v>70PI-16R1A-4PBK</v>
          </cell>
          <cell r="C695" t="str">
            <v>RG, SPMT</v>
          </cell>
          <cell r="D695" t="str">
            <v>N/A</v>
          </cell>
          <cell r="E695">
            <v>1</v>
          </cell>
          <cell r="F695" t="str">
            <v>N/A</v>
          </cell>
          <cell r="G695" t="str">
            <v>N/A</v>
          </cell>
          <cell r="H695" t="str">
            <v>N/A</v>
          </cell>
          <cell r="I695">
            <v>1</v>
          </cell>
        </row>
        <row r="696">
          <cell r="B696" t="str">
            <v>70PI-16R1A-4PBK-BRK2</v>
          </cell>
          <cell r="C696" t="str">
            <v>BRK2, RG, SPMT</v>
          </cell>
          <cell r="D696" t="str">
            <v>N/A</v>
          </cell>
          <cell r="E696">
            <v>1</v>
          </cell>
          <cell r="F696" t="str">
            <v>N/A</v>
          </cell>
          <cell r="G696" t="str">
            <v>N/A</v>
          </cell>
          <cell r="H696" t="str">
            <v>N/A</v>
          </cell>
          <cell r="I696">
            <v>1</v>
          </cell>
        </row>
        <row r="697">
          <cell r="B697" t="str">
            <v>70PI-16R1A-4SBK</v>
          </cell>
          <cell r="C697" t="str">
            <v>4SIR, SPMT</v>
          </cell>
          <cell r="D697" t="str">
            <v>N/A</v>
          </cell>
          <cell r="E697">
            <v>3</v>
          </cell>
          <cell r="F697" t="str">
            <v>N/A</v>
          </cell>
          <cell r="G697" t="str">
            <v>N/A</v>
          </cell>
          <cell r="H697" t="str">
            <v>N/A</v>
          </cell>
          <cell r="I697">
            <v>3</v>
          </cell>
        </row>
        <row r="698">
          <cell r="B698" t="str">
            <v>70PI-16R1A-4SBK-BRK2</v>
          </cell>
          <cell r="C698" t="str">
            <v>BRK2, 4SIR, SPMT</v>
          </cell>
          <cell r="D698" t="str">
            <v>N/A</v>
          </cell>
          <cell r="E698">
            <v>3</v>
          </cell>
          <cell r="F698" t="str">
            <v>N/A</v>
          </cell>
          <cell r="G698" t="str">
            <v>N/A</v>
          </cell>
          <cell r="H698" t="str">
            <v>N/A</v>
          </cell>
          <cell r="I698">
            <v>3</v>
          </cell>
        </row>
        <row r="699">
          <cell r="B699" t="str">
            <v>70PI-16X</v>
          </cell>
          <cell r="C699"/>
          <cell r="D699" t="str">
            <v>N/A</v>
          </cell>
          <cell r="E699">
            <v>4</v>
          </cell>
          <cell r="F699" t="str">
            <v>N/A</v>
          </cell>
          <cell r="G699" t="str">
            <v>N/A</v>
          </cell>
          <cell r="H699" t="str">
            <v>N/A</v>
          </cell>
          <cell r="I699" t="str">
            <v>N/A</v>
          </cell>
        </row>
        <row r="700">
          <cell r="B700" t="str">
            <v>70PI-16XBK</v>
          </cell>
          <cell r="C700" t="str">
            <v>Discontinued SKU</v>
          </cell>
          <cell r="D700" t="str">
            <v>N/A</v>
          </cell>
          <cell r="E700" t="str">
            <v>N/A</v>
          </cell>
          <cell r="F700" t="str">
            <v>N/A</v>
          </cell>
          <cell r="G700" t="str">
            <v>N/A</v>
          </cell>
          <cell r="H700" t="str">
            <v>N/A</v>
          </cell>
          <cell r="I700" t="str">
            <v>N/A</v>
          </cell>
        </row>
        <row r="701">
          <cell r="B701" t="str">
            <v>70PI-16XBK-GA</v>
          </cell>
          <cell r="C701" t="str">
            <v>Discontinued SKU</v>
          </cell>
          <cell r="D701" t="str">
            <v>N/A</v>
          </cell>
          <cell r="E701" t="str">
            <v>N/A</v>
          </cell>
          <cell r="F701" t="str">
            <v>N/A</v>
          </cell>
          <cell r="G701" t="str">
            <v>N/A</v>
          </cell>
          <cell r="H701" t="str">
            <v>N/A</v>
          </cell>
          <cell r="I701" t="str">
            <v>N/A</v>
          </cell>
        </row>
        <row r="702">
          <cell r="B702" t="str">
            <v>70PI-16XBK2B</v>
          </cell>
          <cell r="C702" t="str">
            <v>Discontinued SKU</v>
          </cell>
          <cell r="D702" t="str">
            <v>N/A</v>
          </cell>
          <cell r="E702" t="str">
            <v>N/A</v>
          </cell>
          <cell r="F702" t="str">
            <v>N/A</v>
          </cell>
          <cell r="G702" t="str">
            <v>N/A</v>
          </cell>
          <cell r="H702" t="str">
            <v>N/A</v>
          </cell>
          <cell r="I702" t="str">
            <v>N/A</v>
          </cell>
        </row>
        <row r="703">
          <cell r="B703" t="str">
            <v>70PI-16XBK4RG</v>
          </cell>
          <cell r="C703" t="str">
            <v>Discontinued SKU</v>
          </cell>
          <cell r="D703" t="str">
            <v>N/A</v>
          </cell>
          <cell r="E703" t="str">
            <v>N/A</v>
          </cell>
          <cell r="F703" t="str">
            <v>N/A</v>
          </cell>
          <cell r="G703" t="str">
            <v>N/A</v>
          </cell>
          <cell r="H703" t="str">
            <v>N/A</v>
          </cell>
          <cell r="I703" t="str">
            <v>N/A</v>
          </cell>
        </row>
        <row r="704">
          <cell r="B704" t="str">
            <v>70PI-16XBK4RG-GA</v>
          </cell>
          <cell r="C704" t="str">
            <v>Discontinued SKU</v>
          </cell>
          <cell r="D704" t="str">
            <v>N/A</v>
          </cell>
          <cell r="E704" t="str">
            <v>N/A</v>
          </cell>
          <cell r="F704" t="str">
            <v>N/A</v>
          </cell>
          <cell r="G704" t="str">
            <v>N/A</v>
          </cell>
          <cell r="H704" t="str">
            <v>N/A</v>
          </cell>
          <cell r="I704" t="str">
            <v>N/A</v>
          </cell>
        </row>
        <row r="705">
          <cell r="B705" t="str">
            <v>70PI-16XBK4RG2B</v>
          </cell>
          <cell r="C705" t="str">
            <v>Discontinued SKU</v>
          </cell>
          <cell r="D705" t="str">
            <v>N/A</v>
          </cell>
          <cell r="E705" t="str">
            <v>N/A</v>
          </cell>
          <cell r="F705" t="str">
            <v>N/A</v>
          </cell>
          <cell r="G705" t="str">
            <v>N/A</v>
          </cell>
          <cell r="H705" t="str">
            <v>N/A</v>
          </cell>
          <cell r="I705" t="str">
            <v>N/A</v>
          </cell>
        </row>
        <row r="706">
          <cell r="B706" t="str">
            <v>70PI-18</v>
          </cell>
          <cell r="C706" t="str"/>
          <cell r="D706" t="str">
            <v>N/A</v>
          </cell>
          <cell r="E706">
            <v>3</v>
          </cell>
          <cell r="F706" t="str">
            <v>N/A</v>
          </cell>
          <cell r="G706" t="str">
            <v>N/A</v>
          </cell>
          <cell r="H706" t="str">
            <v>N/A</v>
          </cell>
          <cell r="I706">
            <v>3</v>
          </cell>
        </row>
        <row r="707">
          <cell r="B707" t="str">
            <v>70PI-18R1A-4PBK</v>
          </cell>
          <cell r="C707" t="str">
            <v>RG, SPMT</v>
          </cell>
          <cell r="D707" t="str">
            <v>N/A</v>
          </cell>
          <cell r="E707">
            <v>2</v>
          </cell>
          <cell r="F707" t="str">
            <v>N/A</v>
          </cell>
          <cell r="G707" t="str">
            <v>N/A</v>
          </cell>
          <cell r="H707" t="str">
            <v>N/A</v>
          </cell>
          <cell r="I707">
            <v>2</v>
          </cell>
        </row>
        <row r="708">
          <cell r="B708" t="str">
            <v>70PI-18R1A-4PBK-BRK2</v>
          </cell>
          <cell r="C708" t="str">
            <v>BRK2, RG, SPMT</v>
          </cell>
          <cell r="D708" t="str">
            <v>N/A</v>
          </cell>
          <cell r="E708">
            <v>1</v>
          </cell>
          <cell r="F708" t="str">
            <v>N/A</v>
          </cell>
          <cell r="G708" t="str">
            <v>N/A</v>
          </cell>
          <cell r="H708" t="str">
            <v>N/A</v>
          </cell>
          <cell r="I708">
            <v>1</v>
          </cell>
        </row>
        <row r="709">
          <cell r="B709" t="str">
            <v>70PI-18R1A-4SBK</v>
          </cell>
          <cell r="C709" t="str">
            <v>4SIR, SPMT</v>
          </cell>
          <cell r="D709" t="str">
            <v>N/A</v>
          </cell>
          <cell r="E709">
            <v>3</v>
          </cell>
          <cell r="F709" t="str">
            <v>N/A</v>
          </cell>
          <cell r="G709" t="str">
            <v>N/A</v>
          </cell>
          <cell r="H709" t="str">
            <v>N/A</v>
          </cell>
          <cell r="I709">
            <v>3</v>
          </cell>
        </row>
        <row r="710">
          <cell r="B710" t="str">
            <v>70PI-18R1A-4SBK-BRK2</v>
          </cell>
          <cell r="C710" t="str">
            <v>BRK2, 4SIR, SPMT</v>
          </cell>
          <cell r="D710" t="str">
            <v>N/A</v>
          </cell>
          <cell r="E710">
            <v>3</v>
          </cell>
          <cell r="F710" t="str">
            <v>N/A</v>
          </cell>
          <cell r="G710" t="str">
            <v>N/A</v>
          </cell>
          <cell r="H710" t="str">
            <v>N/A</v>
          </cell>
          <cell r="I710">
            <v>3</v>
          </cell>
        </row>
        <row r="711">
          <cell r="B711" t="str">
            <v>70PI-18X</v>
          </cell>
          <cell r="C711"/>
          <cell r="D711" t="str">
            <v>N/A</v>
          </cell>
          <cell r="E711">
            <v>4</v>
          </cell>
          <cell r="F711" t="str">
            <v>N/A</v>
          </cell>
          <cell r="G711" t="str">
            <v>N/A</v>
          </cell>
          <cell r="H711" t="str">
            <v>N/A</v>
          </cell>
          <cell r="I711" t="str">
            <v>N/A</v>
          </cell>
        </row>
        <row r="712">
          <cell r="B712" t="str">
            <v>70PI-18XBK</v>
          </cell>
          <cell r="C712" t="str">
            <v>Discontinued SKU</v>
          </cell>
          <cell r="D712" t="str">
            <v>N/A</v>
          </cell>
          <cell r="E712" t="str">
            <v>N/A</v>
          </cell>
          <cell r="F712" t="str">
            <v>N/A</v>
          </cell>
          <cell r="G712" t="str">
            <v>N/A</v>
          </cell>
          <cell r="H712" t="str">
            <v>N/A</v>
          </cell>
          <cell r="I712" t="str">
            <v>N/A</v>
          </cell>
        </row>
        <row r="713">
          <cell r="B713" t="str">
            <v>70PI-18XBK-GA</v>
          </cell>
          <cell r="C713" t="str">
            <v>Discontinued SKU</v>
          </cell>
          <cell r="D713" t="str">
            <v>N/A</v>
          </cell>
          <cell r="E713" t="str">
            <v>N/A</v>
          </cell>
          <cell r="F713" t="str">
            <v>N/A</v>
          </cell>
          <cell r="G713" t="str">
            <v>N/A</v>
          </cell>
          <cell r="H713" t="str">
            <v>N/A</v>
          </cell>
          <cell r="I713" t="str">
            <v>N/A</v>
          </cell>
        </row>
        <row r="714">
          <cell r="B714" t="str">
            <v>70PI-18XBK2B</v>
          </cell>
          <cell r="C714" t="str">
            <v>Discontinued SKU</v>
          </cell>
          <cell r="D714" t="str">
            <v>N/A</v>
          </cell>
          <cell r="E714" t="str">
            <v>N/A</v>
          </cell>
          <cell r="F714" t="str">
            <v>N/A</v>
          </cell>
          <cell r="G714" t="str">
            <v>N/A</v>
          </cell>
          <cell r="H714" t="str">
            <v>N/A</v>
          </cell>
          <cell r="I714" t="str">
            <v>N/A</v>
          </cell>
        </row>
        <row r="715">
          <cell r="B715" t="str">
            <v>70PI-18XBK4RG</v>
          </cell>
          <cell r="C715" t="str">
            <v>Discontinued SKU</v>
          </cell>
          <cell r="D715" t="str">
            <v>N/A</v>
          </cell>
          <cell r="E715" t="str">
            <v>N/A</v>
          </cell>
          <cell r="F715" t="str">
            <v>N/A</v>
          </cell>
          <cell r="G715" t="str">
            <v>N/A</v>
          </cell>
          <cell r="H715" t="str">
            <v>N/A</v>
          </cell>
          <cell r="I715" t="str">
            <v>N/A</v>
          </cell>
        </row>
        <row r="716">
          <cell r="B716" t="str">
            <v>70PI-18XBK4RG-GA</v>
          </cell>
          <cell r="C716" t="str">
            <v>Discontinued SKU</v>
          </cell>
          <cell r="D716" t="str">
            <v>N/A</v>
          </cell>
          <cell r="E716" t="str">
            <v>N/A</v>
          </cell>
          <cell r="F716" t="str">
            <v>N/A</v>
          </cell>
          <cell r="G716" t="str">
            <v>N/A</v>
          </cell>
          <cell r="H716" t="str">
            <v>N/A</v>
          </cell>
          <cell r="I716" t="str">
            <v>N/A</v>
          </cell>
        </row>
        <row r="717">
          <cell r="B717" t="str">
            <v>70PI-18XBK4RG2B</v>
          </cell>
          <cell r="C717" t="str">
            <v>Discontinued SKU</v>
          </cell>
          <cell r="D717" t="str">
            <v>N/A</v>
          </cell>
          <cell r="E717" t="str">
            <v>N/A</v>
          </cell>
          <cell r="F717" t="str">
            <v>N/A</v>
          </cell>
          <cell r="G717" t="str">
            <v>N/A</v>
          </cell>
          <cell r="H717" t="str">
            <v>N/A</v>
          </cell>
          <cell r="I717" t="str">
            <v>N/A</v>
          </cell>
        </row>
        <row r="718">
          <cell r="B718" t="str">
            <v>70PI-20</v>
          </cell>
          <cell r="C718"/>
          <cell r="D718" t="str">
            <v>N/A</v>
          </cell>
          <cell r="E718">
            <v>3</v>
          </cell>
          <cell r="F718" t="str">
            <v>N/A</v>
          </cell>
          <cell r="G718" t="str">
            <v>N/A</v>
          </cell>
          <cell r="H718" t="str">
            <v>N/A</v>
          </cell>
          <cell r="I718">
            <v>3</v>
          </cell>
        </row>
        <row r="719">
          <cell r="B719" t="str">
            <v>70PI-20R1A-4PBK</v>
          </cell>
          <cell r="C719" t="str">
            <v>RG, SPMT</v>
          </cell>
          <cell r="D719" t="str">
            <v>N/A</v>
          </cell>
          <cell r="E719">
            <v>2</v>
          </cell>
          <cell r="F719" t="str">
            <v>N/A</v>
          </cell>
          <cell r="G719" t="str">
            <v>N/A</v>
          </cell>
          <cell r="H719" t="str">
            <v>N/A</v>
          </cell>
          <cell r="I719">
            <v>2</v>
          </cell>
        </row>
        <row r="720">
          <cell r="B720" t="str">
            <v>70PI-20R1A-4PBK-BRK2</v>
          </cell>
          <cell r="C720" t="str">
            <v>BRK2, RG, SPMT</v>
          </cell>
          <cell r="D720" t="str">
            <v>N/A</v>
          </cell>
          <cell r="E720">
            <v>1</v>
          </cell>
          <cell r="F720" t="str">
            <v>N/A</v>
          </cell>
          <cell r="G720" t="str">
            <v>N/A</v>
          </cell>
          <cell r="H720" t="str">
            <v>N/A</v>
          </cell>
          <cell r="I720">
            <v>1</v>
          </cell>
        </row>
        <row r="721">
          <cell r="B721" t="str">
            <v>70PI-20R1A-4SBK</v>
          </cell>
          <cell r="C721" t="str">
            <v>4SIR, SPMT</v>
          </cell>
          <cell r="D721" t="str">
            <v>N/A</v>
          </cell>
          <cell r="E721">
            <v>3</v>
          </cell>
          <cell r="F721" t="str">
            <v>N/A</v>
          </cell>
          <cell r="G721" t="str">
            <v>N/A</v>
          </cell>
          <cell r="H721" t="str">
            <v>N/A</v>
          </cell>
          <cell r="I721">
            <v>3</v>
          </cell>
        </row>
        <row r="722">
          <cell r="B722" t="str">
            <v>70PI-20R1A-4SBK-BRK2</v>
          </cell>
          <cell r="C722" t="str">
            <v>BRK2, 4SIR, SPMT</v>
          </cell>
          <cell r="D722" t="str">
            <v>N/A</v>
          </cell>
          <cell r="E722">
            <v>3</v>
          </cell>
          <cell r="F722" t="str">
            <v>N/A</v>
          </cell>
          <cell r="G722" t="str">
            <v>N/A</v>
          </cell>
          <cell r="H722" t="str">
            <v>N/A</v>
          </cell>
          <cell r="I722">
            <v>3</v>
          </cell>
        </row>
        <row r="723">
          <cell r="B723" t="str">
            <v>70PI-20X</v>
          </cell>
          <cell r="C723"/>
          <cell r="D723" t="str">
            <v>N/A</v>
          </cell>
          <cell r="E723">
            <v>4</v>
          </cell>
          <cell r="F723" t="str">
            <v>N/A</v>
          </cell>
          <cell r="G723" t="str">
            <v>N/A</v>
          </cell>
          <cell r="H723" t="str">
            <v>N/A</v>
          </cell>
          <cell r="I723" t="str">
            <v>N/A</v>
          </cell>
        </row>
        <row r="724">
          <cell r="B724" t="str">
            <v>70PI-20XBK</v>
          </cell>
          <cell r="C724" t="str">
            <v>Discontinued SKU</v>
          </cell>
          <cell r="D724" t="str">
            <v>N/A</v>
          </cell>
          <cell r="E724" t="str">
            <v>N/A</v>
          </cell>
          <cell r="F724" t="str">
            <v>N/A</v>
          </cell>
          <cell r="G724" t="str">
            <v>N/A</v>
          </cell>
          <cell r="H724" t="str">
            <v>N/A</v>
          </cell>
          <cell r="I724" t="str">
            <v>N/A</v>
          </cell>
        </row>
        <row r="725">
          <cell r="B725" t="str">
            <v>70PI-20XBK-GA</v>
          </cell>
          <cell r="C725" t="str">
            <v>Discontinued SKU</v>
          </cell>
          <cell r="D725" t="str">
            <v>N/A</v>
          </cell>
          <cell r="E725" t="str">
            <v>N/A</v>
          </cell>
          <cell r="F725" t="str">
            <v>N/A</v>
          </cell>
          <cell r="G725" t="str">
            <v>N/A</v>
          </cell>
          <cell r="H725" t="str">
            <v>N/A</v>
          </cell>
          <cell r="I725" t="str">
            <v>N/A</v>
          </cell>
        </row>
        <row r="726">
          <cell r="B726" t="str">
            <v>70PI-20XBK2B</v>
          </cell>
          <cell r="C726" t="str">
            <v>Discontinued SKU</v>
          </cell>
          <cell r="D726" t="str">
            <v>N/A</v>
          </cell>
          <cell r="E726" t="str">
            <v>N/A</v>
          </cell>
          <cell r="F726" t="str">
            <v>N/A</v>
          </cell>
          <cell r="G726" t="str">
            <v>N/A</v>
          </cell>
          <cell r="H726" t="str">
            <v>N/A</v>
          </cell>
          <cell r="I726" t="str">
            <v>N/A</v>
          </cell>
        </row>
        <row r="727">
          <cell r="B727" t="str">
            <v>70PI-20XBK4RG</v>
          </cell>
          <cell r="C727" t="str">
            <v>Discontinued SKU</v>
          </cell>
          <cell r="D727" t="str">
            <v>N/A</v>
          </cell>
          <cell r="E727" t="str">
            <v>N/A</v>
          </cell>
          <cell r="F727" t="str">
            <v>N/A</v>
          </cell>
          <cell r="G727" t="str">
            <v>N/A</v>
          </cell>
          <cell r="H727" t="str">
            <v>N/A</v>
          </cell>
          <cell r="I727" t="str">
            <v>N/A</v>
          </cell>
        </row>
        <row r="728">
          <cell r="B728" t="str">
            <v>70PI-20XBK4RG-GA</v>
          </cell>
          <cell r="C728" t="str">
            <v>Discontinued SKU</v>
          </cell>
          <cell r="D728" t="str">
            <v>N/A</v>
          </cell>
          <cell r="E728" t="str">
            <v>N/A</v>
          </cell>
          <cell r="F728" t="str">
            <v>N/A</v>
          </cell>
          <cell r="G728" t="str">
            <v>N/A</v>
          </cell>
          <cell r="H728" t="str">
            <v>N/A</v>
          </cell>
          <cell r="I728" t="str">
            <v>N/A</v>
          </cell>
        </row>
        <row r="729">
          <cell r="B729" t="str">
            <v>70PI-20XBK4RG2B</v>
          </cell>
          <cell r="C729" t="str">
            <v>Discontinued SKU</v>
          </cell>
          <cell r="D729" t="str">
            <v>N/A</v>
          </cell>
          <cell r="E729" t="str">
            <v>N/A</v>
          </cell>
          <cell r="F729" t="str">
            <v>N/A</v>
          </cell>
          <cell r="G729" t="str">
            <v>N/A</v>
          </cell>
          <cell r="H729" t="str">
            <v>N/A</v>
          </cell>
          <cell r="I729" t="str">
            <v>N/A</v>
          </cell>
        </row>
        <row r="730">
          <cell r="B730" t="str">
            <v>70PI-22X</v>
          </cell>
          <cell r="C730" t="str">
            <v>Discontinued SKU</v>
          </cell>
          <cell r="D730" t="str">
            <v>N/A</v>
          </cell>
          <cell r="E730" t="str">
            <v>N/A</v>
          </cell>
          <cell r="F730" t="str">
            <v>N/A</v>
          </cell>
          <cell r="G730" t="str">
            <v>N/A</v>
          </cell>
          <cell r="H730" t="str">
            <v>N/A</v>
          </cell>
          <cell r="I730" t="str">
            <v>N/A</v>
          </cell>
          <cell r="J730" t="str">
            <v>x</v>
          </cell>
        </row>
        <row r="731">
          <cell r="B731" t="str">
            <v>70SP-12A</v>
          </cell>
          <cell r="C731" t="str">
            <v>Tires are 225/75D15,  LR-D</v>
          </cell>
          <cell r="D731" t="str">
            <v>N/A</v>
          </cell>
          <cell r="E731" t="str">
            <v>N/A</v>
          </cell>
          <cell r="F731" t="str">
            <v>N/A</v>
          </cell>
          <cell r="G731" t="str">
            <v>N/A</v>
          </cell>
          <cell r="H731" t="str">
            <v>N/A</v>
          </cell>
          <cell r="I731" t="str">
            <v>N/A</v>
          </cell>
        </row>
        <row r="732">
          <cell r="B732" t="str">
            <v>70SR-10-5WDD</v>
          </cell>
          <cell r="C732" t="str">
            <v>5' WIDE, Double Doors, Tarp (incl)</v>
          </cell>
          <cell r="D732">
            <v>1</v>
          </cell>
          <cell r="E732" t="str">
            <v>N/A</v>
          </cell>
          <cell r="F732" t="str">
            <v>N/A</v>
          </cell>
          <cell r="G732" t="str">
            <v>N/A</v>
          </cell>
          <cell r="H732" t="str">
            <v>N/A</v>
          </cell>
          <cell r="I732">
            <v>1</v>
          </cell>
        </row>
        <row r="733">
          <cell r="B733" t="str">
            <v>70ST-13</v>
          </cell>
          <cell r="C733" t="str">
            <v>13' Single Axle Tilt</v>
          </cell>
          <cell r="D733" t="str">
            <v>N/A</v>
          </cell>
          <cell r="E733">
            <v>3</v>
          </cell>
          <cell r="F733" t="str">
            <v>N/A</v>
          </cell>
          <cell r="G733" t="str">
            <v>N/A</v>
          </cell>
          <cell r="H733" t="str">
            <v>N/A</v>
          </cell>
          <cell r="I733" t="str">
            <v>N/A</v>
          </cell>
        </row>
        <row r="734">
          <cell r="B734" t="str">
            <v>70ST-13BK</v>
          </cell>
          <cell r="C734" t="str">
            <v>13' Single Axle Tilt</v>
          </cell>
          <cell r="D734" t="str">
            <v>N/A</v>
          </cell>
          <cell r="E734">
            <v>2</v>
          </cell>
          <cell r="F734" t="str">
            <v>N/A</v>
          </cell>
          <cell r="G734" t="str">
            <v>N/A</v>
          </cell>
          <cell r="H734" t="str">
            <v>N/A</v>
          </cell>
          <cell r="I734" t="str">
            <v>N/A</v>
          </cell>
        </row>
        <row r="735">
          <cell r="B735" t="str">
            <v>70ST-16</v>
          </cell>
          <cell r="C735" t="str">
            <v>SA Tilt, 13' + 3' Staionary</v>
          </cell>
          <cell r="D735" t="str">
            <v>N/A</v>
          </cell>
          <cell r="E735">
            <v>3</v>
          </cell>
          <cell r="F735" t="str">
            <v>N/A</v>
          </cell>
          <cell r="G735" t="str">
            <v>N/A</v>
          </cell>
          <cell r="H735" t="str">
            <v>N/A</v>
          </cell>
          <cell r="I735" t="str">
            <v>N/A</v>
          </cell>
          <cell r="J735" t="str">
            <v>x</v>
          </cell>
        </row>
        <row r="736">
          <cell r="B736" t="str">
            <v>70ST-16BK</v>
          </cell>
          <cell r="C736" t="str">
            <v>SA Tilt, 13' + 3' Staionary</v>
          </cell>
          <cell r="D736" t="str">
            <v>N/A</v>
          </cell>
          <cell r="E736">
            <v>2</v>
          </cell>
          <cell r="F736" t="str">
            <v>N/A</v>
          </cell>
          <cell r="G736" t="str">
            <v>N/A</v>
          </cell>
          <cell r="H736" t="str">
            <v>N/A</v>
          </cell>
          <cell r="I736" t="str">
            <v>N/A</v>
          </cell>
        </row>
        <row r="737">
          <cell r="B737" t="str">
            <v>70TV-12</v>
          </cell>
          <cell r="C737"/>
          <cell r="D737" t="str">
            <v>N/A</v>
          </cell>
          <cell r="E737">
            <v>3</v>
          </cell>
          <cell r="F737" t="str">
            <v>N/A</v>
          </cell>
          <cell r="G737" t="str">
            <v>N/A</v>
          </cell>
          <cell r="H737" t="str">
            <v>N/A</v>
          </cell>
          <cell r="I737">
            <v>3</v>
          </cell>
        </row>
        <row r="738">
          <cell r="B738" t="str">
            <v>70TV-12BK</v>
          </cell>
          <cell r="C738" t="str">
            <v>RG, SPMT</v>
          </cell>
          <cell r="D738" t="str">
            <v>N/A</v>
          </cell>
          <cell r="E738">
            <v>3</v>
          </cell>
          <cell r="F738" t="str">
            <v>N/A</v>
          </cell>
          <cell r="G738" t="str">
            <v>N/A</v>
          </cell>
          <cell r="H738" t="str">
            <v>N/A</v>
          </cell>
          <cell r="I738">
            <v>3</v>
          </cell>
        </row>
        <row r="739">
          <cell r="B739" t="str">
            <v>70TV-12BK-GA</v>
          </cell>
          <cell r="C739" t="str">
            <v>Discontinued SKU</v>
          </cell>
          <cell r="D739" t="str">
            <v>N/A</v>
          </cell>
          <cell r="E739" t="str">
            <v>N/A</v>
          </cell>
          <cell r="F739" t="str">
            <v>N/A</v>
          </cell>
          <cell r="G739" t="str">
            <v>N/A</v>
          </cell>
          <cell r="H739" t="str">
            <v>N/A</v>
          </cell>
          <cell r="I739" t="str">
            <v>N/A</v>
          </cell>
        </row>
        <row r="740">
          <cell r="B740" t="str">
            <v>70TV-12BK2B</v>
          </cell>
          <cell r="C740" t="str">
            <v>Brk2, RG, Spmt</v>
          </cell>
          <cell r="D740" t="str">
            <v>N/A</v>
          </cell>
          <cell r="E740">
            <v>3</v>
          </cell>
          <cell r="F740" t="str">
            <v>N/A</v>
          </cell>
          <cell r="G740" t="str">
            <v>N/A</v>
          </cell>
          <cell r="H740" t="str">
            <v>N/A</v>
          </cell>
          <cell r="I740">
            <v>3</v>
          </cell>
        </row>
        <row r="741">
          <cell r="B741" t="str">
            <v>70TV-14</v>
          </cell>
          <cell r="C741"/>
          <cell r="D741" t="str">
            <v>N/A</v>
          </cell>
          <cell r="E741">
            <v>3</v>
          </cell>
          <cell r="F741" t="str">
            <v>N/A</v>
          </cell>
          <cell r="G741" t="str">
            <v>N/A</v>
          </cell>
          <cell r="H741" t="str">
            <v>N/A</v>
          </cell>
          <cell r="I741">
            <v>3</v>
          </cell>
        </row>
        <row r="742">
          <cell r="B742" t="str">
            <v>70TV-14BK</v>
          </cell>
          <cell r="C742" t="str">
            <v>RG, SPMT</v>
          </cell>
          <cell r="D742" t="str">
            <v>N/A</v>
          </cell>
          <cell r="E742">
            <v>2</v>
          </cell>
          <cell r="F742" t="str">
            <v>N/A</v>
          </cell>
          <cell r="G742" t="str">
            <v>N/A</v>
          </cell>
          <cell r="H742" t="str">
            <v>N/A</v>
          </cell>
          <cell r="I742">
            <v>2</v>
          </cell>
        </row>
        <row r="743">
          <cell r="B743" t="str">
            <v>70TV-14BK-GA</v>
          </cell>
          <cell r="C743" t="str">
            <v>Discontinued SKU</v>
          </cell>
          <cell r="D743" t="str">
            <v>N/A</v>
          </cell>
          <cell r="E743" t="str">
            <v>N/A</v>
          </cell>
          <cell r="F743" t="str">
            <v>N/A</v>
          </cell>
          <cell r="G743" t="str">
            <v>N/A</v>
          </cell>
          <cell r="H743" t="str">
            <v>N/A</v>
          </cell>
          <cell r="I743" t="str">
            <v>N/A</v>
          </cell>
        </row>
        <row r="744">
          <cell r="B744" t="str">
            <v>70TV-14BK2B</v>
          </cell>
          <cell r="C744" t="str">
            <v>Brk2, RG, Spmt</v>
          </cell>
          <cell r="D744" t="str">
            <v>N/A</v>
          </cell>
          <cell r="E744">
            <v>2</v>
          </cell>
          <cell r="F744" t="str">
            <v>N/A</v>
          </cell>
          <cell r="G744" t="str">
            <v>N/A</v>
          </cell>
          <cell r="H744" t="str">
            <v>N/A</v>
          </cell>
          <cell r="I744">
            <v>2</v>
          </cell>
        </row>
        <row r="745">
          <cell r="B745" t="str">
            <v>70TV-16</v>
          </cell>
          <cell r="C745"/>
          <cell r="D745" t="str">
            <v>N/A</v>
          </cell>
          <cell r="E745">
            <v>3</v>
          </cell>
          <cell r="F745" t="str">
            <v>N/A</v>
          </cell>
          <cell r="G745" t="str">
            <v>N/A</v>
          </cell>
          <cell r="H745" t="str">
            <v>N/A</v>
          </cell>
          <cell r="I745">
            <v>3</v>
          </cell>
        </row>
        <row r="746">
          <cell r="B746" t="str">
            <v>70TV-16BK</v>
          </cell>
          <cell r="C746" t="str">
            <v>RG, SPMT</v>
          </cell>
          <cell r="D746" t="str">
            <v>N/A</v>
          </cell>
          <cell r="E746">
            <v>2</v>
          </cell>
          <cell r="F746" t="str">
            <v>N/A</v>
          </cell>
          <cell r="G746" t="str">
            <v>N/A</v>
          </cell>
          <cell r="H746" t="str">
            <v>N/A</v>
          </cell>
          <cell r="I746">
            <v>2</v>
          </cell>
        </row>
        <row r="747">
          <cell r="B747" t="str">
            <v>70TV-16BK-GA</v>
          </cell>
          <cell r="C747" t="str">
            <v>Discontinued SKU</v>
          </cell>
          <cell r="D747" t="str">
            <v>N/A</v>
          </cell>
          <cell r="E747" t="str">
            <v>N/A</v>
          </cell>
          <cell r="F747" t="str">
            <v>N/A</v>
          </cell>
          <cell r="G747" t="str">
            <v>N/A</v>
          </cell>
          <cell r="H747" t="str">
            <v>N/A</v>
          </cell>
          <cell r="I747" t="str">
            <v>N/A</v>
          </cell>
        </row>
        <row r="748">
          <cell r="B748" t="str">
            <v>70TV-16BK2B</v>
          </cell>
          <cell r="C748" t="str">
            <v>Brk2, RG, Spmt</v>
          </cell>
          <cell r="D748" t="str">
            <v>N/A</v>
          </cell>
          <cell r="E748">
            <v>2</v>
          </cell>
          <cell r="F748" t="str">
            <v>N/A</v>
          </cell>
          <cell r="G748" t="str">
            <v>N/A</v>
          </cell>
          <cell r="H748" t="str">
            <v>N/A</v>
          </cell>
          <cell r="I748">
            <v>2</v>
          </cell>
        </row>
        <row r="749">
          <cell r="B749" t="str">
            <v>70TV-18</v>
          </cell>
          <cell r="C749"/>
          <cell r="D749" t="str">
            <v>N/A</v>
          </cell>
          <cell r="E749">
            <v>3</v>
          </cell>
          <cell r="F749" t="str">
            <v>N/A</v>
          </cell>
          <cell r="G749" t="str">
            <v>N/A</v>
          </cell>
          <cell r="H749" t="str">
            <v>N/A</v>
          </cell>
          <cell r="I749">
            <v>3</v>
          </cell>
        </row>
        <row r="750">
          <cell r="B750" t="str">
            <v>70TV-18BK</v>
          </cell>
          <cell r="C750" t="str">
            <v>RG, SPMT</v>
          </cell>
          <cell r="D750" t="str">
            <v>N/A</v>
          </cell>
          <cell r="E750">
            <v>3</v>
          </cell>
          <cell r="F750" t="str">
            <v>N/A</v>
          </cell>
          <cell r="G750" t="str">
            <v>N/A</v>
          </cell>
          <cell r="H750" t="str">
            <v>N/A</v>
          </cell>
          <cell r="I750">
            <v>3</v>
          </cell>
        </row>
        <row r="751">
          <cell r="B751" t="str">
            <v>70TV-18BK2B</v>
          </cell>
          <cell r="C751" t="str">
            <v>BRK2, RG, SPMT</v>
          </cell>
          <cell r="D751" t="str">
            <v>N/A</v>
          </cell>
          <cell r="E751">
            <v>3</v>
          </cell>
          <cell r="F751" t="str">
            <v>N/A</v>
          </cell>
          <cell r="G751" t="str">
            <v>N/A</v>
          </cell>
          <cell r="H751" t="str">
            <v>N/A</v>
          </cell>
          <cell r="I751">
            <v>3</v>
          </cell>
        </row>
        <row r="752">
          <cell r="B752" t="str">
            <v>90SR-10</v>
          </cell>
          <cell r="C752"/>
          <cell r="D752">
            <v>3</v>
          </cell>
          <cell r="E752" t="str">
            <v>N/A</v>
          </cell>
          <cell r="F752" t="str">
            <v>N/A</v>
          </cell>
          <cell r="G752" t="str">
            <v>N/A</v>
          </cell>
          <cell r="H752" t="str">
            <v>N/A</v>
          </cell>
          <cell r="I752">
            <v>3</v>
          </cell>
        </row>
        <row r="753">
          <cell r="B753" t="str">
            <v>90SR-10BK6SIR</v>
          </cell>
          <cell r="C753" t="str">
            <v>6SIR, SPMT, TARP (incl)</v>
          </cell>
          <cell r="D753">
            <v>1</v>
          </cell>
          <cell r="E753" t="str">
            <v>N/A</v>
          </cell>
          <cell r="F753" t="str">
            <v>N/A</v>
          </cell>
          <cell r="G753" t="str">
            <v>N/A</v>
          </cell>
          <cell r="H753" t="str">
            <v>N/A</v>
          </cell>
          <cell r="I753">
            <v>1</v>
          </cell>
        </row>
        <row r="754">
          <cell r="B754" t="str">
            <v>90SR-12</v>
          </cell>
          <cell r="C754"/>
          <cell r="D754">
            <v>3</v>
          </cell>
          <cell r="E754" t="str">
            <v>N/A</v>
          </cell>
          <cell r="F754" t="str">
            <v>N/A</v>
          </cell>
          <cell r="G754" t="str">
            <v>N/A</v>
          </cell>
          <cell r="H754" t="str">
            <v>N/A</v>
          </cell>
          <cell r="I754">
            <v>3</v>
          </cell>
        </row>
        <row r="755">
          <cell r="B755" t="str">
            <v>90SR-12BK6SIR</v>
          </cell>
          <cell r="C755" t="str">
            <v>6SIR, SPMT, TARP (incl)</v>
          </cell>
          <cell r="D755">
            <v>1</v>
          </cell>
          <cell r="E755" t="str">
            <v>N/A</v>
          </cell>
          <cell r="F755" t="str">
            <v>N/A</v>
          </cell>
          <cell r="G755" t="str">
            <v>N/A</v>
          </cell>
          <cell r="H755" t="str">
            <v>N/A</v>
          </cell>
          <cell r="I755">
            <v>1</v>
          </cell>
        </row>
        <row r="756">
          <cell r="B756" t="str">
            <v>CCJ1872BSB0</v>
          </cell>
          <cell r="C756" t="str"/>
          <cell r="D756">
            <v>1</v>
          </cell>
          <cell r="E756">
            <v>1</v>
          </cell>
          <cell r="F756">
            <v>1</v>
          </cell>
          <cell r="G756" t="str">
            <v>N/A</v>
          </cell>
          <cell r="H756">
            <v>1</v>
          </cell>
          <cell r="I756">
            <v>1</v>
          </cell>
        </row>
        <row r="757">
          <cell r="B757" t="str">
            <v>CCJ1872BSBK</v>
          </cell>
          <cell r="C757" t="str"/>
          <cell r="D757">
            <v>1</v>
          </cell>
          <cell r="E757">
            <v>1</v>
          </cell>
          <cell r="F757">
            <v>1</v>
          </cell>
          <cell r="G757" t="str">
            <v>N/A</v>
          </cell>
          <cell r="H757">
            <v>1</v>
          </cell>
          <cell r="I757">
            <v>1</v>
          </cell>
        </row>
        <row r="758">
          <cell r="B758" t="str">
            <v>CCJ2072BSB0</v>
          </cell>
          <cell r="C758" t="str"/>
          <cell r="D758">
            <v>1</v>
          </cell>
          <cell r="E758">
            <v>1</v>
          </cell>
          <cell r="F758">
            <v>1</v>
          </cell>
          <cell r="G758" t="str">
            <v>N/A</v>
          </cell>
          <cell r="H758">
            <v>1</v>
          </cell>
          <cell r="I758">
            <v>1</v>
          </cell>
        </row>
        <row r="759">
          <cell r="B759" t="str">
            <v>CCJ2072BSBK</v>
          </cell>
          <cell r="C759" t="str"/>
          <cell r="D759">
            <v>1</v>
          </cell>
          <cell r="E759">
            <v>1</v>
          </cell>
          <cell r="F759">
            <v>1</v>
          </cell>
          <cell r="G759" t="str">
            <v>N/A</v>
          </cell>
          <cell r="H759">
            <v>1</v>
          </cell>
          <cell r="I759">
            <v>1</v>
          </cell>
        </row>
        <row r="760">
          <cell r="B760" t="str">
            <v>CCR16</v>
          </cell>
          <cell r="C760" t="str"/>
          <cell r="D760">
            <v>1</v>
          </cell>
          <cell r="E760">
            <v>1</v>
          </cell>
          <cell r="F760">
            <v>1</v>
          </cell>
          <cell r="G760" t="str">
            <v>N/A</v>
          </cell>
          <cell r="H760">
            <v>1</v>
          </cell>
          <cell r="I760">
            <v>1</v>
          </cell>
        </row>
        <row r="761">
          <cell r="B761" t="str">
            <v>CCR18</v>
          </cell>
          <cell r="C761" t="str"/>
          <cell r="D761">
            <v>1</v>
          </cell>
          <cell r="E761">
            <v>1</v>
          </cell>
          <cell r="F761">
            <v>1</v>
          </cell>
          <cell r="G761" t="str">
            <v>N/A</v>
          </cell>
          <cell r="H761">
            <v>1</v>
          </cell>
          <cell r="I761">
            <v>1</v>
          </cell>
        </row>
        <row r="762">
          <cell r="B762" t="str">
            <v>CCR20</v>
          </cell>
          <cell r="C762" t="str"/>
          <cell r="D762">
            <v>1</v>
          </cell>
          <cell r="E762">
            <v>1</v>
          </cell>
          <cell r="F762">
            <v>1</v>
          </cell>
          <cell r="G762" t="str">
            <v>N/A</v>
          </cell>
          <cell r="H762">
            <v>1</v>
          </cell>
          <cell r="I762">
            <v>1</v>
          </cell>
        </row>
        <row r="763">
          <cell r="B763" t="str">
            <v>CCR22</v>
          </cell>
          <cell r="C763" t="str"/>
          <cell r="D763">
            <v>1</v>
          </cell>
          <cell r="E763">
            <v>1</v>
          </cell>
          <cell r="F763">
            <v>1</v>
          </cell>
          <cell r="G763" t="str">
            <v>N/A</v>
          </cell>
          <cell r="H763">
            <v>1</v>
          </cell>
          <cell r="I763">
            <v>1</v>
          </cell>
        </row>
        <row r="764">
          <cell r="B764" t="str">
            <v>CCR24</v>
          </cell>
          <cell r="C764" t="str"/>
          <cell r="D764">
            <v>1</v>
          </cell>
          <cell r="E764">
            <v>1</v>
          </cell>
          <cell r="F764">
            <v>1</v>
          </cell>
          <cell r="G764" t="str">
            <v>N/A</v>
          </cell>
          <cell r="H764">
            <v>1</v>
          </cell>
          <cell r="I764">
            <v>1</v>
          </cell>
        </row>
        <row r="765">
          <cell r="B765" t="str">
            <v>CCS16</v>
          </cell>
          <cell r="C765" t="str"/>
          <cell r="D765">
            <v>1</v>
          </cell>
          <cell r="E765">
            <v>1</v>
          </cell>
          <cell r="F765">
            <v>1</v>
          </cell>
          <cell r="G765" t="str">
            <v>N/A</v>
          </cell>
          <cell r="H765">
            <v>1</v>
          </cell>
          <cell r="I765">
            <v>1</v>
          </cell>
        </row>
        <row r="766">
          <cell r="B766" t="str">
            <v>CCS18</v>
          </cell>
          <cell r="C766" t="str"/>
          <cell r="D766">
            <v>1</v>
          </cell>
          <cell r="E766">
            <v>1</v>
          </cell>
          <cell r="F766">
            <v>1</v>
          </cell>
          <cell r="G766" t="str">
            <v>N/A</v>
          </cell>
          <cell r="H766">
            <v>1</v>
          </cell>
          <cell r="I766">
            <v>1</v>
          </cell>
        </row>
        <row r="767">
          <cell r="B767" t="str">
            <v>CCS20</v>
          </cell>
          <cell r="C767" t="str"/>
          <cell r="D767">
            <v>1</v>
          </cell>
          <cell r="E767">
            <v>1</v>
          </cell>
          <cell r="F767">
            <v>1</v>
          </cell>
          <cell r="G767" t="str">
            <v>N/A</v>
          </cell>
          <cell r="H767">
            <v>1</v>
          </cell>
          <cell r="I767">
            <v>1</v>
          </cell>
        </row>
        <row r="768">
          <cell r="B768" t="str">
            <v>CCS22</v>
          </cell>
          <cell r="C768" t="str"/>
          <cell r="D768">
            <v>1</v>
          </cell>
          <cell r="E768">
            <v>1</v>
          </cell>
          <cell r="F768">
            <v>1</v>
          </cell>
          <cell r="G768" t="str">
            <v>N/A</v>
          </cell>
          <cell r="H768">
            <v>1</v>
          </cell>
          <cell r="I768">
            <v>1</v>
          </cell>
        </row>
        <row r="769">
          <cell r="B769" t="str">
            <v>CCS24</v>
          </cell>
          <cell r="C769" t="str"/>
          <cell r="D769">
            <v>1</v>
          </cell>
          <cell r="E769">
            <v>1</v>
          </cell>
          <cell r="F769">
            <v>1</v>
          </cell>
          <cell r="G769" t="str">
            <v>N/A</v>
          </cell>
          <cell r="H769">
            <v>1</v>
          </cell>
          <cell r="I769">
            <v>1</v>
          </cell>
        </row>
        <row r="770">
          <cell r="B770" t="str">
            <v>CEJ2052ESA0</v>
          </cell>
          <cell r="C770" t="str"/>
          <cell r="D770">
            <v>1</v>
          </cell>
          <cell r="E770">
            <v>1</v>
          </cell>
          <cell r="F770">
            <v>1</v>
          </cell>
          <cell r="G770" t="str">
            <v>N/A</v>
          </cell>
          <cell r="H770">
            <v>1</v>
          </cell>
          <cell r="I770">
            <v>1</v>
          </cell>
        </row>
        <row r="771">
          <cell r="B771" t="str">
            <v>CEJ2052ESAK</v>
          </cell>
          <cell r="C771" t="str"/>
          <cell r="D771">
            <v>1</v>
          </cell>
          <cell r="E771">
            <v>1</v>
          </cell>
          <cell r="F771">
            <v>1</v>
          </cell>
          <cell r="G771" t="str">
            <v>N/A</v>
          </cell>
          <cell r="H771">
            <v>1</v>
          </cell>
          <cell r="I771">
            <v>1</v>
          </cell>
        </row>
        <row r="772">
          <cell r="B772" t="str">
            <v>D310</v>
          </cell>
          <cell r="C772" t="str"/>
          <cell r="D772">
            <v>1</v>
          </cell>
          <cell r="E772">
            <v>1</v>
          </cell>
          <cell r="F772">
            <v>1</v>
          </cell>
          <cell r="G772" t="str">
            <v>N/A</v>
          </cell>
          <cell r="H772">
            <v>1</v>
          </cell>
          <cell r="I772">
            <v>1</v>
          </cell>
        </row>
        <row r="773">
          <cell r="B773" t="str">
            <v>D312</v>
          </cell>
          <cell r="C773" t="str"/>
          <cell r="D773">
            <v>1</v>
          </cell>
          <cell r="E773">
            <v>1</v>
          </cell>
          <cell r="F773">
            <v>1</v>
          </cell>
          <cell r="G773" t="str">
            <v>N/A</v>
          </cell>
          <cell r="H773">
            <v>1</v>
          </cell>
          <cell r="I773">
            <v>1</v>
          </cell>
        </row>
        <row r="774">
          <cell r="B774" t="str">
            <v>D3D1252BSS0</v>
          </cell>
          <cell r="C774" t="str"/>
          <cell r="D774">
            <v>1</v>
          </cell>
          <cell r="E774">
            <v>1</v>
          </cell>
          <cell r="F774">
            <v>1</v>
          </cell>
          <cell r="G774" t="str">
            <v>N/A</v>
          </cell>
          <cell r="H774">
            <v>1</v>
          </cell>
          <cell r="I774">
            <v>1</v>
          </cell>
        </row>
        <row r="775">
          <cell r="B775" t="str">
            <v>D3D1252BSS0R</v>
          </cell>
          <cell r="C775" t="str"/>
          <cell r="D775">
            <v>1</v>
          </cell>
          <cell r="E775">
            <v>1</v>
          </cell>
          <cell r="F775">
            <v>1</v>
          </cell>
          <cell r="G775" t="str">
            <v>N/A</v>
          </cell>
          <cell r="H775">
            <v>1</v>
          </cell>
          <cell r="I775">
            <v>1</v>
          </cell>
        </row>
        <row r="776">
          <cell r="B776" t="str">
            <v>D3D1252BSSK</v>
          </cell>
          <cell r="C776" t="str"/>
          <cell r="D776">
            <v>1</v>
          </cell>
          <cell r="E776">
            <v>1</v>
          </cell>
          <cell r="F776">
            <v>1</v>
          </cell>
          <cell r="G776" t="str">
            <v>N/A</v>
          </cell>
          <cell r="H776">
            <v>1</v>
          </cell>
          <cell r="I776">
            <v>1</v>
          </cell>
        </row>
        <row r="777">
          <cell r="B777" t="str">
            <v>D3D1252BSSKR</v>
          </cell>
          <cell r="C777" t="str"/>
          <cell r="D777">
            <v>1</v>
          </cell>
          <cell r="E777">
            <v>1</v>
          </cell>
          <cell r="F777">
            <v>1</v>
          </cell>
          <cell r="G777" t="str">
            <v>N/A</v>
          </cell>
          <cell r="H777">
            <v>1</v>
          </cell>
          <cell r="I777">
            <v>1</v>
          </cell>
        </row>
        <row r="778">
          <cell r="B778" t="str">
            <v>D508</v>
          </cell>
          <cell r="C778" t="str"/>
          <cell r="D778">
            <v>1</v>
          </cell>
          <cell r="E778">
            <v>1</v>
          </cell>
          <cell r="F778">
            <v>1</v>
          </cell>
          <cell r="G778" t="str">
            <v>N/A</v>
          </cell>
          <cell r="H778">
            <v>1</v>
          </cell>
          <cell r="I778">
            <v>1</v>
          </cell>
        </row>
        <row r="779">
          <cell r="B779" t="str">
            <v>D510</v>
          </cell>
          <cell r="C779" t="str"/>
          <cell r="D779">
            <v>1</v>
          </cell>
          <cell r="E779">
            <v>1</v>
          </cell>
          <cell r="F779">
            <v>1</v>
          </cell>
          <cell r="G779" t="str">
            <v>N/A</v>
          </cell>
          <cell r="H779">
            <v>1</v>
          </cell>
          <cell r="I779">
            <v>1</v>
          </cell>
        </row>
        <row r="780">
          <cell r="B780" t="str">
            <v>D5A1032BSS0</v>
          </cell>
          <cell r="C780" t="str"/>
          <cell r="D780">
            <v>1</v>
          </cell>
          <cell r="E780">
            <v>1</v>
          </cell>
          <cell r="F780">
            <v>1</v>
          </cell>
          <cell r="G780" t="str">
            <v>N/A</v>
          </cell>
          <cell r="H780">
            <v>1</v>
          </cell>
          <cell r="I780">
            <v>1</v>
          </cell>
        </row>
        <row r="781">
          <cell r="B781" t="str">
            <v>D5A1032BSSK</v>
          </cell>
          <cell r="C781" t="str"/>
          <cell r="D781">
            <v>1</v>
          </cell>
          <cell r="E781">
            <v>1</v>
          </cell>
          <cell r="F781">
            <v>1</v>
          </cell>
          <cell r="G781" t="str">
            <v>N/A</v>
          </cell>
          <cell r="H781">
            <v>1</v>
          </cell>
          <cell r="I781">
            <v>1</v>
          </cell>
        </row>
        <row r="782">
          <cell r="B782" t="str">
            <v>D6112</v>
          </cell>
          <cell r="C782"/>
          <cell r="D782">
            <v>1</v>
          </cell>
          <cell r="E782">
            <v>1</v>
          </cell>
          <cell r="F782">
            <v>1</v>
          </cell>
          <cell r="G782" t="str">
            <v>N/A</v>
          </cell>
          <cell r="H782">
            <v>1</v>
          </cell>
          <cell r="I782">
            <v>1</v>
          </cell>
        </row>
        <row r="783">
          <cell r="B783" t="str">
            <v>D712</v>
          </cell>
          <cell r="C783"/>
          <cell r="D783">
            <v>1</v>
          </cell>
          <cell r="E783">
            <v>1</v>
          </cell>
          <cell r="F783">
            <v>1</v>
          </cell>
          <cell r="G783" t="str">
            <v>N/A</v>
          </cell>
          <cell r="H783">
            <v>1</v>
          </cell>
          <cell r="I783">
            <v>1</v>
          </cell>
        </row>
        <row r="784">
          <cell r="B784" t="str">
            <v>D714</v>
          </cell>
          <cell r="C784" t="str"/>
          <cell r="D784">
            <v>1</v>
          </cell>
          <cell r="E784">
            <v>1</v>
          </cell>
          <cell r="F784">
            <v>1</v>
          </cell>
          <cell r="G784" t="str">
            <v>N/A</v>
          </cell>
          <cell r="H784">
            <v>1</v>
          </cell>
          <cell r="I784">
            <v>1</v>
          </cell>
        </row>
        <row r="785">
          <cell r="B785" t="str">
            <v>DE16</v>
          </cell>
          <cell r="C785" t="str"/>
          <cell r="D785">
            <v>1</v>
          </cell>
          <cell r="E785">
            <v>1</v>
          </cell>
          <cell r="F785">
            <v>1</v>
          </cell>
          <cell r="G785" t="str">
            <v>N/A</v>
          </cell>
          <cell r="H785">
            <v>1</v>
          </cell>
          <cell r="I785">
            <v>1</v>
          </cell>
        </row>
        <row r="786">
          <cell r="B786" t="str">
            <v>DER16</v>
          </cell>
          <cell r="C786" t="str"/>
          <cell r="D786">
            <v>1</v>
          </cell>
          <cell r="E786">
            <v>1</v>
          </cell>
          <cell r="F786">
            <v>1</v>
          </cell>
          <cell r="G786" t="str">
            <v>N/A</v>
          </cell>
          <cell r="H786">
            <v>1</v>
          </cell>
          <cell r="I786">
            <v>1</v>
          </cell>
        </row>
        <row r="787">
          <cell r="B787" t="str">
            <v>DES16</v>
          </cell>
          <cell r="C787" t="str"/>
          <cell r="D787">
            <v>1</v>
          </cell>
          <cell r="E787">
            <v>1</v>
          </cell>
          <cell r="F787">
            <v>1</v>
          </cell>
          <cell r="G787" t="str">
            <v>N/A</v>
          </cell>
          <cell r="H787">
            <v>1</v>
          </cell>
          <cell r="I787">
            <v>1</v>
          </cell>
        </row>
        <row r="788">
          <cell r="B788" t="str">
            <v>DL12</v>
          </cell>
          <cell r="C788" t="str"/>
          <cell r="D788">
            <v>1</v>
          </cell>
          <cell r="E788">
            <v>1</v>
          </cell>
          <cell r="F788">
            <v>1</v>
          </cell>
          <cell r="G788" t="str">
            <v>N/A</v>
          </cell>
          <cell r="H788">
            <v>1</v>
          </cell>
          <cell r="I788">
            <v>1</v>
          </cell>
        </row>
        <row r="789">
          <cell r="B789" t="str">
            <v>DL14</v>
          </cell>
          <cell r="C789" t="str"/>
          <cell r="D789">
            <v>1</v>
          </cell>
          <cell r="E789">
            <v>1</v>
          </cell>
          <cell r="F789">
            <v>1</v>
          </cell>
          <cell r="G789" t="str">
            <v>N/A</v>
          </cell>
          <cell r="H789">
            <v>1</v>
          </cell>
          <cell r="I789">
            <v>1</v>
          </cell>
        </row>
        <row r="790">
          <cell r="B790" t="str">
            <v>DL16</v>
          </cell>
          <cell r="C790" t="str"/>
          <cell r="D790">
            <v>1</v>
          </cell>
          <cell r="E790">
            <v>1</v>
          </cell>
          <cell r="F790">
            <v>1</v>
          </cell>
          <cell r="G790" t="str">
            <v>N/A</v>
          </cell>
          <cell r="H790">
            <v>1</v>
          </cell>
          <cell r="I790">
            <v>1</v>
          </cell>
        </row>
        <row r="791">
          <cell r="B791" t="str">
            <v>DLR12</v>
          </cell>
          <cell r="C791"/>
          <cell r="D791">
            <v>1</v>
          </cell>
          <cell r="E791">
            <v>1</v>
          </cell>
          <cell r="F791">
            <v>1</v>
          </cell>
          <cell r="G791" t="str">
            <v>N/A</v>
          </cell>
          <cell r="H791">
            <v>1</v>
          </cell>
          <cell r="I791">
            <v>1</v>
          </cell>
        </row>
        <row r="792">
          <cell r="B792" t="str">
            <v>DLR14</v>
          </cell>
          <cell r="C792" t="str"/>
          <cell r="D792">
            <v>1</v>
          </cell>
          <cell r="E792">
            <v>1</v>
          </cell>
          <cell r="F792">
            <v>1</v>
          </cell>
          <cell r="G792" t="str">
            <v>N/A</v>
          </cell>
          <cell r="H792">
            <v>1</v>
          </cell>
          <cell r="I792">
            <v>1</v>
          </cell>
        </row>
        <row r="793">
          <cell r="B793" t="str">
            <v>DLR16</v>
          </cell>
          <cell r="C793" t="str"/>
          <cell r="D793">
            <v>1</v>
          </cell>
          <cell r="E793">
            <v>1</v>
          </cell>
          <cell r="F793">
            <v>1</v>
          </cell>
          <cell r="G793" t="str">
            <v>N/A</v>
          </cell>
          <cell r="H793">
            <v>1</v>
          </cell>
          <cell r="I793">
            <v>1</v>
          </cell>
        </row>
        <row r="794">
          <cell r="B794" t="str">
            <v>DLS14</v>
          </cell>
          <cell r="C794" t="str"/>
          <cell r="D794">
            <v>1</v>
          </cell>
          <cell r="E794">
            <v>1</v>
          </cell>
          <cell r="F794">
            <v>1</v>
          </cell>
          <cell r="G794" t="str">
            <v>N/A</v>
          </cell>
          <cell r="H794">
            <v>1</v>
          </cell>
          <cell r="I794">
            <v>1</v>
          </cell>
        </row>
        <row r="795">
          <cell r="B795" t="str">
            <v>DLS16</v>
          </cell>
          <cell r="C795" t="str"/>
          <cell r="D795">
            <v>1</v>
          </cell>
          <cell r="E795">
            <v>1</v>
          </cell>
          <cell r="F795">
            <v>1</v>
          </cell>
          <cell r="G795" t="str">
            <v>N/A</v>
          </cell>
          <cell r="H795">
            <v>1</v>
          </cell>
          <cell r="I795">
            <v>1</v>
          </cell>
        </row>
        <row r="796">
          <cell r="B796" t="str">
            <v>DM14</v>
          </cell>
          <cell r="C796" t="str"/>
          <cell r="D796">
            <v>1</v>
          </cell>
          <cell r="E796">
            <v>1</v>
          </cell>
          <cell r="F796">
            <v>1</v>
          </cell>
          <cell r="G796" t="str">
            <v>N/A</v>
          </cell>
          <cell r="H796">
            <v>1</v>
          </cell>
          <cell r="I796">
            <v>1</v>
          </cell>
        </row>
        <row r="797">
          <cell r="B797" t="str">
            <v>DM16</v>
          </cell>
          <cell r="C797" t="str"/>
          <cell r="D797">
            <v>1</v>
          </cell>
          <cell r="E797">
            <v>1</v>
          </cell>
          <cell r="F797">
            <v>1</v>
          </cell>
          <cell r="G797" t="str">
            <v>N/A</v>
          </cell>
          <cell r="H797">
            <v>1</v>
          </cell>
          <cell r="I797">
            <v>1</v>
          </cell>
        </row>
        <row r="798">
          <cell r="B798" t="str">
            <v>DMR14</v>
          </cell>
          <cell r="C798" t="str"/>
          <cell r="D798">
            <v>1</v>
          </cell>
          <cell r="E798">
            <v>1</v>
          </cell>
          <cell r="F798">
            <v>1</v>
          </cell>
          <cell r="G798" t="str">
            <v>N/A</v>
          </cell>
          <cell r="H798">
            <v>1</v>
          </cell>
          <cell r="I798">
            <v>1</v>
          </cell>
        </row>
        <row r="799">
          <cell r="B799" t="str">
            <v>DMR16</v>
          </cell>
          <cell r="C799" t="str"/>
          <cell r="D799">
            <v>1</v>
          </cell>
          <cell r="E799">
            <v>1</v>
          </cell>
          <cell r="F799">
            <v>1</v>
          </cell>
          <cell r="G799" t="str">
            <v>N/A</v>
          </cell>
          <cell r="H799">
            <v>1</v>
          </cell>
          <cell r="I799">
            <v>1</v>
          </cell>
        </row>
        <row r="800">
          <cell r="B800" t="str">
            <v>DMS14</v>
          </cell>
          <cell r="C800" t="str"/>
          <cell r="D800">
            <v>1</v>
          </cell>
          <cell r="E800">
            <v>1</v>
          </cell>
          <cell r="F800">
            <v>1</v>
          </cell>
          <cell r="G800" t="str">
            <v>N/A</v>
          </cell>
          <cell r="H800">
            <v>1</v>
          </cell>
          <cell r="I800">
            <v>1</v>
          </cell>
        </row>
        <row r="801">
          <cell r="B801" t="str">
            <v>DMS16</v>
          </cell>
          <cell r="C801" t="str"/>
          <cell r="D801">
            <v>1</v>
          </cell>
          <cell r="E801">
            <v>1</v>
          </cell>
          <cell r="F801">
            <v>1</v>
          </cell>
          <cell r="G801" t="str">
            <v>N/A</v>
          </cell>
          <cell r="H801">
            <v>1</v>
          </cell>
          <cell r="I801">
            <v>1</v>
          </cell>
        </row>
        <row r="802">
          <cell r="B802" t="str">
            <v>DT114</v>
          </cell>
          <cell r="C802"/>
          <cell r="D802">
            <v>1</v>
          </cell>
          <cell r="E802">
            <v>1</v>
          </cell>
          <cell r="F802">
            <v>1</v>
          </cell>
          <cell r="G802" t="str">
            <v>N/A</v>
          </cell>
          <cell r="H802">
            <v>1</v>
          </cell>
          <cell r="I802">
            <v>1</v>
          </cell>
        </row>
        <row r="803">
          <cell r="B803" t="str">
            <v>DT14</v>
          </cell>
          <cell r="C803" t="str"/>
          <cell r="D803">
            <v>1</v>
          </cell>
          <cell r="E803">
            <v>1</v>
          </cell>
          <cell r="F803">
            <v>1</v>
          </cell>
          <cell r="G803" t="str">
            <v>N/A</v>
          </cell>
          <cell r="H803">
            <v>1</v>
          </cell>
          <cell r="I803">
            <v>1</v>
          </cell>
        </row>
        <row r="804">
          <cell r="B804" t="str">
            <v>DT16</v>
          </cell>
          <cell r="C804" t="str"/>
          <cell r="D804">
            <v>1</v>
          </cell>
          <cell r="E804">
            <v>1</v>
          </cell>
          <cell r="F804">
            <v>1</v>
          </cell>
          <cell r="G804" t="str">
            <v>N/A</v>
          </cell>
          <cell r="H804">
            <v>1</v>
          </cell>
          <cell r="I804">
            <v>1</v>
          </cell>
        </row>
        <row r="805">
          <cell r="B805" t="str">
            <v>DTR14</v>
          </cell>
          <cell r="C805" t="str"/>
          <cell r="D805">
            <v>1</v>
          </cell>
          <cell r="E805">
            <v>1</v>
          </cell>
          <cell r="F805">
            <v>1</v>
          </cell>
          <cell r="G805" t="str">
            <v>N/A</v>
          </cell>
          <cell r="H805">
            <v>1</v>
          </cell>
          <cell r="I805">
            <v>1</v>
          </cell>
        </row>
        <row r="806">
          <cell r="B806" t="str">
            <v>DTR16</v>
          </cell>
          <cell r="C806" t="str"/>
          <cell r="D806">
            <v>1</v>
          </cell>
          <cell r="E806">
            <v>1</v>
          </cell>
          <cell r="F806">
            <v>1</v>
          </cell>
          <cell r="G806" t="str">
            <v>N/A</v>
          </cell>
          <cell r="H806">
            <v>1</v>
          </cell>
          <cell r="I806">
            <v>1</v>
          </cell>
        </row>
        <row r="807">
          <cell r="B807" t="str">
            <v>DTS14</v>
          </cell>
          <cell r="C807" t="str"/>
          <cell r="D807">
            <v>1</v>
          </cell>
          <cell r="E807">
            <v>1</v>
          </cell>
          <cell r="F807">
            <v>1</v>
          </cell>
          <cell r="G807" t="str">
            <v>N/A</v>
          </cell>
          <cell r="H807">
            <v>1</v>
          </cell>
          <cell r="I807">
            <v>1</v>
          </cell>
        </row>
        <row r="808">
          <cell r="B808" t="str">
            <v>DTS16</v>
          </cell>
          <cell r="C808" t="str"/>
          <cell r="D808">
            <v>1</v>
          </cell>
          <cell r="E808">
            <v>1</v>
          </cell>
          <cell r="F808">
            <v>1</v>
          </cell>
          <cell r="G808" t="str">
            <v>N/A</v>
          </cell>
          <cell r="H808">
            <v>1</v>
          </cell>
          <cell r="I808">
            <v>1</v>
          </cell>
        </row>
        <row r="809">
          <cell r="B809" t="str">
            <v>DV14</v>
          </cell>
          <cell r="C809" t="str"/>
          <cell r="D809">
            <v>1</v>
          </cell>
          <cell r="E809">
            <v>1</v>
          </cell>
          <cell r="F809">
            <v>1</v>
          </cell>
          <cell r="G809" t="str">
            <v>N/A</v>
          </cell>
          <cell r="H809">
            <v>1</v>
          </cell>
          <cell r="I809">
            <v>1</v>
          </cell>
        </row>
        <row r="810">
          <cell r="B810" t="str">
            <v>DV16</v>
          </cell>
          <cell r="C810"/>
          <cell r="D810">
            <v>1</v>
          </cell>
          <cell r="E810">
            <v>1</v>
          </cell>
          <cell r="F810">
            <v>1</v>
          </cell>
          <cell r="G810" t="str">
            <v>N/A</v>
          </cell>
          <cell r="H810">
            <v>1</v>
          </cell>
          <cell r="I810">
            <v>1</v>
          </cell>
        </row>
        <row r="811">
          <cell r="B811" t="str">
            <v>DX12</v>
          </cell>
          <cell r="C811" t="str"/>
          <cell r="D811">
            <v>1</v>
          </cell>
          <cell r="E811">
            <v>1</v>
          </cell>
          <cell r="F811">
            <v>1</v>
          </cell>
          <cell r="G811" t="str">
            <v>N/A</v>
          </cell>
          <cell r="H811">
            <v>1</v>
          </cell>
          <cell r="I811">
            <v>1</v>
          </cell>
        </row>
        <row r="812">
          <cell r="B812" t="str">
            <v>DX14</v>
          </cell>
          <cell r="C812" t="str"/>
          <cell r="D812">
            <v>1</v>
          </cell>
          <cell r="E812">
            <v>1</v>
          </cell>
          <cell r="F812">
            <v>1</v>
          </cell>
          <cell r="G812" t="str">
            <v>N/A</v>
          </cell>
          <cell r="H812">
            <v>1</v>
          </cell>
          <cell r="I812">
            <v>1</v>
          </cell>
        </row>
        <row r="813">
          <cell r="B813" t="str">
            <v>DX16</v>
          </cell>
          <cell r="C813" t="str"/>
          <cell r="D813">
            <v>1</v>
          </cell>
          <cell r="E813">
            <v>1</v>
          </cell>
          <cell r="F813">
            <v>1</v>
          </cell>
          <cell r="G813" t="str">
            <v>N/A</v>
          </cell>
          <cell r="H813">
            <v>1</v>
          </cell>
          <cell r="I813">
            <v>1</v>
          </cell>
        </row>
        <row r="814">
          <cell r="B814" t="str">
            <v>DXR14</v>
          </cell>
          <cell r="C814" t="str"/>
          <cell r="D814">
            <v>1</v>
          </cell>
          <cell r="E814">
            <v>1</v>
          </cell>
          <cell r="F814">
            <v>1</v>
          </cell>
          <cell r="G814" t="str">
            <v>N/A</v>
          </cell>
          <cell r="H814">
            <v>1</v>
          </cell>
          <cell r="I814">
            <v>1</v>
          </cell>
        </row>
        <row r="815">
          <cell r="B815" t="str">
            <v>DXR16</v>
          </cell>
          <cell r="C815" t="str"/>
          <cell r="D815">
            <v>1</v>
          </cell>
          <cell r="E815">
            <v>1</v>
          </cell>
          <cell r="F815">
            <v>1</v>
          </cell>
          <cell r="G815" t="str">
            <v>N/A</v>
          </cell>
          <cell r="H815">
            <v>1</v>
          </cell>
          <cell r="I815">
            <v>1</v>
          </cell>
        </row>
        <row r="816">
          <cell r="B816" t="str">
            <v>DXS14</v>
          </cell>
          <cell r="C816" t="str"/>
          <cell r="D816">
            <v>1</v>
          </cell>
          <cell r="E816">
            <v>1</v>
          </cell>
          <cell r="F816">
            <v>1</v>
          </cell>
          <cell r="G816" t="str">
            <v>N/A</v>
          </cell>
          <cell r="H816">
            <v>1</v>
          </cell>
          <cell r="I816">
            <v>1</v>
          </cell>
        </row>
        <row r="817">
          <cell r="B817" t="str">
            <v>DXS16</v>
          </cell>
          <cell r="C817" t="str"/>
          <cell r="D817">
            <v>1</v>
          </cell>
          <cell r="E817">
            <v>1</v>
          </cell>
          <cell r="F817">
            <v>1</v>
          </cell>
          <cell r="G817" t="str">
            <v>N/A</v>
          </cell>
          <cell r="H817">
            <v>1</v>
          </cell>
          <cell r="I817">
            <v>1</v>
          </cell>
        </row>
        <row r="818">
          <cell r="B818" t="str">
            <v>EQ14-17+3</v>
          </cell>
          <cell r="C818" t="str">
            <v>14K, Stand-up Ramps</v>
          </cell>
          <cell r="D818" t="str">
            <v>N/A</v>
          </cell>
          <cell r="E818">
            <v>2</v>
          </cell>
          <cell r="F818" t="str">
            <v>N/A</v>
          </cell>
          <cell r="G818" t="str">
            <v>N/A</v>
          </cell>
          <cell r="H818" t="str">
            <v>N/A</v>
          </cell>
          <cell r="I818">
            <v>2</v>
          </cell>
        </row>
        <row r="819">
          <cell r="B819" t="str">
            <v>EQ16-17+3</v>
          </cell>
          <cell r="C819" t="str">
            <v>16K, Stand-up Ramps</v>
          </cell>
          <cell r="D819" t="str">
            <v>N/A</v>
          </cell>
          <cell r="E819">
            <v>3</v>
          </cell>
          <cell r="F819" t="str">
            <v>N/A</v>
          </cell>
          <cell r="G819" t="str">
            <v>N/A</v>
          </cell>
          <cell r="H819" t="str">
            <v>N/A</v>
          </cell>
          <cell r="I819">
            <v>3</v>
          </cell>
        </row>
        <row r="820">
          <cell r="B820" t="str">
            <v>SU35-12BK4RG</v>
          </cell>
          <cell r="C820" t="str">
            <v>Ramp Gate, Spmt</v>
          </cell>
          <cell r="D820" t="str">
            <v>N/A</v>
          </cell>
          <cell r="E820">
            <v>2</v>
          </cell>
          <cell r="F820" t="str">
            <v>N/A</v>
          </cell>
          <cell r="G820" t="str">
            <v>N/A</v>
          </cell>
          <cell r="H820" t="str">
            <v>N/A</v>
          </cell>
          <cell r="I820">
            <v>2</v>
          </cell>
        </row>
        <row r="821">
          <cell r="B821" t="str">
            <v>SU35-14BK4RG</v>
          </cell>
          <cell r="C821" t="str">
            <v>Ramp Gate, Spmt</v>
          </cell>
          <cell r="D821" t="str">
            <v>N/A</v>
          </cell>
          <cell r="E821">
            <v>2</v>
          </cell>
          <cell r="F821" t="str">
            <v>N/A</v>
          </cell>
          <cell r="G821" t="str">
            <v>N/A</v>
          </cell>
          <cell r="H821" t="str">
            <v>N/A</v>
          </cell>
          <cell r="I821">
            <v>2</v>
          </cell>
        </row>
        <row r="822">
          <cell r="B822" t="str">
            <v>TC14-14BK</v>
          </cell>
          <cell r="C822" t="str">
            <v>14K Dump</v>
          </cell>
          <cell r="D822">
            <v>2</v>
          </cell>
          <cell r="E822" t="str">
            <v>TF</v>
          </cell>
          <cell r="F822" t="str">
            <v>N/A</v>
          </cell>
          <cell r="G822" t="str">
            <v>N/A</v>
          </cell>
          <cell r="H822" t="str">
            <v>TF</v>
          </cell>
          <cell r="I822">
            <v>2</v>
          </cell>
        </row>
        <row r="823">
          <cell r="B823" t="str">
            <v>TG14-30D5A-MRBK</v>
          </cell>
          <cell r="C823" t="str">
            <v>15.4K 25+5 w/ Mega Ramps</v>
          </cell>
          <cell r="D823">
            <v>2</v>
          </cell>
          <cell r="E823" t="str">
            <v>TF</v>
          </cell>
          <cell r="F823">
            <v>2</v>
          </cell>
          <cell r="G823" t="str">
            <v>N/A</v>
          </cell>
          <cell r="H823">
            <v>2</v>
          </cell>
          <cell r="I823" t="str">
            <v>TF</v>
          </cell>
        </row>
        <row r="824">
          <cell r="B824" t="str">
            <v>TG22-30D5A-MRBK</v>
          </cell>
          <cell r="C824" t="str">
            <v>23.9K 25+5 w/ Mega Ramps</v>
          </cell>
          <cell r="D824">
            <v>2</v>
          </cell>
          <cell r="E824" t="str">
            <v>TF</v>
          </cell>
          <cell r="F824">
            <v>2</v>
          </cell>
          <cell r="G824" t="str">
            <v>N/A</v>
          </cell>
          <cell r="H824">
            <v>2</v>
          </cell>
          <cell r="I824" t="str">
            <v>TF</v>
          </cell>
        </row>
        <row r="825">
          <cell r="B825" t="str">
            <v>TH10-20BK4CR</v>
          </cell>
          <cell r="C825" t="str">
            <v>10K, Slide-in Ramps, Spmt</v>
          </cell>
          <cell r="D825" t="str">
            <v>N/A</v>
          </cell>
          <cell r="E825">
            <v>2</v>
          </cell>
          <cell r="F825" t="str">
            <v>N/A</v>
          </cell>
          <cell r="G825" t="str">
            <v>N/A</v>
          </cell>
          <cell r="H825" t="str">
            <v>N/A</v>
          </cell>
          <cell r="I825">
            <v>2</v>
          </cell>
        </row>
        <row r="826">
          <cell r="B826" t="str">
            <v>TH70-18BK4AR2B</v>
          </cell>
          <cell r="C826" t="str">
            <v>7K, Slide-in Ramps, Spmt, BRK2</v>
          </cell>
          <cell r="D826" t="str">
            <v>N/A</v>
          </cell>
          <cell r="E826">
            <v>2</v>
          </cell>
          <cell r="F826" t="str">
            <v>N/A</v>
          </cell>
          <cell r="G826" t="str">
            <v>N/A</v>
          </cell>
          <cell r="H826" t="str">
            <v>N/A</v>
          </cell>
          <cell r="I826">
            <v>2</v>
          </cell>
        </row>
        <row r="827">
          <cell r="B827" t="str">
            <v>TH70-20BK4AR2B</v>
          </cell>
          <cell r="C827" t="str">
            <v>7K, Slide-in Ramps, Spmt, BRK2</v>
          </cell>
          <cell r="D827" t="str">
            <v>N/A</v>
          </cell>
          <cell r="E827">
            <v>2</v>
          </cell>
          <cell r="F827" t="str">
            <v>N/A</v>
          </cell>
          <cell r="G827" t="str">
            <v>N/A</v>
          </cell>
          <cell r="H827" t="str">
            <v>N/A</v>
          </cell>
          <cell r="I827">
            <v>2</v>
          </cell>
        </row>
        <row r="828">
          <cell r="B828" t="str">
            <v>TT14-20BK</v>
          </cell>
          <cell r="C828" t="str">
            <v>14k Tilt, 16' tilt + 4 stationary</v>
          </cell>
          <cell r="D828" t="str">
            <v>N/A</v>
          </cell>
          <cell r="E828">
            <v>3</v>
          </cell>
          <cell r="F828" t="str">
            <v>N/A</v>
          </cell>
          <cell r="G828" t="str">
            <v>N/A</v>
          </cell>
          <cell r="H828">
            <v>3</v>
          </cell>
          <cell r="I828" t="str">
            <v>TF</v>
          </cell>
        </row>
        <row r="829">
          <cell r="B829" t="str">
            <v>TT14-22BK</v>
          </cell>
          <cell r="C829" t="str">
            <v>14k Tilt, 16' tilt + 6 stationary</v>
          </cell>
          <cell r="D829" t="str">
            <v>N/A</v>
          </cell>
          <cell r="E829">
            <v>3</v>
          </cell>
          <cell r="F829" t="str">
            <v>N/A</v>
          </cell>
          <cell r="G829" t="str">
            <v>N/A</v>
          </cell>
          <cell r="H829">
            <v>3</v>
          </cell>
          <cell r="I829" t="str">
            <v>TF</v>
          </cell>
        </row>
        <row r="830">
          <cell r="B830" t="str">
            <v>TT16-20BK</v>
          </cell>
          <cell r="C830" t="str">
            <v>16k Tilt, 16' tilt + 4 stationary</v>
          </cell>
          <cell r="D830" t="str">
            <v>N/A</v>
          </cell>
          <cell r="E830">
            <v>3</v>
          </cell>
          <cell r="F830" t="str">
            <v>N/A</v>
          </cell>
          <cell r="G830" t="str">
            <v>N/A</v>
          </cell>
          <cell r="H830">
            <v>3</v>
          </cell>
          <cell r="I830" t="str">
            <v>TF</v>
          </cell>
        </row>
        <row r="831">
          <cell r="B831" t="str">
            <v>TT16-22BK</v>
          </cell>
          <cell r="C831" t="str">
            <v>16k Tilt, 16' tilt + 6 stationary</v>
          </cell>
          <cell r="D831" t="str">
            <v>N/A</v>
          </cell>
          <cell r="E831">
            <v>3</v>
          </cell>
          <cell r="F831" t="str">
            <v>N/A</v>
          </cell>
          <cell r="G831" t="str">
            <v>N/A</v>
          </cell>
          <cell r="H831">
            <v>3</v>
          </cell>
          <cell r="I831" t="str">
            <v>TF</v>
          </cell>
        </row>
        <row r="832">
          <cell r="B832" t="str">
            <v>TU10-20BK4CR</v>
          </cell>
          <cell r="C832" t="str">
            <v>10K, Slide-in Ramps, Spmt</v>
          </cell>
          <cell r="D832" t="str">
            <v>N/A</v>
          </cell>
          <cell r="E832">
            <v>3</v>
          </cell>
          <cell r="F832" t="str">
            <v>N/A</v>
          </cell>
          <cell r="G832" t="str">
            <v>N/A</v>
          </cell>
          <cell r="H832" t="str">
            <v>N/A</v>
          </cell>
          <cell r="I832">
            <v>3</v>
          </cell>
        </row>
        <row r="833">
          <cell r="B833" t="str">
            <v>TU14-20BK4CR</v>
          </cell>
          <cell r="C833" t="str">
            <v>14K, Slide-in Ramps, Spmt</v>
          </cell>
          <cell r="D833" t="str">
            <v>N/A</v>
          </cell>
          <cell r="E833">
            <v>3</v>
          </cell>
          <cell r="F833" t="str">
            <v>N/A</v>
          </cell>
          <cell r="G833" t="str">
            <v>N/A</v>
          </cell>
          <cell r="H833" t="str">
            <v>N/A</v>
          </cell>
          <cell r="I833">
            <v>3</v>
          </cell>
        </row>
        <row r="834">
          <cell r="B834" t="str">
            <v>TU60-16BK4AR2B</v>
          </cell>
          <cell r="C834" t="str">
            <v>6K, Slide-in Ramps, Spmt, BRK2</v>
          </cell>
          <cell r="D834" t="str">
            <v>N/A</v>
          </cell>
          <cell r="E834">
            <v>2</v>
          </cell>
          <cell r="F834" t="str">
            <v>N/A</v>
          </cell>
          <cell r="G834" t="str">
            <v>N/A</v>
          </cell>
          <cell r="H834" t="str">
            <v>N/A</v>
          </cell>
          <cell r="I834">
            <v>2</v>
          </cell>
        </row>
        <row r="835">
          <cell r="B835" t="str">
            <v>TU60-16BK4RG2B</v>
          </cell>
          <cell r="C835" t="str">
            <v>6K, RG, Spmt, BRK2</v>
          </cell>
          <cell r="D835" t="str">
            <v>N/A</v>
          </cell>
          <cell r="E835">
            <v>3</v>
          </cell>
          <cell r="F835" t="str">
            <v>N/A</v>
          </cell>
          <cell r="G835" t="str">
            <v>N/A</v>
          </cell>
          <cell r="H835" t="str">
            <v>N/A</v>
          </cell>
          <cell r="I835">
            <v>3</v>
          </cell>
        </row>
        <row r="836">
          <cell r="B836" t="str">
            <v>TU70-18BK4AR2B</v>
          </cell>
          <cell r="C836" t="str">
            <v>7K, Slide-in Ramps, Spmt, BRK2</v>
          </cell>
          <cell r="D836" t="str">
            <v>N/A</v>
          </cell>
          <cell r="E836">
            <v>2</v>
          </cell>
          <cell r="F836" t="str">
            <v>N/A</v>
          </cell>
          <cell r="G836" t="str">
            <v>N/A</v>
          </cell>
          <cell r="H836" t="str">
            <v>N/A</v>
          </cell>
          <cell r="I836">
            <v>2</v>
          </cell>
        </row>
        <row r="837">
          <cell r="B837" t="str">
            <v>TU70-18BK4RG2B</v>
          </cell>
          <cell r="C837" t="str">
            <v>7K, RG, Spmt, BRK2</v>
          </cell>
          <cell r="D837" t="str">
            <v>N/A</v>
          </cell>
          <cell r="E837">
            <v>3</v>
          </cell>
          <cell r="F837" t="str">
            <v>N/A</v>
          </cell>
          <cell r="G837" t="str">
            <v>N/A</v>
          </cell>
          <cell r="H837" t="str">
            <v>N/A</v>
          </cell>
          <cell r="I837">
            <v>3</v>
          </cell>
        </row>
        <row r="838">
          <cell r="B838" t="str">
            <v>TU70-20BK4AR2B</v>
          </cell>
          <cell r="C838" t="str">
            <v>7K, Slide-in Ramps, Spmt, BRK2</v>
          </cell>
          <cell r="D838" t="str">
            <v>N/A</v>
          </cell>
          <cell r="E838">
            <v>2</v>
          </cell>
          <cell r="F838" t="str">
            <v>N/A</v>
          </cell>
          <cell r="G838" t="str">
            <v>N/A</v>
          </cell>
          <cell r="H838" t="str">
            <v>N/A</v>
          </cell>
          <cell r="I838">
            <v>2</v>
          </cell>
        </row>
        <row r="839">
          <cell r="B839" t="str">
            <v>TU70-20BK4RG2B</v>
          </cell>
          <cell r="C839" t="str">
            <v>7K, RG, Spmt, BRK2</v>
          </cell>
          <cell r="D839" t="str">
            <v>N/A</v>
          </cell>
          <cell r="E839">
            <v>3</v>
          </cell>
          <cell r="F839" t="str">
            <v>N/A</v>
          </cell>
          <cell r="G839" t="str">
            <v>N/A</v>
          </cell>
          <cell r="H839" t="str">
            <v>N/A</v>
          </cell>
          <cell r="I839">
            <v>3</v>
          </cell>
        </row>
        <row r="840">
          <cell r="B840"/>
          <cell r="C840"/>
          <cell r="D840"/>
          <cell r="E840"/>
          <cell r="F840"/>
          <cell r="G840"/>
          <cell r="H840"/>
          <cell r="I840"/>
        </row>
        <row r="841">
          <cell r="B841"/>
          <cell r="C841"/>
          <cell r="D841"/>
          <cell r="E841"/>
          <cell r="F841"/>
          <cell r="G841"/>
          <cell r="H841"/>
          <cell r="I841"/>
        </row>
        <row r="842">
          <cell r="B842"/>
          <cell r="C842"/>
          <cell r="D842"/>
          <cell r="E842"/>
          <cell r="F842"/>
          <cell r="G842"/>
          <cell r="H842"/>
          <cell r="I842"/>
        </row>
        <row r="843">
          <cell r="B843"/>
          <cell r="C843"/>
          <cell r="D843"/>
          <cell r="E843"/>
          <cell r="F843"/>
          <cell r="G843"/>
          <cell r="H843"/>
          <cell r="I843"/>
        </row>
        <row r="844">
          <cell r="B844"/>
          <cell r="C844"/>
          <cell r="D844"/>
          <cell r="E844"/>
          <cell r="F844"/>
          <cell r="G844"/>
          <cell r="H844"/>
          <cell r="I844"/>
        </row>
        <row r="845">
          <cell r="B845"/>
          <cell r="C845"/>
          <cell r="D845"/>
          <cell r="E845"/>
          <cell r="F845"/>
          <cell r="G845"/>
          <cell r="H845"/>
          <cell r="I845"/>
        </row>
        <row r="846">
          <cell r="B846"/>
          <cell r="C846"/>
          <cell r="D846"/>
          <cell r="E846"/>
          <cell r="F846"/>
          <cell r="G846"/>
          <cell r="H846"/>
          <cell r="I846"/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indexed="44"/>
    <outlinePr summaryBelow="1" summaryRight="1"/>
    <pageSetUpPr fitToPage="1"/>
  </sheetPr>
  <dimension ref="A1:AF74"/>
  <sheetViews>
    <sheetView showGridLines="1" tabSelected="1" view="pageBreakPreview" topLeftCell="A5" zoomScale="60" zoomScaleNormal="100" workbookViewId="0">
      <selection activeCell="J14" sqref="J14:L14"/>
    </sheetView>
  </sheetViews>
  <sheetFormatPr baseColWidth="8" defaultColWidth="9.1328125" defaultRowHeight="13.5"/>
  <cols>
    <col width="12" customWidth="1" style="115" min="1" max="1"/>
    <col width="11" customWidth="1" style="115" min="2" max="2"/>
    <col width="3" customWidth="1" style="115" min="3" max="3"/>
    <col width="23.5" customWidth="1" style="10" min="4" max="4"/>
    <col width="22" customWidth="1" style="10" min="5" max="5"/>
    <col width="10.5" customWidth="1" style="116" min="6" max="6"/>
    <col width="6" customWidth="1" style="117" min="7" max="7"/>
    <col width="21" customWidth="1" style="118" min="8" max="8"/>
    <col width="10.5" customWidth="1" style="118" min="9" max="9"/>
    <col width="11.5" customWidth="1" style="118" min="10" max="10"/>
    <col width="8.5" customWidth="1" style="118" min="11" max="11"/>
    <col width="16" customWidth="1" style="118" min="12" max="12"/>
    <col width="9" customWidth="1" style="118" min="13" max="13"/>
    <col width="6" customWidth="1" style="117" min="14" max="14"/>
    <col width="9" customWidth="1" style="118" min="15" max="15"/>
    <col width="10" customWidth="1" style="122" min="16" max="16"/>
    <col width="5" customWidth="1" style="118" min="17" max="17"/>
    <col width="11" customWidth="1" style="122" min="18" max="18"/>
    <col width="9.5" customWidth="1" style="118" min="19" max="19"/>
    <col outlineLevel="1" width="5" customWidth="1" style="122" min="20" max="20"/>
    <col outlineLevel="1" width="11" customWidth="1" style="122" min="21" max="21"/>
    <col width="14" customWidth="1" style="10" min="22" max="22"/>
    <col width="10" customWidth="1" style="11" min="23" max="23"/>
    <col width="13.5" customWidth="1" style="11" min="24" max="24"/>
    <col hidden="1" outlineLevel="1" width="9.1328125" customWidth="1" style="155" min="25" max="26"/>
    <col hidden="1" outlineLevel="1" width="12.86328125" customWidth="1" style="155" min="27" max="27"/>
    <col hidden="1" outlineLevel="1" width="10.86328125" customWidth="1" style="155" min="28" max="28"/>
    <col collapsed="1" width="7.86328125" customWidth="1" style="156" min="29" max="29"/>
    <col hidden="1" outlineLevel="1" width="10" customWidth="1" style="155" min="30" max="30"/>
    <col hidden="1" outlineLevel="1" width="10.86328125" customWidth="1" style="155" min="31" max="31"/>
    <col hidden="1" outlineLevel="1" width="11.7265625" customWidth="1" style="155" min="32" max="32"/>
    <col collapsed="1" width="9.1328125" customWidth="1" style="11" min="33" max="33"/>
    <col width="9.1328125" customWidth="1" style="11" min="34" max="16384"/>
  </cols>
  <sheetData>
    <row r="1" ht="7.5" customHeight="1">
      <c r="A1" s="2" t="n"/>
      <c r="B1" s="2" t="n"/>
      <c r="C1" s="2" t="n"/>
      <c r="D1" s="3" t="n"/>
      <c r="E1" s="4" t="n"/>
      <c r="F1" s="4" t="n"/>
      <c r="G1" s="5" t="n"/>
      <c r="H1" s="6" t="n"/>
      <c r="I1" s="6" t="n"/>
      <c r="J1" s="269" t="n"/>
      <c r="K1" s="269" t="n"/>
      <c r="L1" s="269" t="n"/>
      <c r="M1" s="269" t="n"/>
      <c r="N1" s="149" t="n"/>
      <c r="O1" s="269" t="n"/>
      <c r="P1" s="7" t="n"/>
      <c r="Q1" s="269" t="n"/>
      <c r="R1" s="7" t="n"/>
      <c r="S1" s="269" t="n"/>
      <c r="T1" s="7" t="n"/>
      <c r="U1" s="7" t="n"/>
      <c r="V1" s="8" t="n"/>
      <c r="W1" s="8" t="n"/>
      <c r="X1" s="9" t="n"/>
    </row>
    <row r="2" ht="17.15" customHeight="1" thickBot="1">
      <c r="A2" s="2" t="n"/>
      <c r="B2" s="2" t="n"/>
      <c r="C2" s="2" t="n"/>
      <c r="D2" s="328" t="inlineStr">
        <is>
          <t>Dealer:</t>
        </is>
      </c>
      <c r="E2" s="329" t="inlineStr"/>
      <c r="F2" s="330" t="n"/>
      <c r="G2" s="329" t="inlineStr">
        <is>
          <t>TM:</t>
        </is>
      </c>
      <c r="H2" s="331" t="inlineStr"/>
      <c r="I2" s="329" t="inlineStr">
        <is>
          <t>Segment:</t>
        </is>
      </c>
      <c r="J2" s="332" t="inlineStr"/>
      <c r="K2" s="333" t="inlineStr">
        <is>
          <t>SEMI :</t>
        </is>
      </c>
      <c r="L2" s="334" t="inlineStr">
        <is>
          <t>Big Tex Delivering  -  53' STEP DECK or 48' Step Deck w/ hangover</t>
        </is>
      </c>
      <c r="M2" s="335" t="n"/>
      <c r="N2" s="335" t="n"/>
      <c r="O2" s="335" t="n"/>
      <c r="P2" s="335" t="n"/>
      <c r="Q2" s="335" t="n"/>
      <c r="R2" s="335" t="n"/>
      <c r="S2" s="335" t="n"/>
      <c r="T2" s="335" t="n"/>
      <c r="U2" s="335" t="n"/>
      <c r="V2" s="335" t="n"/>
      <c r="W2" s="336" t="inlineStr"/>
      <c r="X2" s="337" t="n"/>
      <c r="AA2" s="155" t="inlineStr">
        <is>
          <t>Mt. Pleasant, TX</t>
        </is>
      </c>
      <c r="AB2" s="228" t="n">
        <v>501</v>
      </c>
      <c r="AD2" s="157" t="n"/>
      <c r="AE2" s="189">
        <f>LEFT(E5,FIND("-",E5,1)-1)&amp;RIGHT(E5,LEN(E5)-FIND("-",E5,1))</f>
        <v/>
      </c>
      <c r="AF2" s="162" t="inlineStr">
        <is>
          <t>Sc&amp;Dnt</t>
        </is>
      </c>
    </row>
    <row r="3" ht="16.4" customHeight="1">
      <c r="A3" s="15" t="n"/>
      <c r="B3" s="16" t="n"/>
      <c r="C3" s="16" t="n"/>
      <c r="D3" s="328" t="inlineStr">
        <is>
          <t>Ship To:</t>
        </is>
      </c>
      <c r="E3" s="338" t="n"/>
      <c r="F3" s="329" t="inlineStr"/>
      <c r="G3" s="329" t="inlineStr">
        <is>
          <t>MSO:</t>
        </is>
      </c>
      <c r="H3" s="329" t="inlineStr"/>
      <c r="I3" s="329" t="inlineStr">
        <is>
          <t>Flag Week:</t>
        </is>
      </c>
      <c r="J3" s="339" t="n"/>
      <c r="K3" s="340" t="n"/>
      <c r="L3" s="341" t="n"/>
      <c r="M3" s="341" t="n"/>
      <c r="N3" s="341" t="n"/>
      <c r="O3" s="341" t="n"/>
      <c r="P3" s="341" t="n"/>
      <c r="Q3" s="341" t="n"/>
      <c r="R3" s="341" t="n"/>
      <c r="S3" s="341" t="n"/>
      <c r="T3" s="341" t="n"/>
      <c r="U3" s="341" t="n"/>
      <c r="V3" s="342" t="n"/>
      <c r="W3" s="343" t="inlineStr"/>
      <c r="X3" s="344" t="inlineStr"/>
      <c r="AA3" s="155" t="inlineStr">
        <is>
          <t>Caldwell, ID</t>
        </is>
      </c>
      <c r="AB3" s="228" t="n">
        <v>801</v>
      </c>
      <c r="AD3" s="157" t="n"/>
      <c r="AE3" s="155">
        <f>IF(LEN(AE2)=3, 0&amp;0&amp;AE2,IF(LEN(AE2)=4,0&amp;AE2,AE2))</f>
        <v/>
      </c>
      <c r="AF3" s="162" t="inlineStr">
        <is>
          <t>REBATE</t>
        </is>
      </c>
    </row>
    <row r="4" ht="16.4" customHeight="1" thickBot="1">
      <c r="A4" s="17" t="n"/>
      <c r="B4" s="17" t="n"/>
      <c r="C4" s="17" t="n"/>
      <c r="D4" s="345" t="inlineStr">
        <is>
          <t>Dealer #</t>
        </is>
      </c>
      <c r="E4" s="346" t="inlineStr"/>
      <c r="F4" s="347" t="inlineStr">
        <is>
          <t>Freight Term:</t>
        </is>
      </c>
      <c r="G4" s="330" t="n"/>
      <c r="H4" s="329" t="inlineStr"/>
      <c r="I4" s="329" t="inlineStr">
        <is>
          <t>Ship Sheet:</t>
        </is>
      </c>
      <c r="J4" s="348" t="inlineStr"/>
      <c r="K4" s="340" t="n"/>
      <c r="L4" s="341" t="n"/>
      <c r="M4" s="341" t="n"/>
      <c r="N4" s="341" t="n"/>
      <c r="O4" s="341" t="n"/>
      <c r="P4" s="341" t="n"/>
      <c r="Q4" s="341" t="n"/>
      <c r="R4" s="341" t="n"/>
      <c r="S4" s="341" t="n"/>
      <c r="T4" s="341" t="n"/>
      <c r="U4" s="341" t="n"/>
      <c r="V4" s="342" t="n"/>
      <c r="W4" s="349" t="n"/>
      <c r="X4" s="350" t="n"/>
      <c r="AA4" s="155" t="inlineStr">
        <is>
          <t>Cordele, GA</t>
        </is>
      </c>
      <c r="AB4" s="228" t="n">
        <v>701</v>
      </c>
      <c r="AD4" s="157" t="n"/>
      <c r="AE4" s="155">
        <f>LEFT(E4,5)</f>
        <v/>
      </c>
      <c r="AF4" s="162" t="inlineStr">
        <is>
          <t>AGED</t>
        </is>
      </c>
    </row>
    <row r="5" ht="16.5" customHeight="1">
      <c r="A5" s="21" t="n"/>
      <c r="B5" s="22" t="n"/>
      <c r="C5" s="22" t="n"/>
      <c r="D5" s="345" t="inlineStr">
        <is>
          <t>Load #</t>
        </is>
      </c>
      <c r="E5" s="347" t="inlineStr">
        <is>
          <t>15-26</t>
        </is>
      </c>
      <c r="F5" s="351" t="n"/>
      <c r="G5" s="347" t="inlineStr">
        <is>
          <t>DSR:</t>
        </is>
      </c>
      <c r="H5" s="329" t="inlineStr"/>
      <c r="I5" s="329" t="inlineStr">
        <is>
          <t>Plant:</t>
        </is>
      </c>
      <c r="J5" s="348" t="inlineStr"/>
      <c r="K5" s="340" t="n"/>
      <c r="L5" s="341" t="n"/>
      <c r="M5" s="341" t="n"/>
      <c r="N5" s="341" t="n"/>
      <c r="O5" s="341" t="n"/>
      <c r="P5" s="341" t="n"/>
      <c r="Q5" s="341" t="n"/>
      <c r="R5" s="341" t="n"/>
      <c r="S5" s="341" t="n"/>
      <c r="T5" s="341" t="n"/>
      <c r="U5" s="341" t="n"/>
      <c r="V5" s="342" t="n"/>
      <c r="W5" s="343" t="inlineStr"/>
      <c r="X5" s="352" t="n"/>
      <c r="AA5" s="155" t="inlineStr">
        <is>
          <t>Madill, OK</t>
        </is>
      </c>
      <c r="AB5" s="228" t="n">
        <v>400</v>
      </c>
      <c r="AD5" s="157" t="n"/>
      <c r="AE5" s="169" t="n"/>
      <c r="AF5" s="162" t="inlineStr">
        <is>
          <t>CMPT</t>
        </is>
      </c>
    </row>
    <row r="6" ht="16.5" customHeight="1">
      <c r="A6" s="311" t="n"/>
      <c r="B6" s="353" t="n"/>
      <c r="C6" s="311" t="n"/>
      <c r="D6" s="354" t="inlineStr">
        <is>
          <t xml:space="preserve">Take Stock # </t>
        </is>
      </c>
      <c r="E6" s="355" t="inlineStr"/>
      <c r="F6" s="356" t="inlineStr">
        <is>
          <t>Load Style:</t>
        </is>
      </c>
      <c r="G6" s="357" t="n"/>
      <c r="H6" s="358" t="n"/>
      <c r="I6" s="359" t="n"/>
      <c r="J6" s="360" t="n"/>
      <c r="K6" s="361" t="n"/>
      <c r="L6" s="341" t="n"/>
      <c r="M6" s="341" t="n"/>
      <c r="N6" s="341" t="n"/>
      <c r="O6" s="341" t="n"/>
      <c r="P6" s="341" t="n"/>
      <c r="Q6" s="341" t="n"/>
      <c r="R6" s="341" t="n"/>
      <c r="S6" s="341" t="n"/>
      <c r="T6" s="341" t="n"/>
      <c r="U6" s="341" t="n"/>
      <c r="V6" s="342" t="n"/>
      <c r="W6" s="362" t="n"/>
      <c r="X6" s="363" t="n"/>
      <c r="AA6" s="155" t="inlineStr">
        <is>
          <t>Wills Point, TX</t>
        </is>
      </c>
      <c r="AB6" s="228" t="n">
        <v>555</v>
      </c>
      <c r="AD6" s="157" t="n"/>
      <c r="AE6" s="169" t="n"/>
      <c r="AF6" s="162" t="inlineStr">
        <is>
          <t>CON</t>
        </is>
      </c>
    </row>
    <row r="7" ht="16.5" customHeight="1">
      <c r="A7" s="281" t="n"/>
      <c r="B7" s="364" t="n"/>
      <c r="C7" s="281" t="n"/>
      <c r="D7" s="281" t="n"/>
      <c r="E7" s="281" t="n"/>
      <c r="F7" s="316" t="n"/>
      <c r="G7" s="364" t="n"/>
      <c r="H7" s="123" t="n"/>
      <c r="I7" s="138" t="n"/>
      <c r="J7" s="179" t="n"/>
      <c r="K7" s="365" t="inlineStr"/>
      <c r="L7" s="366" t="n"/>
      <c r="M7" s="366" t="n"/>
      <c r="N7" s="366" t="n"/>
      <c r="O7" s="366" t="n"/>
      <c r="P7" s="366" t="n"/>
      <c r="Q7" s="366" t="n"/>
      <c r="R7" s="366" t="n"/>
      <c r="S7" s="366" t="n"/>
      <c r="T7" s="366" t="n"/>
      <c r="U7" s="366" t="n"/>
      <c r="V7" s="367" t="n"/>
      <c r="W7" s="353" t="n"/>
      <c r="X7" s="363" t="n"/>
      <c r="AA7" s="155" t="inlineStr">
        <is>
          <t>Mt. Orab, OH</t>
        </is>
      </c>
      <c r="AB7" s="228" t="n">
        <v>603</v>
      </c>
      <c r="AD7" s="157" t="n"/>
      <c r="AE7" s="169" t="n"/>
      <c r="AF7" s="162" t="inlineStr">
        <is>
          <t>GOOD</t>
        </is>
      </c>
    </row>
    <row r="8" ht="16.5" customHeight="1" thickBot="1">
      <c r="A8" s="368" t="n"/>
      <c r="B8" s="369" t="n"/>
      <c r="C8" s="370" t="n"/>
      <c r="D8" s="370" t="n"/>
      <c r="E8" s="370" t="n"/>
      <c r="F8" s="371" t="n"/>
      <c r="G8" s="369" t="n"/>
      <c r="H8" s="372" t="n"/>
      <c r="I8" s="373" t="n"/>
      <c r="J8" s="373" t="n"/>
      <c r="K8" s="27" t="n"/>
      <c r="L8" s="28" t="n"/>
      <c r="M8" s="297" t="n"/>
      <c r="N8" s="150" t="n"/>
      <c r="O8" s="374" t="inlineStr">
        <is>
          <t>Ship From:</t>
        </is>
      </c>
      <c r="P8" s="375" t="n"/>
      <c r="Q8" s="375" t="n"/>
      <c r="R8" s="376" t="inlineStr">
        <is>
          <t>Madill, OK</t>
        </is>
      </c>
      <c r="S8" s="377" t="n"/>
      <c r="T8" s="377" t="n"/>
      <c r="U8" s="377" t="n"/>
      <c r="V8" s="377" t="n"/>
      <c r="W8" s="337" t="n"/>
      <c r="X8" s="378" t="n"/>
      <c r="AA8" s="155" t="inlineStr">
        <is>
          <t>Chambersburg, PA</t>
        </is>
      </c>
      <c r="AB8" s="228" t="n">
        <v>301</v>
      </c>
      <c r="AD8" s="157" t="n"/>
      <c r="AE8" s="169" t="n"/>
      <c r="AF8" s="162" t="inlineStr">
        <is>
          <t>INV</t>
        </is>
      </c>
    </row>
    <row r="9" ht="16.5" customHeight="1">
      <c r="A9" s="368" t="n"/>
      <c r="B9" s="369" t="n"/>
      <c r="C9" s="370" t="n"/>
      <c r="D9" s="370" t="n"/>
      <c r="E9" s="370" t="n"/>
      <c r="F9" s="371" t="n"/>
      <c r="G9" s="369" t="n"/>
      <c r="H9" s="372" t="n"/>
      <c r="I9" s="373" t="n"/>
      <c r="J9" s="373" t="n"/>
      <c r="K9" s="27" t="n"/>
      <c r="L9" s="29" t="n"/>
      <c r="N9" s="150" t="n"/>
      <c r="R9" s="353" t="n"/>
      <c r="S9" s="353" t="n"/>
      <c r="T9" s="353" t="n"/>
      <c r="U9" s="353" t="n"/>
      <c r="V9" s="353" t="n"/>
      <c r="W9" s="379" t="inlineStr"/>
      <c r="X9" s="31" t="n"/>
      <c r="AA9" s="155" t="inlineStr">
        <is>
          <t>Batavia, OH</t>
        </is>
      </c>
      <c r="AB9" s="228" t="n">
        <v>601</v>
      </c>
      <c r="AD9" s="157" t="n"/>
      <c r="AE9" s="169" t="n"/>
      <c r="AF9" s="162" t="inlineStr">
        <is>
          <t>DGF</t>
        </is>
      </c>
    </row>
    <row r="10" ht="16.75" customHeight="1" thickBot="1">
      <c r="A10" s="368" t="n"/>
      <c r="B10" s="369" t="n"/>
      <c r="C10" s="370" t="n"/>
      <c r="D10" s="370" t="n"/>
      <c r="E10" s="370" t="n"/>
      <c r="F10" s="371" t="n"/>
      <c r="G10" s="369" t="n"/>
      <c r="H10" s="380" t="inlineStr"/>
      <c r="I10" s="381" t="inlineStr"/>
      <c r="J10" s="382" t="n"/>
      <c r="N10" s="150" t="n"/>
      <c r="O10" s="33" t="n"/>
      <c r="P10" s="32" t="n"/>
      <c r="Q10" s="33" t="n"/>
      <c r="R10" s="32" t="n"/>
      <c r="S10" s="32" t="n"/>
      <c r="T10" s="32" t="n"/>
      <c r="U10" s="32" t="n"/>
      <c r="V10" s="32" t="n"/>
      <c r="W10" s="383" t="inlineStr"/>
      <c r="X10" s="35" t="n"/>
      <c r="AD10" s="157" t="n"/>
      <c r="AE10" s="169" t="n"/>
      <c r="AF10" s="162" t="inlineStr">
        <is>
          <t>PROMO</t>
        </is>
      </c>
    </row>
    <row r="11" ht="16.5" customHeight="1">
      <c r="A11" s="384" t="inlineStr">
        <is>
          <t>&lt;&lt;&lt; 90SR-12</t>
        </is>
      </c>
      <c r="B11" s="369" t="n"/>
      <c r="C11" s="370" t="n"/>
      <c r="D11" s="370" t="n"/>
      <c r="E11" s="385" t="inlineStr">
        <is>
          <t>&lt;&lt;&lt; 90SR-12</t>
        </is>
      </c>
      <c r="F11" s="371" t="n"/>
      <c r="G11" s="369" t="n"/>
      <c r="H11" s="372" t="n"/>
      <c r="I11" s="382" t="n"/>
      <c r="J11" s="382" t="n"/>
      <c r="N11" s="151" t="n"/>
      <c r="O11" s="386" t="inlineStr">
        <is>
          <t>LIVE LOAD ?</t>
        </is>
      </c>
      <c r="P11" s="387" t="n"/>
      <c r="Q11" s="33" t="n"/>
      <c r="R11" s="32" t="n"/>
      <c r="S11" s="32" t="n"/>
      <c r="T11" s="32" t="n"/>
      <c r="U11" s="32" t="n"/>
      <c r="V11" s="36" t="n"/>
      <c r="W11" s="34" t="n"/>
      <c r="X11" s="35" t="n"/>
      <c r="AD11" s="157" t="n"/>
      <c r="AE11" s="162" t="n"/>
      <c r="AF11" s="162" t="inlineStr">
        <is>
          <t>RETR</t>
        </is>
      </c>
    </row>
    <row r="12" ht="16.75" customHeight="1" thickBot="1">
      <c r="A12" s="368" t="n"/>
      <c r="B12" s="369" t="n"/>
      <c r="C12" s="370" t="n"/>
      <c r="D12" s="388" t="n"/>
      <c r="E12" s="370" t="n"/>
      <c r="F12" s="371" t="n"/>
      <c r="G12" s="369" t="n"/>
      <c r="H12" s="380" t="inlineStr"/>
      <c r="I12" s="382" t="n"/>
      <c r="J12" s="382" t="n"/>
      <c r="N12" s="151" t="n"/>
      <c r="O12" s="389" t="inlineStr">
        <is>
          <t>YES</t>
        </is>
      </c>
      <c r="P12" s="390" t="inlineStr">
        <is>
          <t>No</t>
        </is>
      </c>
      <c r="Q12" s="33" t="n"/>
      <c r="R12" s="32" t="n"/>
      <c r="S12" s="296" t="n"/>
      <c r="T12" s="32" t="n"/>
      <c r="U12" s="32" t="n"/>
      <c r="V12" s="280" t="n"/>
      <c r="W12" s="37" t="n"/>
      <c r="X12" s="35" t="n"/>
      <c r="AD12" s="157" t="n"/>
      <c r="AE12" s="169" t="n"/>
      <c r="AF12" s="162" t="inlineStr">
        <is>
          <t>SHO</t>
        </is>
      </c>
    </row>
    <row r="13" ht="16.75" customHeight="1" thickBot="1">
      <c r="A13" s="384" t="inlineStr"/>
      <c r="B13" s="369" t="n"/>
      <c r="C13" s="370" t="n"/>
      <c r="D13" s="370" t="n"/>
      <c r="E13" s="385" t="inlineStr"/>
      <c r="F13" s="371" t="n"/>
      <c r="G13" s="369" t="n"/>
      <c r="H13" s="391" t="inlineStr">
        <is>
          <t>12'</t>
        </is>
      </c>
      <c r="I13" s="382" t="n"/>
      <c r="J13" s="382" t="n"/>
      <c r="N13" s="151" t="n"/>
      <c r="O13" s="392" t="n"/>
      <c r="P13" s="393" t="n"/>
      <c r="Q13" s="33" t="n"/>
      <c r="R13" s="32" t="n"/>
      <c r="S13" s="353" t="n"/>
      <c r="T13" s="32" t="n"/>
      <c r="U13" s="32" t="n"/>
      <c r="V13" s="353" t="n"/>
      <c r="W13" s="37" t="n"/>
      <c r="X13" s="35" t="n"/>
      <c r="AB13" s="158" t="inlineStr">
        <is>
          <t>Min Freight</t>
        </is>
      </c>
      <c r="AD13" s="157" t="n"/>
      <c r="AE13" s="169" t="n"/>
      <c r="AF13" s="162" t="inlineStr">
        <is>
          <t>WAR</t>
        </is>
      </c>
    </row>
    <row r="14" ht="17.9" customFormat="1" customHeight="1" s="40" thickBot="1">
      <c r="A14" s="394" t="n"/>
      <c r="B14" s="369" t="n"/>
      <c r="C14" s="395" t="n"/>
      <c r="D14" s="396" t="inlineStr">
        <is>
          <t>41.0'</t>
        </is>
      </c>
      <c r="E14" s="396" t="inlineStr">
        <is>
          <t>length includes tongues</t>
        </is>
      </c>
      <c r="F14" s="395" t="n"/>
      <c r="G14" s="369" t="n"/>
      <c r="H14" s="380" t="n">
        <v>2</v>
      </c>
      <c r="I14" s="397" t="n"/>
      <c r="J14" s="398" t="n"/>
      <c r="K14" s="353" t="n"/>
      <c r="L14" s="353" t="n"/>
      <c r="M14" s="32" t="n"/>
      <c r="N14" s="152" t="n"/>
      <c r="O14" s="32" t="n"/>
      <c r="P14" s="32" t="n"/>
      <c r="Q14" s="32" t="n"/>
      <c r="R14" s="288" t="n"/>
      <c r="S14" s="353" t="n"/>
      <c r="T14" s="353" t="n"/>
      <c r="U14" s="353" t="n"/>
      <c r="V14" s="353" t="n"/>
      <c r="W14" s="353" t="n"/>
      <c r="X14" s="353" t="n"/>
      <c r="Y14" s="159" t="n"/>
      <c r="Z14" s="159" t="n"/>
      <c r="AA14" s="159" t="n"/>
      <c r="AB14" s="160">
        <f>[1]MSRP!$K$1</f>
        <v/>
      </c>
      <c r="AC14" s="242">
        <f>COUNTIF(AC17:AC41,1)</f>
        <v/>
      </c>
      <c r="AD14" s="157" t="n"/>
      <c r="AE14" s="239" t="n"/>
      <c r="AF14" s="162" t="inlineStr">
        <is>
          <t>EPDis</t>
        </is>
      </c>
    </row>
    <row r="15" ht="18" customFormat="1" customHeight="1" s="46" thickBot="1">
      <c r="A15" s="399" t="n"/>
      <c r="B15" s="400" t="n"/>
      <c r="C15" s="400" t="n"/>
      <c r="D15" s="400" t="n"/>
      <c r="E15" s="400" t="n"/>
      <c r="F15" s="400" t="n"/>
      <c r="G15" s="400" t="n"/>
      <c r="H15" s="401" t="inlineStr"/>
      <c r="I15" s="269" t="n"/>
      <c r="J15" s="42" t="n"/>
      <c r="K15" s="42" t="n"/>
      <c r="L15" s="43" t="n"/>
      <c r="M15" s="43" t="n"/>
      <c r="N15" s="402" t="inlineStr"/>
      <c r="O15" s="43" t="n"/>
      <c r="P15" s="403" t="n"/>
      <c r="Q15" s="43" t="n"/>
      <c r="R15" s="404" t="inlineStr"/>
      <c r="S15" s="43" t="n"/>
      <c r="T15" s="405" t="inlineStr">
        <is>
          <t>Surcharges</t>
        </is>
      </c>
      <c r="U15" s="406" t="n"/>
      <c r="V15" s="407" t="inlineStr"/>
      <c r="W15" s="408" t="n"/>
      <c r="X15" s="42" t="n"/>
      <c r="Y15" s="275" t="inlineStr">
        <is>
          <t>Desired Freight Rate</t>
        </is>
      </c>
      <c r="Z15" s="275" t="inlineStr">
        <is>
          <t>% Profit Margin needed</t>
        </is>
      </c>
      <c r="AA15" s="277" t="inlineStr">
        <is>
          <t>Sell Price after Frght &amp; Markup</t>
        </is>
      </c>
      <c r="AB15" s="161" t="inlineStr">
        <is>
          <t>Frght Surch:</t>
        </is>
      </c>
      <c r="AC15" s="242">
        <f>COUNTIF(AC17:AC42,"1T")</f>
        <v/>
      </c>
      <c r="AD15" s="162" t="n"/>
      <c r="AE15" s="163" t="n"/>
      <c r="AF15" s="162" t="inlineStr">
        <is>
          <t>YEPromo</t>
        </is>
      </c>
    </row>
    <row r="16" ht="33" customFormat="1" customHeight="1" s="46" thickBot="1">
      <c r="A16" s="409" t="inlineStr">
        <is>
          <t>Serial</t>
        </is>
      </c>
      <c r="B16" s="410" t="inlineStr">
        <is>
          <t>SO Doc#</t>
        </is>
      </c>
      <c r="C16" s="410" t="inlineStr">
        <is>
          <t>F</t>
        </is>
      </c>
      <c r="D16" s="411" t="inlineStr">
        <is>
          <t>Model#</t>
        </is>
      </c>
      <c r="E16" s="410" t="inlineStr">
        <is>
          <t>Ordered Options</t>
        </is>
      </c>
      <c r="F16" s="412" t="n"/>
      <c r="G16" s="410" t="inlineStr">
        <is>
          <t>A/D</t>
        </is>
      </c>
      <c r="H16" s="410" t="inlineStr">
        <is>
          <t>After Prod Options</t>
        </is>
      </c>
      <c r="I16" s="410" t="inlineStr">
        <is>
          <t>PO #</t>
        </is>
      </c>
      <c r="J16" s="413" t="inlineStr">
        <is>
          <t>Weight</t>
        </is>
      </c>
      <c r="K16" s="413" t="inlineStr">
        <is>
          <t>Color</t>
        </is>
      </c>
      <c r="L16" s="414" t="inlineStr">
        <is>
          <t>Order Price</t>
        </is>
      </c>
      <c r="M16" s="413" t="inlineStr">
        <is>
          <t>Add Ons</t>
        </is>
      </c>
      <c r="N16" s="415" t="inlineStr">
        <is>
          <t>D1   %</t>
        </is>
      </c>
      <c r="O16" s="415" t="inlineStr">
        <is>
          <t>Disc1             $</t>
        </is>
      </c>
      <c r="P16" s="413" t="inlineStr">
        <is>
          <t>Disc2 Code</t>
        </is>
      </c>
      <c r="Q16" s="413" t="inlineStr">
        <is>
          <t>D2 %</t>
        </is>
      </c>
      <c r="R16" s="413" t="inlineStr">
        <is>
          <t>Disc2 / Rebate</t>
        </is>
      </c>
      <c r="S16" s="416" t="inlineStr">
        <is>
          <t>Transfer Fee</t>
        </is>
      </c>
      <c r="T16" s="417" t="inlineStr">
        <is>
          <t>%</t>
        </is>
      </c>
      <c r="U16" s="417" t="inlineStr">
        <is>
          <t>Surchge</t>
        </is>
      </c>
      <c r="V16" s="413" t="inlineStr">
        <is>
          <t>Final Price</t>
        </is>
      </c>
      <c r="W16" s="413" t="inlineStr">
        <is>
          <t>Frt Factor</t>
        </is>
      </c>
      <c r="X16" s="418" t="inlineStr">
        <is>
          <t>Total w/ Freight</t>
        </is>
      </c>
      <c r="Y16" s="419" t="n"/>
      <c r="Z16" s="419" t="n"/>
      <c r="AA16" s="420" t="n"/>
      <c r="AB16" s="185">
        <f>[1]MSRP!$I$1</f>
        <v/>
      </c>
      <c r="AC16" s="243">
        <f>IF(R8="Mt. Pleasant, TX",501,IF(R8="Madill, OK",400,IF(R8="Wills Point, TX",555,IF(R8="Cordele, GA",701,IF(R8="Mt. Orab, OH",603,IF(R8="Chambersburg, PA",301,IF(R8="Batavia, OH",601,"")))))))</f>
        <v/>
      </c>
      <c r="AD16" s="162" t="n"/>
      <c r="AE16" s="163" t="n"/>
      <c r="AF16" s="162" t="inlineStr">
        <is>
          <t>NATDA</t>
        </is>
      </c>
    </row>
    <row r="17" ht="24" customFormat="1" customHeight="1" s="46">
      <c r="A17" s="421" t="n"/>
      <c r="B17" s="422" t="n"/>
      <c r="C17" s="423" t="n"/>
      <c r="D17" s="424" t="inlineStr">
        <is>
          <t>90SR-12BK6SIR</t>
        </is>
      </c>
      <c r="E17" s="425" t="n"/>
      <c r="F17" s="400" t="n"/>
      <c r="G17" s="426" t="n"/>
      <c r="H17" s="427" t="n"/>
      <c r="I17" s="423" t="n"/>
      <c r="J17" s="428" t="n">
        <v>2840</v>
      </c>
      <c r="K17" s="423" t="n"/>
      <c r="L17" s="429" t="n"/>
      <c r="M17" s="430" t="n"/>
      <c r="N17" s="431" t="n"/>
      <c r="O17" s="432" t="n"/>
      <c r="P17" s="433" t="n"/>
      <c r="Q17" s="434" t="n"/>
      <c r="R17" s="430" t="n"/>
      <c r="S17" s="435" t="n"/>
      <c r="T17" s="431" t="n"/>
      <c r="U17" s="432" t="n"/>
      <c r="V17" s="436" t="n"/>
      <c r="W17" s="437" t="n"/>
      <c r="X17" s="438" t="n"/>
      <c r="Y17" s="164">
        <f>IF(D17=0,0,ROUND(SUM(V17*$W$15),2))</f>
        <v/>
      </c>
      <c r="Z17" s="439" t="n"/>
      <c r="AA17" s="166">
        <f>IFERROR(ROUND(SUM(X17/(1-Z17)),2),"")</f>
        <v/>
      </c>
      <c r="AB17" s="167">
        <f>IF(D17=0,"",VLOOKUP(D17,[1]MSRP!$A$1:$Z$10000,3,FALSE))</f>
        <v/>
      </c>
      <c r="AC17" s="241">
        <f>IF($D17=0,"",IF($AC$16=400,(VLOOKUP(D17,'[2]All Warehouses'!$B:$J,3,FALSE)),IF($AC$16=501,(VLOOKUP(D17,'[2]All Warehouses'!$B:$J,4,FALSE)),IF($AC$16=555,(VLOOKUP(D17,'[2]All Warehouses'!$B:$J,5,FALSE)),IF($AC$16=701,(VLOOKUP(D17,'[2]All Warehouses'!$B:$J,6,FALSE)),IF($AC$16=601,VLOOKUP(D17,'[2]All Warehouses'!$B:$J,8,FALSE),IF($AC$16=603,VLOOKUP(D17,'[2]All Warehouses'!$B:$J,7,FALSE))))))))</f>
        <v/>
      </c>
      <c r="AD17" s="162" t="inlineStr">
        <is>
          <t>MISB     =  MISBUILD</t>
        </is>
      </c>
      <c r="AE17" s="156" t="n"/>
      <c r="AF17" s="162" t="inlineStr">
        <is>
          <t>OLDPU</t>
        </is>
      </c>
    </row>
    <row r="18" ht="24" customHeight="1">
      <c r="A18" s="440" t="n"/>
      <c r="B18" s="441" t="n"/>
      <c r="C18" s="442" t="n"/>
      <c r="D18" s="443" t="inlineStr"/>
      <c r="E18" s="444" t="n"/>
      <c r="F18" s="445" t="n"/>
      <c r="G18" s="446" t="n"/>
      <c r="H18" s="447" t="n"/>
      <c r="I18" s="442" t="n"/>
      <c r="J18" s="448" t="inlineStr"/>
      <c r="K18" s="442" t="n"/>
      <c r="L18" s="449" t="n"/>
      <c r="M18" s="450" t="n"/>
      <c r="N18" s="451" t="n"/>
      <c r="O18" s="450" t="n"/>
      <c r="P18" s="452" t="n"/>
      <c r="Q18" s="451" t="n"/>
      <c r="R18" s="450" t="n"/>
      <c r="S18" s="450" t="n"/>
      <c r="T18" s="451" t="n"/>
      <c r="U18" s="450" t="n"/>
      <c r="V18" s="453" t="n"/>
      <c r="W18" s="453" t="n"/>
      <c r="X18" s="454" t="n"/>
      <c r="Y18" s="164">
        <f>IF(D18=0,0,ROUND(SUM(V18*$W$15),2))</f>
        <v/>
      </c>
      <c r="Z18" s="455" t="n"/>
      <c r="AA18" s="166">
        <f>IFERROR(ROUND(SUM(X18/(1-Z18)),2),"")</f>
        <v/>
      </c>
      <c r="AB18" s="167">
        <f>IF(D18=0,"",VLOOKUP(D18,[1]MSRP!$A$1:$Z$10000,3,FALSE))</f>
        <v/>
      </c>
      <c r="AC18" s="241">
        <f>IF($D18=0,"",IF($AC$16=400,(VLOOKUP(D18,'[2]All Warehouses'!$B:$J,3,FALSE)),IF($AC$16=501,(VLOOKUP(D18,'[2]All Warehouses'!$B:$J,4,FALSE)),IF($AC$16=555,(VLOOKUP(D18,'[2]All Warehouses'!$B:$J,5,FALSE)),IF($AC$16=701,(VLOOKUP(D18,'[2]All Warehouses'!$B:$J,6,FALSE)),IF($AC$16=601,VLOOKUP(D18,'[2]All Warehouses'!$B:$J,8,FALSE),IF($AC$16=603,VLOOKUP(D18,'[2]All Warehouses'!$B:$J,7,FALSE))))))))</f>
        <v/>
      </c>
      <c r="AD18" s="162" t="inlineStr">
        <is>
          <t>AGED   =  AGED UNIT DISCOUNT</t>
        </is>
      </c>
      <c r="AF18" s="157" t="inlineStr">
        <is>
          <t>MISB</t>
        </is>
      </c>
    </row>
    <row r="19" ht="24" customHeight="1">
      <c r="A19" s="421" t="n"/>
      <c r="B19" s="422" t="n"/>
      <c r="C19" s="423" t="n"/>
      <c r="D19" s="424" t="inlineStr"/>
      <c r="E19" s="425" t="n"/>
      <c r="F19" s="400" t="n"/>
      <c r="G19" s="426" t="n"/>
      <c r="H19" s="427" t="n"/>
      <c r="I19" s="423" t="n"/>
      <c r="J19" s="456" t="inlineStr"/>
      <c r="K19" s="423" t="n"/>
      <c r="L19" s="429" t="n"/>
      <c r="M19" s="430" t="n"/>
      <c r="N19" s="431" t="n"/>
      <c r="O19" s="432" t="n"/>
      <c r="P19" s="433" t="n"/>
      <c r="Q19" s="434" t="n"/>
      <c r="R19" s="430" t="n"/>
      <c r="S19" s="435" t="n"/>
      <c r="T19" s="431" t="n"/>
      <c r="U19" s="432" t="n"/>
      <c r="V19" s="436" t="n"/>
      <c r="W19" s="437" t="n"/>
      <c r="X19" s="438" t="n"/>
      <c r="Y19" s="164">
        <f>IF(D19=0,0,ROUND(SUM(V19*$W$15),2))</f>
        <v/>
      </c>
      <c r="Z19" s="455" t="n"/>
      <c r="AA19" s="166">
        <f>IFERROR(ROUND(SUM(X19/(1-Z19)),2),"")</f>
        <v/>
      </c>
      <c r="AB19" s="167">
        <f>IF(D19=0,"",VLOOKUP(D19,[1]MSRP!$A$1:$Z$10000,3,FALSE))</f>
        <v/>
      </c>
      <c r="AC19" s="241">
        <f>IF($D19=0,"",IF($AC$16=400,(VLOOKUP(D19,'[2]All Warehouses'!$B:$J,3,FALSE)),IF($AC$16=501,(VLOOKUP(D19,'[2]All Warehouses'!$B:$J,4,FALSE)),IF($AC$16=555,(VLOOKUP(D19,'[2]All Warehouses'!$B:$J,5,FALSE)),IF($AC$16=701,(VLOOKUP(D19,'[2]All Warehouses'!$B:$J,6,FALSE)),IF($AC$16=601,VLOOKUP(D19,'[2]All Warehouses'!$B:$J,8,FALSE),IF($AC$16=603,VLOOKUP(D19,'[2]All Warehouses'!$B:$J,7,FALSE))))))))</f>
        <v/>
      </c>
      <c r="AD19" s="162" t="inlineStr">
        <is>
          <t>CMPT   =  COMPETITIVE DISCOUNT</t>
        </is>
      </c>
      <c r="AF19" s="240" t="inlineStr">
        <is>
          <t>GA.close</t>
        </is>
      </c>
    </row>
    <row r="20" ht="24" customHeight="1">
      <c r="A20" s="440" t="n"/>
      <c r="B20" s="441" t="n"/>
      <c r="C20" s="442" t="n"/>
      <c r="D20" s="443" t="inlineStr"/>
      <c r="E20" s="444" t="n"/>
      <c r="F20" s="445" t="n"/>
      <c r="G20" s="446" t="n"/>
      <c r="H20" s="447" t="n"/>
      <c r="I20" s="442" t="n"/>
      <c r="J20" s="448" t="inlineStr"/>
      <c r="K20" s="442" t="n"/>
      <c r="L20" s="449" t="n"/>
      <c r="M20" s="450" t="n"/>
      <c r="N20" s="451" t="n"/>
      <c r="O20" s="450" t="n"/>
      <c r="P20" s="452" t="n"/>
      <c r="Q20" s="451" t="n"/>
      <c r="R20" s="450" t="n"/>
      <c r="S20" s="450" t="n"/>
      <c r="T20" s="451" t="n"/>
      <c r="U20" s="450" t="n"/>
      <c r="V20" s="453" t="n"/>
      <c r="W20" s="453" t="n"/>
      <c r="X20" s="454" t="n"/>
      <c r="Y20" s="164">
        <f>IF(D20=0,0,ROUND(SUM(V20*$W$15),2))</f>
        <v/>
      </c>
      <c r="Z20" s="455" t="n"/>
      <c r="AA20" s="166">
        <f>IFERROR(ROUND(SUM(X20/(1-Z20)),2),"")</f>
        <v/>
      </c>
      <c r="AB20" s="167">
        <f>IF(D20=0,"",VLOOKUP(D20,[1]MSRP!$A$1:$Z$10000,3,FALSE))</f>
        <v/>
      </c>
      <c r="AC20" s="241">
        <f>IF($D20=0,"",IF($AC$16=400,(VLOOKUP(D20,'[2]All Warehouses'!$B:$J,3,FALSE)),IF($AC$16=501,(VLOOKUP(D20,'[2]All Warehouses'!$B:$J,4,FALSE)),IF($AC$16=555,(VLOOKUP(D20,'[2]All Warehouses'!$B:$J,5,FALSE)),IF($AC$16=701,(VLOOKUP(D20,'[2]All Warehouses'!$B:$J,6,FALSE)),IF($AC$16=601,VLOOKUP(D20,'[2]All Warehouses'!$B:$J,8,FALSE),IF($AC$16=603,VLOOKUP(D20,'[2]All Warehouses'!$B:$J,7,FALSE))))))))</f>
        <v/>
      </c>
      <c r="AD20" s="162" t="inlineStr">
        <is>
          <t>CON      =  CONTRACT PRICING</t>
        </is>
      </c>
    </row>
    <row r="21" ht="24" customHeight="1">
      <c r="A21" s="421" t="n"/>
      <c r="B21" s="422" t="n"/>
      <c r="C21" s="423" t="n"/>
      <c r="D21" s="424" t="inlineStr"/>
      <c r="E21" s="425" t="n"/>
      <c r="F21" s="400" t="n"/>
      <c r="G21" s="426" t="n"/>
      <c r="H21" s="427" t="n"/>
      <c r="I21" s="423" t="n"/>
      <c r="J21" s="456" t="inlineStr"/>
      <c r="K21" s="423" t="n"/>
      <c r="L21" s="429" t="n"/>
      <c r="M21" s="430" t="n"/>
      <c r="N21" s="431" t="n"/>
      <c r="O21" s="432" t="n"/>
      <c r="P21" s="433" t="n"/>
      <c r="Q21" s="434" t="n"/>
      <c r="R21" s="430" t="n"/>
      <c r="S21" s="435" t="n"/>
      <c r="T21" s="431" t="n"/>
      <c r="U21" s="432" t="n"/>
      <c r="V21" s="436" t="n"/>
      <c r="W21" s="437" t="n"/>
      <c r="X21" s="438" t="n"/>
      <c r="Y21" s="164">
        <f>IF(D21=0,0,ROUND(SUM(V21*$W$15),2))</f>
        <v/>
      </c>
      <c r="Z21" s="455" t="n"/>
      <c r="AA21" s="166">
        <f>IFERROR(ROUND(SUM(X21/(1-Z21)),2),"")</f>
        <v/>
      </c>
      <c r="AB21" s="167">
        <f>IF(D21=0,"",VLOOKUP(D21,[1]MSRP!$A$1:$Z$10000,3,FALSE))</f>
        <v/>
      </c>
      <c r="AC21" s="241">
        <f>IF($D21=0,"",IF($AC$16=400,(VLOOKUP(D21,'[2]All Warehouses'!$B:$J,3,FALSE)),IF($AC$16=501,(VLOOKUP(D21,'[2]All Warehouses'!$B:$J,4,FALSE)),IF($AC$16=555,(VLOOKUP(D21,'[2]All Warehouses'!$B:$J,5,FALSE)),IF($AC$16=701,(VLOOKUP(D21,'[2]All Warehouses'!$B:$J,6,FALSE)),IF($AC$16=601,VLOOKUP(D21,'[2]All Warehouses'!$B:$J,8,FALSE),IF($AC$16=603,VLOOKUP(D21,'[2]All Warehouses'!$B:$J,7,FALSE))))))))</f>
        <v/>
      </c>
      <c r="AD21" s="169" t="inlineStr">
        <is>
          <t>GOOD   =  CUSTOMER GOODWILL</t>
        </is>
      </c>
    </row>
    <row r="22" ht="24" customHeight="1">
      <c r="A22" s="440" t="n"/>
      <c r="B22" s="441" t="n"/>
      <c r="C22" s="442" t="n"/>
      <c r="D22" s="443" t="inlineStr"/>
      <c r="E22" s="444" t="n"/>
      <c r="F22" s="445" t="n"/>
      <c r="G22" s="446" t="n"/>
      <c r="H22" s="447" t="n"/>
      <c r="I22" s="442" t="n"/>
      <c r="J22" s="448" t="inlineStr"/>
      <c r="K22" s="442" t="n"/>
      <c r="L22" s="449" t="n"/>
      <c r="M22" s="450" t="n"/>
      <c r="N22" s="451" t="n"/>
      <c r="O22" s="450" t="n"/>
      <c r="P22" s="452" t="n"/>
      <c r="Q22" s="451" t="n"/>
      <c r="R22" s="450" t="n"/>
      <c r="S22" s="450" t="n"/>
      <c r="T22" s="451" t="n"/>
      <c r="U22" s="450" t="n"/>
      <c r="V22" s="453" t="n"/>
      <c r="W22" s="453" t="n"/>
      <c r="X22" s="454" t="n"/>
      <c r="Y22" s="164">
        <f>IF(D22=0,0,ROUND(SUM(V22*$W$15),2))</f>
        <v/>
      </c>
      <c r="Z22" s="455" t="n"/>
      <c r="AA22" s="166">
        <f>IFERROR(ROUND(SUM(X22/(1-Z22)),2),"")</f>
        <v/>
      </c>
      <c r="AB22" s="167">
        <f>IF(D22=0,"",VLOOKUP(D22,[1]MSRP!$A$1:$Z$10000,3,FALSE))</f>
        <v/>
      </c>
      <c r="AC22" s="241">
        <f>IF($D22=0,"",IF($AC$16=400,(VLOOKUP(D22,'[2]All Warehouses'!$B:$J,3,FALSE)),IF($AC$16=501,(VLOOKUP(D22,'[2]All Warehouses'!$B:$J,4,FALSE)),IF($AC$16=555,(VLOOKUP(D22,'[2]All Warehouses'!$B:$J,5,FALSE)),IF($AC$16=701,(VLOOKUP(D22,'[2]All Warehouses'!$B:$J,6,FALSE)),IF($AC$16=601,VLOOKUP(D22,'[2]All Warehouses'!$B:$J,8,FALSE),IF($AC$16=603,VLOOKUP(D22,'[2]All Warehouses'!$B:$J,7,FALSE))))))))</f>
        <v/>
      </c>
      <c r="AD22" s="169" t="inlineStr">
        <is>
          <t>INV   =  INVENTORY MGMT DISCOUNT</t>
        </is>
      </c>
    </row>
    <row r="23" ht="24" customHeight="1">
      <c r="A23" s="421" t="n"/>
      <c r="B23" s="422" t="n"/>
      <c r="C23" s="423" t="n"/>
      <c r="D23" s="424" t="inlineStr"/>
      <c r="E23" s="425" t="n"/>
      <c r="F23" s="400" t="n"/>
      <c r="G23" s="426" t="n"/>
      <c r="H23" s="427" t="n"/>
      <c r="I23" s="423" t="n"/>
      <c r="J23" s="456" t="inlineStr"/>
      <c r="K23" s="423" t="n"/>
      <c r="L23" s="429" t="n"/>
      <c r="M23" s="430" t="n"/>
      <c r="N23" s="431" t="n"/>
      <c r="O23" s="432" t="n"/>
      <c r="P23" s="433" t="n"/>
      <c r="Q23" s="434" t="n"/>
      <c r="R23" s="430" t="n"/>
      <c r="S23" s="435" t="n"/>
      <c r="T23" s="431" t="n"/>
      <c r="U23" s="432" t="n"/>
      <c r="V23" s="436" t="n"/>
      <c r="W23" s="437" t="n"/>
      <c r="X23" s="438" t="n"/>
      <c r="Y23" s="164">
        <f>IF(D23=0,0,ROUND(SUM(V23*$W$15),2))</f>
        <v/>
      </c>
      <c r="Z23" s="455" t="n"/>
      <c r="AA23" s="166">
        <f>IFERROR(ROUND(SUM(X23/(1-Z23)),2),"")</f>
        <v/>
      </c>
      <c r="AB23" s="167">
        <f>IF(D23=0,"",VLOOKUP(D23,[1]MSRP!$A$1:$Z$10000,3,FALSE))</f>
        <v/>
      </c>
      <c r="AC23" s="241">
        <f>IF($D23=0,"",IF($AC$16=400,(VLOOKUP(D23,'[2]All Warehouses'!$B:$J,3,FALSE)),IF($AC$16=501,(VLOOKUP(D23,'[2]All Warehouses'!$B:$J,4,FALSE)),IF($AC$16=555,(VLOOKUP(D23,'[2]All Warehouses'!$B:$J,5,FALSE)),IF($AC$16=701,(VLOOKUP(D23,'[2]All Warehouses'!$B:$J,6,FALSE)),IF($AC$16=601,VLOOKUP(D23,'[2]All Warehouses'!$B:$J,8,FALSE),IF($AC$16=603,VLOOKUP(D23,'[2]All Warehouses'!$B:$J,7,FALSE))))))))</f>
        <v/>
      </c>
      <c r="AD23" s="169" t="inlineStr">
        <is>
          <t>DGF   =  DEALER GROWTH FUND</t>
        </is>
      </c>
    </row>
    <row r="24" ht="24" customHeight="1">
      <c r="A24" s="440" t="n"/>
      <c r="B24" s="441" t="n"/>
      <c r="C24" s="442" t="n"/>
      <c r="D24" s="443" t="inlineStr"/>
      <c r="E24" s="444" t="n"/>
      <c r="F24" s="445" t="n"/>
      <c r="G24" s="446" t="n"/>
      <c r="H24" s="447" t="n"/>
      <c r="I24" s="442" t="n"/>
      <c r="J24" s="448" t="inlineStr"/>
      <c r="K24" s="442" t="n"/>
      <c r="L24" s="449" t="n"/>
      <c r="M24" s="450" t="n"/>
      <c r="N24" s="451" t="n"/>
      <c r="O24" s="450" t="n"/>
      <c r="P24" s="452" t="n"/>
      <c r="Q24" s="451" t="n"/>
      <c r="R24" s="450" t="n"/>
      <c r="S24" s="450" t="n"/>
      <c r="T24" s="451" t="n"/>
      <c r="U24" s="450" t="n"/>
      <c r="V24" s="453" t="n"/>
      <c r="W24" s="453" t="n"/>
      <c r="X24" s="454" t="n"/>
      <c r="Y24" s="164">
        <f>IF(D24=0,0,ROUND(SUM(V24*$W$15),2))</f>
        <v/>
      </c>
      <c r="Z24" s="455" t="n"/>
      <c r="AA24" s="166">
        <f>IFERROR(ROUND(SUM(X24/(1-Z24)),2),"")</f>
        <v/>
      </c>
      <c r="AB24" s="167">
        <f>IF(D24=0,"",VLOOKUP(D24,[1]MSRP!$A$1:$Z$10000,3,FALSE))</f>
        <v/>
      </c>
      <c r="AC24" s="241">
        <f>IF($D24=0,"",IF($AC$16=400,(VLOOKUP(D24,'[2]All Warehouses'!$B:$J,3,FALSE)),IF($AC$16=501,(VLOOKUP(D24,'[2]All Warehouses'!$B:$J,4,FALSE)),IF($AC$16=555,(VLOOKUP(D24,'[2]All Warehouses'!$B:$J,5,FALSE)),IF($AC$16=701,(VLOOKUP(D24,'[2]All Warehouses'!$B:$J,6,FALSE)),IF($AC$16=601,VLOOKUP(D24,'[2]All Warehouses'!$B:$J,8,FALSE),IF($AC$16=603,VLOOKUP(D24,'[2]All Warehouses'!$B:$J,7,FALSE))))))))</f>
        <v/>
      </c>
      <c r="AD24" s="169" t="inlineStr">
        <is>
          <t>PROMO =  PROMOTION</t>
        </is>
      </c>
    </row>
    <row r="25" ht="24" customHeight="1">
      <c r="A25" s="421" t="n"/>
      <c r="B25" s="422" t="n"/>
      <c r="C25" s="423" t="n"/>
      <c r="D25" s="424" t="inlineStr"/>
      <c r="E25" s="425" t="n"/>
      <c r="F25" s="400" t="n"/>
      <c r="G25" s="426" t="n"/>
      <c r="H25" s="427" t="n"/>
      <c r="I25" s="423" t="n"/>
      <c r="J25" s="456" t="inlineStr"/>
      <c r="K25" s="423" t="n"/>
      <c r="L25" s="429" t="n"/>
      <c r="M25" s="430" t="n"/>
      <c r="N25" s="431" t="n"/>
      <c r="O25" s="432" t="n"/>
      <c r="P25" s="433" t="n"/>
      <c r="Q25" s="434" t="n"/>
      <c r="R25" s="430" t="n"/>
      <c r="S25" s="435" t="n"/>
      <c r="T25" s="431" t="n"/>
      <c r="U25" s="432" t="n"/>
      <c r="V25" s="436" t="n"/>
      <c r="W25" s="437" t="n"/>
      <c r="X25" s="438" t="n"/>
      <c r="Y25" s="164">
        <f>IF(D25=0,0,ROUND(SUM(V25*$W$15),2))</f>
        <v/>
      </c>
      <c r="Z25" s="455" t="n"/>
      <c r="AA25" s="166">
        <f>IFERROR(ROUND(SUM(X25/(1-Z25)),2),"")</f>
        <v/>
      </c>
      <c r="AB25" s="167">
        <f>IF(D25=0,"",VLOOKUP(D25,[1]MSRP!$A$1:$Z$10000,3,FALSE))</f>
        <v/>
      </c>
      <c r="AC25" s="241">
        <f>IF($D25=0,"",IF($AC$16=400,(VLOOKUP(D25,'[2]All Warehouses'!$B:$J,3,FALSE)),IF($AC$16=501,(VLOOKUP(D25,'[2]All Warehouses'!$B:$J,4,FALSE)),IF($AC$16=555,(VLOOKUP(D25,'[2]All Warehouses'!$B:$J,5,FALSE)),IF($AC$16=701,(VLOOKUP(D25,'[2]All Warehouses'!$B:$J,6,FALSE)),IF($AC$16=601,VLOOKUP(D25,'[2]All Warehouses'!$B:$J,8,FALSE),IF($AC$16=603,VLOOKUP(D25,'[2]All Warehouses'!$B:$J,7,FALSE))))))))</f>
        <v/>
      </c>
      <c r="AD25" s="169" t="inlineStr">
        <is>
          <t>RETR     =  RETRO PRICING DISCOUNT</t>
        </is>
      </c>
    </row>
    <row r="26" ht="24" customHeight="1">
      <c r="A26" s="440" t="n"/>
      <c r="B26" s="441" t="n"/>
      <c r="C26" s="442" t="n"/>
      <c r="D26" s="443" t="inlineStr"/>
      <c r="E26" s="444" t="n"/>
      <c r="F26" s="445" t="n"/>
      <c r="G26" s="446" t="n"/>
      <c r="H26" s="447" t="n"/>
      <c r="I26" s="442" t="n"/>
      <c r="J26" s="448" t="inlineStr"/>
      <c r="K26" s="442" t="n"/>
      <c r="L26" s="449" t="n"/>
      <c r="M26" s="450" t="n"/>
      <c r="N26" s="451" t="n"/>
      <c r="O26" s="450" t="n"/>
      <c r="P26" s="452" t="n"/>
      <c r="Q26" s="451" t="n"/>
      <c r="R26" s="450" t="n"/>
      <c r="S26" s="450" t="n"/>
      <c r="T26" s="451" t="n"/>
      <c r="U26" s="450" t="n"/>
      <c r="V26" s="453" t="n"/>
      <c r="W26" s="453" t="n"/>
      <c r="X26" s="454" t="n"/>
      <c r="Y26" s="164">
        <f>IF(D26=0,0,ROUND(SUM(V26*$W$15),2))</f>
        <v/>
      </c>
      <c r="Z26" s="455" t="n"/>
      <c r="AA26" s="166">
        <f>IFERROR(ROUND(SUM(X26/(1-Z26)),2),"")</f>
        <v/>
      </c>
      <c r="AB26" s="167">
        <f>IF(D26=0,"",VLOOKUP(D26,[1]MSRP!$A$1:$Z$10000,3,FALSE))</f>
        <v/>
      </c>
      <c r="AC26" s="241">
        <f>IF($D26=0,"",IF($AC$16=400,(VLOOKUP(D26,'[2]All Warehouses'!$B:$J,3,FALSE)),IF($AC$16=501,(VLOOKUP(D26,'[2]All Warehouses'!$B:$J,4,FALSE)),IF($AC$16=555,(VLOOKUP(D26,'[2]All Warehouses'!$B:$J,5,FALSE)),IF($AC$16=701,(VLOOKUP(D26,'[2]All Warehouses'!$B:$J,6,FALSE)),IF($AC$16=601,VLOOKUP(D26,'[2]All Warehouses'!$B:$J,8,FALSE),IF($AC$16=603,VLOOKUP(D26,'[2]All Warehouses'!$B:$J,7,FALSE))))))))</f>
        <v/>
      </c>
      <c r="AD26" s="169" t="inlineStr">
        <is>
          <t>SHO       =  SHOW LOAD DISCOUNT</t>
        </is>
      </c>
    </row>
    <row r="27" ht="24" customHeight="1">
      <c r="A27" s="421" t="n"/>
      <c r="B27" s="422" t="n"/>
      <c r="C27" s="423" t="n"/>
      <c r="D27" s="424" t="inlineStr"/>
      <c r="E27" s="425" t="n"/>
      <c r="F27" s="400" t="n"/>
      <c r="G27" s="426" t="n"/>
      <c r="H27" s="427" t="n"/>
      <c r="I27" s="423" t="n"/>
      <c r="J27" s="456" t="inlineStr"/>
      <c r="K27" s="423" t="n"/>
      <c r="L27" s="429" t="n"/>
      <c r="M27" s="430" t="n"/>
      <c r="N27" s="431" t="n"/>
      <c r="O27" s="432" t="n"/>
      <c r="P27" s="433" t="n"/>
      <c r="Q27" s="434" t="n"/>
      <c r="R27" s="430" t="n"/>
      <c r="S27" s="435" t="n"/>
      <c r="T27" s="431" t="n"/>
      <c r="U27" s="432" t="n"/>
      <c r="V27" s="436" t="n"/>
      <c r="W27" s="437" t="n"/>
      <c r="X27" s="438" t="n"/>
      <c r="Y27" s="164">
        <f>IF(D27=0,0,ROUND(SUM(V27*$W$15),2))</f>
        <v/>
      </c>
      <c r="Z27" s="455" t="n"/>
      <c r="AA27" s="166">
        <f>IFERROR(ROUND(SUM(X27/(1-Z27)),2),"")</f>
        <v/>
      </c>
      <c r="AB27" s="167">
        <f>IF(D27=0,"",VLOOKUP(D27,[1]MSRP!$A$1:$Z$10000,3,FALSE))</f>
        <v/>
      </c>
      <c r="AC27" s="241">
        <f>IF($D27=0,"",IF($AC$16=400,(VLOOKUP(D27,'[2]All Warehouses'!$B:$J,3,FALSE)),IF($AC$16=501,(VLOOKUP(D27,'[2]All Warehouses'!$B:$J,4,FALSE)),IF($AC$16=555,(VLOOKUP(D27,'[2]All Warehouses'!$B:$J,5,FALSE)),IF($AC$16=701,(VLOOKUP(D27,'[2]All Warehouses'!$B:$J,6,FALSE)),IF($AC$16=601,VLOOKUP(D27,'[2]All Warehouses'!$B:$J,8,FALSE),IF($AC$16=603,VLOOKUP(D27,'[2]All Warehouses'!$B:$J,7,FALSE))))))))</f>
        <v/>
      </c>
      <c r="AD27" s="169" t="inlineStr">
        <is>
          <t>WAR     =  WARRANTY</t>
        </is>
      </c>
    </row>
    <row r="28" ht="24" customHeight="1">
      <c r="A28" s="440" t="n"/>
      <c r="B28" s="441" t="n"/>
      <c r="C28" s="442" t="n"/>
      <c r="D28" s="443" t="inlineStr"/>
      <c r="E28" s="444" t="n"/>
      <c r="F28" s="445" t="n"/>
      <c r="G28" s="446" t="n"/>
      <c r="H28" s="447" t="n"/>
      <c r="I28" s="442" t="n"/>
      <c r="J28" s="448" t="inlineStr"/>
      <c r="K28" s="442" t="n"/>
      <c r="L28" s="449" t="n"/>
      <c r="M28" s="450" t="n"/>
      <c r="N28" s="451" t="n"/>
      <c r="O28" s="450" t="n"/>
      <c r="P28" s="452" t="n"/>
      <c r="Q28" s="451" t="n"/>
      <c r="R28" s="450" t="n"/>
      <c r="S28" s="450" t="n"/>
      <c r="T28" s="451" t="n"/>
      <c r="U28" s="450" t="n"/>
      <c r="V28" s="453" t="n"/>
      <c r="W28" s="453" t="n"/>
      <c r="X28" s="454" t="n"/>
      <c r="Y28" s="164">
        <f>IF(D28=0,0,ROUND(SUM(V28*$W$15),2))</f>
        <v/>
      </c>
      <c r="Z28" s="455" t="n"/>
      <c r="AA28" s="166">
        <f>IFERROR(ROUND(SUM(X28/(1-Z28)),2),"")</f>
        <v/>
      </c>
      <c r="AB28" s="167">
        <f>IF(D28=0,"",VLOOKUP(D28,[1]MSRP!$A$1:$Z$10000,3,FALSE))</f>
        <v/>
      </c>
      <c r="AC28" s="241">
        <f>IF($D28=0,"",IF($AC$16=400,(VLOOKUP(D28,'[2]All Warehouses'!$B:$J,3,FALSE)),IF($AC$16=501,(VLOOKUP(D28,'[2]All Warehouses'!$B:$J,4,FALSE)),IF($AC$16=555,(VLOOKUP(D28,'[2]All Warehouses'!$B:$J,5,FALSE)),IF($AC$16=701,(VLOOKUP(D28,'[2]All Warehouses'!$B:$J,6,FALSE)),IF($AC$16=601,VLOOKUP(D28,'[2]All Warehouses'!$B:$J,8,FALSE),IF($AC$16=603,VLOOKUP(D28,'[2]All Warehouses'!$B:$J,7,FALSE))))))))</f>
        <v/>
      </c>
      <c r="AD28" s="169" t="inlineStr">
        <is>
          <t xml:space="preserve">EPDis  =  </t>
        </is>
      </c>
    </row>
    <row r="29" ht="24" customHeight="1">
      <c r="A29" s="421" t="n"/>
      <c r="B29" s="422" t="n"/>
      <c r="C29" s="423" t="n"/>
      <c r="D29" s="424" t="inlineStr"/>
      <c r="E29" s="425" t="n"/>
      <c r="F29" s="400" t="n"/>
      <c r="G29" s="426" t="n"/>
      <c r="H29" s="427" t="n"/>
      <c r="I29" s="423" t="n"/>
      <c r="J29" s="456" t="inlineStr"/>
      <c r="K29" s="423" t="n"/>
      <c r="L29" s="429" t="n"/>
      <c r="M29" s="430" t="n"/>
      <c r="N29" s="431" t="n"/>
      <c r="O29" s="432" t="n"/>
      <c r="P29" s="433" t="n"/>
      <c r="Q29" s="434" t="n"/>
      <c r="R29" s="430" t="n"/>
      <c r="S29" s="435" t="n"/>
      <c r="T29" s="431" t="n"/>
      <c r="U29" s="432" t="n"/>
      <c r="V29" s="436" t="n"/>
      <c r="W29" s="437" t="n"/>
      <c r="X29" s="438" t="n"/>
      <c r="Y29" s="164">
        <f>IF(D29=0,0,ROUND(SUM(V29*$W$15),2))</f>
        <v/>
      </c>
      <c r="Z29" s="455" t="n"/>
      <c r="AA29" s="166">
        <f>IFERROR(ROUND(SUM(X29/(1-Z29)),2),"")</f>
        <v/>
      </c>
      <c r="AB29" s="167">
        <f>IF(D29=0,"",VLOOKUP(D29,[1]MSRP!$A$1:$Z$10000,3,FALSE))</f>
        <v/>
      </c>
      <c r="AC29" s="241">
        <f>IF($D29=0,"",IF($AC$16=400,(VLOOKUP(D29,'[2]All Warehouses'!$B:$J,3,FALSE)),IF($AC$16=501,(VLOOKUP(D29,'[2]All Warehouses'!$B:$J,4,FALSE)),IF($AC$16=555,(VLOOKUP(D29,'[2]All Warehouses'!$B:$J,5,FALSE)),IF($AC$16=701,(VLOOKUP(D29,'[2]All Warehouses'!$B:$J,6,FALSE)),IF($AC$16=601,VLOOKUP(D29,'[2]All Warehouses'!$B:$J,8,FALSE),IF($AC$16=603,VLOOKUP(D29,'[2]All Warehouses'!$B:$J,7,FALSE))))))))</f>
        <v/>
      </c>
      <c r="AD29" s="169" t="inlineStr">
        <is>
          <t>NATDA</t>
        </is>
      </c>
    </row>
    <row r="30" ht="24" customHeight="1">
      <c r="A30" s="440" t="n"/>
      <c r="B30" s="441" t="n"/>
      <c r="C30" s="442" t="n"/>
      <c r="D30" s="443" t="inlineStr"/>
      <c r="E30" s="444" t="n"/>
      <c r="F30" s="445" t="n"/>
      <c r="G30" s="446" t="n"/>
      <c r="H30" s="447" t="n"/>
      <c r="I30" s="442" t="n"/>
      <c r="J30" s="448" t="inlineStr"/>
      <c r="K30" s="442" t="n"/>
      <c r="L30" s="449" t="n"/>
      <c r="M30" s="450" t="n"/>
      <c r="N30" s="451" t="n"/>
      <c r="O30" s="450" t="n"/>
      <c r="P30" s="452" t="n"/>
      <c r="Q30" s="451" t="n"/>
      <c r="R30" s="450" t="n"/>
      <c r="S30" s="450" t="n"/>
      <c r="T30" s="451" t="n"/>
      <c r="U30" s="450" t="n"/>
      <c r="V30" s="453" t="n"/>
      <c r="W30" s="453" t="n"/>
      <c r="X30" s="454" t="n"/>
      <c r="Y30" s="164">
        <f>IF(D30=0,0,ROUND(SUM(V30*$W$15),2))</f>
        <v/>
      </c>
      <c r="Z30" s="455" t="n"/>
      <c r="AA30" s="166">
        <f>IFERROR(ROUND(SUM(X30/(1-Z30)),2),"")</f>
        <v/>
      </c>
      <c r="AB30" s="167">
        <f>IF(D30=0,"",VLOOKUP(D30,[1]MSRP!$A$1:$Z$10000,3,FALSE))</f>
        <v/>
      </c>
      <c r="AC30" s="241">
        <f>IF($D30=0,"",IF($AC$16=400,(VLOOKUP(D30,'[2]All Warehouses'!$B:$J,3,FALSE)),IF($AC$16=501,(VLOOKUP(D30,'[2]All Warehouses'!$B:$J,4,FALSE)),IF($AC$16=555,(VLOOKUP(D30,'[2]All Warehouses'!$B:$J,5,FALSE)),IF($AC$16=701,(VLOOKUP(D30,'[2]All Warehouses'!$B:$J,6,FALSE)),IF($AC$16=601,VLOOKUP(D30,'[2]All Warehouses'!$B:$J,8,FALSE),IF($AC$16=603,VLOOKUP(D30,'[2]All Warehouses'!$B:$J,7,FALSE))))))))</f>
        <v/>
      </c>
      <c r="AD30" s="169" t="inlineStr">
        <is>
          <t>FRTD    =  FREIGHT DISCOUNT</t>
        </is>
      </c>
    </row>
    <row r="31" ht="24" customHeight="1">
      <c r="A31" s="421" t="n"/>
      <c r="B31" s="422" t="n"/>
      <c r="C31" s="423" t="n"/>
      <c r="D31" s="424" t="inlineStr"/>
      <c r="E31" s="425" t="n"/>
      <c r="F31" s="400" t="n"/>
      <c r="G31" s="426" t="n"/>
      <c r="H31" s="427" t="n"/>
      <c r="I31" s="423" t="n"/>
      <c r="J31" s="456" t="inlineStr"/>
      <c r="K31" s="423" t="n"/>
      <c r="L31" s="429" t="n"/>
      <c r="M31" s="430" t="n"/>
      <c r="N31" s="431" t="n"/>
      <c r="O31" s="432" t="n"/>
      <c r="P31" s="433" t="n"/>
      <c r="Q31" s="434" t="n"/>
      <c r="R31" s="430" t="n"/>
      <c r="S31" s="435" t="n"/>
      <c r="T31" s="431" t="n"/>
      <c r="U31" s="432" t="n"/>
      <c r="V31" s="436" t="n"/>
      <c r="W31" s="437" t="n"/>
      <c r="X31" s="438" t="n"/>
      <c r="Y31" s="164">
        <f>IF(D31=0,0,ROUND(SUM(V31*$W$15),2))</f>
        <v/>
      </c>
      <c r="Z31" s="455" t="n"/>
      <c r="AA31" s="166">
        <f>IFERROR(ROUND(SUM(X31/(1-Z31)),2),"")</f>
        <v/>
      </c>
      <c r="AB31" s="167">
        <f>IF(D31=0,"",VLOOKUP(D31,[1]MSRP!$A$1:$Z$10000,3,FALSE))</f>
        <v/>
      </c>
      <c r="AC31" s="241">
        <f>IF($D31=0,"",IF($AC$16=400,(VLOOKUP(D31,'[2]All Warehouses'!$B:$J,3,FALSE)),IF($AC$16=501,(VLOOKUP(D31,'[2]All Warehouses'!$B:$J,4,FALSE)),IF($AC$16=555,(VLOOKUP(D31,'[2]All Warehouses'!$B:$J,5,FALSE)),IF($AC$16=701,(VLOOKUP(D31,'[2]All Warehouses'!$B:$J,6,FALSE)),IF($AC$16=601,VLOOKUP(D31,'[2]All Warehouses'!$B:$J,8,FALSE),IF($AC$16=603,VLOOKUP(D31,'[2]All Warehouses'!$B:$J,7,FALSE))))))))</f>
        <v/>
      </c>
      <c r="AD31" s="169" t="inlineStr">
        <is>
          <t>YE Promo = Year End Promo</t>
        </is>
      </c>
    </row>
    <row r="32" ht="24" customHeight="1">
      <c r="A32" s="440" t="n"/>
      <c r="B32" s="441" t="n"/>
      <c r="C32" s="442" t="n"/>
      <c r="D32" s="443" t="inlineStr"/>
      <c r="E32" s="444" t="n"/>
      <c r="F32" s="445" t="n"/>
      <c r="G32" s="446" t="n"/>
      <c r="H32" s="447" t="n"/>
      <c r="I32" s="442" t="n"/>
      <c r="J32" s="448" t="inlineStr"/>
      <c r="K32" s="442" t="n"/>
      <c r="L32" s="449" t="n"/>
      <c r="M32" s="450" t="n"/>
      <c r="N32" s="451" t="n"/>
      <c r="O32" s="450" t="n"/>
      <c r="P32" s="452" t="n"/>
      <c r="Q32" s="451" t="n"/>
      <c r="R32" s="450" t="n"/>
      <c r="S32" s="450" t="n"/>
      <c r="T32" s="451" t="n"/>
      <c r="U32" s="450" t="n"/>
      <c r="V32" s="453" t="n"/>
      <c r="W32" s="453" t="n"/>
      <c r="X32" s="454" t="n"/>
      <c r="Y32" s="164">
        <f>IF(D32=0,0,ROUND(SUM(V32*$W$15),2))</f>
        <v/>
      </c>
      <c r="Z32" s="455" t="n"/>
      <c r="AA32" s="166">
        <f>IFERROR(ROUND(SUM(X32/(1-Z32)),2),"")</f>
        <v/>
      </c>
      <c r="AB32" s="167">
        <f>IF(D32=0,"",VLOOKUP(D32,[1]MSRP!$A$1:$Z$10000,3,FALSE))</f>
        <v/>
      </c>
      <c r="AC32" s="241">
        <f>IF($D32=0,"",IF($AC$16=400,(VLOOKUP(D32,'[2]All Warehouses'!$B:$J,3,FALSE)),IF($AC$16=501,(VLOOKUP(D32,'[2]All Warehouses'!$B:$J,4,FALSE)),IF($AC$16=555,(VLOOKUP(D32,'[2]All Warehouses'!$B:$J,5,FALSE)),IF($AC$16=701,(VLOOKUP(D32,'[2]All Warehouses'!$B:$J,6,FALSE)),IF($AC$16=601,VLOOKUP(D32,'[2]All Warehouses'!$B:$J,8,FALSE),IF($AC$16=603,VLOOKUP(D32,'[2]All Warehouses'!$B:$J,7,FALSE))))))))</f>
        <v/>
      </c>
      <c r="AD32" s="169" t="n"/>
    </row>
    <row r="33" ht="24" customHeight="1">
      <c r="A33" s="421" t="n"/>
      <c r="B33" s="422" t="n"/>
      <c r="C33" s="423" t="n"/>
      <c r="D33" s="424" t="inlineStr"/>
      <c r="E33" s="425" t="n"/>
      <c r="F33" s="400" t="n"/>
      <c r="G33" s="426" t="n"/>
      <c r="H33" s="427" t="n"/>
      <c r="I33" s="423" t="n"/>
      <c r="J33" s="456" t="inlineStr"/>
      <c r="K33" s="423" t="n"/>
      <c r="L33" s="429" t="n"/>
      <c r="M33" s="430" t="n"/>
      <c r="N33" s="431" t="n"/>
      <c r="O33" s="432" t="n"/>
      <c r="P33" s="433" t="n"/>
      <c r="Q33" s="434" t="n"/>
      <c r="R33" s="430" t="n"/>
      <c r="S33" s="435" t="n"/>
      <c r="T33" s="431" t="n"/>
      <c r="U33" s="432" t="n"/>
      <c r="V33" s="436" t="n"/>
      <c r="W33" s="437" t="n"/>
      <c r="X33" s="438" t="n"/>
      <c r="Y33" s="164">
        <f>IF(D33=0,0,ROUND(SUM(V33*$W$15),2))</f>
        <v/>
      </c>
      <c r="Z33" s="455" t="n"/>
      <c r="AA33" s="166">
        <f>IFERROR(ROUND(SUM(X33/(1-Z33)),2),"")</f>
        <v/>
      </c>
      <c r="AB33" s="167">
        <f>IF(D33=0,"",VLOOKUP(D33,[1]MSRP!$A$1:$Z$10000,3,FALSE))</f>
        <v/>
      </c>
      <c r="AC33" s="241">
        <f>IF($D33=0,"",IF($AC$16=400,(VLOOKUP(D33,'[2]All Warehouses'!$B:$J,3,FALSE)),IF($AC$16=501,(VLOOKUP(D33,'[2]All Warehouses'!$B:$J,4,FALSE)),IF($AC$16=555,(VLOOKUP(D33,'[2]All Warehouses'!$B:$J,5,FALSE)),IF($AC$16=701,(VLOOKUP(D33,'[2]All Warehouses'!$B:$J,6,FALSE)),IF($AC$16=601,VLOOKUP(D33,'[2]All Warehouses'!$B:$J,8,FALSE),IF($AC$16=603,VLOOKUP(D33,'[2]All Warehouses'!$B:$J,7,FALSE))))))))</f>
        <v/>
      </c>
      <c r="AD33" s="169" t="inlineStr">
        <is>
          <t>SC &amp; DT = SCRATCH &amp; DENT</t>
        </is>
      </c>
    </row>
    <row r="34" ht="24" customHeight="1">
      <c r="A34" s="440" t="n"/>
      <c r="B34" s="441" t="n"/>
      <c r="C34" s="442" t="n"/>
      <c r="D34" s="443" t="inlineStr"/>
      <c r="E34" s="444" t="n"/>
      <c r="F34" s="445" t="n"/>
      <c r="G34" s="446" t="n"/>
      <c r="H34" s="447" t="n"/>
      <c r="I34" s="442" t="n"/>
      <c r="J34" s="448" t="inlineStr"/>
      <c r="K34" s="442" t="n"/>
      <c r="L34" s="449" t="n"/>
      <c r="M34" s="450" t="n"/>
      <c r="N34" s="451" t="n"/>
      <c r="O34" s="450" t="n"/>
      <c r="P34" s="452" t="n"/>
      <c r="Q34" s="451" t="n"/>
      <c r="R34" s="450" t="n"/>
      <c r="S34" s="450" t="n"/>
      <c r="T34" s="451" t="n"/>
      <c r="U34" s="450" t="n"/>
      <c r="V34" s="453" t="n"/>
      <c r="W34" s="453" t="n"/>
      <c r="X34" s="454" t="n"/>
      <c r="Y34" s="164">
        <f>IF(D34=0,0,ROUND(SUM(V34*$W$15),2))</f>
        <v/>
      </c>
      <c r="Z34" s="455" t="n"/>
      <c r="AA34" s="166">
        <f>IFERROR(ROUND(SUM(X34/(1-Z34)),2),"")</f>
        <v/>
      </c>
      <c r="AB34" s="167">
        <f>IF(D34=0,"",VLOOKUP(D34,[1]MSRP!$A$1:$Z$10000,3,FALSE))</f>
        <v/>
      </c>
      <c r="AC34" s="241">
        <f>IF($D34=0,"",IF($AC$16=400,(VLOOKUP(D34,'[2]All Warehouses'!$B:$J,3,FALSE)),IF($AC$16=501,(VLOOKUP(D34,'[2]All Warehouses'!$B:$J,4,FALSE)),IF($AC$16=555,(VLOOKUP(D34,'[2]All Warehouses'!$B:$J,5,FALSE)),IF($AC$16=701,(VLOOKUP(D34,'[2]All Warehouses'!$B:$J,6,FALSE)),IF($AC$16=601,VLOOKUP(D34,'[2]All Warehouses'!$B:$J,8,FALSE),IF($AC$16=603,VLOOKUP(D34,'[2]All Warehouses'!$B:$J,7,FALSE))))))))</f>
        <v/>
      </c>
      <c r="AD34" s="169" t="n"/>
      <c r="AE34" s="169" t="n"/>
    </row>
    <row r="35" ht="24" customHeight="1">
      <c r="A35" s="421" t="n"/>
      <c r="B35" s="422" t="n"/>
      <c r="C35" s="423" t="n"/>
      <c r="D35" s="424" t="inlineStr"/>
      <c r="E35" s="425" t="n"/>
      <c r="F35" s="400" t="n"/>
      <c r="G35" s="426" t="n"/>
      <c r="H35" s="427" t="n"/>
      <c r="I35" s="423" t="n"/>
      <c r="J35" s="456" t="inlineStr"/>
      <c r="K35" s="423" t="n"/>
      <c r="L35" s="429" t="n"/>
      <c r="M35" s="430" t="n"/>
      <c r="N35" s="431" t="n"/>
      <c r="O35" s="432" t="n"/>
      <c r="P35" s="433" t="n"/>
      <c r="Q35" s="434" t="n"/>
      <c r="R35" s="430" t="n"/>
      <c r="S35" s="435" t="n"/>
      <c r="T35" s="431" t="n"/>
      <c r="U35" s="432" t="n"/>
      <c r="V35" s="436" t="n"/>
      <c r="W35" s="437" t="n"/>
      <c r="X35" s="438" t="n"/>
      <c r="Y35" s="164">
        <f>IF(D35=0,0,ROUND(SUM(V35*$W$15),2))</f>
        <v/>
      </c>
      <c r="Z35" s="455" t="n"/>
      <c r="AA35" s="166">
        <f>IFERROR(ROUND(SUM(X35/(1-Z35)),2),"")</f>
        <v/>
      </c>
      <c r="AB35" s="167">
        <f>IF(D35=0,"",VLOOKUP(D35,[1]MSRP!$A$1:$Z$10000,3,FALSE))</f>
        <v/>
      </c>
      <c r="AC35" s="241">
        <f>IF($D35=0,"",IF($AC$16=400,(VLOOKUP(D35,'[2]All Warehouses'!$B:$J,3,FALSE)),IF($AC$16=501,(VLOOKUP(D35,'[2]All Warehouses'!$B:$J,4,FALSE)),IF($AC$16=555,(VLOOKUP(D35,'[2]All Warehouses'!$B:$J,5,FALSE)),IF($AC$16=701,(VLOOKUP(D35,'[2]All Warehouses'!$B:$J,6,FALSE)),IF($AC$16=601,VLOOKUP(D35,'[2]All Warehouses'!$B:$J,8,FALSE),IF($AC$16=603,VLOOKUP(D35,'[2]All Warehouses'!$B:$J,7,FALSE))))))))</f>
        <v/>
      </c>
    </row>
    <row r="36" ht="24" customHeight="1">
      <c r="A36" s="440" t="n"/>
      <c r="B36" s="441" t="n"/>
      <c r="C36" s="442" t="n"/>
      <c r="D36" s="443" t="inlineStr"/>
      <c r="E36" s="444" t="n"/>
      <c r="F36" s="445" t="n"/>
      <c r="G36" s="446" t="n"/>
      <c r="H36" s="447" t="n"/>
      <c r="I36" s="442" t="n"/>
      <c r="J36" s="448" t="inlineStr"/>
      <c r="K36" s="442" t="n"/>
      <c r="L36" s="449" t="n"/>
      <c r="M36" s="450" t="n"/>
      <c r="N36" s="451" t="n"/>
      <c r="O36" s="450" t="n"/>
      <c r="P36" s="452" t="n"/>
      <c r="Q36" s="451" t="n"/>
      <c r="R36" s="450" t="n"/>
      <c r="S36" s="450" t="n"/>
      <c r="T36" s="451" t="n"/>
      <c r="U36" s="450" t="n"/>
      <c r="V36" s="453" t="n"/>
      <c r="W36" s="453" t="n"/>
      <c r="X36" s="454" t="n"/>
      <c r="Y36" s="164">
        <f>IF(D36=0,0,ROUND(SUM(V36*$W$15),2))</f>
        <v/>
      </c>
      <c r="Z36" s="455" t="n"/>
      <c r="AA36" s="166">
        <f>IFERROR(ROUND(SUM(X36/(1-Z36)),2),"")</f>
        <v/>
      </c>
      <c r="AB36" s="167">
        <f>IF(D36=0,"",VLOOKUP(D36,[1]MSRP!$A$1:$Z$10000,3,FALSE))</f>
        <v/>
      </c>
      <c r="AC36" s="241">
        <f>IF($D36=0,"",IF($AC$16=400,(VLOOKUP(D36,'[2]All Warehouses'!$B:$J,3,FALSE)),IF($AC$16=501,(VLOOKUP(D36,'[2]All Warehouses'!$B:$J,4,FALSE)),IF($AC$16=555,(VLOOKUP(D36,'[2]All Warehouses'!$B:$J,5,FALSE)),IF($AC$16=701,(VLOOKUP(D36,'[2]All Warehouses'!$B:$J,6,FALSE)),IF($AC$16=601,VLOOKUP(D36,'[2]All Warehouses'!$B:$J,8,FALSE),IF($AC$16=603,VLOOKUP(D36,'[2]All Warehouses'!$B:$J,7,FALSE))))))))</f>
        <v/>
      </c>
    </row>
    <row r="37" ht="24" customHeight="1">
      <c r="A37" s="421" t="n"/>
      <c r="B37" s="422" t="n"/>
      <c r="C37" s="423" t="n"/>
      <c r="D37" s="424" t="inlineStr"/>
      <c r="E37" s="425" t="n"/>
      <c r="F37" s="400" t="n"/>
      <c r="G37" s="426" t="n"/>
      <c r="H37" s="427" t="n"/>
      <c r="I37" s="423" t="n"/>
      <c r="J37" s="456" t="inlineStr"/>
      <c r="K37" s="423" t="n"/>
      <c r="L37" s="429" t="n"/>
      <c r="M37" s="430" t="n"/>
      <c r="N37" s="431" t="n"/>
      <c r="O37" s="432" t="n"/>
      <c r="P37" s="433" t="n"/>
      <c r="Q37" s="434" t="n"/>
      <c r="R37" s="430" t="n"/>
      <c r="S37" s="435" t="n"/>
      <c r="T37" s="431" t="n"/>
      <c r="U37" s="432" t="n"/>
      <c r="V37" s="436" t="n"/>
      <c r="W37" s="437" t="n"/>
      <c r="X37" s="438" t="n"/>
      <c r="Y37" s="164">
        <f>IF(D37=0,0,ROUND(SUM(V37*$W$15),2))</f>
        <v/>
      </c>
      <c r="Z37" s="455" t="n"/>
      <c r="AA37" s="166">
        <f>IFERROR(ROUND(SUM(X37/(1-Z37)),2),"")</f>
        <v/>
      </c>
      <c r="AB37" s="167">
        <f>IF(D37=0,"",VLOOKUP(D37,[1]MSRP!$A$1:$Z$10000,3,FALSE))</f>
        <v/>
      </c>
      <c r="AC37" s="241">
        <f>IF($D37=0,"",IF($AC$16=400,(VLOOKUP(D37,'[2]All Warehouses'!$B:$J,3,FALSE)),IF($AC$16=501,(VLOOKUP(D37,'[2]All Warehouses'!$B:$J,4,FALSE)),IF($AC$16=555,(VLOOKUP(D37,'[2]All Warehouses'!$B:$J,5,FALSE)),IF($AC$16=701,(VLOOKUP(D37,'[2]All Warehouses'!$B:$J,6,FALSE)),IF($AC$16=601,VLOOKUP(D37,'[2]All Warehouses'!$B:$J,8,FALSE),IF($AC$16=603,VLOOKUP(D37,'[2]All Warehouses'!$B:$J,7,FALSE))))))))</f>
        <v/>
      </c>
    </row>
    <row r="38" ht="24" customHeight="1">
      <c r="A38" s="440" t="n"/>
      <c r="B38" s="441" t="n"/>
      <c r="C38" s="442" t="n"/>
      <c r="D38" s="443" t="inlineStr"/>
      <c r="E38" s="444" t="n"/>
      <c r="F38" s="445" t="n"/>
      <c r="G38" s="446" t="n"/>
      <c r="H38" s="447" t="n"/>
      <c r="I38" s="442" t="n"/>
      <c r="J38" s="448" t="inlineStr"/>
      <c r="K38" s="442" t="n"/>
      <c r="L38" s="449" t="n"/>
      <c r="M38" s="450" t="n"/>
      <c r="N38" s="451" t="n"/>
      <c r="O38" s="450" t="n"/>
      <c r="P38" s="452" t="n"/>
      <c r="Q38" s="451" t="n"/>
      <c r="R38" s="450" t="n"/>
      <c r="S38" s="450" t="n"/>
      <c r="T38" s="451" t="n"/>
      <c r="U38" s="450" t="n"/>
      <c r="V38" s="453" t="n"/>
      <c r="W38" s="453" t="n"/>
      <c r="X38" s="454" t="n"/>
      <c r="Y38" s="164">
        <f>IF(D38=0,0,ROUND(SUM(V38*$W$15),2))</f>
        <v/>
      </c>
      <c r="Z38" s="455" t="n"/>
      <c r="AA38" s="166">
        <f>IFERROR(ROUND(SUM(X38/(1-Z38)),2),"")</f>
        <v/>
      </c>
      <c r="AB38" s="167">
        <f>IF(D38=0,"",VLOOKUP(D38,[1]MSRP!$A$1:$Z$10000,3,FALSE))</f>
        <v/>
      </c>
      <c r="AC38" s="241">
        <f>IF($D38=0,"",IF($AC$16=400,(VLOOKUP(D38,'[2]All Warehouses'!$B:$J,3,FALSE)),IF($AC$16=501,(VLOOKUP(D38,'[2]All Warehouses'!$B:$J,4,FALSE)),IF($AC$16=555,(VLOOKUP(D38,'[2]All Warehouses'!$B:$J,5,FALSE)),IF($AC$16=701,(VLOOKUP(D38,'[2]All Warehouses'!$B:$J,6,FALSE)),IF($AC$16=601,VLOOKUP(D38,'[2]All Warehouses'!$B:$J,8,FALSE),IF($AC$16=603,VLOOKUP(D38,'[2]All Warehouses'!$B:$J,7,FALSE))))))))</f>
        <v/>
      </c>
    </row>
    <row r="39" ht="24" customHeight="1">
      <c r="A39" s="421" t="n"/>
      <c r="B39" s="422" t="n"/>
      <c r="C39" s="423" t="n"/>
      <c r="D39" s="424" t="inlineStr"/>
      <c r="E39" s="425" t="n"/>
      <c r="F39" s="400" t="n"/>
      <c r="G39" s="426" t="n"/>
      <c r="H39" s="427" t="n"/>
      <c r="I39" s="423" t="n"/>
      <c r="J39" s="456" t="inlineStr"/>
      <c r="K39" s="423" t="n"/>
      <c r="L39" s="429" t="n"/>
      <c r="M39" s="430" t="n"/>
      <c r="N39" s="431" t="n"/>
      <c r="O39" s="432" t="n"/>
      <c r="P39" s="433" t="n"/>
      <c r="Q39" s="434" t="n"/>
      <c r="R39" s="430" t="n"/>
      <c r="S39" s="435" t="n"/>
      <c r="T39" s="431" t="n"/>
      <c r="U39" s="432" t="n"/>
      <c r="V39" s="436" t="n"/>
      <c r="W39" s="437" t="n"/>
      <c r="X39" s="438" t="n"/>
      <c r="Y39" s="164">
        <f>IF(D39=0,0,ROUND(SUM(V39*$W$15),2))</f>
        <v/>
      </c>
      <c r="Z39" s="455" t="n"/>
      <c r="AA39" s="166">
        <f>IFERROR(ROUND(SUM(X39/(1-Z39)),2),"")</f>
        <v/>
      </c>
      <c r="AB39" s="167">
        <f>IF(D39=0,"",VLOOKUP(D39,[1]MSRP!$A$1:$Z$10000,3,FALSE))</f>
        <v/>
      </c>
      <c r="AC39" s="241">
        <f>IF($D39=0,"",IF($AC$16=400,(VLOOKUP(D39,'[2]All Warehouses'!$B:$J,3,FALSE)),IF($AC$16=501,(VLOOKUP(D39,'[2]All Warehouses'!$B:$J,4,FALSE)),IF($AC$16=555,(VLOOKUP(D39,'[2]All Warehouses'!$B:$J,5,FALSE)),IF($AC$16=701,(VLOOKUP(D39,'[2]All Warehouses'!$B:$J,6,FALSE)),IF($AC$16=601,VLOOKUP(D39,'[2]All Warehouses'!$B:$J,8,FALSE),IF($AC$16=603,VLOOKUP(D39,'[2]All Warehouses'!$B:$J,7,FALSE))))))))</f>
        <v/>
      </c>
    </row>
    <row r="40" ht="24" customHeight="1" thickBot="1">
      <c r="A40" s="440" t="n"/>
      <c r="B40" s="441" t="n"/>
      <c r="C40" s="442" t="n"/>
      <c r="D40" s="443" t="inlineStr"/>
      <c r="E40" s="444" t="n"/>
      <c r="F40" s="445" t="n"/>
      <c r="G40" s="446" t="n"/>
      <c r="H40" s="447" t="n"/>
      <c r="I40" s="442" t="n"/>
      <c r="J40" s="448" t="inlineStr"/>
      <c r="K40" s="442" t="n"/>
      <c r="L40" s="449" t="n"/>
      <c r="M40" s="450" t="n"/>
      <c r="N40" s="451" t="n"/>
      <c r="O40" s="450" t="n"/>
      <c r="P40" s="452" t="n"/>
      <c r="Q40" s="451" t="n"/>
      <c r="R40" s="450" t="n"/>
      <c r="S40" s="450" t="n"/>
      <c r="T40" s="451" t="n"/>
      <c r="U40" s="450" t="n"/>
      <c r="V40" s="453" t="n"/>
      <c r="W40" s="453" t="n"/>
      <c r="X40" s="454" t="n"/>
      <c r="Y40" s="164">
        <f>IF(D40=0,0,ROUND(SUM(V40*$W$15),2))</f>
        <v/>
      </c>
      <c r="Z40" s="457" t="n"/>
      <c r="AA40" s="166">
        <f>IFERROR(ROUND(SUM(X40/(1-Z40)),2),"")</f>
        <v/>
      </c>
      <c r="AB40" s="167">
        <f>IF(D40=0,"",VLOOKUP(D40,[1]MSRP!$A$1:$Z$10000,3,FALSE))</f>
        <v/>
      </c>
      <c r="AC40" s="241">
        <f>IF($D40=0,"",IF($AC$16=400,(VLOOKUP(D40,'[2]All Warehouses'!$B:$J,3,FALSE)),IF($AC$16=501,(VLOOKUP(D40,'[2]All Warehouses'!$B:$J,4,FALSE)),IF($AC$16=555,(VLOOKUP(D40,'[2]All Warehouses'!$B:$J,5,FALSE)),IF($AC$16=701,(VLOOKUP(D40,'[2]All Warehouses'!$B:$J,6,FALSE)),IF($AC$16=601,VLOOKUP(D40,'[2]All Warehouses'!$B:$J,8,FALSE),IF($AC$16=603,VLOOKUP(D40,'[2]All Warehouses'!$B:$J,7,FALSE))))))))</f>
        <v/>
      </c>
    </row>
    <row r="41" ht="24" customFormat="1" customHeight="1" s="40" thickBot="1">
      <c r="A41" s="458" t="n"/>
      <c r="B41" s="423" t="n"/>
      <c r="C41" s="423" t="n"/>
      <c r="D41" s="424" t="inlineStr"/>
      <c r="E41" s="459" t="inlineStr"/>
      <c r="F41" s="400" t="n"/>
      <c r="G41" s="426" t="n"/>
      <c r="H41" s="460" t="n"/>
      <c r="I41" s="424" t="inlineStr">
        <is>
          <t>Total # =</t>
        </is>
      </c>
      <c r="J41" s="456" t="inlineStr"/>
      <c r="K41" s="423" t="n"/>
      <c r="L41" s="461" t="inlineStr"/>
      <c r="M41" s="430" t="n"/>
      <c r="N41" s="462" t="inlineStr"/>
      <c r="O41" s="463" t="inlineStr"/>
      <c r="P41" s="433" t="n"/>
      <c r="Q41" s="434" t="n"/>
      <c r="R41" s="464" t="inlineStr"/>
      <c r="S41" s="435" t="n"/>
      <c r="T41" s="462" t="inlineStr"/>
      <c r="U41" s="463" t="inlineStr"/>
      <c r="V41" s="465" t="inlineStr"/>
      <c r="W41" s="464" t="inlineStr"/>
      <c r="X41" s="466" t="inlineStr"/>
      <c r="Y41" s="164">
        <f>IF(D41=0,0,ROUND(SUM(V41*$W$15),2))</f>
        <v/>
      </c>
      <c r="Z41" s="467" t="n"/>
      <c r="AA41" s="166">
        <f>IFERROR(ROUND(SUM(X41/(1-Z41)),2),"")</f>
        <v/>
      </c>
      <c r="AB41" s="167">
        <f>IF(D41=0,"",VLOOKUP(D41,[1]MSRP!$A$1:$Z$10000,3,FALSE))</f>
        <v/>
      </c>
      <c r="AC41" s="241">
        <f>IF($D41=0,"",IF($AC$16=400,(VLOOKUP(D41,'[2]All Warehouses'!$B:$J,3,FALSE)),IF($AC$16=501,(VLOOKUP(D41,'[2]All Warehouses'!$B:$J,4,FALSE)),IF($AC$16=555,(VLOOKUP(D41,'[2]All Warehouses'!$B:$J,5,FALSE)),IF($AC$16=701,(VLOOKUP(D41,'[2]All Warehouses'!$B:$J,6,FALSE)),IF($AC$16=601,VLOOKUP(D41,'[2]All Warehouses'!$B:$J,8,FALSE),IF($AC$16=603,VLOOKUP(D41,'[2]All Warehouses'!$B:$J,7,FALSE))))))))</f>
        <v/>
      </c>
      <c r="AD41" s="172" t="n"/>
      <c r="AE41" s="172" t="n"/>
      <c r="AF41" s="172" t="n"/>
    </row>
    <row r="42" ht="16.75" customFormat="1" customHeight="1" s="40" thickBot="1">
      <c r="A42" s="80" t="n"/>
      <c r="B42" s="81" t="n"/>
      <c r="C42" s="81" t="n"/>
      <c r="D42" s="3" t="n"/>
      <c r="E42" s="82" t="n"/>
      <c r="F42" s="83" t="n"/>
      <c r="G42" s="83" t="n"/>
      <c r="H42" s="468" t="inlineStr">
        <is>
          <t>Accounting Use only</t>
        </is>
      </c>
      <c r="I42" s="469" t="n"/>
      <c r="J42" s="469" t="n"/>
      <c r="K42" s="469" t="n"/>
      <c r="L42" s="352" t="n"/>
      <c r="M42" s="470" t="inlineStr">
        <is>
          <t>Normal Frght</t>
        </is>
      </c>
      <c r="N42" s="84" t="n"/>
      <c r="O42" s="470" t="inlineStr">
        <is>
          <t>Disc</t>
        </is>
      </c>
      <c r="P42" s="84" t="n"/>
      <c r="Q42" s="6" t="n"/>
      <c r="R42" s="471" t="inlineStr">
        <is>
          <t>Load Total</t>
        </is>
      </c>
      <c r="S42" s="353" t="n"/>
      <c r="T42" s="353" t="n"/>
      <c r="U42" s="363" t="n"/>
      <c r="V42" s="85" t="n"/>
      <c r="W42" s="472" t="inlineStr">
        <is>
          <t>Freight %</t>
        </is>
      </c>
      <c r="X42" s="473" t="inlineStr"/>
      <c r="Y42" s="159" t="n"/>
      <c r="Z42" s="159" t="n"/>
      <c r="AA42" s="159" t="n"/>
      <c r="AB42" s="159" t="n"/>
      <c r="AC42" s="39" t="n"/>
      <c r="AD42" s="159" t="n"/>
      <c r="AE42" s="159" t="n"/>
      <c r="AF42" s="159" t="n"/>
    </row>
    <row r="43" ht="16" customHeight="1">
      <c r="A43" s="474" t="inlineStr">
        <is>
          <t>Dealer Please Sign Authorizing Load:_________________________</t>
        </is>
      </c>
      <c r="B43" s="90" t="n"/>
      <c r="C43" s="90" t="n"/>
      <c r="D43" s="3" t="n"/>
      <c r="E43" s="4" t="n"/>
      <c r="F43" s="10" t="n"/>
      <c r="G43" s="10" t="n"/>
      <c r="H43" s="475" t="inlineStr">
        <is>
          <t>Floor Plan Source</t>
        </is>
      </c>
      <c r="I43" s="267" t="n"/>
      <c r="J43" s="476" t="n"/>
      <c r="K43" s="476" t="n"/>
      <c r="L43" s="477" t="n"/>
      <c r="M43" s="92" t="n"/>
      <c r="N43" s="136" t="n"/>
      <c r="O43" s="93" t="n"/>
      <c r="P43" s="269" t="n"/>
      <c r="Q43" s="136" t="n"/>
      <c r="R43" s="269" t="n"/>
      <c r="S43" s="478" t="inlineStr">
        <is>
          <t>Freight:</t>
        </is>
      </c>
      <c r="T43" s="353" t="n"/>
      <c r="U43" s="353" t="n"/>
      <c r="V43" s="94" t="n"/>
      <c r="W43" s="95" t="n"/>
      <c r="X43" s="479" t="inlineStr"/>
    </row>
    <row r="44" ht="16" customHeight="1">
      <c r="A44" s="480" t="inlineStr">
        <is>
          <t>Fax#</t>
        </is>
      </c>
      <c r="B44" s="480" t="inlineStr"/>
      <c r="C44" s="353" t="n"/>
      <c r="D44" s="353" t="n"/>
      <c r="E44" s="481" t="inlineStr"/>
      <c r="F44" s="10" t="n"/>
      <c r="G44" s="10" t="n"/>
      <c r="H44" s="482" t="inlineStr">
        <is>
          <t>Floor Plan Approval #:</t>
        </is>
      </c>
      <c r="I44" s="270" t="n"/>
      <c r="J44" s="366" t="n"/>
      <c r="K44" s="366" t="n"/>
      <c r="L44" s="367" t="n"/>
      <c r="M44" s="101" t="n"/>
      <c r="N44" s="269" t="n"/>
      <c r="O44" s="353" t="n"/>
      <c r="P44" s="353" t="n"/>
      <c r="Q44" s="353" t="n"/>
      <c r="R44" s="353" t="n"/>
      <c r="S44" s="353" t="n"/>
      <c r="T44" s="353" t="n"/>
      <c r="U44" s="353" t="n"/>
      <c r="V44" s="102" t="n"/>
      <c r="W44" s="478" t="inlineStr"/>
      <c r="X44" s="193" t="n"/>
    </row>
    <row r="45" ht="16.5" customHeight="1" thickBot="1">
      <c r="A45" s="250" t="n"/>
      <c r="B45" s="353" t="n"/>
      <c r="C45" s="353" t="n"/>
      <c r="D45" s="353" t="n"/>
      <c r="E45" s="483" t="n"/>
      <c r="F45" s="10" t="n"/>
      <c r="G45" s="10" t="n"/>
      <c r="H45" s="484" t="inlineStr">
        <is>
          <t>Shipment Sheet #:</t>
        </is>
      </c>
      <c r="I45" s="485" t="inlineStr"/>
      <c r="J45" s="486" t="n"/>
      <c r="K45" s="486" t="n"/>
      <c r="L45" s="487" t="n"/>
      <c r="M45" s="101" t="n"/>
      <c r="N45" s="254" t="n"/>
      <c r="V45" s="102" t="n"/>
      <c r="W45" s="247" t="n"/>
      <c r="X45" s="191" t="n"/>
    </row>
    <row r="46" ht="16.5" customHeight="1">
      <c r="A46" s="488" t="inlineStr">
        <is>
          <t>DOC#</t>
        </is>
      </c>
      <c r="B46" s="489" t="inlineStr"/>
      <c r="C46" s="107" t="n"/>
      <c r="D46" s="490" t="inlineStr">
        <is>
          <t xml:space="preserve">(This load value and the freight amount are estimated on this load sheet. Payment is due based on the invoice amount.)  </t>
        </is>
      </c>
      <c r="K46" s="108" t="n"/>
      <c r="L46" s="109" t="n"/>
      <c r="M46" s="101" t="n"/>
      <c r="N46" s="101" t="n"/>
      <c r="O46" s="101" t="n"/>
      <c r="P46" s="101" t="n"/>
      <c r="Q46" s="101" t="n"/>
      <c r="R46" s="491" t="inlineStr">
        <is>
          <t>Freight Surcharge:</t>
        </is>
      </c>
      <c r="V46" s="102" t="n"/>
      <c r="W46" s="478" t="inlineStr"/>
      <c r="X46" s="193" t="n"/>
    </row>
    <row r="47" ht="16.5" customHeight="1" thickBot="1">
      <c r="A47" s="2" t="n"/>
      <c r="B47" s="2" t="n"/>
      <c r="C47" s="2" t="n"/>
      <c r="D47" s="3" t="n"/>
      <c r="E47" s="111" t="n"/>
      <c r="F47" s="4" t="n"/>
      <c r="G47" s="5" t="n"/>
      <c r="H47" s="6" t="n"/>
      <c r="I47" s="6" t="n"/>
      <c r="J47" s="111" t="n"/>
      <c r="K47" s="111" t="n"/>
      <c r="L47" s="492" t="inlineStr">
        <is>
          <t>Pink Card</t>
        </is>
      </c>
      <c r="M47" s="257" t="n"/>
      <c r="N47" s="493" t="n"/>
      <c r="O47" s="493" t="n"/>
      <c r="P47" s="493" t="n"/>
      <c r="Q47" s="493" t="n"/>
      <c r="R47" s="109" t="n"/>
      <c r="S47" s="109" t="n"/>
      <c r="T47" s="258" t="n"/>
      <c r="U47" s="353" t="n"/>
      <c r="V47" s="187" t="n"/>
      <c r="W47" s="494" t="inlineStr"/>
      <c r="X47" s="113" t="n"/>
    </row>
    <row r="48" ht="20.25" customHeight="1" thickBot="1" thickTop="1">
      <c r="M48" s="495" t="inlineStr">
        <is>
          <t>For office use only</t>
        </is>
      </c>
      <c r="N48" s="496" t="n"/>
      <c r="O48" s="496" t="n"/>
      <c r="P48" s="496" t="n"/>
      <c r="Q48" s="496" t="n"/>
      <c r="R48" s="119" t="n"/>
      <c r="S48" s="119" t="n"/>
      <c r="T48" s="119" t="n"/>
      <c r="U48" s="119" t="n"/>
      <c r="V48" s="186" t="n"/>
      <c r="W48" s="121" t="n"/>
      <c r="X48" s="192" t="n"/>
    </row>
    <row r="49" ht="14.25" customHeight="1" thickTop="1">
      <c r="V49" s="120" t="n"/>
    </row>
    <row r="51" customFormat="1" s="155">
      <c r="A51" s="222" t="n"/>
      <c r="B51" s="222" t="n"/>
      <c r="C51" s="222" t="n"/>
      <c r="F51" s="223" t="n"/>
      <c r="G51" s="224" t="n"/>
      <c r="H51" s="225" t="n"/>
      <c r="I51" s="225" t="n"/>
      <c r="J51" s="225" t="n"/>
      <c r="K51" s="225" t="n"/>
      <c r="L51" s="225" t="n"/>
      <c r="M51" s="225" t="n"/>
      <c r="N51" s="224" t="n"/>
      <c r="O51" s="225" t="n"/>
      <c r="P51" s="205" t="n"/>
      <c r="Q51" s="225" t="n"/>
      <c r="R51" s="205" t="n"/>
      <c r="S51" s="225" t="n"/>
      <c r="T51" s="205" t="n"/>
      <c r="U51" s="205" t="n"/>
      <c r="AC51" s="156" t="n"/>
    </row>
    <row r="52" hidden="1" customFormat="1" s="155">
      <c r="A52" s="197">
        <f>IF(OR(E4=0,J2="TW",J2="T1",J2="T2",J2="T3",J2="T4",J2="TF",J2="I/C",J2="IC"),"","pending AR")</f>
        <v/>
      </c>
      <c r="B52" s="206" t="n"/>
      <c r="C52" s="207" t="n"/>
      <c r="D52" s="199">
        <f>IF(E4=0," ",VLOOKUP(E4,[1]DATA!$A$1:$AAB$15000,43,FALSE))</f>
        <v/>
      </c>
      <c r="E52" s="199">
        <f>IF(H6="Stock","S","H")</f>
        <v/>
      </c>
      <c r="F52" s="208">
        <f>J2</f>
        <v/>
      </c>
      <c r="G52" s="200">
        <f>E4</f>
        <v/>
      </c>
      <c r="H52" s="198">
        <f>E2</f>
        <v/>
      </c>
      <c r="I52" s="209">
        <f>E5</f>
        <v/>
      </c>
      <c r="J52" s="210">
        <f>V42</f>
        <v/>
      </c>
      <c r="K52" s="497" t="n"/>
      <c r="L52" s="497" t="n"/>
      <c r="M52" s="497" t="n"/>
      <c r="N52" s="497" t="n"/>
      <c r="O52" s="497" t="n"/>
      <c r="P52" s="497" t="n"/>
      <c r="Q52" s="497" t="n"/>
      <c r="R52" s="497">
        <f>CONCATENATE(E3,", ",F3)</f>
        <v/>
      </c>
      <c r="S52" s="498">
        <f>IF(K2="1 Ton:","G","S")</f>
        <v/>
      </c>
      <c r="T52" s="499" t="n"/>
      <c r="U52" s="211" t="n"/>
      <c r="V52" s="212" t="inlineStr">
        <is>
          <t xml:space="preserve"> </t>
        </is>
      </c>
      <c r="W52" s="500" t="n"/>
      <c r="X52" s="214" t="n"/>
      <c r="Y52" s="215">
        <f>IFERROR(IF(OR(L2="Dealer's sending Carrier. Send Envelope w/ driver, if applicable",E4=0),0,IF(R8="Cordele, GA",VLOOKUP(E4,[1]DATA!$A:$AAB,17,FALSE),IF(R8="Caldwell, ID",VLOOKUP(E4,[1]DATA!$A:$AAB,19,FALSE),IF(R8="Madill, OK",VLOOKUP(E4,[1]DATA!$A:$AAB,21,FALSE),IF(R8="Wills Point, TX",VLOOKUP(E4,[1]DATA!$A:$AAB,23,FALSE),IF(R8="Mt. Orab, OH",VLOOKUP(E4,[1]DATA!$A:$AAB,27,FALSE),IF(R8="Chambersburg, PA",VLOOKUP(E4,[1]DATA!$A:$AAB,25,FALSE),VLOOKUP(E4,[1]DATA!$A:$AAB,15,FALSE)))))))),"")</f>
        <v/>
      </c>
      <c r="Z52" s="216" t="n"/>
      <c r="AA52" s="217" t="n"/>
      <c r="AB52" s="218">
        <f>J4</f>
        <v/>
      </c>
      <c r="AC52" s="219">
        <f>CONCATENATE(E3,", ",F3)</f>
        <v/>
      </c>
      <c r="AD52" s="220">
        <f>IF(E4=0," ",VLOOKUP(E4,[1]DATA!$A:$AAB,42,FALSE))</f>
        <v/>
      </c>
      <c r="AE52" s="221" t="n"/>
    </row>
    <row r="53" hidden="1" customFormat="1" s="155">
      <c r="A53" s="195">
        <f>IF(D17=0,"",D17)</f>
        <v/>
      </c>
      <c r="B53" s="196">
        <f>IF(OR(A17=0,A17="stock",A17="stk"),"",A17)</f>
        <v/>
      </c>
      <c r="C53" s="207" t="n"/>
      <c r="D53" s="198" t="n"/>
      <c r="E53" s="199" t="n"/>
      <c r="F53" s="199" t="n"/>
      <c r="G53" s="200" t="n"/>
      <c r="H53" s="198" t="n"/>
      <c r="I53" s="199" t="n"/>
      <c r="J53" s="501" t="n"/>
      <c r="K53" s="497" t="n"/>
      <c r="L53" s="497" t="n"/>
      <c r="M53" s="497" t="n"/>
      <c r="N53" s="497" t="n"/>
      <c r="O53" s="497" t="n"/>
      <c r="P53" s="497" t="n"/>
      <c r="Q53" s="497" t="n"/>
      <c r="R53" s="497" t="n"/>
      <c r="S53" s="498" t="n"/>
      <c r="T53" s="499" t="n"/>
      <c r="U53" s="205" t="n"/>
    </row>
    <row r="54" hidden="1" customFormat="1" s="155">
      <c r="A54" s="195">
        <f>IF(D18=0,"",D18)</f>
        <v/>
      </c>
      <c r="B54" s="196">
        <f>IF(OR(A18=0,A18="stock",A18="stk"),"",A18)</f>
        <v/>
      </c>
      <c r="C54" s="197" t="n"/>
      <c r="D54" s="198" t="n"/>
      <c r="E54" s="199" t="n"/>
      <c r="F54" s="199" t="n"/>
      <c r="G54" s="200" t="n"/>
      <c r="H54" s="198" t="n"/>
      <c r="I54" s="199" t="n"/>
      <c r="J54" s="501" t="n"/>
      <c r="K54" s="497" t="n"/>
      <c r="L54" s="497" t="n"/>
      <c r="M54" s="497" t="n"/>
      <c r="N54" s="497" t="n"/>
      <c r="O54" s="497" t="n"/>
      <c r="P54" s="497" t="n"/>
      <c r="Q54" s="497" t="n"/>
      <c r="R54" s="497" t="n"/>
      <c r="S54" s="498" t="n"/>
      <c r="T54" s="499" t="n"/>
      <c r="U54" s="205" t="n"/>
    </row>
    <row r="55" hidden="1" customFormat="1" s="155">
      <c r="A55" s="195">
        <f>IF(D19=0,"",D19)</f>
        <v/>
      </c>
      <c r="B55" s="196">
        <f>IF(OR(A19=0,A19="stock",A19="stk"),"",A19)</f>
        <v/>
      </c>
      <c r="C55" s="197" t="n"/>
      <c r="D55" s="198" t="n"/>
      <c r="E55" s="199" t="n"/>
      <c r="F55" s="199" t="n"/>
      <c r="G55" s="200" t="n"/>
      <c r="H55" s="198" t="n"/>
      <c r="I55" s="199" t="n"/>
      <c r="J55" s="501" t="n"/>
      <c r="K55" s="497" t="n"/>
      <c r="L55" s="497" t="n"/>
      <c r="M55" s="497" t="n"/>
      <c r="N55" s="497" t="n"/>
      <c r="O55" s="497" t="n"/>
      <c r="P55" s="497" t="n"/>
      <c r="Q55" s="497" t="n"/>
      <c r="R55" s="497" t="n"/>
      <c r="S55" s="498" t="n"/>
      <c r="T55" s="499" t="n"/>
      <c r="U55" s="205" t="n"/>
    </row>
    <row r="56" hidden="1" customFormat="1" s="155">
      <c r="A56" s="195">
        <f>IF(D20=0,"",D20)</f>
        <v/>
      </c>
      <c r="B56" s="196">
        <f>IF(OR(A20=0,A20="stock",A20="stk"),"",A20)</f>
        <v/>
      </c>
      <c r="C56" s="197" t="n"/>
      <c r="D56" s="198" t="n"/>
      <c r="E56" s="199" t="n"/>
      <c r="F56" s="199" t="n"/>
      <c r="G56" s="200" t="n"/>
      <c r="H56" s="198" t="n"/>
      <c r="I56" s="199" t="n"/>
      <c r="J56" s="501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8" t="n"/>
      <c r="T56" s="499" t="n"/>
      <c r="U56" s="205" t="n"/>
    </row>
    <row r="57" hidden="1" customFormat="1" s="155">
      <c r="A57" s="195">
        <f>IF(D21=0,"",D21)</f>
        <v/>
      </c>
      <c r="B57" s="196">
        <f>IF(OR(A21=0,A21="stock",A21="stk"),"",A21)</f>
        <v/>
      </c>
      <c r="C57" s="197" t="n"/>
      <c r="D57" s="198" t="n"/>
      <c r="E57" s="199" t="n"/>
      <c r="F57" s="199" t="n"/>
      <c r="G57" s="200" t="n"/>
      <c r="H57" s="198" t="n"/>
      <c r="I57" s="199" t="n"/>
      <c r="J57" s="501" t="n"/>
      <c r="K57" s="497" t="n"/>
      <c r="L57" s="497" t="n"/>
      <c r="M57" s="497" t="n"/>
      <c r="N57" s="497" t="n"/>
      <c r="O57" s="497" t="n"/>
      <c r="P57" s="497" t="n"/>
      <c r="Q57" s="497" t="n"/>
      <c r="R57" s="497" t="n"/>
      <c r="S57" s="498" t="n"/>
      <c r="T57" s="499" t="n"/>
      <c r="U57" s="205" t="n"/>
    </row>
    <row r="58" hidden="1" customFormat="1" s="155">
      <c r="A58" s="195">
        <f>IF(D22=0,"",D22)</f>
        <v/>
      </c>
      <c r="B58" s="196">
        <f>IF(OR(A22=0,A22="stock",A22="stk"),"",A22)</f>
        <v/>
      </c>
      <c r="C58" s="197" t="n"/>
      <c r="D58" s="198" t="n"/>
      <c r="E58" s="199" t="n"/>
      <c r="F58" s="199" t="n"/>
      <c r="G58" s="200" t="n"/>
      <c r="H58" s="198" t="n"/>
      <c r="I58" s="199" t="n"/>
      <c r="J58" s="501" t="n"/>
      <c r="K58" s="497" t="n"/>
      <c r="L58" s="497" t="n"/>
      <c r="M58" s="497" t="n"/>
      <c r="N58" s="497" t="n"/>
      <c r="O58" s="497" t="n"/>
      <c r="P58" s="497" t="n"/>
      <c r="Q58" s="497" t="n"/>
      <c r="R58" s="497" t="n"/>
      <c r="S58" s="498" t="n"/>
      <c r="T58" s="499" t="n"/>
      <c r="U58" s="205" t="n"/>
    </row>
    <row r="59" hidden="1" customFormat="1" s="155">
      <c r="A59" s="195">
        <f>IF(D23=0,"",D23)</f>
        <v/>
      </c>
      <c r="B59" s="196">
        <f>IF(OR(A23=0,A23="stock",A23="stk"),"",A23)</f>
        <v/>
      </c>
      <c r="C59" s="197" t="n"/>
      <c r="D59" s="198" t="n"/>
      <c r="E59" s="199" t="n"/>
      <c r="F59" s="199" t="n"/>
      <c r="G59" s="200" t="n"/>
      <c r="H59" s="198" t="n"/>
      <c r="I59" s="199" t="n"/>
      <c r="J59" s="501" t="n"/>
      <c r="K59" s="497" t="n"/>
      <c r="L59" s="497" t="n"/>
      <c r="M59" s="497" t="n"/>
      <c r="N59" s="497" t="n"/>
      <c r="O59" s="497" t="n"/>
      <c r="P59" s="497" t="n"/>
      <c r="Q59" s="497" t="n"/>
      <c r="R59" s="497" t="n"/>
      <c r="S59" s="498" t="n"/>
      <c r="T59" s="499" t="n"/>
      <c r="U59" s="205" t="n"/>
    </row>
    <row r="60" hidden="1" customFormat="1" s="155">
      <c r="A60" s="195">
        <f>IF(D24=0,"",D24)</f>
        <v/>
      </c>
      <c r="B60" s="196">
        <f>IF(OR(A24=0,A24="stock",A24="stk"),"",A24)</f>
        <v/>
      </c>
      <c r="C60" s="197" t="n"/>
      <c r="D60" s="198" t="n"/>
      <c r="E60" s="199" t="n"/>
      <c r="F60" s="199" t="n"/>
      <c r="G60" s="200" t="n"/>
      <c r="H60" s="198" t="n"/>
      <c r="I60" s="199" t="n"/>
      <c r="J60" s="501" t="n"/>
      <c r="K60" s="497" t="n"/>
      <c r="L60" s="497" t="n"/>
      <c r="M60" s="497" t="n"/>
      <c r="N60" s="497" t="n"/>
      <c r="O60" s="497" t="n"/>
      <c r="P60" s="497" t="n"/>
      <c r="Q60" s="497" t="n"/>
      <c r="R60" s="497" t="n"/>
      <c r="S60" s="498" t="n"/>
      <c r="T60" s="499" t="n"/>
      <c r="U60" s="205" t="n"/>
    </row>
    <row r="61" hidden="1" customFormat="1" s="155">
      <c r="A61" s="195">
        <f>IF(D25=0,"",D25)</f>
        <v/>
      </c>
      <c r="B61" s="196">
        <f>IF(OR(A25=0,A25="stock",A25="stk"),"",A25)</f>
        <v/>
      </c>
      <c r="C61" s="197" t="n"/>
      <c r="D61" s="198" t="n"/>
      <c r="E61" s="199" t="n"/>
      <c r="F61" s="199" t="n"/>
      <c r="G61" s="200" t="n"/>
      <c r="H61" s="198" t="n"/>
      <c r="I61" s="199" t="n"/>
      <c r="J61" s="501" t="n"/>
      <c r="K61" s="497" t="n"/>
      <c r="L61" s="497" t="n"/>
      <c r="M61" s="497" t="n"/>
      <c r="N61" s="497" t="n"/>
      <c r="O61" s="497" t="n"/>
      <c r="P61" s="497" t="n"/>
      <c r="Q61" s="497" t="n"/>
      <c r="R61" s="497" t="n"/>
      <c r="S61" s="498" t="n"/>
      <c r="T61" s="499" t="n"/>
      <c r="U61" s="205" t="n"/>
    </row>
    <row r="62" hidden="1" customFormat="1" s="155">
      <c r="A62" s="195">
        <f>IF(D26=0,"",D26)</f>
        <v/>
      </c>
      <c r="B62" s="196">
        <f>IF(OR(A26=0,A26="stock",A26="stk"),"",A26)</f>
        <v/>
      </c>
      <c r="C62" s="197" t="n"/>
      <c r="D62" s="198" t="n"/>
      <c r="E62" s="199" t="n"/>
      <c r="F62" s="199" t="n"/>
      <c r="G62" s="200" t="n"/>
      <c r="H62" s="198" t="n"/>
      <c r="I62" s="199" t="n"/>
      <c r="J62" s="501" t="n"/>
      <c r="K62" s="497" t="n"/>
      <c r="L62" s="497" t="n"/>
      <c r="M62" s="497" t="n"/>
      <c r="N62" s="497" t="n"/>
      <c r="O62" s="497" t="n"/>
      <c r="P62" s="497" t="n"/>
      <c r="Q62" s="497" t="n"/>
      <c r="R62" s="497" t="n"/>
      <c r="S62" s="498" t="n"/>
      <c r="T62" s="499" t="n"/>
      <c r="U62" s="205" t="n"/>
    </row>
    <row r="63" hidden="1" customFormat="1" s="155">
      <c r="A63" s="195">
        <f>IF(D27=0,"",D27)</f>
        <v/>
      </c>
      <c r="B63" s="196">
        <f>IF(OR(A27=0,A27="stock",A27="stk"),"",A27)</f>
        <v/>
      </c>
      <c r="C63" s="197" t="n"/>
      <c r="D63" s="198" t="n"/>
      <c r="E63" s="199" t="n"/>
      <c r="F63" s="199" t="n"/>
      <c r="G63" s="200" t="n"/>
      <c r="H63" s="198" t="n"/>
      <c r="I63" s="199" t="n"/>
      <c r="J63" s="501" t="n"/>
      <c r="K63" s="497" t="n"/>
      <c r="L63" s="497" t="n"/>
      <c r="M63" s="497" t="n"/>
      <c r="N63" s="497" t="n"/>
      <c r="O63" s="497" t="n"/>
      <c r="P63" s="497" t="n"/>
      <c r="Q63" s="497" t="n"/>
      <c r="R63" s="497" t="n"/>
      <c r="S63" s="498" t="n"/>
      <c r="T63" s="499" t="n"/>
      <c r="U63" s="205" t="n"/>
    </row>
    <row r="64" hidden="1" customFormat="1" s="155">
      <c r="A64" s="195">
        <f>IF(D28=0,"",D28)</f>
        <v/>
      </c>
      <c r="B64" s="196">
        <f>IF(OR(A28=0,A28="stock",A28="stk"),"",A28)</f>
        <v/>
      </c>
      <c r="C64" s="197" t="n"/>
      <c r="D64" s="198" t="n"/>
      <c r="E64" s="199" t="n"/>
      <c r="F64" s="199" t="n"/>
      <c r="G64" s="200" t="n"/>
      <c r="H64" s="198" t="n"/>
      <c r="I64" s="199" t="n"/>
      <c r="J64" s="501" t="n"/>
      <c r="K64" s="497" t="n"/>
      <c r="L64" s="497" t="n"/>
      <c r="M64" s="497" t="n"/>
      <c r="N64" s="497" t="n"/>
      <c r="O64" s="497" t="n"/>
      <c r="P64" s="497" t="n"/>
      <c r="Q64" s="497" t="n"/>
      <c r="R64" s="497" t="n"/>
      <c r="S64" s="498" t="n"/>
      <c r="T64" s="499" t="n"/>
      <c r="U64" s="205" t="n"/>
    </row>
    <row r="65" hidden="1" customFormat="1" s="155">
      <c r="A65" s="195">
        <f>IF(D29=0,"",D29)</f>
        <v/>
      </c>
      <c r="B65" s="196">
        <f>IF(OR(A29=0,A29="stock",A29="stk"),"",A29)</f>
        <v/>
      </c>
      <c r="C65" s="197" t="n"/>
      <c r="D65" s="198" t="n"/>
      <c r="E65" s="199" t="n"/>
      <c r="F65" s="199" t="n"/>
      <c r="G65" s="200" t="n"/>
      <c r="H65" s="198" t="n"/>
      <c r="I65" s="199" t="n"/>
      <c r="J65" s="501" t="n"/>
      <c r="K65" s="497" t="n"/>
      <c r="L65" s="497" t="n"/>
      <c r="M65" s="497" t="n"/>
      <c r="N65" s="497" t="n"/>
      <c r="O65" s="497" t="n"/>
      <c r="P65" s="497" t="n"/>
      <c r="Q65" s="497" t="n"/>
      <c r="R65" s="497" t="n"/>
      <c r="S65" s="498" t="n"/>
      <c r="T65" s="499" t="n"/>
      <c r="U65" s="205" t="n"/>
    </row>
    <row r="66" hidden="1" customFormat="1" s="155">
      <c r="A66" s="195">
        <f>IF(D30=0,"",D30)</f>
        <v/>
      </c>
      <c r="B66" s="196">
        <f>IF(OR(A30=0,A30="stock",A30="stk"),"",A30)</f>
        <v/>
      </c>
      <c r="C66" s="197" t="n"/>
      <c r="D66" s="198" t="n"/>
      <c r="E66" s="199" t="n"/>
      <c r="F66" s="199" t="n"/>
      <c r="G66" s="200" t="n"/>
      <c r="H66" s="198" t="n"/>
      <c r="I66" s="199" t="n"/>
      <c r="J66" s="501" t="n"/>
      <c r="K66" s="497" t="n"/>
      <c r="L66" s="497" t="n"/>
      <c r="M66" s="497" t="n"/>
      <c r="N66" s="497" t="n"/>
      <c r="O66" s="497" t="n"/>
      <c r="P66" s="497" t="n"/>
      <c r="Q66" s="497" t="n"/>
      <c r="R66" s="497" t="n"/>
      <c r="S66" s="498" t="n"/>
      <c r="T66" s="499" t="n"/>
      <c r="U66" s="205" t="n"/>
    </row>
    <row r="67" hidden="1" customFormat="1" s="155">
      <c r="A67" s="195">
        <f>IF(D31=0,"",D31)</f>
        <v/>
      </c>
      <c r="B67" s="196">
        <f>IF(OR(A31=0,A31="stock",A31="stk"),"",A31)</f>
        <v/>
      </c>
      <c r="C67" s="197" t="n"/>
      <c r="D67" s="198" t="n"/>
      <c r="E67" s="199" t="n"/>
      <c r="F67" s="199" t="n"/>
      <c r="G67" s="200" t="n"/>
      <c r="H67" s="198" t="n"/>
      <c r="I67" s="199" t="n"/>
      <c r="J67" s="501" t="n"/>
      <c r="K67" s="497" t="n"/>
      <c r="L67" s="497" t="n"/>
      <c r="M67" s="497" t="n"/>
      <c r="N67" s="497" t="n"/>
      <c r="O67" s="497" t="n"/>
      <c r="P67" s="497" t="n"/>
      <c r="Q67" s="497" t="n"/>
      <c r="R67" s="497" t="n"/>
      <c r="S67" s="498" t="n"/>
      <c r="T67" s="499" t="n"/>
      <c r="U67" s="205" t="n"/>
    </row>
    <row r="68" hidden="1" customFormat="1" s="155">
      <c r="A68" s="195">
        <f>IF(D32=0,"",D32)</f>
        <v/>
      </c>
      <c r="B68" s="196">
        <f>IF(OR(A32=0,A32="stock",A32="stk"),"",A32)</f>
        <v/>
      </c>
      <c r="C68" s="197" t="n"/>
      <c r="D68" s="198" t="n"/>
      <c r="E68" s="199" t="n"/>
      <c r="F68" s="199" t="n"/>
      <c r="G68" s="200" t="n"/>
      <c r="H68" s="198" t="n"/>
      <c r="I68" s="199" t="n"/>
      <c r="J68" s="501" t="n"/>
      <c r="K68" s="497" t="n"/>
      <c r="L68" s="497" t="n"/>
      <c r="M68" s="497" t="n"/>
      <c r="N68" s="497" t="n"/>
      <c r="O68" s="497" t="n"/>
      <c r="P68" s="497" t="n"/>
      <c r="Q68" s="497" t="n"/>
      <c r="R68" s="497" t="n"/>
      <c r="S68" s="498" t="n"/>
      <c r="T68" s="499" t="n"/>
      <c r="U68" s="205" t="n"/>
    </row>
    <row r="69" hidden="1" customFormat="1" s="155">
      <c r="A69" s="195">
        <f>IF(D33=0,"",D33)</f>
        <v/>
      </c>
      <c r="B69" s="196">
        <f>IF(OR(A33=0,A33="stock",A33="stk"),"",A33)</f>
        <v/>
      </c>
      <c r="C69" s="197" t="n"/>
      <c r="D69" s="198" t="n"/>
      <c r="E69" s="199" t="n"/>
      <c r="F69" s="199" t="n"/>
      <c r="G69" s="200" t="n"/>
      <c r="H69" s="198" t="n"/>
      <c r="I69" s="199" t="n"/>
      <c r="J69" s="501" t="n"/>
      <c r="K69" s="497" t="n"/>
      <c r="L69" s="497" t="n"/>
      <c r="M69" s="497" t="n"/>
      <c r="N69" s="497" t="n"/>
      <c r="O69" s="497" t="n"/>
      <c r="P69" s="497" t="n"/>
      <c r="Q69" s="497" t="n"/>
      <c r="R69" s="497" t="n"/>
      <c r="S69" s="498" t="n"/>
      <c r="T69" s="499" t="n"/>
      <c r="U69" s="205" t="n"/>
    </row>
    <row r="70" hidden="1" customFormat="1" s="155">
      <c r="A70" s="195">
        <f>IF(D34=0,"",D34)</f>
        <v/>
      </c>
      <c r="B70" s="196">
        <f>IF(OR(A34=0,A34="stock",A34="stk"),"",A34)</f>
        <v/>
      </c>
      <c r="C70" s="197" t="n"/>
      <c r="D70" s="198" t="n"/>
      <c r="E70" s="199" t="n"/>
      <c r="F70" s="199" t="n"/>
      <c r="G70" s="200" t="n"/>
      <c r="H70" s="198" t="n"/>
      <c r="I70" s="199" t="n"/>
      <c r="J70" s="501" t="n"/>
      <c r="K70" s="497" t="n"/>
      <c r="L70" s="497" t="n"/>
      <c r="M70" s="497" t="n"/>
      <c r="N70" s="497" t="n"/>
      <c r="O70" s="497" t="n"/>
      <c r="P70" s="497" t="n"/>
      <c r="Q70" s="497" t="n"/>
      <c r="R70" s="497" t="n"/>
      <c r="S70" s="498" t="n"/>
      <c r="T70" s="499" t="n"/>
      <c r="U70" s="205" t="n"/>
    </row>
    <row r="71" hidden="1" customFormat="1" s="155">
      <c r="A71" s="195">
        <f>IF(D35=0,"",D35)</f>
        <v/>
      </c>
      <c r="B71" s="196">
        <f>IF(OR(A35=0,A35="stock",A35="stk"),"",A35)</f>
        <v/>
      </c>
      <c r="C71" s="197" t="n"/>
      <c r="D71" s="198" t="n"/>
      <c r="E71" s="199" t="n"/>
      <c r="F71" s="199" t="n"/>
      <c r="G71" s="200" t="n"/>
      <c r="H71" s="198" t="n"/>
      <c r="I71" s="199" t="n"/>
      <c r="J71" s="501" t="n"/>
      <c r="K71" s="497" t="n"/>
      <c r="L71" s="497" t="n"/>
      <c r="M71" s="497" t="n"/>
      <c r="N71" s="497" t="n"/>
      <c r="O71" s="497" t="n"/>
      <c r="P71" s="497" t="n"/>
      <c r="Q71" s="497" t="n"/>
      <c r="R71" s="497" t="n"/>
      <c r="S71" s="498" t="n"/>
      <c r="T71" s="499" t="n"/>
      <c r="U71" s="205" t="n"/>
    </row>
    <row r="72" hidden="1" customFormat="1" s="155">
      <c r="A72" s="195">
        <f>IF(D36=0,"",D36)</f>
        <v/>
      </c>
      <c r="B72" s="196">
        <f>IF(OR(A36=0,A36="stock",A36="stk"),"",A36)</f>
        <v/>
      </c>
      <c r="C72" s="197" t="n"/>
      <c r="D72" s="198" t="n"/>
      <c r="E72" s="199" t="n"/>
      <c r="F72" s="199" t="n"/>
      <c r="G72" s="200" t="n"/>
      <c r="H72" s="198" t="n"/>
      <c r="I72" s="199" t="n"/>
      <c r="J72" s="501" t="n"/>
      <c r="K72" s="497" t="n"/>
      <c r="L72" s="497" t="n"/>
      <c r="M72" s="497" t="n"/>
      <c r="N72" s="497" t="n"/>
      <c r="O72" s="497" t="n"/>
      <c r="P72" s="497" t="n"/>
      <c r="Q72" s="497" t="n"/>
      <c r="R72" s="497" t="n"/>
      <c r="S72" s="498" t="n"/>
      <c r="T72" s="499" t="n"/>
      <c r="U72" s="205" t="n"/>
    </row>
    <row r="73" hidden="1" customFormat="1" s="155">
      <c r="A73" s="195">
        <f>IF(D37=0,"",D37)</f>
        <v/>
      </c>
      <c r="B73" s="196">
        <f>IF(OR(A37=0,A37="stock",A37="stk"),"",A37)</f>
        <v/>
      </c>
      <c r="C73" s="197" t="n"/>
      <c r="D73" s="198" t="n"/>
      <c r="E73" s="199" t="n"/>
      <c r="F73" s="199" t="n"/>
      <c r="G73" s="200" t="n"/>
      <c r="H73" s="198" t="n"/>
      <c r="I73" s="199" t="n"/>
      <c r="J73" s="501" t="n"/>
      <c r="K73" s="497" t="n"/>
      <c r="L73" s="497" t="n"/>
      <c r="M73" s="497" t="n"/>
      <c r="N73" s="497" t="n"/>
      <c r="O73" s="497" t="n"/>
      <c r="P73" s="497" t="n"/>
      <c r="Q73" s="497" t="n"/>
      <c r="R73" s="497" t="n"/>
      <c r="S73" s="498" t="n"/>
      <c r="T73" s="499" t="n"/>
      <c r="U73" s="205" t="n"/>
    </row>
    <row r="74" customFormat="1" s="155">
      <c r="A74" s="222" t="n"/>
      <c r="B74" s="222" t="n"/>
      <c r="C74" s="222" t="n"/>
      <c r="F74" s="223" t="n"/>
      <c r="G74" s="224" t="n"/>
      <c r="H74" s="225" t="n"/>
      <c r="I74" s="225" t="n"/>
      <c r="J74" s="225" t="n"/>
      <c r="K74" s="225" t="n"/>
      <c r="L74" s="225" t="n"/>
      <c r="M74" s="225" t="n"/>
      <c r="N74" s="224" t="n"/>
      <c r="O74" s="225" t="n"/>
      <c r="P74" s="205" t="n"/>
      <c r="Q74" s="225" t="n"/>
      <c r="R74" s="205" t="n"/>
      <c r="S74" s="225" t="n"/>
      <c r="T74" s="205" t="n"/>
      <c r="U74" s="205" t="n"/>
      <c r="AC74" s="156" t="n"/>
    </row>
  </sheetData>
  <mergeCells count="87">
    <mergeCell ref="E23:F23"/>
    <mergeCell ref="X3:X4"/>
    <mergeCell ref="B44:D44"/>
    <mergeCell ref="A7:B7"/>
    <mergeCell ref="E34:F34"/>
    <mergeCell ref="E27:F27"/>
    <mergeCell ref="E36:F36"/>
    <mergeCell ref="K6:V6"/>
    <mergeCell ref="F13:G13"/>
    <mergeCell ref="K3:V3"/>
    <mergeCell ref="S43:U43"/>
    <mergeCell ref="O11:P11"/>
    <mergeCell ref="K5:V5"/>
    <mergeCell ref="E22:F22"/>
    <mergeCell ref="W5:X8"/>
    <mergeCell ref="S12:S13"/>
    <mergeCell ref="A9:B9"/>
    <mergeCell ref="N45:U45"/>
    <mergeCell ref="Y15:Y16"/>
    <mergeCell ref="F10:G10"/>
    <mergeCell ref="I44:L44"/>
    <mergeCell ref="L2:V2"/>
    <mergeCell ref="A11:B11"/>
    <mergeCell ref="F6:G6"/>
    <mergeCell ref="AA15:AA16"/>
    <mergeCell ref="M48:Q48"/>
    <mergeCell ref="E38:F38"/>
    <mergeCell ref="R14:X14"/>
    <mergeCell ref="E40:F40"/>
    <mergeCell ref="K7:V7"/>
    <mergeCell ref="M8:M9"/>
    <mergeCell ref="V12:V13"/>
    <mergeCell ref="A8:B8"/>
    <mergeCell ref="E26:F26"/>
    <mergeCell ref="F9:G9"/>
    <mergeCell ref="Z15:Z16"/>
    <mergeCell ref="J14:L14"/>
    <mergeCell ref="W2:X2"/>
    <mergeCell ref="E16:F16"/>
    <mergeCell ref="E25:F25"/>
    <mergeCell ref="I43:L43"/>
    <mergeCell ref="A10:B10"/>
    <mergeCell ref="H42:L42"/>
    <mergeCell ref="E18:F18"/>
    <mergeCell ref="O8:Q9"/>
    <mergeCell ref="F4:G4"/>
    <mergeCell ref="T15:U15"/>
    <mergeCell ref="E39:F39"/>
    <mergeCell ref="F7:G7"/>
    <mergeCell ref="E20:F20"/>
    <mergeCell ref="E29:F29"/>
    <mergeCell ref="O12:O13"/>
    <mergeCell ref="I10:M13"/>
    <mergeCell ref="E31:F31"/>
    <mergeCell ref="I45:L45"/>
    <mergeCell ref="F8:G8"/>
    <mergeCell ref="A12:B12"/>
    <mergeCell ref="A45:D45"/>
    <mergeCell ref="D46:J46"/>
    <mergeCell ref="R8:V9"/>
    <mergeCell ref="P12:P13"/>
    <mergeCell ref="A14:B14"/>
    <mergeCell ref="K4:V4"/>
    <mergeCell ref="E32:F32"/>
    <mergeCell ref="E41:F41"/>
    <mergeCell ref="F14:G14"/>
    <mergeCell ref="R42:U42"/>
    <mergeCell ref="F11:G11"/>
    <mergeCell ref="E24:F24"/>
    <mergeCell ref="E33:F33"/>
    <mergeCell ref="R46:U46"/>
    <mergeCell ref="E17:F17"/>
    <mergeCell ref="A6:B6"/>
    <mergeCell ref="T47:U47"/>
    <mergeCell ref="E35:F35"/>
    <mergeCell ref="F12:G12"/>
    <mergeCell ref="E19:F19"/>
    <mergeCell ref="E28:F28"/>
    <mergeCell ref="W3:W4"/>
    <mergeCell ref="A15:G15"/>
    <mergeCell ref="E30:F30"/>
    <mergeCell ref="E2:F2"/>
    <mergeCell ref="N44:U44"/>
    <mergeCell ref="M47:Q47"/>
    <mergeCell ref="A13:B13"/>
    <mergeCell ref="E37:F37"/>
    <mergeCell ref="E21:F21"/>
  </mergeCells>
  <conditionalFormatting sqref="D17:D41">
    <cfRule type="expression" priority="1" dxfId="3">
      <formula>OR($AC17="Unavailable",$AC17="DISCONTINUED")</formula>
    </cfRule>
    <cfRule type="expression" priority="2" dxfId="2">
      <formula>"IF($AE$17=""UNAVAILABLE"")"</formula>
    </cfRule>
  </conditionalFormatting>
  <conditionalFormatting sqref="H4">
    <cfRule type="containsText" priority="3" operator="containsText" dxfId="0" text="Net 30">
      <formula>NOT(ISERROR(SEARCH("Net 30",H4)))</formula>
    </cfRule>
    <cfRule type="containsText" priority="4" operator="containsText" dxfId="0" text="Return Mail">
      <formula>NOT(ISERROR(SEARCH("Return Mail",H4)))</formula>
    </cfRule>
  </conditionalFormatting>
  <dataValidations count="5">
    <dataValidation sqref="P17:P41" showDropDown="0" showInputMessage="1" showErrorMessage="1" allowBlank="0" type="list">
      <formula1>$AF$1:$AF$21</formula1>
    </dataValidation>
    <dataValidation sqref="R8:V9" showDropDown="0" showInputMessage="1" showErrorMessage="1" allowBlank="0" type="list">
      <formula1>$AA$2:$AA$9</formula1>
    </dataValidation>
    <dataValidation sqref="R14:X14" showDropDown="0" showInputMessage="1" showErrorMessage="1" allowBlank="0" type="list">
      <formula1>$AD$17:$AD$33</formula1>
    </dataValidation>
    <dataValidation sqref="L2:V2" showDropDown="0" showInputMessage="1" showErrorMessage="1" allowBlank="0" type="list">
      <formula1>$W$9:$W$11</formula1>
    </dataValidation>
    <dataValidation sqref="N14:Q14" showDropDown="0" showInputMessage="1" showErrorMessage="1" allowBlank="0" type="list">
      <formula1>$AD$17:$AD$31</formula1>
    </dataValidation>
  </dataValidations>
  <printOptions horizontalCentered="1"/>
  <pageMargins left="0.25" right="0.25" top="0.3" bottom="0.3" header="0.2" footer="0.2"/>
  <pageSetup orientation="landscape" paperSize="1" scale="55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JimmyLee Smith</dc:creator>
  <dcterms:created xmlns:dcterms="http://purl.org/dc/terms/" xmlns:xsi="http://www.w3.org/2001/XMLSchema-instance" xsi:type="dcterms:W3CDTF">2001-08-10T20:27:47Z</dcterms:created>
  <dcterms:modified xmlns:dcterms="http://purl.org/dc/terms/" xmlns:xsi="http://www.w3.org/2001/XMLSchema-instance" xsi:type="dcterms:W3CDTF">2026-05-11T22:04:52Z</dcterms:modified>
  <cp:lastModifiedBy>Gideon Abramowitz</cp:lastModifiedBy>
  <cp:lastPrinted>2024-12-03T21:35:22Z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0x010100EEE8F96946B9924C81AC4DE92B4D3EF5</vt:lpwstr>
  </property>
  <property name="MediaServiceImageTags" fmtid="{D5CDD505-2E9C-101B-9397-08002B2CF9AE}" pid="3"/>
  <property name="Order" fmtid="{D5CDD505-2E9C-101B-9397-08002B2CF9AE}" pid="4">
    <vt:r8 xmlns:vt="http://schemas.openxmlformats.org/officeDocument/2006/docPropsVTypes">1832100</vt:r8>
  </property>
  <property name="xd_Signature" fmtid="{D5CDD505-2E9C-101B-9397-08002B2CF9AE}" pid="5">
    <vt:bool xmlns:vt="http://schemas.openxmlformats.org/officeDocument/2006/docPropsVTypes">0</vt:bool>
  </property>
  <property name="xd_ProgID" fmtid="{D5CDD505-2E9C-101B-9397-08002B2CF9AE}" pid="6"/>
  <property name="TriggerFlowInfo" fmtid="{D5CDD505-2E9C-101B-9397-08002B2CF9AE}" pid="7"/>
  <property name="ComplianceAssetId" fmtid="{D5CDD505-2E9C-101B-9397-08002B2CF9AE}" pid="8"/>
  <property name="TemplateUrl" fmtid="{D5CDD505-2E9C-101B-9397-08002B2CF9AE}" pid="9"/>
  <property name="_ExtendedDescription" fmtid="{D5CDD505-2E9C-101B-9397-08002B2CF9AE}" pid="10"/>
</Properties>
</file>