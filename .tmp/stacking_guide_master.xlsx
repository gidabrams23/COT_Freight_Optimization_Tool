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igtextrailers-my.sharepoint.com/personal/jake_mcentee_bigtextrailers_com/Documents/Desktop/MISC/"/>
    </mc:Choice>
  </mc:AlternateContent>
  <xr:revisionPtr revIDLastSave="43" documentId="8_{F3EED006-FAC5-4A8F-896E-0B737EECF2AD}" xr6:coauthVersionLast="47" xr6:coauthVersionMax="47" xr10:uidLastSave="{4DD4DEA7-29CA-4451-8C3F-11280198BC38}"/>
  <bookViews>
    <workbookView xWindow="55200" yWindow="3345" windowWidth="20475" windowHeight="15345" xr2:uid="{CA876E4B-AF50-4390-849D-E01F1F8F2D1B}"/>
  </bookViews>
  <sheets>
    <sheet name="Sketch Guide" sheetId="5" r:id="rId1"/>
    <sheet name="Dumps" sheetId="1" r:id="rId2"/>
    <sheet name="Goosenecks" sheetId="3" r:id="rId3"/>
    <sheet name="Data" sheetId="6" r:id="rId4"/>
  </sheets>
  <definedNames>
    <definedName name="_xlnm._FilterDatabase" localSheetId="3" hidden="1">Data!$A$1:$K$753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5" l="1"/>
  <c r="J40" i="5"/>
  <c r="F40" i="5"/>
  <c r="F24" i="5"/>
  <c r="C8" i="5"/>
  <c r="C22" i="5"/>
  <c r="F8" i="5"/>
  <c r="J8" i="5"/>
  <c r="J6" i="5"/>
  <c r="G42" i="5"/>
  <c r="H42" i="5" a="1"/>
  <c r="H42" i="5"/>
  <c r="I42" i="5"/>
  <c r="G43" i="5"/>
  <c r="H43" i="5" a="1"/>
  <c r="H43" i="5"/>
  <c r="I43" i="5"/>
  <c r="G44" i="5"/>
  <c r="H44" i="5" a="1"/>
  <c r="H44" i="5"/>
  <c r="I44" i="5"/>
  <c r="G45" i="5"/>
  <c r="H45" i="5" a="1"/>
  <c r="H45" i="5"/>
  <c r="I45" i="5"/>
  <c r="D42" i="5"/>
  <c r="E42" i="5"/>
  <c r="D43" i="5"/>
  <c r="E43" i="5"/>
  <c r="D44" i="5"/>
  <c r="E44" i="5"/>
  <c r="D45" i="5"/>
  <c r="E45" i="5"/>
  <c r="D47" i="5"/>
  <c r="E47" i="5"/>
  <c r="I62" i="5"/>
  <c r="I63" i="5"/>
  <c r="D11" i="5"/>
  <c r="E11" i="5"/>
  <c r="D12" i="5"/>
  <c r="E12" i="5"/>
  <c r="E10" i="5"/>
  <c r="D10" i="5"/>
  <c r="C56" i="5"/>
  <c r="L65" i="5"/>
  <c r="C60" i="5" s="1"/>
  <c r="L64" i="5"/>
  <c r="C58" i="5" s="1"/>
  <c r="L63" i="5"/>
  <c r="L62" i="5"/>
  <c r="C54" i="5" s="1"/>
  <c r="K63" i="5"/>
  <c r="K64" i="5"/>
  <c r="K65" i="5"/>
  <c r="K62" i="5"/>
  <c r="H63" i="5"/>
  <c r="G63" i="5"/>
  <c r="H62" i="5"/>
  <c r="G62" i="5"/>
  <c r="H64" i="5"/>
  <c r="H65" i="5"/>
  <c r="G65" i="5"/>
  <c r="G64" i="5"/>
  <c r="L43" i="5" a="1"/>
  <c r="L43" i="5" s="1"/>
  <c r="L44" i="5" a="1"/>
  <c r="L44" i="5" s="1"/>
  <c r="L45" i="5" a="1"/>
  <c r="L45" i="5" s="1"/>
  <c r="L46" i="5" a="1"/>
  <c r="L46" i="5" s="1"/>
  <c r="L42" i="5" a="1"/>
  <c r="L42" i="5" s="1"/>
  <c r="H46" i="5" a="1"/>
  <c r="H46" i="5" s="1"/>
  <c r="H47" i="5" a="1"/>
  <c r="H47" i="5" s="1"/>
  <c r="K46" i="5"/>
  <c r="K45" i="5"/>
  <c r="K44" i="5"/>
  <c r="K43" i="5"/>
  <c r="K42" i="5"/>
  <c r="G47" i="5"/>
  <c r="G46" i="5"/>
  <c r="E46" i="5"/>
  <c r="C38" i="5" s="1"/>
  <c r="D46" i="5"/>
  <c r="H31" i="5" a="1"/>
  <c r="H31" i="5" s="1"/>
  <c r="L27" i="5"/>
  <c r="L28" i="5"/>
  <c r="L29" i="5"/>
  <c r="L30" i="5"/>
  <c r="L26" i="5"/>
  <c r="K30" i="5"/>
  <c r="K29" i="5"/>
  <c r="K28" i="5"/>
  <c r="K27" i="5"/>
  <c r="K26" i="5"/>
  <c r="E31" i="5"/>
  <c r="D31" i="5"/>
  <c r="E30" i="5"/>
  <c r="D30" i="5"/>
  <c r="E29" i="5"/>
  <c r="D29" i="5"/>
  <c r="E28" i="5"/>
  <c r="D28" i="5"/>
  <c r="E27" i="5"/>
  <c r="D27" i="5"/>
  <c r="E26" i="5"/>
  <c r="D26" i="5"/>
  <c r="E13" i="5"/>
  <c r="E14" i="5"/>
  <c r="E15" i="5"/>
  <c r="D13" i="5"/>
  <c r="D14" i="5"/>
  <c r="D15" i="5"/>
  <c r="L10" i="5" a="1"/>
  <c r="L10" i="5" s="1"/>
  <c r="K10" i="5"/>
  <c r="H10" i="5" a="1"/>
  <c r="H10" i="5" s="1"/>
  <c r="G10" i="5"/>
  <c r="L12" i="5" a="1"/>
  <c r="L12" i="5" s="1"/>
  <c r="L13" i="5" a="1"/>
  <c r="L13" i="5" s="1"/>
  <c r="L14" i="5" a="1"/>
  <c r="L14" i="5" s="1"/>
  <c r="L11" i="5" a="1"/>
  <c r="L11" i="5" s="1"/>
  <c r="K12" i="5"/>
  <c r="K13" i="5"/>
  <c r="K14" i="5"/>
  <c r="K11" i="5"/>
  <c r="H12" i="5" a="1"/>
  <c r="H12" i="5" s="1"/>
  <c r="H13" i="5" a="1"/>
  <c r="H13" i="5" s="1"/>
  <c r="H14" i="5" a="1"/>
  <c r="H14" i="5" s="1"/>
  <c r="H15" i="5" a="1"/>
  <c r="H15" i="5" s="1"/>
  <c r="H11" i="5" a="1"/>
  <c r="H11" i="5" s="1"/>
  <c r="G12" i="5"/>
  <c r="G13" i="5"/>
  <c r="G14" i="5"/>
  <c r="G15" i="5"/>
  <c r="G11" i="5"/>
  <c r="I65" i="5" l="1"/>
  <c r="F38" i="5"/>
  <c r="I64" i="5"/>
  <c r="I47" i="5"/>
  <c r="I46" i="5"/>
  <c r="J38" i="5"/>
  <c r="C24" i="5"/>
  <c r="I26" i="5"/>
  <c r="I28" i="5"/>
  <c r="I29" i="5"/>
  <c r="I27" i="5"/>
  <c r="I30" i="5"/>
  <c r="I10" i="5"/>
  <c r="I31" i="5"/>
  <c r="I15" i="5"/>
  <c r="I14" i="5"/>
  <c r="I13" i="5"/>
  <c r="I12" i="5"/>
  <c r="I11" i="5"/>
  <c r="F52" i="5" l="1"/>
  <c r="F36" i="5"/>
  <c r="F4" i="5"/>
  <c r="F20" i="5"/>
  <c r="C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<sst xmlns="http://schemas.openxmlformats.org/spreadsheetml/2006/main" count="3064" uniqueCount="927">
  <si>
    <t>Standard Combinations for Mix Utility/Car/Equip/Tilt  Loads</t>
  </si>
  <si>
    <t>Overall length Cannot Exceed 53'</t>
  </si>
  <si>
    <t>Max Length of Stack #1 &amp; Stack #2 cannot exceed 40'</t>
  </si>
  <si>
    <t>Max Length on Stack #3 Cannot Exceed 15.5'</t>
  </si>
  <si>
    <t>Stack #1 Height Cannot Exceed 5.25</t>
  </si>
  <si>
    <t>Stack #2 Height Cannot Exceed 5.25</t>
  </si>
  <si>
    <t>Stack #3 Height Cannot Exceed 4</t>
  </si>
  <si>
    <t>Stack #1 - Rear of Semi</t>
  </si>
  <si>
    <t>Stack #2 - Middle of Semi</t>
  </si>
  <si>
    <t>Stack #3 - Front of Semi</t>
  </si>
  <si>
    <t>3 Stack Combination</t>
  </si>
  <si>
    <t>for Utilities</t>
  </si>
  <si>
    <t>Max Length of Stack #1 &amp; Stack #2 cannot exceed 40.5'</t>
  </si>
  <si>
    <t>Stack #1 Height Cannot Exceed 5</t>
  </si>
  <si>
    <t>2 Stack Combination</t>
  </si>
  <si>
    <t xml:space="preserve">Stack #2 will be a single unit if the </t>
  </si>
  <si>
    <t>length works and cannot be a SV or TV</t>
  </si>
  <si>
    <t>Stack #1 Length Cannot Exceed 21'</t>
  </si>
  <si>
    <t>Stack #2 Length Cannot Exceed 16'</t>
  </si>
  <si>
    <t>Max Length on Stack #3 Cannot Exceed 16'</t>
  </si>
  <si>
    <t>Stack #2 Height Cannot Exceed 5</t>
  </si>
  <si>
    <t>Stack #3 Height Cannot Exceed 5</t>
  </si>
  <si>
    <t xml:space="preserve">Dump Load </t>
  </si>
  <si>
    <t>Combination</t>
  </si>
  <si>
    <t>To Get (4) Goosenecks on a load, Fourth  Trailer must be 44' overall or shorter</t>
  </si>
  <si>
    <t>To Get (4) Goosenecks on a load, Third trailer must be the same length or longer as Fourth Trailer</t>
  </si>
  <si>
    <t>To Get (4) Goosenecks on a load, Second  Trailer must be 42' overall or longer</t>
  </si>
  <si>
    <t>To Get (4) Goosenecks on a load, First Trailer Cannot Exceed 34' overall  with Dovetail, or 29' overall straight deck</t>
  </si>
  <si>
    <t xml:space="preserve">Goosenecks </t>
  </si>
  <si>
    <t>4TH</t>
  </si>
  <si>
    <t>3RD</t>
  </si>
  <si>
    <t>2ND</t>
  </si>
  <si>
    <t>1ST</t>
  </si>
  <si>
    <t>GN Exceptions:</t>
  </si>
  <si>
    <t>(3) 40' goosenecks is a full load</t>
  </si>
  <si>
    <t>If all goosencks are 14GN/16GN you can stack (4) with shorter lengths</t>
  </si>
  <si>
    <t>Pintles will stack the same as 14GN/16GN in combinations</t>
  </si>
  <si>
    <t>Standard Combinations for Dump Loads</t>
  </si>
  <si>
    <t>Dump Models</t>
  </si>
  <si>
    <t>Width</t>
  </si>
  <si>
    <t xml:space="preserve">Notes: </t>
  </si>
  <si>
    <t>A 6' x 10' or 6' x 12'  wide trailer can be substituted in place of a 7' wide trailer.  If only replacing one unit, the 6' wide must be on the top of the stack.</t>
  </si>
  <si>
    <t>70SR</t>
  </si>
  <si>
    <t xml:space="preserve">5' </t>
  </si>
  <si>
    <t>If you have a load with all 10' long dumps, you can get four stacks of  two</t>
  </si>
  <si>
    <t>90SR</t>
  </si>
  <si>
    <t>6'</t>
  </si>
  <si>
    <t>You can stuff a 5' x 8' or 5'x 10' utility, Vanguard or dump inside the top dump in Stack #1 &amp; Stack #2</t>
  </si>
  <si>
    <t>10LX</t>
  </si>
  <si>
    <t>7'</t>
  </si>
  <si>
    <t>25DU is 92" inside width so you can only stuff a 5' wide trailer inside</t>
  </si>
  <si>
    <t>14LX</t>
  </si>
  <si>
    <t>14LP</t>
  </si>
  <si>
    <t>14TD</t>
  </si>
  <si>
    <t xml:space="preserve">Exceptions: </t>
  </si>
  <si>
    <t>A 20LP-16 dump has 3' sides standard, so you can only get a 2' sided dump on top of it.</t>
  </si>
  <si>
    <t>14XD</t>
  </si>
  <si>
    <t>If Stack #1 and Stack #2 have a TD model that is 16' then the step deck needs to be 12' or smaller</t>
  </si>
  <si>
    <t>14GX</t>
  </si>
  <si>
    <t>If a GN Dump is added to the load, you cannot stuff a unit in stack #1</t>
  </si>
  <si>
    <t>14GT</t>
  </si>
  <si>
    <t>If a dump has hydraulic jacks(s), it cannot go in the Stack #2.  It has to go in either Stack #1 or Stack #3</t>
  </si>
  <si>
    <t>16LP</t>
  </si>
  <si>
    <t>16TD</t>
  </si>
  <si>
    <t>16GX</t>
  </si>
  <si>
    <t xml:space="preserve">7' </t>
  </si>
  <si>
    <t>20LP</t>
  </si>
  <si>
    <t>20GX</t>
  </si>
  <si>
    <t>All Bumper</t>
  </si>
  <si>
    <t>7' x 12', 14' or 16' -2' or 4' sides</t>
  </si>
  <si>
    <t>7' x 12' or 14' -2' sides</t>
  </si>
  <si>
    <t>25DU</t>
  </si>
  <si>
    <t>92"</t>
  </si>
  <si>
    <t>7' x 12', 14' or 16' -2' sides</t>
  </si>
  <si>
    <t>or</t>
  </si>
  <si>
    <t>7' x 12', or 14' -4' sides</t>
  </si>
  <si>
    <t xml:space="preserve">GN Dump </t>
  </si>
  <si>
    <t>7' x 14' or 16' GN dump - 2' or 4' sides</t>
  </si>
  <si>
    <t>Included</t>
  </si>
  <si>
    <t>2 GN Dumps</t>
  </si>
  <si>
    <t>7' x 14' or 16' GN dump - 2' sides</t>
  </si>
  <si>
    <t>5' x 10', 6' x 10', 6' x 12', 7' x 12' - 2' sides</t>
  </si>
  <si>
    <t>All GN Dumps</t>
  </si>
  <si>
    <t>(1) 25DU load</t>
  </si>
  <si>
    <t xml:space="preserve">Stack #1 can consist of (5) units up to </t>
  </si>
  <si>
    <t>22' max length, no Vanguard</t>
  </si>
  <si>
    <t xml:space="preserve">20' if no units have sides.  You can </t>
  </si>
  <si>
    <t xml:space="preserve">get (4) units if they have sides.  </t>
  </si>
  <si>
    <t xml:space="preserve">No OA/OT models can go in this </t>
  </si>
  <si>
    <t>25DU-20</t>
  </si>
  <si>
    <t>stack.</t>
  </si>
  <si>
    <t>(2) 25DU Load</t>
  </si>
  <si>
    <t>20' max length, no Vanguard</t>
  </si>
  <si>
    <t>Standard Combinations for Gooseneck Loads</t>
  </si>
  <si>
    <t>GN Models</t>
  </si>
  <si>
    <t>Wheels</t>
  </si>
  <si>
    <t>If all units are tandem dual, the bottom trailer must be a 20+5 or shorter and second trailer must be a 33' or longer</t>
  </si>
  <si>
    <t>14GN</t>
  </si>
  <si>
    <t>Single</t>
  </si>
  <si>
    <t>If you have all single wheels, then you can have a (4) stack of 20+5 and 25+5 units</t>
  </si>
  <si>
    <t>16GN</t>
  </si>
  <si>
    <t>If you have a mix of tandem dual and single, the shortest goes on the bottom then the longest to shortest</t>
  </si>
  <si>
    <t>14PH</t>
  </si>
  <si>
    <t>If you have all PH models, stack them longest to shortest</t>
  </si>
  <si>
    <t>22GN</t>
  </si>
  <si>
    <t>Dual</t>
  </si>
  <si>
    <t>If all units single wheel, tandem dual or comnbination of both are 20+5, then you can still get (4) on a load</t>
  </si>
  <si>
    <t>25GN</t>
  </si>
  <si>
    <t>(3) 40' goosenecks is a full semi load</t>
  </si>
  <si>
    <t>22PH</t>
  </si>
  <si>
    <t>An OA model can replace any gooseneck or pintle(20+5 or 25+5), but cannot be the bottom trailer on a the load.</t>
  </si>
  <si>
    <t>25PH</t>
  </si>
  <si>
    <t>If you do not have a unit that is, or less than 25' overall, then you can only get three goosenecks on a semi load.</t>
  </si>
  <si>
    <t>If you do a one ton load, you cannot have more than (2) the same length, you have to stack longest to shortest and you cannot exceed the GVWR of the bottom trailer</t>
  </si>
  <si>
    <t>Semi Stacks</t>
  </si>
  <si>
    <t xml:space="preserve">All Tandem </t>
  </si>
  <si>
    <t>GN - 33' or shorter or PH - 30' or shorter</t>
  </si>
  <si>
    <t>Duals</t>
  </si>
  <si>
    <t>GN - 40' or shorter</t>
  </si>
  <si>
    <t>GN - 33' to 40'</t>
  </si>
  <si>
    <t>GN - 20+5 or shorter - PH - 20+5 or shorter</t>
  </si>
  <si>
    <t xml:space="preserve">All Single </t>
  </si>
  <si>
    <t>GN - 30' or shorter or PH - 30' or shorter</t>
  </si>
  <si>
    <t xml:space="preserve">Mix of Tandem </t>
  </si>
  <si>
    <t xml:space="preserve">Dual &amp; Single </t>
  </si>
  <si>
    <t>Wheel</t>
  </si>
  <si>
    <t>GN - 25+5 or shorter - PH - 20+5 or shorter</t>
  </si>
  <si>
    <t>Mcat</t>
  </si>
  <si>
    <t>Tier</t>
  </si>
  <si>
    <t>Model</t>
  </si>
  <si>
    <t>ItemNumber</t>
  </si>
  <si>
    <t>GVWR</t>
  </si>
  <si>
    <t>Floor Type</t>
  </si>
  <si>
    <t>Bed Length</t>
  </si>
  <si>
    <t>Tongue</t>
  </si>
  <si>
    <t>Stack Height</t>
  </si>
  <si>
    <t>CAR HAULER</t>
  </si>
  <si>
    <t>10CH</t>
  </si>
  <si>
    <t>10CH-16</t>
  </si>
  <si>
    <t>Wood</t>
  </si>
  <si>
    <t>10CH-16BKDT</t>
  </si>
  <si>
    <t>10CH-18</t>
  </si>
  <si>
    <t>10CH-18BK</t>
  </si>
  <si>
    <t>10CH-18BKDT</t>
  </si>
  <si>
    <t>10CH-20</t>
  </si>
  <si>
    <t>10CH-20BK</t>
  </si>
  <si>
    <t>10CH-20BKDT</t>
  </si>
  <si>
    <t>10CH-20BKDT5FUR</t>
  </si>
  <si>
    <t>10DM</t>
  </si>
  <si>
    <t>10DM-18</t>
  </si>
  <si>
    <t>Steel</t>
  </si>
  <si>
    <t>10DM-18BK</t>
  </si>
  <si>
    <t>10DM-20</t>
  </si>
  <si>
    <t>10DM-20BK</t>
  </si>
  <si>
    <t>10DM-22</t>
  </si>
  <si>
    <t>10DM-22BK</t>
  </si>
  <si>
    <t>60EC</t>
  </si>
  <si>
    <t>60EC-14</t>
  </si>
  <si>
    <t>60EC-14BK</t>
  </si>
  <si>
    <t>60EC-14BK2B</t>
  </si>
  <si>
    <t>60EC-16</t>
  </si>
  <si>
    <t>60EC-16BK</t>
  </si>
  <si>
    <t>60EC-16BK2B</t>
  </si>
  <si>
    <t>60EC-18BK</t>
  </si>
  <si>
    <t>60EC-18BK2B</t>
  </si>
  <si>
    <t>70CH</t>
  </si>
  <si>
    <t>70CH-14</t>
  </si>
  <si>
    <t>70CH-14BK</t>
  </si>
  <si>
    <t>70CH-14BK2B</t>
  </si>
  <si>
    <t>70CH-14BK-GA</t>
  </si>
  <si>
    <t>70CH-16</t>
  </si>
  <si>
    <t>70CH-16BK</t>
  </si>
  <si>
    <t>70CH-16BK2B</t>
  </si>
  <si>
    <t>70CH-16BKDT</t>
  </si>
  <si>
    <t>70CH-16BKDT2B</t>
  </si>
  <si>
    <t>70CH-16BKDT-GA</t>
  </si>
  <si>
    <t>70CH-18</t>
  </si>
  <si>
    <t>70CH-18BK</t>
  </si>
  <si>
    <t>70CH-18BK2B</t>
  </si>
  <si>
    <t>70CH-18BKDT</t>
  </si>
  <si>
    <t>70CH-18BKDT2B</t>
  </si>
  <si>
    <t>70CH-18BKDT-GA</t>
  </si>
  <si>
    <t>70CH-18BK-GA</t>
  </si>
  <si>
    <t>70CH-20</t>
  </si>
  <si>
    <t>70CH-20BK</t>
  </si>
  <si>
    <t>70CH-20BK2B</t>
  </si>
  <si>
    <t>70CH-20BKDT</t>
  </si>
  <si>
    <t>70CH-20BKDT2B</t>
  </si>
  <si>
    <t>70CH-20BKDT-GA</t>
  </si>
  <si>
    <t>70CH-20BK-GA</t>
  </si>
  <si>
    <t>70DM</t>
  </si>
  <si>
    <t>70DM-18</t>
  </si>
  <si>
    <t>70DM-18BK</t>
  </si>
  <si>
    <t>70DM-18BK2B</t>
  </si>
  <si>
    <t>70DM-18BK-GA</t>
  </si>
  <si>
    <t>70DM-20</t>
  </si>
  <si>
    <t>70DM-20BK</t>
  </si>
  <si>
    <t>70DM-20BK2B</t>
  </si>
  <si>
    <t>70DM-20BK-GA</t>
  </si>
  <si>
    <t>DECK-OVER, TAG-ALONG</t>
  </si>
  <si>
    <t>14PH-20</t>
  </si>
  <si>
    <t>14PH-20+5</t>
  </si>
  <si>
    <t>14PH-20BK+5</t>
  </si>
  <si>
    <t>14PH-20BK+5MR</t>
  </si>
  <si>
    <t>14PH-25</t>
  </si>
  <si>
    <t>14PH-25+5</t>
  </si>
  <si>
    <t>14PH-25BK+5MR</t>
  </si>
  <si>
    <t>14PH-30</t>
  </si>
  <si>
    <t>16PH</t>
  </si>
  <si>
    <t>16PH-20+5</t>
  </si>
  <si>
    <t>22PH-20+5</t>
  </si>
  <si>
    <t>22PH-20BK+5</t>
  </si>
  <si>
    <t>22PH-20BK+5MR</t>
  </si>
  <si>
    <t>22PH-25</t>
  </si>
  <si>
    <t>22PH-25+5</t>
  </si>
  <si>
    <t>22PH-25BK+5MR</t>
  </si>
  <si>
    <t>25PH-20+5</t>
  </si>
  <si>
    <t>25PH-20BK+5</t>
  </si>
  <si>
    <t>25PH-20BK+5MR</t>
  </si>
  <si>
    <t>25PH-25</t>
  </si>
  <si>
    <t>25PH-25+5</t>
  </si>
  <si>
    <t>25PH-25BK+5</t>
  </si>
  <si>
    <t>25PH-25BK+5MR</t>
  </si>
  <si>
    <t>3XPH</t>
  </si>
  <si>
    <t>3XPH-20+5</t>
  </si>
  <si>
    <t>3XPH-25+5</t>
  </si>
  <si>
    <t>4XPH</t>
  </si>
  <si>
    <t>4XPH-20</t>
  </si>
  <si>
    <t>4XPH-20+5</t>
  </si>
  <si>
    <t>4XPH-24+5</t>
  </si>
  <si>
    <t>5XPH</t>
  </si>
  <si>
    <t>5XPH-28+5</t>
  </si>
  <si>
    <t>DUMP</t>
  </si>
  <si>
    <t>10LX-10</t>
  </si>
  <si>
    <t>10LX-12</t>
  </si>
  <si>
    <t>10LX-12BK6SIR</t>
  </si>
  <si>
    <t>10SR</t>
  </si>
  <si>
    <t>10SR-12XL</t>
  </si>
  <si>
    <t>10SR-12XLBK6SIR</t>
  </si>
  <si>
    <t>12SR</t>
  </si>
  <si>
    <t>12SR-12XL</t>
  </si>
  <si>
    <t>12SR-12XLBK6SIR</t>
  </si>
  <si>
    <t>13BN</t>
  </si>
  <si>
    <t>14GT-14</t>
  </si>
  <si>
    <t>14GT-14BK6-P4</t>
  </si>
  <si>
    <t>14GT-14BK6SIR</t>
  </si>
  <si>
    <t>14GT-16</t>
  </si>
  <si>
    <t>14GT-16BK6-P4</t>
  </si>
  <si>
    <t>14GT-16BK6SIR</t>
  </si>
  <si>
    <t>14GX-14</t>
  </si>
  <si>
    <t>14GX-14BK6-P3</t>
  </si>
  <si>
    <t>14GX-14BK6-P4</t>
  </si>
  <si>
    <t>14GX-14BK6SIRPD</t>
  </si>
  <si>
    <t>14GX-16</t>
  </si>
  <si>
    <t>14GX-16BK6-P3</t>
  </si>
  <si>
    <t>14GX-16BK6-P4</t>
  </si>
  <si>
    <t>14GX-16BK6SIRPD</t>
  </si>
  <si>
    <t>14LP-12</t>
  </si>
  <si>
    <t>14LP-12BK6-P3</t>
  </si>
  <si>
    <t>14LP-12BK6-P4</t>
  </si>
  <si>
    <t>14LP-12BK6SIRPD</t>
  </si>
  <si>
    <t>14LP-14</t>
  </si>
  <si>
    <t>14LP-14BK6-12KHJ</t>
  </si>
  <si>
    <t>14LP-14BK6-12KHJ-P4</t>
  </si>
  <si>
    <t>14LP-14BK6-P3</t>
  </si>
  <si>
    <t>14LP-14BK6-P4</t>
  </si>
  <si>
    <t>14LP-14BK6SIRPD</t>
  </si>
  <si>
    <t>14LP-14BL6-P4</t>
  </si>
  <si>
    <t>14LP-14BL6SIRPD</t>
  </si>
  <si>
    <t>14LP-14DT6-P4</t>
  </si>
  <si>
    <t>14LP-14DT6SIRPD</t>
  </si>
  <si>
    <t>14LP-14GY6-P4</t>
  </si>
  <si>
    <t>14LP-14GY6SIRPD</t>
  </si>
  <si>
    <t>14LP-14SG6-P4</t>
  </si>
  <si>
    <t>14LP-14SG6SIRPD</t>
  </si>
  <si>
    <t>14LP-14WH6-P4</t>
  </si>
  <si>
    <t>14LP-14WH6SIRPD</t>
  </si>
  <si>
    <t>14LP-16</t>
  </si>
  <si>
    <t>14LP-16BK6-12KHJ</t>
  </si>
  <si>
    <t>14LP-16BK6-12KHJ-P4</t>
  </si>
  <si>
    <t>14LP-16BK6-P3</t>
  </si>
  <si>
    <t>14LP-16BK6-P4</t>
  </si>
  <si>
    <t>14LP-16BK6SIRPD</t>
  </si>
  <si>
    <t>14LP-16BL6SIRPD</t>
  </si>
  <si>
    <t>14LP-16DT6SIRPD</t>
  </si>
  <si>
    <t>14LP-16GY6SIRPD</t>
  </si>
  <si>
    <t>14LP-16SG6SIRPD</t>
  </si>
  <si>
    <t>14LP-16WH6SIRPD</t>
  </si>
  <si>
    <t>14LX-14</t>
  </si>
  <si>
    <t>14LX-14BK7SIRPD</t>
  </si>
  <si>
    <t>14LX-14C2A-BK</t>
  </si>
  <si>
    <t>14LX-14C4A-BK</t>
  </si>
  <si>
    <t>14LX-16BK-P4</t>
  </si>
  <si>
    <t>14RB</t>
  </si>
  <si>
    <t>14RB-14</t>
  </si>
  <si>
    <t>14RB-14BK</t>
  </si>
  <si>
    <t>14RD</t>
  </si>
  <si>
    <t>14RD-14</t>
  </si>
  <si>
    <t>14RD-14BK</t>
  </si>
  <si>
    <t>14TD-14</t>
  </si>
  <si>
    <t>14TD-14BK6-P3</t>
  </si>
  <si>
    <t>14TD-14BK6-P4</t>
  </si>
  <si>
    <t>14TD-14BK6SIR</t>
  </si>
  <si>
    <t>14TD-16</t>
  </si>
  <si>
    <t>14TD-16BK6-P3</t>
  </si>
  <si>
    <t>14TD-16BK6-P4</t>
  </si>
  <si>
    <t>14TD-16BK6SIR</t>
  </si>
  <si>
    <t>14XD-14C2A</t>
  </si>
  <si>
    <t>14XD-14C2A-BK</t>
  </si>
  <si>
    <t>14XD-14C2A-BK-12KHJ</t>
  </si>
  <si>
    <t>14XD-14C4A</t>
  </si>
  <si>
    <t>14XD-14C4A-BK</t>
  </si>
  <si>
    <t>14XD-16C2A</t>
  </si>
  <si>
    <t>14XD-16C2A-BK</t>
  </si>
  <si>
    <t>14XD-16C4A</t>
  </si>
  <si>
    <t>14XD-16C4A-BK</t>
  </si>
  <si>
    <t>16GX-14</t>
  </si>
  <si>
    <t>16GX-14BK6-P4</t>
  </si>
  <si>
    <t>16GX-14BK6SIRPD</t>
  </si>
  <si>
    <t>16GX-16</t>
  </si>
  <si>
    <t>16GX-16BK6-P3</t>
  </si>
  <si>
    <t>16GX-16BK6-P4</t>
  </si>
  <si>
    <t>16GX-16BK6SIRPD</t>
  </si>
  <si>
    <t>16LP-14</t>
  </si>
  <si>
    <t>16LP-14BK6-12KHJ</t>
  </si>
  <si>
    <t>16LP-14BK6-12KHJ-P4</t>
  </si>
  <si>
    <t>16LP-14BK6-P3</t>
  </si>
  <si>
    <t>16LP-14BK6-P4</t>
  </si>
  <si>
    <t>16LP-14BK6SIRPD</t>
  </si>
  <si>
    <t>16LP-16</t>
  </si>
  <si>
    <t>16LP-16BK6-12KHJ</t>
  </si>
  <si>
    <t>16LP-16BK6-12KHJ-P4</t>
  </si>
  <si>
    <t>16LP-16BK6-P3</t>
  </si>
  <si>
    <t>16LP-16BK6-P4</t>
  </si>
  <si>
    <t>16LP-16BK6SIRPD</t>
  </si>
  <si>
    <t>16RB</t>
  </si>
  <si>
    <t>16RB-14BK</t>
  </si>
  <si>
    <t>16RD</t>
  </si>
  <si>
    <t>16RD-14</t>
  </si>
  <si>
    <t>16RD-14BK</t>
  </si>
  <si>
    <t>16TD-16BK6SIR</t>
  </si>
  <si>
    <t>20GX-16</t>
  </si>
  <si>
    <t>20GX-16BK6-P4</t>
  </si>
  <si>
    <t>20GX-16BK6SIRPD</t>
  </si>
  <si>
    <t>20LP-16</t>
  </si>
  <si>
    <t>20LP-16BK6-P4</t>
  </si>
  <si>
    <t>20LP-16BK6SIRPD</t>
  </si>
  <si>
    <t>25DU-18</t>
  </si>
  <si>
    <t>25DU-20BK8SIR</t>
  </si>
  <si>
    <t>25DU-20P</t>
  </si>
  <si>
    <t>70SR-10-5WDD</t>
  </si>
  <si>
    <t>90SR-10</t>
  </si>
  <si>
    <t>90SR-10BK6SIR</t>
  </si>
  <si>
    <t>90SR-10BK7SIR</t>
  </si>
  <si>
    <t>90SR-12</t>
  </si>
  <si>
    <t>90SR-12BK6SIR</t>
  </si>
  <si>
    <t>EQUIPMENT HAULER</t>
  </si>
  <si>
    <t>14EB</t>
  </si>
  <si>
    <t>14EB-18D2A-KRBK</t>
  </si>
  <si>
    <t>14EB-20D2A-KRBK</t>
  </si>
  <si>
    <t>14EB-22D2A-KRBK</t>
  </si>
  <si>
    <t>14EH</t>
  </si>
  <si>
    <t>14EH-16D3A</t>
  </si>
  <si>
    <t>14EH-16D3A-KRBK</t>
  </si>
  <si>
    <t>14EH-16D3A-MRBK</t>
  </si>
  <si>
    <t>14EH-18D3A</t>
  </si>
  <si>
    <t>14EH-18D3A-KRBK</t>
  </si>
  <si>
    <t>14EH-18D3A-MRBK</t>
  </si>
  <si>
    <t>14EH-20D3A</t>
  </si>
  <si>
    <t>14EH-20D3A-KRBK</t>
  </si>
  <si>
    <t>14EH-20D3A-MRBK</t>
  </si>
  <si>
    <t>14EH-22D3A</t>
  </si>
  <si>
    <t>14EH-22D3A-KRBK</t>
  </si>
  <si>
    <t>14EH-22D3A-MRBK</t>
  </si>
  <si>
    <t>14EH-24D3A</t>
  </si>
  <si>
    <t>14EH-24D3A-KRBK</t>
  </si>
  <si>
    <t>14EH-24D3A-MRBK</t>
  </si>
  <si>
    <t>14EHG</t>
  </si>
  <si>
    <t>14EHG-20D3A</t>
  </si>
  <si>
    <t>14EHG-22D3A</t>
  </si>
  <si>
    <t>14EHG-24D3A</t>
  </si>
  <si>
    <t>14ET</t>
  </si>
  <si>
    <t>14ET-16</t>
  </si>
  <si>
    <t>14ET-16BK</t>
  </si>
  <si>
    <t>14ET-16BK-KR</t>
  </si>
  <si>
    <t>14ET-16BK-MR</t>
  </si>
  <si>
    <t>14ET-16KR</t>
  </si>
  <si>
    <t>14ET-18</t>
  </si>
  <si>
    <t>14ET-18BK</t>
  </si>
  <si>
    <t>14ET-18BK5RSR</t>
  </si>
  <si>
    <t>14ET-18BK-KR</t>
  </si>
  <si>
    <t>14ET-18BK-MR</t>
  </si>
  <si>
    <t>14ET-20</t>
  </si>
  <si>
    <t>14ET-20BK</t>
  </si>
  <si>
    <t>14ET-20BK5RSR</t>
  </si>
  <si>
    <t>14ET-20BK-KR</t>
  </si>
  <si>
    <t>14ET-20BK-MR</t>
  </si>
  <si>
    <t>14ET-20MR</t>
  </si>
  <si>
    <t>14ET-22</t>
  </si>
  <si>
    <t>14ET-22BK</t>
  </si>
  <si>
    <t>14ET-22BK-KR</t>
  </si>
  <si>
    <t>14ET-22BK-MR</t>
  </si>
  <si>
    <t>14ET-22KR</t>
  </si>
  <si>
    <t>14ET-22MR</t>
  </si>
  <si>
    <t>14ET-24</t>
  </si>
  <si>
    <t>14ET-24BK-KR</t>
  </si>
  <si>
    <t>14ET-24BK-MR</t>
  </si>
  <si>
    <t>14ET-24MR</t>
  </si>
  <si>
    <t>14OA</t>
  </si>
  <si>
    <t>14OA-16</t>
  </si>
  <si>
    <t>14OA-16BK-8SIR</t>
  </si>
  <si>
    <t>14OA-16STA</t>
  </si>
  <si>
    <t>14OA-16STA-S8BK</t>
  </si>
  <si>
    <t>14OA-17+3</t>
  </si>
  <si>
    <t>14OA-17BK+3</t>
  </si>
  <si>
    <t>14OA-18BK-8SIR</t>
  </si>
  <si>
    <t>14OA-18STA-S8BK</t>
  </si>
  <si>
    <t>14OA-19+3</t>
  </si>
  <si>
    <t>14OA-19BK+3</t>
  </si>
  <si>
    <t>14OA-20</t>
  </si>
  <si>
    <t>14OA-20BK-8SIR</t>
  </si>
  <si>
    <t>14OA-20D3A-FRBK</t>
  </si>
  <si>
    <t>14OA-20STA</t>
  </si>
  <si>
    <t>14OA-20STA-S8BK</t>
  </si>
  <si>
    <t>14OA-21+3</t>
  </si>
  <si>
    <t>14OA-21BK+3</t>
  </si>
  <si>
    <t>14OA-22</t>
  </si>
  <si>
    <t>14OA-22BK-8SIR</t>
  </si>
  <si>
    <t>14OA-22D3A-FRBK</t>
  </si>
  <si>
    <t>14OA-22STA</t>
  </si>
  <si>
    <t>14OA-22STA-S8BK</t>
  </si>
  <si>
    <t>14OA-24</t>
  </si>
  <si>
    <t>14OA-24BK-8SIR</t>
  </si>
  <si>
    <t>14OA-24D3A</t>
  </si>
  <si>
    <t>14OA-24D3A-FRBK</t>
  </si>
  <si>
    <t>14OA-24STA-S8BK</t>
  </si>
  <si>
    <t>14OE</t>
  </si>
  <si>
    <t>14OE-18STA-S8BK</t>
  </si>
  <si>
    <t>14OE-20STA-S8BK</t>
  </si>
  <si>
    <t>14OE-22STA-S8BK</t>
  </si>
  <si>
    <t>16EH</t>
  </si>
  <si>
    <t>16EH-18D3A</t>
  </si>
  <si>
    <t>16EH-18D3A-KRBK</t>
  </si>
  <si>
    <t>16EH-18D3A-MRBK</t>
  </si>
  <si>
    <t>16EH-20D3A</t>
  </si>
  <si>
    <t>16EH-20D3A-KRBK</t>
  </si>
  <si>
    <t>16EH-20D3A-MRBK</t>
  </si>
  <si>
    <t>16EH-22D3A</t>
  </si>
  <si>
    <t>16EH-22D3A-KRBK</t>
  </si>
  <si>
    <t>16EH-22D3A-MRBK</t>
  </si>
  <si>
    <t>16EH-24D3A</t>
  </si>
  <si>
    <t>16EH-24D3A-KRBK</t>
  </si>
  <si>
    <t>16EH-24D3A-MRBK</t>
  </si>
  <si>
    <t>16EHG</t>
  </si>
  <si>
    <t>16EHG-20D3A</t>
  </si>
  <si>
    <t>16EHG-22D3A</t>
  </si>
  <si>
    <t>16EHG-24D3A</t>
  </si>
  <si>
    <t>16OA</t>
  </si>
  <si>
    <t>16OA-16STA-S8BK</t>
  </si>
  <si>
    <t>16OA-20STA</t>
  </si>
  <si>
    <t>16OA-20STA-S8BK</t>
  </si>
  <si>
    <t>16OA-22STA-S8BK</t>
  </si>
  <si>
    <t>16OA-24D3A-FRBK</t>
  </si>
  <si>
    <t>16OA-24STA-S8BK</t>
  </si>
  <si>
    <t>FLATBED GOOSENECK</t>
  </si>
  <si>
    <t>14GN-20</t>
  </si>
  <si>
    <t>14GN-20+5</t>
  </si>
  <si>
    <t>14GN-20+5CO</t>
  </si>
  <si>
    <t>14GN-20BK+5</t>
  </si>
  <si>
    <t>14GN-20BK+5MR</t>
  </si>
  <si>
    <t>14GN-20STA</t>
  </si>
  <si>
    <t>14GN-22+5</t>
  </si>
  <si>
    <t>14GN-22STA</t>
  </si>
  <si>
    <t>14GN-25</t>
  </si>
  <si>
    <t>14GN-25+5</t>
  </si>
  <si>
    <t>14GN-25BK+5</t>
  </si>
  <si>
    <t>14GN-25BK+5MR</t>
  </si>
  <si>
    <t>14GN-25D5A</t>
  </si>
  <si>
    <t>14GN-25D5A-FRBK</t>
  </si>
  <si>
    <t>14GN-25D5A-MRBK</t>
  </si>
  <si>
    <t>14GN-25STA</t>
  </si>
  <si>
    <t>14GN-27D5A</t>
  </si>
  <si>
    <t>14GN-27D5A-FRBK</t>
  </si>
  <si>
    <t>14GN-27D5A-MRBK</t>
  </si>
  <si>
    <t>14GN-28+5</t>
  </si>
  <si>
    <t>14GN-28BK+5</t>
  </si>
  <si>
    <t>14GN-28BK+5MR</t>
  </si>
  <si>
    <t>14GN-28STA</t>
  </si>
  <si>
    <t>14GN-30</t>
  </si>
  <si>
    <t>14GN-30+5</t>
  </si>
  <si>
    <t>14GN-30BK+5MR</t>
  </si>
  <si>
    <t>14GN-30D5A</t>
  </si>
  <si>
    <t>14GN-30D5A-FRBK</t>
  </si>
  <si>
    <t>14GN-30D5A-MRBK</t>
  </si>
  <si>
    <t>14GN-30STA</t>
  </si>
  <si>
    <t>14GN-33D5A</t>
  </si>
  <si>
    <t>14GN-33D5A-FRBK</t>
  </si>
  <si>
    <t>14GN-33D5A-MRBK</t>
  </si>
  <si>
    <t>14GN-35+5</t>
  </si>
  <si>
    <t>14GN-35BK+5MR</t>
  </si>
  <si>
    <t>14GN-35D5A</t>
  </si>
  <si>
    <t>14GN-35D5A-MRBK</t>
  </si>
  <si>
    <t>14GN-35STA</t>
  </si>
  <si>
    <t>14GN-36</t>
  </si>
  <si>
    <t>14GN-40</t>
  </si>
  <si>
    <t>14GN-40BK8SIR</t>
  </si>
  <si>
    <t>14GN-40D5A</t>
  </si>
  <si>
    <t>14GN-40D5A-MRBK</t>
  </si>
  <si>
    <t>14GN-40STA</t>
  </si>
  <si>
    <t>14GN-40STA-S8BK</t>
  </si>
  <si>
    <t>16GN-20</t>
  </si>
  <si>
    <t>16GN-20+5</t>
  </si>
  <si>
    <t>16GN-20BK+5MR</t>
  </si>
  <si>
    <t>16GN-20STA</t>
  </si>
  <si>
    <t>16GN-22</t>
  </si>
  <si>
    <t>16GN-22+5</t>
  </si>
  <si>
    <t>16GN-22STA</t>
  </si>
  <si>
    <t>16GN-25</t>
  </si>
  <si>
    <t>16GN-25+5</t>
  </si>
  <si>
    <t>16GN-25BK+5MR</t>
  </si>
  <si>
    <t>16GN-25D5A</t>
  </si>
  <si>
    <t>16GN-25D5A-FRBK</t>
  </si>
  <si>
    <t>16GN-25D5A-MRBK</t>
  </si>
  <si>
    <t>16GN-25STA</t>
  </si>
  <si>
    <t>16GN-27D5A</t>
  </si>
  <si>
    <t>16GN-28+5</t>
  </si>
  <si>
    <t>16GN-28BK+5MR</t>
  </si>
  <si>
    <t>16GN-28STA</t>
  </si>
  <si>
    <t>16GN-30</t>
  </si>
  <si>
    <t>16GN-30+5</t>
  </si>
  <si>
    <t>16GN-30BK+5MR</t>
  </si>
  <si>
    <t>16GN-30D5A</t>
  </si>
  <si>
    <t>16GN-30D5A-FRBK</t>
  </si>
  <si>
    <t>16GN-30D5A-MRBK</t>
  </si>
  <si>
    <t>16GN-30STA</t>
  </si>
  <si>
    <t>16GN-33D5A</t>
  </si>
  <si>
    <t>16GN-33D5A-FRBK</t>
  </si>
  <si>
    <t>16GN-33D5A-MRBK</t>
  </si>
  <si>
    <t>16GN-35</t>
  </si>
  <si>
    <t>16GN-35+5</t>
  </si>
  <si>
    <t>16GN-35BK+5</t>
  </si>
  <si>
    <t>16GN-35BK+5MR</t>
  </si>
  <si>
    <t>16GN-35D5A</t>
  </si>
  <si>
    <t>16GN-35D5A-FRBK</t>
  </si>
  <si>
    <t>16GN-35D5A-MRBK</t>
  </si>
  <si>
    <t>16GN-35STA</t>
  </si>
  <si>
    <t>16GN-36</t>
  </si>
  <si>
    <t>16GN-40</t>
  </si>
  <si>
    <t>16GN-40BK8SIR</t>
  </si>
  <si>
    <t>16GN-40D5A</t>
  </si>
  <si>
    <t>16GN-40D5A-FRBK</t>
  </si>
  <si>
    <t>16GN-40D5A-MRBK</t>
  </si>
  <si>
    <t>16GN-40STA</t>
  </si>
  <si>
    <t>16GN-40STA-S8BK</t>
  </si>
  <si>
    <t>20GN</t>
  </si>
  <si>
    <t>20GN-20+5CO</t>
  </si>
  <si>
    <t>20GN-20BK+5</t>
  </si>
  <si>
    <t>22GN-20</t>
  </si>
  <si>
    <t>22GN-20BK+5</t>
  </si>
  <si>
    <t>22GN-20BK+5MR</t>
  </si>
  <si>
    <t>22GN-20STA</t>
  </si>
  <si>
    <t>22GN-25+5</t>
  </si>
  <si>
    <t>22GN-25BK+5</t>
  </si>
  <si>
    <t>22GN-25BK+5MR</t>
  </si>
  <si>
    <t>22GN-25D5A</t>
  </si>
  <si>
    <t>22GN-25D5A-FRBK</t>
  </si>
  <si>
    <t>22GN-25D5A-MRBK</t>
  </si>
  <si>
    <t>22GN-25STA</t>
  </si>
  <si>
    <t>22GN-28+5</t>
  </si>
  <si>
    <t>22GN-28BK+5</t>
  </si>
  <si>
    <t>22GN-28BK+5MR</t>
  </si>
  <si>
    <t>22GN-28STA</t>
  </si>
  <si>
    <t>22GN-30+5</t>
  </si>
  <si>
    <t>22GN-30BK+5</t>
  </si>
  <si>
    <t>22GN-30BK+5MR</t>
  </si>
  <si>
    <t>22GN-30D5A</t>
  </si>
  <si>
    <t>22GN-30D5A-FRBK</t>
  </si>
  <si>
    <t>22GN-30D5A-MRBK</t>
  </si>
  <si>
    <t>22GN-30STA</t>
  </si>
  <si>
    <t>22GN-33D5A</t>
  </si>
  <si>
    <t>22GN-33D5A-FRBK</t>
  </si>
  <si>
    <t>22GN-33D5A-MRBK</t>
  </si>
  <si>
    <t>22GN-33STA</t>
  </si>
  <si>
    <t>22GN-35+5</t>
  </si>
  <si>
    <t>22GN-35BK+5MR</t>
  </si>
  <si>
    <t>22GN-35BK-HDTS</t>
  </si>
  <si>
    <t>22GN-35D5A</t>
  </si>
  <si>
    <t>22GN-35D5A-FRBK</t>
  </si>
  <si>
    <t>22GN-35D5A-MRBK</t>
  </si>
  <si>
    <t>22GN-35-HDTS</t>
  </si>
  <si>
    <t>22GN-35STA</t>
  </si>
  <si>
    <t>22GN-36</t>
  </si>
  <si>
    <t>22GN-36STA</t>
  </si>
  <si>
    <t>22GN-40BK8SIR</t>
  </si>
  <si>
    <t>22GN-40BK-HDTS</t>
  </si>
  <si>
    <t>22GN-40D5A</t>
  </si>
  <si>
    <t>22GN-40D5A-FRBK</t>
  </si>
  <si>
    <t>22GN-40D5A-MRBK</t>
  </si>
  <si>
    <t>22GN-40-HDTS</t>
  </si>
  <si>
    <t>22GN-40STA</t>
  </si>
  <si>
    <t>22GN-40STA-S8BK</t>
  </si>
  <si>
    <t>22GN-40STA-XRBK</t>
  </si>
  <si>
    <t>25GN-20+5</t>
  </si>
  <si>
    <t>25GN-20BK+5</t>
  </si>
  <si>
    <t>25GN-20BK+5MR</t>
  </si>
  <si>
    <t>25GN-20STA</t>
  </si>
  <si>
    <t>25GN-25+5</t>
  </si>
  <si>
    <t>25GN-25BK+5MR</t>
  </si>
  <si>
    <t>25GN-25D5A</t>
  </si>
  <si>
    <t>25GN-25D5A-FRBK</t>
  </si>
  <si>
    <t>25GN-25D5A-MRBK</t>
  </si>
  <si>
    <t>25GN-25STA</t>
  </si>
  <si>
    <t>25GN-28+5</t>
  </si>
  <si>
    <t>25GN-28BK+5MR</t>
  </si>
  <si>
    <t>25GN-28STA</t>
  </si>
  <si>
    <t>25GN-30</t>
  </si>
  <si>
    <t>25GN-30+5</t>
  </si>
  <si>
    <t>25GN-30BK+5MR</t>
  </si>
  <si>
    <t>25GN-30D5A</t>
  </si>
  <si>
    <t>25GN-30D5A-FRBK</t>
  </si>
  <si>
    <t>25GN-30D5A-MRBK</t>
  </si>
  <si>
    <t>25GN-30STA</t>
  </si>
  <si>
    <t>25GN-33D5A</t>
  </si>
  <si>
    <t>25GN-33D5A-FRBK</t>
  </si>
  <si>
    <t>25GN-33D5A-MRBK</t>
  </si>
  <si>
    <t>25GN-33STA</t>
  </si>
  <si>
    <t>25GN-35+5</t>
  </si>
  <si>
    <t>25GN-35BK+5MR</t>
  </si>
  <si>
    <t>25GN-35BK+5MR-EHD</t>
  </si>
  <si>
    <t>25GN-35BK-HDTS</t>
  </si>
  <si>
    <t>25GN-35D5A</t>
  </si>
  <si>
    <t>25GN-35D5A-FRBK</t>
  </si>
  <si>
    <t>25GN-35D5A-MRBK</t>
  </si>
  <si>
    <t>25GN-35-HDTS</t>
  </si>
  <si>
    <t>25GN-35STA</t>
  </si>
  <si>
    <t>25GN-36</t>
  </si>
  <si>
    <t>25GN-36BK</t>
  </si>
  <si>
    <t>25GN-36STA</t>
  </si>
  <si>
    <t>25GN-40</t>
  </si>
  <si>
    <t>25GN-40BK</t>
  </si>
  <si>
    <t>25GN-40BK8SIR</t>
  </si>
  <si>
    <t>25GN-40BK-HDTS</t>
  </si>
  <si>
    <t>25GN-40D5A</t>
  </si>
  <si>
    <t>25GN-40D5A-FRBK</t>
  </si>
  <si>
    <t>25GN-40D5A-MRBK</t>
  </si>
  <si>
    <t>25GN-40D5A-MRBKEHD</t>
  </si>
  <si>
    <t>25GN-40-HDTS</t>
  </si>
  <si>
    <t>25GN-40STA</t>
  </si>
  <si>
    <t>25GN-40STA-S8BK</t>
  </si>
  <si>
    <t>25GN-40STA-XRBK</t>
  </si>
  <si>
    <t>3XGN</t>
  </si>
  <si>
    <t>3XGN-20</t>
  </si>
  <si>
    <t>3XGN-20+5</t>
  </si>
  <si>
    <t>3XGN-25</t>
  </si>
  <si>
    <t>3XGN-25+5</t>
  </si>
  <si>
    <t>3XGN-25BK+5-MR</t>
  </si>
  <si>
    <t>3XGN-28+5</t>
  </si>
  <si>
    <t>3XGN-30+5</t>
  </si>
  <si>
    <t>3XGN-35+5</t>
  </si>
  <si>
    <t>3XGN-36</t>
  </si>
  <si>
    <t>3XGN-40</t>
  </si>
  <si>
    <t>5XPH-24+5</t>
  </si>
  <si>
    <t>OL CAR HAULER</t>
  </si>
  <si>
    <t>TH10</t>
  </si>
  <si>
    <t>TH10-20BK4CR</t>
  </si>
  <si>
    <t>TH70</t>
  </si>
  <si>
    <t>TH70-18BK4AR2B</t>
  </si>
  <si>
    <t>TH70-20BK4AR2B</t>
  </si>
  <si>
    <t>OL DUMP</t>
  </si>
  <si>
    <t>TC14</t>
  </si>
  <si>
    <t>TC14-14BK</t>
  </si>
  <si>
    <t>OL EQUIPMENT</t>
  </si>
  <si>
    <t>EQ14</t>
  </si>
  <si>
    <t>EQ14-17+3</t>
  </si>
  <si>
    <t>EQ16</t>
  </si>
  <si>
    <t>EQ16-17+3</t>
  </si>
  <si>
    <t>OL SINGLE AXLE</t>
  </si>
  <si>
    <t>SU35</t>
  </si>
  <si>
    <t>SU35-12BK4RG</t>
  </si>
  <si>
    <t>SU35-14BK4RG</t>
  </si>
  <si>
    <t>OL TANDEM AXLE</t>
  </si>
  <si>
    <t>TU10</t>
  </si>
  <si>
    <t>TU10-20BK4CR</t>
  </si>
  <si>
    <t>TU14</t>
  </si>
  <si>
    <t>TU14-20BK4CR</t>
  </si>
  <si>
    <t>TU60</t>
  </si>
  <si>
    <t>TU60-16BK4AR2B</t>
  </si>
  <si>
    <t>TU60-16BK4RG2B</t>
  </si>
  <si>
    <t>TU70</t>
  </si>
  <si>
    <t>TU70-18BK4AR2B</t>
  </si>
  <si>
    <t>TU70-18BK4RG2B</t>
  </si>
  <si>
    <t>TU70-20BK4AR2B</t>
  </si>
  <si>
    <t>TU70-20BK4RG2B</t>
  </si>
  <si>
    <t>OL TILT</t>
  </si>
  <si>
    <t>TT14</t>
  </si>
  <si>
    <t>TT14-20BK</t>
  </si>
  <si>
    <t>TT14-22BK</t>
  </si>
  <si>
    <t>TT16</t>
  </si>
  <si>
    <t>TT16-20BK</t>
  </si>
  <si>
    <t>TT16-22BK</t>
  </si>
  <si>
    <t>SINGLE AXLE</t>
  </si>
  <si>
    <t>30SA</t>
  </si>
  <si>
    <t>30SA-08</t>
  </si>
  <si>
    <t>30SA-08BK4RG</t>
  </si>
  <si>
    <t>30SA-08BKEX2</t>
  </si>
  <si>
    <t>30SA-08R1A-4PBK</t>
  </si>
  <si>
    <t>30SA-10</t>
  </si>
  <si>
    <t>30SA-10BK4RG</t>
  </si>
  <si>
    <t>30SA-10BKEX2</t>
  </si>
  <si>
    <t>30SA-10R1A-4PBK</t>
  </si>
  <si>
    <t>30SA-12BK4RG</t>
  </si>
  <si>
    <t>30SA-14BK4RG</t>
  </si>
  <si>
    <t>35SA</t>
  </si>
  <si>
    <t>35SA-10</t>
  </si>
  <si>
    <t>35SA-10BK4RG</t>
  </si>
  <si>
    <t>35SA-10BKEX2</t>
  </si>
  <si>
    <t>35SA-10R1A-4PBK</t>
  </si>
  <si>
    <t>35SA-10XBK4RG</t>
  </si>
  <si>
    <t>35SA-12</t>
  </si>
  <si>
    <t>35SA-12BK4RG</t>
  </si>
  <si>
    <t>35SA-12BKEX2</t>
  </si>
  <si>
    <t>35SA-12BKRSX</t>
  </si>
  <si>
    <t>35SA-12R1A-4PBK</t>
  </si>
  <si>
    <t>35SA-12RSX</t>
  </si>
  <si>
    <t>35SA-12X</t>
  </si>
  <si>
    <t>35SA-12XBK4RG</t>
  </si>
  <si>
    <t>35SA-14</t>
  </si>
  <si>
    <t>35SA-14BK4RG</t>
  </si>
  <si>
    <t>35SA-14BKRSX</t>
  </si>
  <si>
    <t>35SA-14R1A-4PBK</t>
  </si>
  <si>
    <t>35SA-14RSX</t>
  </si>
  <si>
    <t>35SA-14X</t>
  </si>
  <si>
    <t>35SA-14XBK4RG</t>
  </si>
  <si>
    <t>35SX</t>
  </si>
  <si>
    <t>35SX-12</t>
  </si>
  <si>
    <t>35SX-12R1A-4PBK</t>
  </si>
  <si>
    <t>35SX-14</t>
  </si>
  <si>
    <t>35SX-14R1A-4PBK</t>
  </si>
  <si>
    <t>35UT</t>
  </si>
  <si>
    <t>35UT-14</t>
  </si>
  <si>
    <t>35UT-14BK</t>
  </si>
  <si>
    <t>TANDEM AXLE</t>
  </si>
  <si>
    <t>10PI</t>
  </si>
  <si>
    <t>10PI-12</t>
  </si>
  <si>
    <t>10PI-14</t>
  </si>
  <si>
    <t>10PI-16</t>
  </si>
  <si>
    <t>10PI-16BK</t>
  </si>
  <si>
    <t>10PI-16BK4HDIR</t>
  </si>
  <si>
    <t>10PI-16BK5FUR</t>
  </si>
  <si>
    <t>10PI-18</t>
  </si>
  <si>
    <t>10PI-18BK</t>
  </si>
  <si>
    <t>10PI-18BK4HDIR</t>
  </si>
  <si>
    <t>10PI-18BK5FUR</t>
  </si>
  <si>
    <t>10PI-20</t>
  </si>
  <si>
    <t>10PI-20BK</t>
  </si>
  <si>
    <t>10PI-20BK4HDIR</t>
  </si>
  <si>
    <t>10PI-20BK5FUR</t>
  </si>
  <si>
    <t>10PI-24</t>
  </si>
  <si>
    <t>14PI</t>
  </si>
  <si>
    <t>14PI-16</t>
  </si>
  <si>
    <t>14PI-16BK</t>
  </si>
  <si>
    <t>14PI-16BK5FUR</t>
  </si>
  <si>
    <t>14PI-18</t>
  </si>
  <si>
    <t>14PI-18BK</t>
  </si>
  <si>
    <t>14PI-18BK5FUR</t>
  </si>
  <si>
    <t>14PI-20</t>
  </si>
  <si>
    <t>14PI-20BK</t>
  </si>
  <si>
    <t>14PI-20BK4HDIR</t>
  </si>
  <si>
    <t>14PI-20BK5FUR</t>
  </si>
  <si>
    <t>14PI-24</t>
  </si>
  <si>
    <t>60PI</t>
  </si>
  <si>
    <t>60PI-12</t>
  </si>
  <si>
    <t>60PI-12BK4RG</t>
  </si>
  <si>
    <t>60PI-12BK4RG2B</t>
  </si>
  <si>
    <t>60PI-14</t>
  </si>
  <si>
    <t>60PI-14BK4RG</t>
  </si>
  <si>
    <t>60PI-14BK4RG2B</t>
  </si>
  <si>
    <t>60PI-14BKEX2</t>
  </si>
  <si>
    <t>60PI-16</t>
  </si>
  <si>
    <t>60PI-16BK4AR</t>
  </si>
  <si>
    <t>60PI-16BK4AR2B</t>
  </si>
  <si>
    <t>60PI-16BK4RG</t>
  </si>
  <si>
    <t>60PI-16BK4RG2B</t>
  </si>
  <si>
    <t>60PI-16BKEX2</t>
  </si>
  <si>
    <t>70PI</t>
  </si>
  <si>
    <t>70PI-14</t>
  </si>
  <si>
    <t>70PI-14R1A-4PBK</t>
  </si>
  <si>
    <t>70PI-14R1A-4PBK-BRK2</t>
  </si>
  <si>
    <t>70PI-14X</t>
  </si>
  <si>
    <t>70PI-14XBK</t>
  </si>
  <si>
    <t>70PI-14XBK4RG</t>
  </si>
  <si>
    <t>70PI-14XBK4RG2B</t>
  </si>
  <si>
    <t>70PI-14XBK4RG-GA</t>
  </si>
  <si>
    <t>70PI-14XBK-GA</t>
  </si>
  <si>
    <t>70PI-16</t>
  </si>
  <si>
    <t>70PI-16R1A-4PBK</t>
  </si>
  <si>
    <t>70PI-16R1A-4PBK-BRK2</t>
  </si>
  <si>
    <t>70PI-16X</t>
  </si>
  <si>
    <t>70PI-16XBK</t>
  </si>
  <si>
    <t>70PI-16XBK2B</t>
  </si>
  <si>
    <t>70PI-16XBK4RG</t>
  </si>
  <si>
    <t>70PI-16XBK4RG2B</t>
  </si>
  <si>
    <t>70PI-16XBK4RG-GA</t>
  </si>
  <si>
    <t>70PI-16XBK-GA</t>
  </si>
  <si>
    <t>70PI-18</t>
  </si>
  <si>
    <t>70PI-18R1A-4PBK</t>
  </si>
  <si>
    <t>70PI-18R1A-4PBK-BRK2</t>
  </si>
  <si>
    <t>70PI-18X</t>
  </si>
  <si>
    <t>70PI-18XBK</t>
  </si>
  <si>
    <t>70PI-18XBK2B</t>
  </si>
  <si>
    <t>70PI-18XBK4RG</t>
  </si>
  <si>
    <t>70PI-18XBK4RG2B</t>
  </si>
  <si>
    <t>70PI-18XBK4RG-GA</t>
  </si>
  <si>
    <t>70PI-18XBK-GA</t>
  </si>
  <si>
    <t>70PI-20</t>
  </si>
  <si>
    <t>70PI-20R1A-4PBK</t>
  </si>
  <si>
    <t>70PI-20R1A-4PBK-BRK2</t>
  </si>
  <si>
    <t>70PI-20X</t>
  </si>
  <si>
    <t>70PI-20XBK</t>
  </si>
  <si>
    <t>70PI-20XBK2B</t>
  </si>
  <si>
    <t>70PI-20XBK4RG</t>
  </si>
  <si>
    <t>70PI-20XBK4RG2B</t>
  </si>
  <si>
    <t>70PI-20XBK4RG-GA</t>
  </si>
  <si>
    <t>70PI-20XBK-GA</t>
  </si>
  <si>
    <t>TILT DECK</t>
  </si>
  <si>
    <t>14FT</t>
  </si>
  <si>
    <t>14FT-16</t>
  </si>
  <si>
    <t>14FT-16BK</t>
  </si>
  <si>
    <t>14FT-18</t>
  </si>
  <si>
    <t>14FT-18BK</t>
  </si>
  <si>
    <t>14FT-20</t>
  </si>
  <si>
    <t>14FT-20BK</t>
  </si>
  <si>
    <t>14OT</t>
  </si>
  <si>
    <t>14OT-22</t>
  </si>
  <si>
    <t>14OT-22BK</t>
  </si>
  <si>
    <t>14OT-22GN</t>
  </si>
  <si>
    <t>14OT-24</t>
  </si>
  <si>
    <t>14OT-24BK</t>
  </si>
  <si>
    <t>14OT-24GN</t>
  </si>
  <si>
    <t>14OT-26</t>
  </si>
  <si>
    <t>14OT-26BK</t>
  </si>
  <si>
    <t>14OT-26GN</t>
  </si>
  <si>
    <t>14TL</t>
  </si>
  <si>
    <t>14TL-20</t>
  </si>
  <si>
    <t>14TL-20BK</t>
  </si>
  <si>
    <t>14TL-20GN</t>
  </si>
  <si>
    <t>14TL-22</t>
  </si>
  <si>
    <t>14TL-22BK</t>
  </si>
  <si>
    <t>14TL-22GN</t>
  </si>
  <si>
    <t>16OT</t>
  </si>
  <si>
    <t>16OT-22GN</t>
  </si>
  <si>
    <t>16OT-24BK</t>
  </si>
  <si>
    <t>16OT-26BK</t>
  </si>
  <si>
    <t>16TL</t>
  </si>
  <si>
    <t>16TL-20</t>
  </si>
  <si>
    <t>16TL-20BK</t>
  </si>
  <si>
    <t>16TL-20GN</t>
  </si>
  <si>
    <t>16TL-22</t>
  </si>
  <si>
    <t>16TL-22BK</t>
  </si>
  <si>
    <t>16TL-22GN</t>
  </si>
  <si>
    <t>70ST</t>
  </si>
  <si>
    <t>70ST-13</t>
  </si>
  <si>
    <t>70ST-13BK</t>
  </si>
  <si>
    <t>70ST-16</t>
  </si>
  <si>
    <t>70ST-16BK</t>
  </si>
  <si>
    <t>VANGUARD/LANDSCAPE</t>
  </si>
  <si>
    <t>10LR</t>
  </si>
  <si>
    <t>10LR-18</t>
  </si>
  <si>
    <t>10LR-18BK</t>
  </si>
  <si>
    <t>10LR-18BK-P4</t>
  </si>
  <si>
    <t>10LR-20</t>
  </si>
  <si>
    <t>10LR-20BK</t>
  </si>
  <si>
    <t>10LR-20BK-P4</t>
  </si>
  <si>
    <t>10TV</t>
  </si>
  <si>
    <t>10TV-16</t>
  </si>
  <si>
    <t>10TV-16BK</t>
  </si>
  <si>
    <t>10TV-18</t>
  </si>
  <si>
    <t>10TV-18BK</t>
  </si>
  <si>
    <t>10TV-20</t>
  </si>
  <si>
    <t>10TV-20BK</t>
  </si>
  <si>
    <t>30SV</t>
  </si>
  <si>
    <t>30SV-08</t>
  </si>
  <si>
    <t>30SV-08BK</t>
  </si>
  <si>
    <t>30SV-10</t>
  </si>
  <si>
    <t>30SV-10BK</t>
  </si>
  <si>
    <t>30SV-12</t>
  </si>
  <si>
    <t>30SV-12BK</t>
  </si>
  <si>
    <t>35LS</t>
  </si>
  <si>
    <t>35LS-12</t>
  </si>
  <si>
    <t>35LS-12BK</t>
  </si>
  <si>
    <t>35LS-12BK-P4</t>
  </si>
  <si>
    <t>35LS-14</t>
  </si>
  <si>
    <t>35LS-14BK</t>
  </si>
  <si>
    <t>35LS-14BK-P4</t>
  </si>
  <si>
    <t>35SV</t>
  </si>
  <si>
    <t>35SV-10</t>
  </si>
  <si>
    <t>35SV-10BK</t>
  </si>
  <si>
    <t>35SV-12</t>
  </si>
  <si>
    <t>35SV-12BK</t>
  </si>
  <si>
    <t>35SV-14</t>
  </si>
  <si>
    <t>35SV-14BK</t>
  </si>
  <si>
    <t>70LR</t>
  </si>
  <si>
    <t>70LR-14</t>
  </si>
  <si>
    <t>70LR-14BK</t>
  </si>
  <si>
    <t>70LR-14BK2B</t>
  </si>
  <si>
    <t>70LR-14BK-P4</t>
  </si>
  <si>
    <t>70LR-16</t>
  </si>
  <si>
    <t>70LR-16BK</t>
  </si>
  <si>
    <t>70LR-16BK2B</t>
  </si>
  <si>
    <t>70LR-16BK-GA</t>
  </si>
  <si>
    <t>70LR-16BK-P4</t>
  </si>
  <si>
    <t>70TV</t>
  </si>
  <si>
    <t>70TV-12</t>
  </si>
  <si>
    <t>70TV-12BK</t>
  </si>
  <si>
    <t>70TV-12BK2B</t>
  </si>
  <si>
    <t>70TV-12BK-GA</t>
  </si>
  <si>
    <t>70TV-14</t>
  </si>
  <si>
    <t>70TV-14BK</t>
  </si>
  <si>
    <t>70TV-14BK2B</t>
  </si>
  <si>
    <t>70TV-14BK-GA</t>
  </si>
  <si>
    <t>70TV-16</t>
  </si>
  <si>
    <t>70TV-16BK</t>
  </si>
  <si>
    <t>70TV-16BK2B</t>
  </si>
  <si>
    <t>70TV-16BK-GA</t>
  </si>
  <si>
    <t>70TV-18</t>
  </si>
  <si>
    <t>70TV-18BK</t>
  </si>
  <si>
    <t>70TV-18BK2B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</si>
</sst>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C"/>
        <bgColor indexed="64"/>
      </patternFill>
    </fill>
    <fill>
      <patternFill patternType="solid">
        <fgColor rgb="FFCCEC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6" xfId="0" applyBorder="1"/>
    <xf numFmtId="0" fontId="0" fillId="3" borderId="1" xfId="0" applyFill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/>
    <xf numFmtId="0" fontId="5" fillId="2" borderId="10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5" xfId="0" applyBorder="1"/>
    <xf numFmtId="0" fontId="3" fillId="0" borderId="15" xfId="0" applyFont="1" applyBorder="1" applyAlignment="1">
      <alignment horizontal="center" vertical="center"/>
    </xf>
    <xf numFmtId="0" fontId="6" fillId="0" borderId="11" xfId="0" applyFont="1" applyBorder="1"/>
    <xf numFmtId="0" fontId="4" fillId="2" borderId="11" xfId="0" applyFont="1" applyFill="1" applyBorder="1" applyAlignment="1">
      <alignment horizontal="center" vertical="center"/>
    </xf>
    <xf numFmtId="0" fontId="7" fillId="0" borderId="11" xfId="0" applyFont="1" applyBorder="1"/>
    <xf numFmtId="0" fontId="6" fillId="0" borderId="12" xfId="0" applyFont="1" applyBorder="1"/>
    <xf numFmtId="0" fontId="6" fillId="0" borderId="10" xfId="0" applyFont="1" applyBorder="1"/>
    <xf numFmtId="0" fontId="7" fillId="0" borderId="10" xfId="0" applyFont="1" applyBorder="1"/>
    <xf numFmtId="0" fontId="5" fillId="2" borderId="8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12" xfId="0" applyFont="1" applyBorder="1"/>
    <xf numFmtId="0" fontId="3" fillId="0" borderId="16" xfId="0" applyFont="1" applyBorder="1"/>
    <xf numFmtId="0" fontId="0" fillId="0" borderId="18" xfId="0" applyBorder="1"/>
    <xf numFmtId="164" fontId="1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2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0" xfId="0" applyNumberFormat="1" applyFont="1" applyBorder="1"/>
    <xf numFmtId="164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64" fontId="1" fillId="0" borderId="10" xfId="0" applyNumberFormat="1" applyFont="1" applyBorder="1" applyAlignment="1">
      <alignment horizontal="center"/>
    </xf>
    <xf numFmtId="0" fontId="0" fillId="0" borderId="9" xfId="0" applyBorder="1"/>
    <xf numFmtId="0" fontId="0" fillId="3" borderId="2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21" xfId="0" applyBorder="1"/>
    <xf numFmtId="164" fontId="0" fillId="0" borderId="21" xfId="0" applyNumberFormat="1" applyBorder="1"/>
    <xf numFmtId="164" fontId="1" fillId="0" borderId="1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9" fillId="0" borderId="0" xfId="0" applyNumberFormat="1" applyFont="1"/>
    <xf numFmtId="0" fontId="11" fillId="2" borderId="0" xfId="0" applyFont="1" applyFill="1" applyAlignment="1">
      <alignment horizontal="center"/>
    </xf>
    <xf numFmtId="0" fontId="8" fillId="2" borderId="0" xfId="0" applyFont="1" applyFill="1"/>
    <xf numFmtId="0" fontId="11" fillId="2" borderId="0" xfId="0" applyFont="1" applyFill="1"/>
    <xf numFmtId="164" fontId="1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</cellXfs>
  <cellStyles count="1">
    <cellStyle name="Normal" xfId="0" builtinId="0"/>
  </cellStyles>
  <dxfs count="37"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font>
        <color rgb="FFFF0000"/>
      </font>
      <fill>
        <patternFill>
          <bgColor rgb="FFFFC7CC"/>
        </patternFill>
      </fill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colors>
    <mruColors>
      <color rgb="FFFFFFCC"/>
      <color rgb="FFFFC7CC"/>
      <color rgb="FFCCFFCC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615461</xdr:colOff>
      <xdr:row>15</xdr:row>
      <xdr:rowOff>0</xdr:rowOff>
    </xdr:from>
    <xdr:to>
      <xdr:col>2</xdr:col>
      <xdr:colOff>1072661</xdr:colOff>
      <xdr:row>17</xdr:row>
      <xdr:rowOff>68873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E97B36DA-9054-989C-B170-B7106C2B29E5}"/>
            </a:ext>
          </a:extLst>
        </xdr:cNvPr>
        <xdr:cNvSpPr/>
      </xdr:nvSpPr>
      <xdr:spPr>
        <a:xfrm>
          <a:off x="1926980" y="32751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1230924</xdr:colOff>
      <xdr:row>15</xdr:row>
      <xdr:rowOff>0</xdr:rowOff>
    </xdr:from>
    <xdr:to>
      <xdr:col>2</xdr:col>
      <xdr:colOff>1688124</xdr:colOff>
      <xdr:row>17</xdr:row>
      <xdr:rowOff>68873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20A4CC11-96B1-439A-A571-8CA6D261B764}"/>
            </a:ext>
          </a:extLst>
        </xdr:cNvPr>
        <xdr:cNvSpPr/>
      </xdr:nvSpPr>
      <xdr:spPr>
        <a:xfrm>
          <a:off x="2542443" y="32751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615461</xdr:colOff>
      <xdr:row>31</xdr:row>
      <xdr:rowOff>0</xdr:rowOff>
    </xdr:from>
    <xdr:to>
      <xdr:col>2</xdr:col>
      <xdr:colOff>1072661</xdr:colOff>
      <xdr:row>33</xdr:row>
      <xdr:rowOff>68873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89BC99EF-E943-4D7D-80A6-F8E4E0AD0DE8}"/>
            </a:ext>
          </a:extLst>
        </xdr:cNvPr>
        <xdr:cNvSpPr/>
      </xdr:nvSpPr>
      <xdr:spPr>
        <a:xfrm>
          <a:off x="1926980" y="32751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1230924</xdr:colOff>
      <xdr:row>31</xdr:row>
      <xdr:rowOff>0</xdr:rowOff>
    </xdr:from>
    <xdr:to>
      <xdr:col>2</xdr:col>
      <xdr:colOff>1688124</xdr:colOff>
      <xdr:row>33</xdr:row>
      <xdr:rowOff>68873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A3BF05B5-748F-49CE-9632-3A1DCDCAB666}"/>
            </a:ext>
          </a:extLst>
        </xdr:cNvPr>
        <xdr:cNvSpPr/>
      </xdr:nvSpPr>
      <xdr:spPr>
        <a:xfrm>
          <a:off x="2542443" y="32751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615461</xdr:colOff>
      <xdr:row>47</xdr:row>
      <xdr:rowOff>0</xdr:rowOff>
    </xdr:from>
    <xdr:to>
      <xdr:col>2</xdr:col>
      <xdr:colOff>1072661</xdr:colOff>
      <xdr:row>49</xdr:row>
      <xdr:rowOff>68873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A2E7CF2E-552F-44FA-A0B6-80EAC4E6F4EF}"/>
            </a:ext>
          </a:extLst>
        </xdr:cNvPr>
        <xdr:cNvSpPr/>
      </xdr:nvSpPr>
      <xdr:spPr>
        <a:xfrm>
          <a:off x="1926980" y="3216519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1230924</xdr:colOff>
      <xdr:row>47</xdr:row>
      <xdr:rowOff>0</xdr:rowOff>
    </xdr:from>
    <xdr:to>
      <xdr:col>2</xdr:col>
      <xdr:colOff>1688124</xdr:colOff>
      <xdr:row>49</xdr:row>
      <xdr:rowOff>68873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8702F885-D43C-4048-9DF3-82B4A37B063D}"/>
            </a:ext>
          </a:extLst>
        </xdr:cNvPr>
        <xdr:cNvSpPr/>
      </xdr:nvSpPr>
      <xdr:spPr>
        <a:xfrm>
          <a:off x="2542443" y="3216519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615461</xdr:colOff>
      <xdr:row>65</xdr:row>
      <xdr:rowOff>0</xdr:rowOff>
    </xdr:from>
    <xdr:to>
      <xdr:col>2</xdr:col>
      <xdr:colOff>1072661</xdr:colOff>
      <xdr:row>67</xdr:row>
      <xdr:rowOff>68873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750CC6EE-2876-4751-AE9D-76AB18979E1D}"/>
            </a:ext>
          </a:extLst>
        </xdr:cNvPr>
        <xdr:cNvSpPr/>
      </xdr:nvSpPr>
      <xdr:spPr>
        <a:xfrm>
          <a:off x="1926980" y="99426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1230924</xdr:colOff>
      <xdr:row>65</xdr:row>
      <xdr:rowOff>0</xdr:rowOff>
    </xdr:from>
    <xdr:to>
      <xdr:col>2</xdr:col>
      <xdr:colOff>1688124</xdr:colOff>
      <xdr:row>67</xdr:row>
      <xdr:rowOff>68873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21AB0749-0AFA-46E9-86A7-9609F4332AFF}"/>
            </a:ext>
          </a:extLst>
        </xdr:cNvPr>
        <xdr:cNvSpPr/>
      </xdr:nvSpPr>
      <xdr:spPr>
        <a:xfrm>
          <a:off x="2542443" y="994263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5F761-E4AC-4C4A-BAFE-FECE34216E51}" name="Table1" displayName="Table1" ref="A1:J717" totalsRowShown="0" headerRowDxfId="36">
  <autoFilter ref="A1:J717" xr:uid="{84B5F761-E4AC-4C4A-BAFE-FECE34216E51}"/>
  <sortState xmlns:xlrd2="http://schemas.microsoft.com/office/spreadsheetml/2017/richdata2" ref="A2:J717">
    <sortCondition ref="A1:A717"/>
  </sortState>
  <tableColumns count="10">
    <tableColumn id="1" xr3:uid="{3782CD68-D803-411A-8AA0-5B6664DA26A7}" name="Mcat"/>
    <tableColumn id="2" xr3:uid="{EEB861FA-EE0B-4199-8825-4E38A395F68A}" name="Tier"/>
    <tableColumn id="3" xr3:uid="{4536279E-7383-43EB-BB3C-BEFCACCBD702}" name="Model"/>
    <tableColumn id="4" xr3:uid="{5F821D17-F206-44C0-BC06-A7D40F883D7C}" name="ItemNumber"/>
    <tableColumn id="12" xr3:uid="{D0015760-3310-4B78-8148-FF2CA002C87E}" name="GVWR"/>
    <tableColumn id="13" xr3:uid="{AD81AE4B-4EA4-4DD9-834B-E76A4F347B74}" name="Floor Type"/>
    <tableColumn id="8" xr3:uid="{E6D50ACB-77A1-4FFA-9CC8-0762CA79D4A2}" name="Bed Length"/>
    <tableColumn id="5" xr3:uid="{9D1D998E-1141-4A18-AA34-4043A9916326}" name="Width"/>
    <tableColumn id="6" xr3:uid="{47350231-F9C2-4AAC-8DD8-AA4FDFDEE349}" name="Tongue"/>
    <tableColumn id="7" xr3:uid="{63BF546C-EAC1-4BA0-8423-55D5B8B63B9C}" name="Stack Height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90EB-8A3F-4256-9821-ADF66F745563}">
  <dimension ref="A1:O71"/>
  <sheetViews>
    <sheetView tabSelected="1" topLeftCell="A15" zoomScale="130" zoomScaleNormal="130" workbookViewId="0">
      <selection activeCell="C24" sqref="C24"/>
    </sheetView>
  </sheetViews>
  <sheetFormatPr defaultColWidth="9.140625" defaultRowHeight="15" x14ac:dyDescent="0.25"/>
  <cols>
    <col min="1" max="1" width="19.7109375" bestFit="1" customWidth="1"/>
    <col min="2" max="2" width="3.85546875" bestFit="1" customWidth="1"/>
    <col min="3" max="3" width="26.42578125" customWidth="1"/>
    <col min="4" max="4" width="5.7109375" hidden="1" customWidth="1"/>
    <col min="5" max="5" width="7" hidden="1" customWidth="1"/>
    <col min="6" max="6" width="28.42578125" bestFit="1" customWidth="1"/>
    <col min="7" max="9" width="5.7109375" hidden="1" customWidth="1"/>
    <col min="10" max="10" width="28.42578125" bestFit="1" customWidth="1"/>
    <col min="11" max="11" width="5.7109375" hidden="1" customWidth="1"/>
    <col min="12" max="12" width="8.140625" hidden="1" customWidth="1"/>
    <col min="13" max="13" width="38.85546875" customWidth="1"/>
    <col min="14" max="14" width="4.7109375" customWidth="1"/>
    <col min="15" max="15" width="34.28515625" bestFit="1" customWidth="1"/>
    <col min="16" max="16" width="4.28515625" customWidth="1"/>
    <col min="17" max="17" width="27.7109375" customWidth="1"/>
  </cols>
  <sheetData>
    <row r="1" spans="1:12" ht="18.75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2" x14ac:dyDescent="0.25">
      <c r="A2" s="1"/>
      <c r="B2" s="1"/>
      <c r="K2" s="2"/>
    </row>
    <row r="3" spans="1:12" ht="15.75" thickBot="1" x14ac:dyDescent="0.3">
      <c r="A3" s="1"/>
      <c r="B3" s="1"/>
      <c r="K3" s="2"/>
    </row>
    <row r="4" spans="1:12" ht="15.75" customHeight="1" thickBot="1" x14ac:dyDescent="0.3">
      <c r="A4" s="1"/>
      <c r="B4" s="1"/>
      <c r="C4" s="43" t="s">
        <v>1</v>
      </c>
      <c r="D4" s="20"/>
      <c r="E4" s="20"/>
      <c r="F4" s="39">
        <f>MAX(I10:I15)+MAX(L10:L14)</f>
        <v>0</v>
      </c>
      <c r="G4" s="20"/>
      <c r="H4" s="20"/>
      <c r="I4" s="20"/>
      <c r="J4" s="21"/>
      <c r="K4" s="2"/>
    </row>
    <row r="5" spans="1:12" ht="15.75" customHeight="1" thickBot="1" x14ac:dyDescent="0.3">
      <c r="A5" s="1"/>
      <c r="B5" s="1"/>
      <c r="C5" s="76" t="s">
        <v>2</v>
      </c>
      <c r="D5" s="77"/>
      <c r="E5" s="77"/>
      <c r="F5" s="78"/>
      <c r="G5" s="19"/>
      <c r="H5" s="31"/>
      <c r="I5" s="28"/>
      <c r="J5" s="32" t="s">
        <v>3</v>
      </c>
      <c r="K5" s="2"/>
    </row>
    <row r="6" spans="1:12" ht="15.75" customHeight="1" thickBot="1" x14ac:dyDescent="0.45">
      <c r="A6" s="1"/>
      <c r="B6" s="1"/>
      <c r="C6" s="73">
        <f>MAX(I11:I15)</f>
        <v>0</v>
      </c>
      <c r="D6" s="74"/>
      <c r="E6" s="74"/>
      <c r="F6" s="75"/>
      <c r="G6" s="22"/>
      <c r="H6" s="23"/>
      <c r="I6" s="23"/>
      <c r="J6" s="71">
        <f>MAX(L10:L14)</f>
        <v>0</v>
      </c>
      <c r="K6" s="2"/>
    </row>
    <row r="7" spans="1:12" ht="15.75" customHeight="1" thickBot="1" x14ac:dyDescent="0.3">
      <c r="C7" s="46" t="s">
        <v>4</v>
      </c>
      <c r="D7" s="26"/>
      <c r="E7" s="26"/>
      <c r="F7" s="45" t="s">
        <v>5</v>
      </c>
      <c r="G7" s="27"/>
      <c r="H7" s="30"/>
      <c r="I7" s="26"/>
      <c r="J7" s="44" t="s">
        <v>6</v>
      </c>
    </row>
    <row r="8" spans="1:12" ht="15.75" customHeight="1" thickBot="1" x14ac:dyDescent="0.3">
      <c r="C8" s="40">
        <f>SUM(D10:D15)</f>
        <v>0</v>
      </c>
      <c r="D8" s="24"/>
      <c r="E8" s="24"/>
      <c r="F8" s="42">
        <f>SUM(G10:G15)</f>
        <v>0</v>
      </c>
      <c r="G8" s="25"/>
      <c r="H8" s="24"/>
      <c r="I8" s="24"/>
      <c r="J8" s="41">
        <f>SUM(K10:K14)</f>
        <v>0</v>
      </c>
    </row>
    <row r="9" spans="1:12" x14ac:dyDescent="0.25">
      <c r="C9" s="48" t="s">
        <v>7</v>
      </c>
      <c r="D9" s="2"/>
      <c r="E9" s="16"/>
      <c r="F9" s="48" t="s">
        <v>8</v>
      </c>
      <c r="G9" s="16"/>
      <c r="H9" s="2"/>
      <c r="I9" s="2"/>
      <c r="J9" s="48" t="s">
        <v>9</v>
      </c>
    </row>
    <row r="10" spans="1:12" x14ac:dyDescent="0.25">
      <c r="C10" s="13"/>
      <c r="D10">
        <f>_xlfn.XLOOKUP(C10,Data!$D:$D,Data!$J:$J)</f>
        <v>0</v>
      </c>
      <c r="E10" s="14">
        <f>_xlfn.XLOOKUP(C10,Data!$D:$D,Data!$G:$G)+_xlfn.XLOOKUP(C10,Data!$D:$D,Data!$I:$I)</f>
        <v>0</v>
      </c>
      <c r="F10" s="13"/>
      <c r="G10">
        <f>_xlfn.XLOOKUP(F10,Data!$D:$D,Data!$J:$J)</f>
        <v>0</v>
      </c>
      <c r="H10" s="14" cm="1">
        <f t="array" ref="H10">_xlfn.XLOOKUP(F10,Data!$D:$D,Data!$G:$G)+_xlfn.XLOOKUP(F10,Data!$D:$D,Data!$I:$I/2)</f>
        <v>0</v>
      </c>
      <c r="I10">
        <f>SUM(E10+H10)</f>
        <v>0</v>
      </c>
      <c r="J10" s="13"/>
      <c r="K10" s="12">
        <f>_xlfn.XLOOKUP(J10,Data!$D:$D,Data!$J:$J)</f>
        <v>0</v>
      </c>
      <c r="L10" s="14" cm="1">
        <f t="array" ref="L10">_xlfn.XLOOKUP(J10,Data!$D:$D,Data!$G:$G)+_xlfn.XLOOKUP(J10,Data!$D:$D,Data!$I:$I/2)</f>
        <v>0</v>
      </c>
    </row>
    <row r="11" spans="1:12" x14ac:dyDescent="0.25">
      <c r="C11" s="13"/>
      <c r="D11">
        <f>_xlfn.XLOOKUP(C11,Data!$D:$D,Data!$J:$J)</f>
        <v>0</v>
      </c>
      <c r="E11" s="14">
        <f>_xlfn.XLOOKUP(C11,Data!$D:$D,Data!$G:$G)+_xlfn.XLOOKUP(C11,Data!$D:$D,Data!$I:$I)</f>
        <v>0</v>
      </c>
      <c r="F11" s="13"/>
      <c r="G11">
        <f>_xlfn.XLOOKUP(F11,Data!$D:$D,Data!$J:$J)</f>
        <v>0</v>
      </c>
      <c r="H11" s="14" cm="1">
        <f t="array" ref="H11">_xlfn.XLOOKUP(F11,Data!$D:$D,Data!$G:$G)+_xlfn.XLOOKUP(F11,Data!$D:$D,Data!$I:$I/2)</f>
        <v>0</v>
      </c>
      <c r="I11">
        <f>SUM(E11+H11)</f>
        <v>0</v>
      </c>
      <c r="J11" s="13"/>
      <c r="K11" s="12">
        <f>_xlfn.XLOOKUP(J11,Data!$D:$D,Data!$J:$J)</f>
        <v>0</v>
      </c>
      <c r="L11" s="14" cm="1">
        <f t="array" ref="L11">_xlfn.XLOOKUP(J11,Data!$D:$D,Data!$G:$G)+_xlfn.XLOOKUP(J11,Data!$D:$D,Data!$I:$I/2)</f>
        <v>0</v>
      </c>
    </row>
    <row r="12" spans="1:12" x14ac:dyDescent="0.25">
      <c r="A12" s="47" t="s">
        <v>10</v>
      </c>
      <c r="B12" s="47"/>
      <c r="C12" s="13"/>
      <c r="D12">
        <f>_xlfn.XLOOKUP(C12,Data!$D:$D,Data!$J:$J)</f>
        <v>0</v>
      </c>
      <c r="E12" s="14">
        <f>_xlfn.XLOOKUP(C12,Data!$D:$D,Data!$G:$G)+_xlfn.XLOOKUP(C12,Data!$D:$D,Data!$I:$I)</f>
        <v>0</v>
      </c>
      <c r="F12" s="13"/>
      <c r="G12">
        <f>_xlfn.XLOOKUP(F12,Data!$D:$D,Data!$J:$J)</f>
        <v>0</v>
      </c>
      <c r="H12" s="14" cm="1">
        <f t="array" ref="H12">_xlfn.XLOOKUP(F12,Data!$D:$D,Data!$G:$G)+_xlfn.XLOOKUP(F12,Data!$D:$D,Data!$I:$I/2)</f>
        <v>0</v>
      </c>
      <c r="I12">
        <f t="shared" ref="I12:I15" si="0">SUM(E12+H12)</f>
        <v>0</v>
      </c>
      <c r="J12" s="13"/>
      <c r="K12">
        <f>_xlfn.XLOOKUP(J12,Data!$D:$D,Data!$J:$J)</f>
        <v>0</v>
      </c>
      <c r="L12" s="14" cm="1">
        <f t="array" ref="L12">_xlfn.XLOOKUP(J12,Data!$D:$D,Data!$G:$G)+_xlfn.XLOOKUP(J12,Data!$D:$D,Data!$I:$I/2)</f>
        <v>0</v>
      </c>
    </row>
    <row r="13" spans="1:12" x14ac:dyDescent="0.25">
      <c r="A13" s="16" t="s">
        <v>11</v>
      </c>
      <c r="B13" s="16"/>
      <c r="C13" s="13"/>
      <c r="D13">
        <f>_xlfn.XLOOKUP(C13,Data!$D:$D,Data!$J:$J)</f>
        <v>0</v>
      </c>
      <c r="E13" s="14">
        <f>_xlfn.XLOOKUP(C13,Data!$D:$D,Data!$G:$G)+_xlfn.XLOOKUP(C13,Data!$D:$D,Data!$I:$I)</f>
        <v>0</v>
      </c>
      <c r="F13" s="13"/>
      <c r="G13">
        <f>_xlfn.XLOOKUP(F13,Data!$D:$D,Data!$J:$J)</f>
        <v>0</v>
      </c>
      <c r="H13" s="14" cm="1">
        <f t="array" ref="H13">_xlfn.XLOOKUP(F13,Data!$D:$D,Data!$G:$G)+_xlfn.XLOOKUP(F13,Data!$D:$D,Data!$I:$I/2)</f>
        <v>0</v>
      </c>
      <c r="I13">
        <f t="shared" si="0"/>
        <v>0</v>
      </c>
      <c r="J13" s="13"/>
      <c r="K13">
        <f>_xlfn.XLOOKUP(J13,Data!$D:$D,Data!$J:$J)</f>
        <v>0</v>
      </c>
      <c r="L13" s="14" cm="1">
        <f t="array" ref="L13">_xlfn.XLOOKUP(J13,Data!$D:$D,Data!$G:$G)+_xlfn.XLOOKUP(J13,Data!$D:$D,Data!$I:$I/2)</f>
        <v>0</v>
      </c>
    </row>
    <row r="14" spans="1:12" ht="15.75" thickBot="1" x14ac:dyDescent="0.3">
      <c r="C14" s="13"/>
      <c r="D14">
        <f>_xlfn.XLOOKUP(C14,Data!$D:$D,Data!$J:$J)</f>
        <v>0</v>
      </c>
      <c r="E14" s="14">
        <f>_xlfn.XLOOKUP(C14,Data!$D:$D,Data!$G:$G)+_xlfn.XLOOKUP(C14,Data!$D:$D,Data!$I:$I)</f>
        <v>0</v>
      </c>
      <c r="F14" s="13"/>
      <c r="G14">
        <f>_xlfn.XLOOKUP(F14,Data!$D:$D,Data!$J:$J)</f>
        <v>0</v>
      </c>
      <c r="H14" s="14" cm="1">
        <f t="array" ref="H14">_xlfn.XLOOKUP(F14,Data!$D:$D,Data!$G:$G)+_xlfn.XLOOKUP(F14,Data!$D:$D,Data!$I:$I/2)</f>
        <v>0</v>
      </c>
      <c r="I14">
        <f t="shared" si="0"/>
        <v>0</v>
      </c>
      <c r="J14" s="13"/>
      <c r="K14" s="8">
        <f>_xlfn.XLOOKUP(J14,Data!$D:$D,Data!$J:$J)</f>
        <v>0</v>
      </c>
      <c r="L14" s="15" cm="1">
        <f t="array" ref="L14">_xlfn.XLOOKUP(J14,Data!$D:$D,Data!$G:$G)+_xlfn.XLOOKUP(J14,Data!$D:$D,Data!$I:$I/2)</f>
        <v>0</v>
      </c>
    </row>
    <row r="15" spans="1:12" ht="16.5" thickTop="1" thickBot="1" x14ac:dyDescent="0.3">
      <c r="C15" s="13"/>
      <c r="D15">
        <f>_xlfn.XLOOKUP(C15,Data!$D:$D,Data!$J:$J)</f>
        <v>0</v>
      </c>
      <c r="E15" s="14">
        <f>_xlfn.XLOOKUP(C15,Data!$D:$D,Data!$G:$G)+_xlfn.XLOOKUP(C15,Data!$D:$D,Data!$I:$I)</f>
        <v>0</v>
      </c>
      <c r="F15" s="13"/>
      <c r="G15" s="12">
        <f>_xlfn.XLOOKUP(F15,Data!$D:$D,Data!$J:$J)</f>
        <v>0</v>
      </c>
      <c r="H15" s="14" cm="1">
        <f t="array" ref="H15">_xlfn.XLOOKUP(F15,Data!$D:$D,Data!$G:$G)+_xlfn.XLOOKUP(F15,Data!$D:$D,Data!$I:$I/2)</f>
        <v>0</v>
      </c>
      <c r="I15">
        <f t="shared" si="0"/>
        <v>0</v>
      </c>
      <c r="J15" s="9"/>
    </row>
    <row r="16" spans="1:12" ht="15.75" thickTop="1" x14ac:dyDescent="0.25">
      <c r="C16" s="7"/>
      <c r="E16" s="7"/>
      <c r="F16" s="7"/>
      <c r="G16" s="7"/>
      <c r="H16" s="7"/>
    </row>
    <row r="19" spans="1:12" ht="15.75" thickBot="1" x14ac:dyDescent="0.3"/>
    <row r="20" spans="1:12" ht="15.75" customHeight="1" thickBot="1" x14ac:dyDescent="0.45">
      <c r="C20" s="43" t="s">
        <v>1</v>
      </c>
      <c r="D20" s="18"/>
      <c r="E20" s="18"/>
      <c r="F20" s="39">
        <f>MAX(I26:I30)</f>
        <v>0</v>
      </c>
      <c r="G20" s="34"/>
      <c r="H20" s="34"/>
      <c r="I20" s="35"/>
    </row>
    <row r="21" spans="1:12" ht="15.75" customHeight="1" thickBot="1" x14ac:dyDescent="0.3">
      <c r="C21" s="76" t="s">
        <v>12</v>
      </c>
      <c r="D21" s="77"/>
      <c r="E21" s="77"/>
      <c r="F21" s="78"/>
      <c r="G21" s="19"/>
      <c r="H21" s="31"/>
      <c r="I21" s="36"/>
    </row>
    <row r="22" spans="1:12" ht="15.75" customHeight="1" thickBot="1" x14ac:dyDescent="0.45">
      <c r="C22" s="73">
        <f>I31</f>
        <v>0</v>
      </c>
      <c r="D22" s="74"/>
      <c r="E22" s="74"/>
      <c r="F22" s="75"/>
      <c r="G22" s="22"/>
      <c r="H22" s="23"/>
      <c r="I22" s="37"/>
    </row>
    <row r="23" spans="1:12" ht="15.75" customHeight="1" thickBot="1" x14ac:dyDescent="0.3">
      <c r="C23" s="46" t="s">
        <v>4</v>
      </c>
      <c r="D23" s="26"/>
      <c r="E23" s="26"/>
      <c r="F23" s="46" t="s">
        <v>6</v>
      </c>
      <c r="G23" s="27"/>
      <c r="H23" s="30"/>
      <c r="I23" s="29"/>
    </row>
    <row r="24" spans="1:12" ht="15.75" customHeight="1" thickBot="1" x14ac:dyDescent="0.3">
      <c r="C24" s="40">
        <f>SUM(D26:D31)</f>
        <v>0</v>
      </c>
      <c r="D24" s="24"/>
      <c r="E24" s="24"/>
      <c r="F24" s="41">
        <f>SUM(K26:K30)</f>
        <v>0</v>
      </c>
      <c r="G24" s="25"/>
      <c r="H24" s="24"/>
      <c r="I24" s="38"/>
    </row>
    <row r="25" spans="1:12" x14ac:dyDescent="0.25">
      <c r="C25" s="48" t="s">
        <v>7</v>
      </c>
      <c r="D25" s="2"/>
      <c r="E25" s="2"/>
      <c r="F25" s="48" t="s">
        <v>8</v>
      </c>
      <c r="G25" s="2"/>
      <c r="H25" s="2"/>
      <c r="I25" s="2"/>
      <c r="J25" s="48" t="s">
        <v>9</v>
      </c>
    </row>
    <row r="26" spans="1:12" x14ac:dyDescent="0.25">
      <c r="C26" s="13"/>
      <c r="D26">
        <f>_xlfn.XLOOKUP(C26,Data!$D:$D,Data!$J:$J)</f>
        <v>0</v>
      </c>
      <c r="E26" s="14">
        <f>_xlfn.XLOOKUP(C26,Data!$D:$D,Data!$G:$G)+_xlfn.XLOOKUP(C26,Data!$D:$D,Data!$I:$I)</f>
        <v>0</v>
      </c>
      <c r="F26" s="17"/>
      <c r="H26" s="14"/>
      <c r="I26" s="14">
        <f>SUM(E26+L26)</f>
        <v>0</v>
      </c>
      <c r="J26" s="13"/>
      <c r="K26" s="12">
        <f>_xlfn.XLOOKUP(J26,Data!$D:$D,Data!$J:$J)</f>
        <v>0</v>
      </c>
      <c r="L26" s="14">
        <f>_xlfn.XLOOKUP(J26,Data!$D:$D,Data!$G:$G)+_xlfn.XLOOKUP(J26,Data!$D:$D,Data!$I:$I)</f>
        <v>0</v>
      </c>
    </row>
    <row r="27" spans="1:12" x14ac:dyDescent="0.25">
      <c r="C27" s="13"/>
      <c r="D27">
        <f>_xlfn.XLOOKUP(C27,Data!$D:$D,Data!$J:$J)</f>
        <v>0</v>
      </c>
      <c r="E27" s="14">
        <f>_xlfn.XLOOKUP(C27,Data!$D:$D,Data!$G:$G)+_xlfn.XLOOKUP(C27,Data!$D:$D,Data!$I:$I)</f>
        <v>0</v>
      </c>
      <c r="F27" s="17"/>
      <c r="H27" s="14"/>
      <c r="I27" s="14">
        <f t="shared" ref="I27:I30" si="1">SUM(E27+L27)</f>
        <v>0</v>
      </c>
      <c r="J27" s="13"/>
      <c r="K27" s="12">
        <f>_xlfn.XLOOKUP(J27,Data!$D:$D,Data!$J:$J)</f>
        <v>0</v>
      </c>
      <c r="L27" s="14">
        <f>_xlfn.XLOOKUP(J27,Data!$D:$D,Data!$G:$G)+_xlfn.XLOOKUP(J27,Data!$D:$D,Data!$I:$I)</f>
        <v>0</v>
      </c>
    </row>
    <row r="28" spans="1:12" x14ac:dyDescent="0.25">
      <c r="A28" s="1" t="s">
        <v>14</v>
      </c>
      <c r="B28" s="1"/>
      <c r="C28" s="13"/>
      <c r="D28">
        <f>_xlfn.XLOOKUP(C28,Data!$D:$D,Data!$J:$J)</f>
        <v>0</v>
      </c>
      <c r="E28" s="14">
        <f>_xlfn.XLOOKUP(C28,Data!$D:$D,Data!$G:$G)+_xlfn.XLOOKUP(C28,Data!$D:$D,Data!$I:$I)</f>
        <v>0</v>
      </c>
      <c r="H28" s="14"/>
      <c r="I28" s="14">
        <f t="shared" si="1"/>
        <v>0</v>
      </c>
      <c r="J28" s="13"/>
      <c r="K28">
        <f>_xlfn.XLOOKUP(J28,Data!$D:$D,Data!$J:$J)</f>
        <v>0</v>
      </c>
      <c r="L28" s="14">
        <f>_xlfn.XLOOKUP(J28,Data!$D:$D,Data!$G:$G)+_xlfn.XLOOKUP(J28,Data!$D:$D,Data!$I:$I)</f>
        <v>0</v>
      </c>
    </row>
    <row r="29" spans="1:12" x14ac:dyDescent="0.25">
      <c r="A29" s="16" t="s">
        <v>11</v>
      </c>
      <c r="B29" s="16"/>
      <c r="C29" s="13"/>
      <c r="D29">
        <f>_xlfn.XLOOKUP(C29,Data!$D:$D,Data!$J:$J)</f>
        <v>0</v>
      </c>
      <c r="E29" s="14">
        <f>_xlfn.XLOOKUP(C29,Data!$D:$D,Data!$G:$G)+_xlfn.XLOOKUP(C29,Data!$D:$D,Data!$I:$I)</f>
        <v>0</v>
      </c>
      <c r="F29" s="52" t="s">
        <v>15</v>
      </c>
      <c r="H29" s="14"/>
      <c r="I29" s="14">
        <f t="shared" si="1"/>
        <v>0</v>
      </c>
      <c r="J29" s="13"/>
      <c r="K29">
        <f>_xlfn.XLOOKUP(J29,Data!$D:$D,Data!$J:$J)</f>
        <v>0</v>
      </c>
      <c r="L29" s="14">
        <f>_xlfn.XLOOKUP(J29,Data!$D:$D,Data!$G:$G)+_xlfn.XLOOKUP(J29,Data!$D:$D,Data!$I:$I)</f>
        <v>0</v>
      </c>
    </row>
    <row r="30" spans="1:12" ht="15.75" thickBot="1" x14ac:dyDescent="0.3">
      <c r="A30" s="51"/>
      <c r="B30" s="51"/>
      <c r="C30" s="13"/>
      <c r="D30">
        <f>_xlfn.XLOOKUP(C30,Data!$D:$D,Data!$J:$J)</f>
        <v>0</v>
      </c>
      <c r="E30" s="14">
        <f>_xlfn.XLOOKUP(C30,Data!$D:$D,Data!$G:$G)+_xlfn.XLOOKUP(C30,Data!$D:$D,Data!$I:$I)</f>
        <v>0</v>
      </c>
      <c r="F30" s="52" t="s">
        <v>16</v>
      </c>
      <c r="H30" s="14"/>
      <c r="I30" s="14">
        <f t="shared" si="1"/>
        <v>0</v>
      </c>
      <c r="J30" s="13"/>
      <c r="K30" s="8">
        <f>_xlfn.XLOOKUP(J30,Data!$D:$D,Data!$J:$J)</f>
        <v>0</v>
      </c>
      <c r="L30" s="14">
        <f>_xlfn.XLOOKUP(J30,Data!$D:$D,Data!$G:$G)+_xlfn.XLOOKUP(J30,Data!$D:$D,Data!$I:$I)</f>
        <v>0</v>
      </c>
    </row>
    <row r="31" spans="1:12" ht="16.5" thickTop="1" thickBot="1" x14ac:dyDescent="0.3">
      <c r="C31" s="13"/>
      <c r="D31">
        <f>_xlfn.XLOOKUP(C31,Data!$D:$D,Data!$J:$J)</f>
        <v>0</v>
      </c>
      <c r="E31" s="14">
        <f>_xlfn.XLOOKUP(C31,Data!$D:$D,Data!$G:$G)+_xlfn.XLOOKUP(C31,Data!$D:$D,Data!$I:$I)</f>
        <v>0</v>
      </c>
      <c r="F31" s="33"/>
      <c r="G31" s="12"/>
      <c r="H31" s="14" cm="1">
        <f t="array" ref="H31">_xlfn.XLOOKUP(F31,Data!$D:$D,Data!$G:$G)+_xlfn.XLOOKUP(F31,Data!$D:$D,Data!$I:$I/2)</f>
        <v>0</v>
      </c>
      <c r="I31">
        <f t="shared" ref="I31" si="2">SUM(E31+H31)</f>
        <v>0</v>
      </c>
      <c r="J31" s="9"/>
    </row>
    <row r="32" spans="1:12" ht="15.75" thickTop="1" x14ac:dyDescent="0.25">
      <c r="C32" s="7"/>
      <c r="E32" s="7"/>
      <c r="F32" s="53"/>
      <c r="G32" s="7"/>
      <c r="H32" s="7"/>
    </row>
    <row r="35" spans="1:12" ht="15.75" thickBot="1" x14ac:dyDescent="0.3"/>
    <row r="36" spans="1:12" ht="15.75" customHeight="1" thickBot="1" x14ac:dyDescent="0.3">
      <c r="A36" s="1"/>
      <c r="B36" s="1"/>
      <c r="C36" s="43" t="s">
        <v>1</v>
      </c>
      <c r="D36" s="20"/>
      <c r="E36" s="20"/>
      <c r="F36" s="39">
        <f>MAX(I42:I47)+MAX(L42:L46)</f>
        <v>0</v>
      </c>
      <c r="G36" s="20"/>
      <c r="H36" s="20"/>
      <c r="I36" s="20"/>
      <c r="J36" s="21"/>
    </row>
    <row r="37" spans="1:12" ht="15.75" customHeight="1" thickBot="1" x14ac:dyDescent="0.3">
      <c r="A37" s="1"/>
      <c r="B37" s="1"/>
      <c r="C37" s="76" t="s">
        <v>17</v>
      </c>
      <c r="D37" s="77"/>
      <c r="E37" s="77"/>
      <c r="F37" s="77" t="s">
        <v>18</v>
      </c>
      <c r="G37" s="77"/>
      <c r="H37" s="77"/>
      <c r="I37" s="78"/>
      <c r="J37" s="32" t="s">
        <v>19</v>
      </c>
    </row>
    <row r="38" spans="1:12" ht="15.75" customHeight="1" thickBot="1" x14ac:dyDescent="0.3">
      <c r="A38" s="1"/>
      <c r="B38" s="1"/>
      <c r="C38" s="54">
        <f>MAX(E42:E47)</f>
        <v>0</v>
      </c>
      <c r="D38" s="49"/>
      <c r="E38" s="50"/>
      <c r="F38" s="57">
        <f>MAX(H42:H47)</f>
        <v>0</v>
      </c>
      <c r="G38" s="49"/>
      <c r="H38" s="49"/>
      <c r="I38" s="49"/>
      <c r="J38" s="55">
        <f>MAX(L42:L46)</f>
        <v>0</v>
      </c>
    </row>
    <row r="39" spans="1:12" ht="15.75" customHeight="1" thickBot="1" x14ac:dyDescent="0.3">
      <c r="C39" s="46" t="s">
        <v>13</v>
      </c>
      <c r="D39" s="26"/>
      <c r="E39" s="26"/>
      <c r="F39" s="45" t="s">
        <v>20</v>
      </c>
      <c r="G39" s="27"/>
      <c r="H39" s="30"/>
      <c r="I39" s="26"/>
      <c r="J39" s="44" t="s">
        <v>21</v>
      </c>
    </row>
    <row r="40" spans="1:12" ht="15.75" customHeight="1" thickBot="1" x14ac:dyDescent="0.3">
      <c r="C40" s="40">
        <f>SUM(D42:D47)</f>
        <v>0</v>
      </c>
      <c r="D40" s="24"/>
      <c r="E40" s="24"/>
      <c r="F40" s="42">
        <f>SUM(G42:G47)</f>
        <v>0</v>
      </c>
      <c r="G40" s="25"/>
      <c r="H40" s="24"/>
      <c r="I40" s="24"/>
      <c r="J40" s="39">
        <f>SUM(K42:K46)</f>
        <v>0</v>
      </c>
    </row>
    <row r="41" spans="1:12" x14ac:dyDescent="0.25">
      <c r="C41" s="48" t="s">
        <v>7</v>
      </c>
      <c r="D41" s="2"/>
      <c r="E41" s="16"/>
      <c r="F41" s="48" t="s">
        <v>8</v>
      </c>
      <c r="G41" s="16"/>
      <c r="H41" s="2"/>
      <c r="I41" s="2"/>
      <c r="J41" s="48" t="s">
        <v>9</v>
      </c>
    </row>
    <row r="42" spans="1:12" x14ac:dyDescent="0.25">
      <c r="C42" s="13"/>
      <c r="D42">
        <f>_xlfn.XLOOKUP(C42,Data!$D:$D,Data!$J:$J)</f>
        <v>0</v>
      </c>
      <c r="E42" s="14">
        <f>_xlfn.XLOOKUP(C42,Data!$D:$D,Data!$G:$G)+_xlfn.XLOOKUP(C42,Data!$D:$D,Data!$I:$I)</f>
        <v>0</v>
      </c>
      <c r="F42" s="13"/>
      <c r="G42">
        <f>_xlfn.XLOOKUP(F42,Data!$D:$D,Data!$J:$J)</f>
        <v>0</v>
      </c>
      <c r="H42" s="14" cm="1">
        <f t="array" ref="H42">_xlfn.XLOOKUP(F42,Data!$D:$D,Data!$G:$G)+_xlfn.XLOOKUP(F42,Data!$D:$D,Data!$I:$I/2.5)</f>
        <v>0</v>
      </c>
      <c r="I42">
        <f t="shared" ref="I42:I45" si="3">SUM(E42+H42)</f>
        <v>0</v>
      </c>
      <c r="J42" s="13"/>
      <c r="K42" s="12">
        <f>_xlfn.XLOOKUP(J42,Data!$D:$D,Data!$J:$J)</f>
        <v>0</v>
      </c>
      <c r="L42" s="14" cm="1">
        <f t="array" ref="L42">_xlfn.XLOOKUP(J42,Data!$D:$D,Data!$G:$G)+_xlfn.XLOOKUP(J42,Data!$D:$D,Data!$I:$I/2.5)</f>
        <v>0</v>
      </c>
    </row>
    <row r="43" spans="1:12" x14ac:dyDescent="0.25">
      <c r="C43" s="13"/>
      <c r="D43">
        <f>_xlfn.XLOOKUP(C43,Data!$D:$D,Data!$J:$J)</f>
        <v>0</v>
      </c>
      <c r="E43" s="14">
        <f>_xlfn.XLOOKUP(C43,Data!$D:$D,Data!$G:$G)+_xlfn.XLOOKUP(C43,Data!$D:$D,Data!$I:$I)</f>
        <v>0</v>
      </c>
      <c r="F43" s="13"/>
      <c r="G43">
        <f>_xlfn.XLOOKUP(F43,Data!$D:$D,Data!$J:$J)</f>
        <v>0</v>
      </c>
      <c r="H43" s="14" cm="1">
        <f t="array" ref="H43">_xlfn.XLOOKUP(F43,Data!$D:$D,Data!$G:$G)+_xlfn.XLOOKUP(F43,Data!$D:$D,Data!$I:$I/2.5)</f>
        <v>0</v>
      </c>
      <c r="I43">
        <f t="shared" si="3"/>
        <v>0</v>
      </c>
      <c r="J43" s="13"/>
      <c r="K43" s="12">
        <f>_xlfn.XLOOKUP(J43,Data!$D:$D,Data!$J:$J)</f>
        <v>0</v>
      </c>
      <c r="L43" s="14" cm="1">
        <f t="array" ref="L43">_xlfn.XLOOKUP(J43,Data!$D:$D,Data!$G:$G)+_xlfn.XLOOKUP(J43,Data!$D:$D,Data!$I:$I/2.5)</f>
        <v>0</v>
      </c>
    </row>
    <row r="44" spans="1:12" x14ac:dyDescent="0.25">
      <c r="A44" s="56" t="s">
        <v>22</v>
      </c>
      <c r="B44" s="56"/>
      <c r="C44" s="13"/>
      <c r="D44">
        <f>_xlfn.XLOOKUP(C44,Data!$D:$D,Data!$J:$J)</f>
        <v>0</v>
      </c>
      <c r="E44" s="14">
        <f>_xlfn.XLOOKUP(C44,Data!$D:$D,Data!$G:$G)+_xlfn.XLOOKUP(C44,Data!$D:$D,Data!$I:$I)</f>
        <v>0</v>
      </c>
      <c r="F44" s="13"/>
      <c r="G44">
        <f>_xlfn.XLOOKUP(F44,Data!$D:$D,Data!$J:$J)</f>
        <v>0</v>
      </c>
      <c r="H44" s="14" cm="1">
        <f t="array" ref="H44">_xlfn.XLOOKUP(F44,Data!$D:$D,Data!$G:$G)+_xlfn.XLOOKUP(F44,Data!$D:$D,Data!$I:$I/2.5)</f>
        <v>0</v>
      </c>
      <c r="I44">
        <f t="shared" si="3"/>
        <v>0</v>
      </c>
      <c r="J44" s="13"/>
      <c r="K44">
        <f>_xlfn.XLOOKUP(J44,Data!$D:$D,Data!$J:$J)</f>
        <v>0</v>
      </c>
      <c r="L44" s="14" cm="1">
        <f t="array" ref="L44">_xlfn.XLOOKUP(J44,Data!$D:$D,Data!$G:$G)+_xlfn.XLOOKUP(J44,Data!$D:$D,Data!$I:$I/2.5)</f>
        <v>0</v>
      </c>
    </row>
    <row r="45" spans="1:12" x14ac:dyDescent="0.25">
      <c r="A45" s="16" t="s">
        <v>23</v>
      </c>
      <c r="B45" s="16"/>
      <c r="C45" s="13"/>
      <c r="D45">
        <f>_xlfn.XLOOKUP(C45,Data!$D:$D,Data!$J:$J)</f>
        <v>0</v>
      </c>
      <c r="E45" s="14">
        <f>_xlfn.XLOOKUP(C45,Data!$D:$D,Data!$G:$G)+_xlfn.XLOOKUP(C45,Data!$D:$D,Data!$I:$I)</f>
        <v>0</v>
      </c>
      <c r="F45" s="13"/>
      <c r="G45">
        <f>_xlfn.XLOOKUP(F45,Data!$D:$D,Data!$J:$J)</f>
        <v>0</v>
      </c>
      <c r="H45" s="14" cm="1">
        <f t="array" ref="H45">_xlfn.XLOOKUP(F45,Data!$D:$D,Data!$G:$G)+_xlfn.XLOOKUP(F45,Data!$D:$D,Data!$I:$I/2.5)</f>
        <v>0</v>
      </c>
      <c r="I45">
        <f t="shared" si="3"/>
        <v>0</v>
      </c>
      <c r="J45" s="13"/>
      <c r="K45">
        <f>_xlfn.XLOOKUP(J45,Data!$D:$D,Data!$J:$J)</f>
        <v>0</v>
      </c>
      <c r="L45" s="14" cm="1">
        <f t="array" ref="L45">_xlfn.XLOOKUP(J45,Data!$D:$D,Data!$G:$G)+_xlfn.XLOOKUP(J45,Data!$D:$D,Data!$I:$I/2.5)</f>
        <v>0</v>
      </c>
    </row>
    <row r="46" spans="1:12" ht="15.75" thickBot="1" x14ac:dyDescent="0.3">
      <c r="C46" s="13"/>
      <c r="D46">
        <f>_xlfn.XLOOKUP(C46,Data!$D:$D,Data!$J:$J)</f>
        <v>0</v>
      </c>
      <c r="E46" s="14">
        <f>_xlfn.XLOOKUP(C46,Data!$D:$D,Data!$G:$G)+_xlfn.XLOOKUP(C46,Data!$D:$D,Data!$I:$I)</f>
        <v>0</v>
      </c>
      <c r="F46" s="13"/>
      <c r="G46">
        <f>_xlfn.XLOOKUP(F46,Data!$D:$D,Data!$J:$J)</f>
        <v>0</v>
      </c>
      <c r="H46" s="14" cm="1">
        <f t="array" ref="H46">_xlfn.XLOOKUP(F46,Data!$D:$D,Data!$G:$G)+_xlfn.XLOOKUP(F46,Data!$D:$D,Data!$I:$I/2.5)</f>
        <v>0</v>
      </c>
      <c r="I46">
        <f t="shared" ref="I46:I47" si="4">SUM(E46+H46)</f>
        <v>0</v>
      </c>
      <c r="J46" s="13"/>
      <c r="K46" s="8">
        <f>_xlfn.XLOOKUP(J46,Data!$D:$D,Data!$J:$J)</f>
        <v>0</v>
      </c>
      <c r="L46" s="14" cm="1">
        <f t="array" ref="L46">_xlfn.XLOOKUP(J46,Data!$D:$D,Data!$G:$G)+_xlfn.XLOOKUP(J46,Data!$D:$D,Data!$I:$I/2.5)</f>
        <v>0</v>
      </c>
    </row>
    <row r="47" spans="1:12" ht="16.5" thickTop="1" thickBot="1" x14ac:dyDescent="0.3">
      <c r="C47" s="13"/>
      <c r="D47">
        <f>_xlfn.XLOOKUP(C47,Data!$D:$D,Data!$J:$J)</f>
        <v>0</v>
      </c>
      <c r="E47" s="14">
        <f>_xlfn.XLOOKUP(C47,Data!$D:$D,Data!$G:$G)+_xlfn.XLOOKUP(C47,Data!$D:$D,Data!$I:$I)</f>
        <v>0</v>
      </c>
      <c r="F47" s="13"/>
      <c r="G47" s="12">
        <f>_xlfn.XLOOKUP(F47,Data!$D:$D,Data!$J:$J)</f>
        <v>0</v>
      </c>
      <c r="H47" s="14" cm="1">
        <f t="array" ref="H47">_xlfn.XLOOKUP(F47,Data!$D:$D,Data!$G:$G)+_xlfn.XLOOKUP(F47,Data!$D:$D,Data!$I:$I/2.5)</f>
        <v>0</v>
      </c>
      <c r="I47">
        <f t="shared" si="4"/>
        <v>0</v>
      </c>
      <c r="J47" s="9"/>
    </row>
    <row r="48" spans="1:12" ht="15.75" thickTop="1" x14ac:dyDescent="0.25">
      <c r="C48" s="7"/>
      <c r="E48" s="7"/>
      <c r="F48" s="7"/>
      <c r="G48" s="7"/>
      <c r="H48" s="7"/>
    </row>
    <row r="51" spans="1:15" ht="15.75" thickBot="1" x14ac:dyDescent="0.3"/>
    <row r="52" spans="1:15" ht="15.75" thickBot="1" x14ac:dyDescent="0.3">
      <c r="C52" s="43" t="s">
        <v>1</v>
      </c>
      <c r="D52" s="62"/>
      <c r="E52" s="62"/>
      <c r="F52" s="61">
        <f>MAX(I61:I65)</f>
        <v>0</v>
      </c>
      <c r="G52" s="65"/>
      <c r="H52" s="65"/>
      <c r="I52" s="65"/>
      <c r="J52" s="39"/>
    </row>
    <row r="53" spans="1:15" ht="15.75" thickBot="1" x14ac:dyDescent="0.3">
      <c r="C53" s="79" t="s">
        <v>24</v>
      </c>
      <c r="D53" s="79"/>
      <c r="E53" s="79"/>
      <c r="F53" s="79"/>
      <c r="G53" s="79"/>
      <c r="H53" s="79"/>
      <c r="I53" s="79"/>
      <c r="J53" s="79"/>
    </row>
    <row r="54" spans="1:15" ht="15.75" thickBot="1" x14ac:dyDescent="0.3">
      <c r="C54" s="82">
        <f>L62</f>
        <v>0</v>
      </c>
      <c r="D54" s="82"/>
      <c r="E54" s="82"/>
      <c r="F54" s="82"/>
      <c r="G54" s="82"/>
      <c r="H54" s="82"/>
      <c r="I54" s="82"/>
      <c r="J54" s="82"/>
      <c r="K54" s="67"/>
      <c r="O54" s="14"/>
    </row>
    <row r="55" spans="1:15" ht="15.75" thickBot="1" x14ac:dyDescent="0.3">
      <c r="C55" s="79" t="s">
        <v>25</v>
      </c>
      <c r="D55" s="79"/>
      <c r="E55" s="79"/>
      <c r="F55" s="79"/>
      <c r="G55" s="79"/>
      <c r="H55" s="79"/>
      <c r="I55" s="79"/>
      <c r="J55" s="79"/>
    </row>
    <row r="56" spans="1:15" ht="15.75" thickBot="1" x14ac:dyDescent="0.3">
      <c r="C56" s="82">
        <f>L63</f>
        <v>0</v>
      </c>
      <c r="D56" s="82"/>
      <c r="E56" s="82"/>
      <c r="F56" s="82"/>
      <c r="G56" s="82"/>
      <c r="H56" s="82"/>
      <c r="I56" s="82"/>
      <c r="J56" s="82"/>
    </row>
    <row r="57" spans="1:15" ht="15.75" thickBot="1" x14ac:dyDescent="0.3">
      <c r="C57" s="79" t="s">
        <v>26</v>
      </c>
      <c r="D57" s="79"/>
      <c r="E57" s="79"/>
      <c r="F57" s="79"/>
      <c r="G57" s="79"/>
      <c r="H57" s="79"/>
      <c r="I57" s="79"/>
      <c r="J57" s="79"/>
    </row>
    <row r="58" spans="1:15" ht="15.75" thickBot="1" x14ac:dyDescent="0.3">
      <c r="C58" s="82">
        <f>L64</f>
        <v>0</v>
      </c>
      <c r="D58" s="82"/>
      <c r="E58" s="82"/>
      <c r="F58" s="82"/>
      <c r="G58" s="82"/>
      <c r="H58" s="82"/>
      <c r="I58" s="82"/>
      <c r="J58" s="82"/>
    </row>
    <row r="59" spans="1:15" ht="15.75" thickBot="1" x14ac:dyDescent="0.3">
      <c r="C59" s="79" t="s">
        <v>27</v>
      </c>
      <c r="D59" s="79"/>
      <c r="E59" s="79"/>
      <c r="F59" s="79"/>
      <c r="G59" s="79"/>
      <c r="H59" s="79"/>
      <c r="I59" s="79"/>
      <c r="J59" s="79"/>
    </row>
    <row r="60" spans="1:15" ht="15.75" thickBot="1" x14ac:dyDescent="0.3">
      <c r="C60" s="80">
        <f>L65</f>
        <v>0</v>
      </c>
      <c r="D60" s="80"/>
      <c r="E60" s="80"/>
      <c r="F60" s="80"/>
      <c r="G60" s="80"/>
      <c r="H60" s="80"/>
      <c r="I60" s="80"/>
      <c r="J60" s="80"/>
    </row>
    <row r="61" spans="1:15" x14ac:dyDescent="0.25">
      <c r="C61" s="81"/>
      <c r="D61" s="81"/>
      <c r="E61" s="81"/>
      <c r="F61" s="81"/>
      <c r="H61" s="14"/>
      <c r="J61" s="2"/>
    </row>
    <row r="62" spans="1:15" x14ac:dyDescent="0.25">
      <c r="A62" s="16" t="s">
        <v>28</v>
      </c>
      <c r="B62" s="66" t="s">
        <v>29</v>
      </c>
      <c r="C62" s="83"/>
      <c r="D62" s="84"/>
      <c r="E62" s="84"/>
      <c r="F62" s="84"/>
      <c r="G62" s="63">
        <f>_xlfn.XLOOKUP(C62,Data!$D:$D,Data!$J:$J)</f>
        <v>0</v>
      </c>
      <c r="H62" s="64">
        <f>_xlfn.XLOOKUP(C62,Data!$D:$D,Data!$G:$G)+_xlfn.XLOOKUP(C62,Data!$D:$D,Data!$I:$I)</f>
        <v>0</v>
      </c>
      <c r="I62">
        <f t="shared" ref="I62:I63" si="5">SUM(E62+H62)</f>
        <v>0</v>
      </c>
      <c r="J62" s="59"/>
      <c r="K62" s="12">
        <f>_xlfn.XLOOKUP(C62,Data!$D:$D,Data!$J:$J)</f>
        <v>0</v>
      </c>
      <c r="L62" s="14">
        <f>_xlfn.XLOOKUP(C62,Data!$D:$D,Data!$G:$G)+_xlfn.XLOOKUP(C62,Data!$D:$D,Data!$I:$I)</f>
        <v>0</v>
      </c>
    </row>
    <row r="63" spans="1:15" x14ac:dyDescent="0.25">
      <c r="A63" s="16" t="s">
        <v>23</v>
      </c>
      <c r="B63" s="66" t="s">
        <v>30</v>
      </c>
      <c r="C63" s="83"/>
      <c r="D63" s="84"/>
      <c r="E63" s="84"/>
      <c r="F63" s="84"/>
      <c r="G63" s="63">
        <f>_xlfn.XLOOKUP(C63,Data!$D:$D,Data!$J:$J)</f>
        <v>0</v>
      </c>
      <c r="H63" s="64">
        <f>_xlfn.XLOOKUP(C63,Data!$D:$D,Data!$G:$G)+_xlfn.XLOOKUP(C63,Data!$D:$D,Data!$I:$I)</f>
        <v>0</v>
      </c>
      <c r="I63">
        <f t="shared" si="5"/>
        <v>0</v>
      </c>
      <c r="J63" s="59"/>
      <c r="K63" s="12">
        <f>_xlfn.XLOOKUP(C63,Data!$D:$D,Data!$J:$J)</f>
        <v>0</v>
      </c>
      <c r="L63" s="14">
        <f>_xlfn.XLOOKUP(C63,Data!$D:$D,Data!$G:$G)+_xlfn.XLOOKUP(C63,Data!$D:$D,Data!$I:$I)</f>
        <v>0</v>
      </c>
    </row>
    <row r="64" spans="1:15" ht="15.75" thickBot="1" x14ac:dyDescent="0.3">
      <c r="B64" s="66" t="s">
        <v>31</v>
      </c>
      <c r="C64" s="83"/>
      <c r="D64" s="84"/>
      <c r="E64" s="84"/>
      <c r="F64" s="84"/>
      <c r="G64">
        <f>_xlfn.XLOOKUP(F64,Data!$D:$D,Data!$J:$J)</f>
        <v>0</v>
      </c>
      <c r="H64" s="14">
        <f>_xlfn.XLOOKUP(C64,Data!$D:$D,Data!$G:$G)+_xlfn.XLOOKUP(C64,Data!$D:$D,Data!$I:$I)</f>
        <v>0</v>
      </c>
      <c r="I64">
        <f>SUM(E64+H64)</f>
        <v>0</v>
      </c>
      <c r="J64" s="60"/>
      <c r="K64" s="12">
        <f>_xlfn.XLOOKUP(C64,Data!$D:$D,Data!$J:$J)</f>
        <v>0</v>
      </c>
      <c r="L64" s="14">
        <f>_xlfn.XLOOKUP(C64,Data!$D:$D,Data!$G:$G)+_xlfn.XLOOKUP(C64,Data!$D:$D,Data!$I:$I)</f>
        <v>0</v>
      </c>
      <c r="M64" s="12"/>
    </row>
    <row r="65" spans="1:12" ht="16.5" thickTop="1" thickBot="1" x14ac:dyDescent="0.3">
      <c r="B65" s="66" t="s">
        <v>32</v>
      </c>
      <c r="C65" s="85"/>
      <c r="D65" s="86"/>
      <c r="E65" s="86"/>
      <c r="F65" s="87"/>
      <c r="G65" s="12">
        <f>_xlfn.XLOOKUP(C65,Data!$D:$D,Data!$J:$J)</f>
        <v>0</v>
      </c>
      <c r="H65" s="14">
        <f>_xlfn.XLOOKUP(C65,Data!$D:$D,Data!$G:$G)+_xlfn.XLOOKUP(C65,Data!$D:$D,Data!$I:$I)</f>
        <v>0</v>
      </c>
      <c r="I65">
        <f>SUM(E65+H65)</f>
        <v>0</v>
      </c>
      <c r="J65" s="58"/>
      <c r="K65">
        <f>_xlfn.XLOOKUP(C65,Data!$D:$D,Data!$J:$J)</f>
        <v>0</v>
      </c>
      <c r="L65" s="14">
        <f>_xlfn.XLOOKUP(C65,Data!$D:$D,Data!$G:$G)+_xlfn.XLOOKUP(C65,Data!$D:$D,Data!$I:$I)</f>
        <v>0</v>
      </c>
    </row>
    <row r="66" spans="1:12" ht="15.75" thickTop="1" x14ac:dyDescent="0.25">
      <c r="G66" s="7"/>
      <c r="H66" s="7"/>
      <c r="L66" s="14"/>
    </row>
    <row r="69" spans="1:12" x14ac:dyDescent="0.25">
      <c r="A69" s="68" t="s">
        <v>33</v>
      </c>
      <c r="B69" s="69"/>
      <c r="C69" s="70" t="s">
        <v>34</v>
      </c>
      <c r="D69" s="69"/>
      <c r="E69" s="69"/>
      <c r="F69" s="69"/>
      <c r="G69" s="69"/>
      <c r="H69" s="69"/>
      <c r="I69" s="69"/>
      <c r="J69" s="69"/>
    </row>
    <row r="70" spans="1:12" x14ac:dyDescent="0.25">
      <c r="A70" s="69"/>
      <c r="B70" s="69"/>
      <c r="C70" s="70" t="s">
        <v>35</v>
      </c>
      <c r="D70" s="69"/>
      <c r="E70" s="69"/>
      <c r="F70" s="69"/>
      <c r="G70" s="69"/>
      <c r="H70" s="69"/>
      <c r="I70" s="69"/>
      <c r="J70" s="69"/>
    </row>
    <row r="71" spans="1:12" x14ac:dyDescent="0.25">
      <c r="A71" s="69"/>
      <c r="B71" s="69"/>
      <c r="C71" s="70" t="s">
        <v>36</v>
      </c>
      <c r="D71" s="69"/>
      <c r="E71" s="69"/>
      <c r="F71" s="69"/>
      <c r="G71" s="69"/>
      <c r="H71" s="69"/>
      <c r="I71" s="69"/>
      <c r="J71" s="69"/>
    </row>
  </sheetData>
  <mergeCells count="20">
    <mergeCell ref="C64:F64"/>
    <mergeCell ref="C65:F65"/>
    <mergeCell ref="C62:F62"/>
    <mergeCell ref="C55:J55"/>
    <mergeCell ref="C58:J58"/>
    <mergeCell ref="C59:J59"/>
    <mergeCell ref="C57:J57"/>
    <mergeCell ref="C56:J56"/>
    <mergeCell ref="C63:F63"/>
    <mergeCell ref="C53:J53"/>
    <mergeCell ref="C60:J60"/>
    <mergeCell ref="C61:F61"/>
    <mergeCell ref="C37:E37"/>
    <mergeCell ref="F37:I37"/>
    <mergeCell ref="C54:J54"/>
    <mergeCell ref="A1:K1"/>
    <mergeCell ref="C6:F6"/>
    <mergeCell ref="C5:F5"/>
    <mergeCell ref="C21:F21"/>
    <mergeCell ref="C22:F22"/>
  </mergeCells>
  <conditionalFormatting sqref="C8 F8">
    <cfRule type="cellIs" dxfId="35" priority="29" operator="greaterThan">
      <formula>5.25</formula>
    </cfRule>
  </conditionalFormatting>
  <conditionalFormatting sqref="C24 F24">
    <cfRule type="cellIs" dxfId="18" priority="22" operator="greaterThan">
      <formula>5.25</formula>
    </cfRule>
  </conditionalFormatting>
  <conditionalFormatting sqref="C38 F38">
    <cfRule type="cellIs" dxfId="34" priority="15" operator="greaterThan">
      <formula>40</formula>
    </cfRule>
  </conditionalFormatting>
  <conditionalFormatting sqref="C40 F40">
    <cfRule type="cellIs" dxfId="33" priority="16" operator="greaterThan">
      <formula>5</formula>
    </cfRule>
  </conditionalFormatting>
  <conditionalFormatting sqref="C6:F6">
    <cfRule type="cellIs" dxfId="32" priority="28" operator="greaterThan">
      <formula>40</formula>
    </cfRule>
  </conditionalFormatting>
  <conditionalFormatting sqref="C22:F22">
    <cfRule type="cellIs" dxfId="31" priority="21" operator="greaterThan">
      <formula>40.5</formula>
    </cfRule>
  </conditionalFormatting>
  <conditionalFormatting sqref="C54:J54">
    <cfRule type="cellIs" dxfId="30" priority="3" operator="greaterThan">
      <formula>44</formula>
    </cfRule>
  </conditionalFormatting>
  <conditionalFormatting sqref="C56:J56">
    <cfRule type="cellIs" dxfId="29" priority="1" operator="lessThan">
      <formula>"l62"</formula>
    </cfRule>
  </conditionalFormatting>
  <conditionalFormatting sqref="C58:J58">
    <cfRule type="cellIs" dxfId="28" priority="4" operator="lessThan">
      <formula>42</formula>
    </cfRule>
  </conditionalFormatting>
  <conditionalFormatting sqref="C60:J60">
    <cfRule type="cellIs" dxfId="27" priority="5" operator="greaterThan">
      <formula>34</formula>
    </cfRule>
  </conditionalFormatting>
  <conditionalFormatting sqref="F4">
    <cfRule type="cellIs" dxfId="26" priority="18" operator="greaterThan">
      <formula>53</formula>
    </cfRule>
  </conditionalFormatting>
  <conditionalFormatting sqref="F36">
    <cfRule type="cellIs" dxfId="25" priority="13" operator="greaterThan">
      <formula>53</formula>
    </cfRule>
  </conditionalFormatting>
  <conditionalFormatting sqref="F52">
    <cfRule type="cellIs" dxfId="24" priority="8" operator="greaterThan">
      <formula>53</formula>
    </cfRule>
  </conditionalFormatting>
  <conditionalFormatting sqref="F20:I20">
    <cfRule type="cellIs" dxfId="23" priority="19" operator="greaterThan">
      <formula>53</formula>
    </cfRule>
  </conditionalFormatting>
  <conditionalFormatting sqref="J6">
    <cfRule type="cellIs" dxfId="22" priority="27" operator="greaterThan">
      <formula>15.5</formula>
    </cfRule>
  </conditionalFormatting>
  <conditionalFormatting sqref="J8">
    <cfRule type="cellIs" dxfId="21" priority="30" operator="greaterThan">
      <formula>4</formula>
    </cfRule>
  </conditionalFormatting>
  <conditionalFormatting sqref="J38">
    <cfRule type="cellIs" dxfId="20" priority="14" operator="greaterThan">
      <formula>16</formula>
    </cfRule>
  </conditionalFormatting>
  <conditionalFormatting sqref="J40">
    <cfRule type="cellIs" dxfId="19" priority="17" operator="greaterThan">
      <formula>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46C5-EFE6-40F3-B93A-E623E05825C0}">
  <dimension ref="A1:L38"/>
  <sheetViews>
    <sheetView zoomScale="130" zoomScaleNormal="130" workbookViewId="0">
      <selection activeCell="F24" sqref="F24"/>
    </sheetView>
  </sheetViews>
  <sheetFormatPr defaultRowHeight="15" x14ac:dyDescent="0.25"/>
  <cols>
    <col min="1" max="1" width="12.7109375" customWidth="1"/>
    <col min="2" max="2" width="5.85546875" customWidth="1"/>
    <col min="3" max="3" width="4.7109375" customWidth="1"/>
    <col min="4" max="4" width="13.140625" customWidth="1"/>
    <col min="5" max="5" width="3.140625" customWidth="1"/>
    <col min="6" max="6" width="33.42578125" bestFit="1" customWidth="1"/>
    <col min="8" max="8" width="35.28515625" bestFit="1" customWidth="1"/>
    <col min="10" max="10" width="23.28515625" bestFit="1" customWidth="1"/>
    <col min="11" max="11" width="4.28515625" customWidth="1"/>
    <col min="12" max="12" width="23.28515625" bestFit="1" customWidth="1"/>
  </cols>
  <sheetData>
    <row r="1" spans="1:10" ht="18.75" x14ac:dyDescent="0.3">
      <c r="A1" s="72" t="s">
        <v>37</v>
      </c>
      <c r="B1" s="72"/>
      <c r="C1" s="72"/>
      <c r="D1" s="72"/>
      <c r="E1" s="72"/>
      <c r="F1" s="72"/>
    </row>
    <row r="3" spans="1:10" x14ac:dyDescent="0.25">
      <c r="A3" s="4" t="s">
        <v>38</v>
      </c>
      <c r="B3" s="4" t="s">
        <v>39</v>
      </c>
      <c r="D3" s="1" t="s">
        <v>40</v>
      </c>
      <c r="E3" s="1">
        <v>1</v>
      </c>
      <c r="F3" t="s">
        <v>41</v>
      </c>
    </row>
    <row r="4" spans="1:10" x14ac:dyDescent="0.25">
      <c r="A4" s="3" t="s">
        <v>42</v>
      </c>
      <c r="B4" s="3" t="s">
        <v>43</v>
      </c>
      <c r="E4" s="1">
        <v>2</v>
      </c>
      <c r="F4" t="s">
        <v>44</v>
      </c>
    </row>
    <row r="5" spans="1:10" x14ac:dyDescent="0.25">
      <c r="A5" s="3" t="s">
        <v>45</v>
      </c>
      <c r="B5" s="3" t="s">
        <v>46</v>
      </c>
      <c r="E5" s="1">
        <v>3</v>
      </c>
      <c r="F5" t="s">
        <v>47</v>
      </c>
    </row>
    <row r="6" spans="1:10" x14ac:dyDescent="0.25">
      <c r="A6" s="3" t="s">
        <v>48</v>
      </c>
      <c r="B6" s="3" t="s">
        <v>49</v>
      </c>
      <c r="E6" s="1">
        <v>4</v>
      </c>
      <c r="F6" t="s">
        <v>50</v>
      </c>
    </row>
    <row r="7" spans="1:10" x14ac:dyDescent="0.25">
      <c r="A7" s="3" t="s">
        <v>51</v>
      </c>
      <c r="B7" s="3" t="s">
        <v>49</v>
      </c>
      <c r="E7" s="1"/>
    </row>
    <row r="8" spans="1:10" x14ac:dyDescent="0.25">
      <c r="A8" s="3" t="s">
        <v>52</v>
      </c>
      <c r="B8" s="3" t="s">
        <v>49</v>
      </c>
      <c r="E8" s="1"/>
    </row>
    <row r="9" spans="1:10" x14ac:dyDescent="0.25">
      <c r="A9" s="3" t="s">
        <v>53</v>
      </c>
      <c r="B9" s="3" t="s">
        <v>49</v>
      </c>
      <c r="D9" s="1" t="s">
        <v>54</v>
      </c>
      <c r="E9" s="1">
        <v>1</v>
      </c>
      <c r="F9" t="s">
        <v>55</v>
      </c>
    </row>
    <row r="10" spans="1:10" x14ac:dyDescent="0.25">
      <c r="A10" s="3" t="s">
        <v>56</v>
      </c>
      <c r="B10" s="3" t="s">
        <v>49</v>
      </c>
      <c r="E10" s="1">
        <v>2</v>
      </c>
      <c r="F10" t="s">
        <v>57</v>
      </c>
    </row>
    <row r="11" spans="1:10" x14ac:dyDescent="0.25">
      <c r="A11" s="3" t="s">
        <v>58</v>
      </c>
      <c r="B11" s="3" t="s">
        <v>49</v>
      </c>
      <c r="E11" s="1">
        <v>3</v>
      </c>
      <c r="F11" t="s">
        <v>59</v>
      </c>
    </row>
    <row r="12" spans="1:10" x14ac:dyDescent="0.25">
      <c r="A12" s="3" t="s">
        <v>60</v>
      </c>
      <c r="B12" s="3" t="s">
        <v>49</v>
      </c>
      <c r="E12" s="1">
        <v>4</v>
      </c>
      <c r="F12" t="s">
        <v>61</v>
      </c>
    </row>
    <row r="13" spans="1:10" x14ac:dyDescent="0.25">
      <c r="A13" s="3" t="s">
        <v>62</v>
      </c>
      <c r="B13" s="3" t="s">
        <v>49</v>
      </c>
      <c r="E13" s="1"/>
    </row>
    <row r="14" spans="1:10" x14ac:dyDescent="0.25">
      <c r="A14" s="3" t="s">
        <v>63</v>
      </c>
      <c r="B14" s="3" t="s">
        <v>49</v>
      </c>
      <c r="E14" s="1"/>
    </row>
    <row r="15" spans="1:10" x14ac:dyDescent="0.25">
      <c r="A15" s="3" t="s">
        <v>64</v>
      </c>
      <c r="B15" s="3" t="s">
        <v>65</v>
      </c>
    </row>
    <row r="16" spans="1:10" x14ac:dyDescent="0.25">
      <c r="A16" s="3" t="s">
        <v>66</v>
      </c>
      <c r="B16" s="3" t="s">
        <v>65</v>
      </c>
      <c r="F16" s="1" t="s">
        <v>7</v>
      </c>
      <c r="H16" s="1" t="s">
        <v>8</v>
      </c>
      <c r="J16" s="1" t="s">
        <v>9</v>
      </c>
    </row>
    <row r="17" spans="1:12" x14ac:dyDescent="0.25">
      <c r="A17" s="3" t="s">
        <v>67</v>
      </c>
      <c r="B17" s="3" t="s">
        <v>65</v>
      </c>
      <c r="D17" t="s">
        <v>68</v>
      </c>
      <c r="E17" s="1"/>
      <c r="F17" t="s">
        <v>69</v>
      </c>
      <c r="H17" t="s">
        <v>69</v>
      </c>
      <c r="J17" t="s">
        <v>70</v>
      </c>
    </row>
    <row r="18" spans="1:12" x14ac:dyDescent="0.25">
      <c r="A18" s="3" t="s">
        <v>71</v>
      </c>
      <c r="B18" s="3" t="s">
        <v>72</v>
      </c>
      <c r="E18" s="1"/>
      <c r="F18" t="s">
        <v>73</v>
      </c>
      <c r="H18" t="s">
        <v>73</v>
      </c>
      <c r="J18" t="s">
        <v>70</v>
      </c>
      <c r="K18" s="2" t="s">
        <v>74</v>
      </c>
      <c r="L18" t="s">
        <v>75</v>
      </c>
    </row>
    <row r="19" spans="1:12" x14ac:dyDescent="0.25">
      <c r="E19" s="1"/>
      <c r="F19" s="5"/>
      <c r="G19" s="5"/>
      <c r="H19" s="5"/>
      <c r="I19" s="5"/>
      <c r="J19" s="5"/>
      <c r="K19" s="6"/>
      <c r="L19" s="5"/>
    </row>
    <row r="20" spans="1:12" x14ac:dyDescent="0.25">
      <c r="D20" t="s">
        <v>76</v>
      </c>
      <c r="E20" s="1"/>
      <c r="F20" t="s">
        <v>69</v>
      </c>
      <c r="H20" t="s">
        <v>77</v>
      </c>
      <c r="J20" t="s">
        <v>70</v>
      </c>
      <c r="K20" s="2"/>
    </row>
    <row r="21" spans="1:12" x14ac:dyDescent="0.25">
      <c r="D21" t="s">
        <v>78</v>
      </c>
      <c r="F21" t="s">
        <v>73</v>
      </c>
      <c r="H21" t="s">
        <v>73</v>
      </c>
      <c r="J21" t="s">
        <v>70</v>
      </c>
      <c r="K21" s="2" t="s">
        <v>74</v>
      </c>
      <c r="L21" t="s">
        <v>75</v>
      </c>
    </row>
    <row r="22" spans="1:12" x14ac:dyDescent="0.25">
      <c r="F22" s="5"/>
      <c r="G22" s="5"/>
      <c r="H22" s="5"/>
      <c r="I22" s="5"/>
      <c r="J22" s="5"/>
      <c r="K22" s="6"/>
      <c r="L22" s="5"/>
    </row>
    <row r="23" spans="1:12" x14ac:dyDescent="0.25">
      <c r="D23" t="s">
        <v>79</v>
      </c>
      <c r="E23" s="1"/>
      <c r="F23" t="s">
        <v>77</v>
      </c>
      <c r="J23" t="s">
        <v>70</v>
      </c>
      <c r="K23" s="2"/>
    </row>
    <row r="24" spans="1:12" x14ac:dyDescent="0.25">
      <c r="D24" t="s">
        <v>78</v>
      </c>
      <c r="F24" t="s">
        <v>80</v>
      </c>
      <c r="H24" t="s">
        <v>81</v>
      </c>
      <c r="J24" t="s">
        <v>70</v>
      </c>
      <c r="K24" s="2" t="s">
        <v>74</v>
      </c>
      <c r="L24" t="s">
        <v>75</v>
      </c>
    </row>
    <row r="25" spans="1:12" x14ac:dyDescent="0.25">
      <c r="F25" s="5"/>
      <c r="G25" s="5"/>
      <c r="H25" s="5"/>
      <c r="I25" s="5"/>
      <c r="J25" s="5"/>
      <c r="K25" s="5"/>
      <c r="L25" s="5"/>
    </row>
    <row r="26" spans="1:12" x14ac:dyDescent="0.25">
      <c r="D26" t="s">
        <v>82</v>
      </c>
      <c r="E26" s="1"/>
      <c r="F26" t="s">
        <v>77</v>
      </c>
      <c r="H26" t="s">
        <v>77</v>
      </c>
    </row>
    <row r="27" spans="1:12" x14ac:dyDescent="0.25">
      <c r="F27" t="s">
        <v>80</v>
      </c>
      <c r="H27" t="s">
        <v>80</v>
      </c>
    </row>
    <row r="28" spans="1:12" x14ac:dyDescent="0.25">
      <c r="F28" s="5"/>
      <c r="G28" s="5"/>
      <c r="H28" s="5"/>
      <c r="I28" s="5"/>
      <c r="J28" s="5"/>
      <c r="K28" s="5"/>
      <c r="L28" s="5"/>
    </row>
    <row r="29" spans="1:12" x14ac:dyDescent="0.25">
      <c r="D29" t="s">
        <v>83</v>
      </c>
      <c r="F29" t="s">
        <v>84</v>
      </c>
      <c r="H29" t="s">
        <v>85</v>
      </c>
    </row>
    <row r="30" spans="1:12" x14ac:dyDescent="0.25">
      <c r="F30" t="s">
        <v>86</v>
      </c>
    </row>
    <row r="31" spans="1:12" x14ac:dyDescent="0.25">
      <c r="F31" t="s">
        <v>87</v>
      </c>
    </row>
    <row r="32" spans="1:12" x14ac:dyDescent="0.25">
      <c r="F32" t="s">
        <v>88</v>
      </c>
      <c r="H32" t="s">
        <v>89</v>
      </c>
    </row>
    <row r="33" spans="4:12" x14ac:dyDescent="0.25">
      <c r="F33" t="s">
        <v>90</v>
      </c>
    </row>
    <row r="34" spans="4:12" x14ac:dyDescent="0.25">
      <c r="F34" s="5"/>
      <c r="G34" s="5"/>
      <c r="H34" s="5"/>
      <c r="I34" s="5"/>
      <c r="J34" s="5"/>
      <c r="K34" s="5"/>
      <c r="L34" s="5"/>
    </row>
    <row r="35" spans="4:12" x14ac:dyDescent="0.25">
      <c r="D35" t="s">
        <v>91</v>
      </c>
      <c r="F35" t="s">
        <v>92</v>
      </c>
      <c r="H35" t="s">
        <v>92</v>
      </c>
    </row>
    <row r="37" spans="4:12" x14ac:dyDescent="0.25">
      <c r="F37" t="s">
        <v>89</v>
      </c>
      <c r="H37" t="s">
        <v>89</v>
      </c>
    </row>
    <row r="38" spans="4:12" x14ac:dyDescent="0.25">
      <c r="F38" s="5"/>
      <c r="G38" s="5"/>
      <c r="H38" s="5"/>
      <c r="I38" s="5"/>
      <c r="J38" s="5"/>
      <c r="K38" s="5"/>
      <c r="L38" s="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012D-6AAF-4A8A-BD3D-4082E844D019}">
  <dimension ref="A1:K31"/>
  <sheetViews>
    <sheetView zoomScale="160" zoomScaleNormal="160" workbookViewId="0">
      <selection activeCell="D31" activeCellId="2" sqref="D21:E21 D26:E26 D31:E31"/>
    </sheetView>
  </sheetViews>
  <sheetFormatPr defaultRowHeight="15" x14ac:dyDescent="0.25"/>
  <cols>
    <col min="1" max="1" width="10.85546875" bestFit="1" customWidth="1"/>
    <col min="2" max="2" width="7.85546875" bestFit="1" customWidth="1"/>
    <col min="3" max="3" width="4.7109375" customWidth="1"/>
    <col min="4" max="4" width="14.28515625" bestFit="1" customWidth="1"/>
    <col min="5" max="5" width="3.140625" customWidth="1"/>
    <col min="6" max="6" width="37.42578125" customWidth="1"/>
    <col min="8" max="8" width="35.28515625" bestFit="1" customWidth="1"/>
    <col min="10" max="10" width="23.28515625" bestFit="1" customWidth="1"/>
    <col min="11" max="11" width="4.28515625" customWidth="1"/>
    <col min="12" max="12" width="23.28515625" bestFit="1" customWidth="1"/>
  </cols>
  <sheetData>
    <row r="1" spans="1:8" ht="18.75" x14ac:dyDescent="0.3">
      <c r="A1" s="72" t="s">
        <v>93</v>
      </c>
      <c r="B1" s="72"/>
      <c r="C1" s="72"/>
      <c r="D1" s="72"/>
      <c r="E1" s="72"/>
      <c r="F1" s="72"/>
    </row>
    <row r="3" spans="1:8" x14ac:dyDescent="0.25">
      <c r="A3" s="4" t="s">
        <v>94</v>
      </c>
      <c r="B3" s="4" t="s">
        <v>95</v>
      </c>
      <c r="C3" s="1"/>
      <c r="D3" s="1" t="s">
        <v>40</v>
      </c>
      <c r="E3" s="1">
        <v>1</v>
      </c>
      <c r="F3" t="s">
        <v>96</v>
      </c>
    </row>
    <row r="4" spans="1:8" x14ac:dyDescent="0.25">
      <c r="A4" s="3" t="s">
        <v>97</v>
      </c>
      <c r="B4" s="3" t="s">
        <v>98</v>
      </c>
      <c r="E4" s="1">
        <v>2</v>
      </c>
      <c r="F4" t="s">
        <v>99</v>
      </c>
    </row>
    <row r="5" spans="1:8" x14ac:dyDescent="0.25">
      <c r="A5" s="3" t="s">
        <v>100</v>
      </c>
      <c r="B5" s="3" t="s">
        <v>98</v>
      </c>
      <c r="E5" s="1">
        <v>3</v>
      </c>
      <c r="F5" t="s">
        <v>101</v>
      </c>
    </row>
    <row r="6" spans="1:8" x14ac:dyDescent="0.25">
      <c r="A6" s="3" t="s">
        <v>102</v>
      </c>
      <c r="B6" s="3" t="s">
        <v>98</v>
      </c>
      <c r="E6" s="1">
        <v>4</v>
      </c>
      <c r="F6" t="s">
        <v>103</v>
      </c>
    </row>
    <row r="7" spans="1:8" x14ac:dyDescent="0.25">
      <c r="A7" s="3" t="s">
        <v>104</v>
      </c>
      <c r="B7" s="3" t="s">
        <v>105</v>
      </c>
      <c r="E7" s="1">
        <v>5</v>
      </c>
      <c r="F7" t="s">
        <v>106</v>
      </c>
    </row>
    <row r="8" spans="1:8" x14ac:dyDescent="0.25">
      <c r="A8" s="3" t="s">
        <v>107</v>
      </c>
      <c r="B8" s="3" t="s">
        <v>105</v>
      </c>
      <c r="E8" s="1">
        <v>6</v>
      </c>
      <c r="F8" t="s">
        <v>108</v>
      </c>
    </row>
    <row r="9" spans="1:8" x14ac:dyDescent="0.25">
      <c r="A9" s="3" t="s">
        <v>109</v>
      </c>
      <c r="B9" s="3" t="s">
        <v>105</v>
      </c>
      <c r="E9" s="1">
        <v>7</v>
      </c>
      <c r="F9" t="s">
        <v>110</v>
      </c>
    </row>
    <row r="10" spans="1:8" x14ac:dyDescent="0.25">
      <c r="A10" s="3" t="s">
        <v>111</v>
      </c>
      <c r="B10" s="3" t="s">
        <v>105</v>
      </c>
      <c r="E10" s="1"/>
    </row>
    <row r="11" spans="1:8" x14ac:dyDescent="0.25">
      <c r="D11" s="1" t="s">
        <v>54</v>
      </c>
      <c r="E11" s="1">
        <v>1</v>
      </c>
      <c r="F11" t="s">
        <v>112</v>
      </c>
    </row>
    <row r="12" spans="1:8" x14ac:dyDescent="0.25">
      <c r="D12" s="1"/>
      <c r="E12" s="1">
        <v>2</v>
      </c>
      <c r="F12" t="s">
        <v>113</v>
      </c>
    </row>
    <row r="13" spans="1:8" x14ac:dyDescent="0.25">
      <c r="D13" s="1"/>
    </row>
    <row r="14" spans="1:8" x14ac:dyDescent="0.25">
      <c r="D14" s="1"/>
    </row>
    <row r="16" spans="1:8" x14ac:dyDescent="0.25">
      <c r="F16" s="1" t="s">
        <v>114</v>
      </c>
      <c r="H16" s="1"/>
    </row>
    <row r="17" spans="4:11" x14ac:dyDescent="0.25">
      <c r="D17" t="s">
        <v>115</v>
      </c>
      <c r="F17" t="s">
        <v>116</v>
      </c>
    </row>
    <row r="18" spans="4:11" x14ac:dyDescent="0.25">
      <c r="D18" t="s">
        <v>117</v>
      </c>
      <c r="F18" t="s">
        <v>118</v>
      </c>
      <c r="H18" s="1"/>
      <c r="J18" s="1"/>
    </row>
    <row r="19" spans="4:11" x14ac:dyDescent="0.25">
      <c r="E19" s="1"/>
      <c r="F19" t="s">
        <v>119</v>
      </c>
    </row>
    <row r="20" spans="4:11" x14ac:dyDescent="0.25">
      <c r="E20" s="1"/>
      <c r="F20" t="s">
        <v>120</v>
      </c>
      <c r="K20" s="2"/>
    </row>
    <row r="21" spans="4:11" x14ac:dyDescent="0.25">
      <c r="E21" s="1"/>
      <c r="F21" s="5"/>
      <c r="K21" s="2"/>
    </row>
    <row r="22" spans="4:11" x14ac:dyDescent="0.25">
      <c r="D22" t="s">
        <v>121</v>
      </c>
      <c r="E22" s="1"/>
      <c r="F22" t="s">
        <v>116</v>
      </c>
      <c r="K22" s="2"/>
    </row>
    <row r="23" spans="4:11" x14ac:dyDescent="0.25">
      <c r="D23" t="s">
        <v>95</v>
      </c>
      <c r="F23" t="s">
        <v>118</v>
      </c>
      <c r="K23" s="2"/>
    </row>
    <row r="24" spans="4:11" x14ac:dyDescent="0.25">
      <c r="F24" t="s">
        <v>118</v>
      </c>
      <c r="K24" s="2"/>
    </row>
    <row r="25" spans="4:11" x14ac:dyDescent="0.25">
      <c r="E25" s="1"/>
      <c r="F25" t="s">
        <v>122</v>
      </c>
      <c r="K25" s="2"/>
    </row>
    <row r="26" spans="4:11" x14ac:dyDescent="0.25">
      <c r="F26" s="5"/>
      <c r="K26" s="2"/>
    </row>
    <row r="27" spans="4:11" x14ac:dyDescent="0.25">
      <c r="D27" t="s">
        <v>123</v>
      </c>
      <c r="F27" t="s">
        <v>116</v>
      </c>
    </row>
    <row r="28" spans="4:11" x14ac:dyDescent="0.25">
      <c r="D28" t="s">
        <v>124</v>
      </c>
      <c r="E28" s="1"/>
      <c r="F28" t="s">
        <v>118</v>
      </c>
    </row>
    <row r="29" spans="4:11" x14ac:dyDescent="0.25">
      <c r="D29" t="s">
        <v>125</v>
      </c>
      <c r="F29" t="s">
        <v>118</v>
      </c>
    </row>
    <row r="30" spans="4:11" x14ac:dyDescent="0.25">
      <c r="F30" t="s">
        <v>126</v>
      </c>
    </row>
    <row r="31" spans="4:11" x14ac:dyDescent="0.25">
      <c r="F31" s="5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62BD-A272-4333-B722-AFF7871087B2}">
  <dimension ref="A1:J717"/>
  <sheetViews>
    <sheetView topLeftCell="A198" workbookViewId="0">
      <selection activeCell="J207" sqref="J207"/>
    </sheetView>
  </sheetViews>
  <sheetFormatPr defaultRowHeight="15" x14ac:dyDescent="0.25"/>
  <cols>
    <col min="1" max="1" width="22.7109375" bestFit="1" customWidth="1"/>
    <col min="2" max="2" width="6.7109375" bestFit="1" customWidth="1"/>
    <col min="3" max="3" width="8.85546875" bestFit="1" customWidth="1"/>
    <col min="4" max="4" width="21.5703125" bestFit="1" customWidth="1"/>
    <col min="5" max="6" width="21.5703125" customWidth="1"/>
    <col min="7" max="7" width="13.28515625" bestFit="1" customWidth="1"/>
    <col min="8" max="8" width="14.140625" bestFit="1" customWidth="1"/>
    <col min="9" max="9" width="8.7109375" bestFit="1" customWidth="1"/>
    <col min="10" max="10" width="11.5703125" bestFit="1" customWidth="1"/>
    <col min="11" max="11" width="14.5703125" bestFit="1" customWidth="1"/>
  </cols>
  <sheetData>
    <row r="1" spans="1:10" s="10" customFormat="1" ht="30" x14ac:dyDescent="0.25">
      <c r="A1" s="10" t="s">
        <v>127</v>
      </c>
      <c r="B1" s="10" t="s">
        <v>128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133</v>
      </c>
      <c r="H1" s="10" t="s">
        <v>39</v>
      </c>
      <c r="I1" s="10" t="s">
        <v>134</v>
      </c>
      <c r="J1" s="11" t="s">
        <v>135</v>
      </c>
    </row>
    <row r="2" spans="1:10" x14ac:dyDescent="0.25">
      <c r="A2" t="s">
        <v>136</v>
      </c>
      <c r="B2">
        <v>4</v>
      </c>
      <c r="C2" t="s">
        <v>137</v>
      </c>
      <c r="D2" t="s">
        <v>138</v>
      </c>
      <c r="E2">
        <v>9990</v>
      </c>
      <c r="F2" t="s">
        <v>139</v>
      </c>
      <c r="G2">
        <v>16</v>
      </c>
      <c r="H2">
        <v>7</v>
      </c>
      <c r="I2">
        <v>4</v>
      </c>
      <c r="J2">
        <v>0.75</v>
      </c>
    </row>
    <row r="3" spans="1:10" x14ac:dyDescent="0.25">
      <c r="A3" t="s">
        <v>136</v>
      </c>
      <c r="B3">
        <v>4</v>
      </c>
      <c r="C3" t="s">
        <v>137</v>
      </c>
      <c r="D3" t="s">
        <v>140</v>
      </c>
      <c r="E3">
        <v>9990</v>
      </c>
      <c r="F3" t="s">
        <v>139</v>
      </c>
      <c r="G3">
        <v>16</v>
      </c>
      <c r="H3">
        <v>7</v>
      </c>
      <c r="I3">
        <v>4</v>
      </c>
      <c r="J3">
        <v>0.75</v>
      </c>
    </row>
    <row r="4" spans="1:10" x14ac:dyDescent="0.25">
      <c r="A4" t="s">
        <v>136</v>
      </c>
      <c r="B4">
        <v>3</v>
      </c>
      <c r="C4" t="s">
        <v>137</v>
      </c>
      <c r="D4" t="s">
        <v>141</v>
      </c>
      <c r="E4">
        <v>9990</v>
      </c>
      <c r="F4" t="s">
        <v>139</v>
      </c>
      <c r="G4">
        <v>18</v>
      </c>
      <c r="H4">
        <v>7</v>
      </c>
      <c r="I4">
        <v>4</v>
      </c>
      <c r="J4">
        <v>0.75</v>
      </c>
    </row>
    <row r="5" spans="1:10" x14ac:dyDescent="0.25">
      <c r="A5" t="s">
        <v>136</v>
      </c>
      <c r="B5">
        <v>3</v>
      </c>
      <c r="C5" t="s">
        <v>137</v>
      </c>
      <c r="D5" t="s">
        <v>142</v>
      </c>
      <c r="E5">
        <v>9990</v>
      </c>
      <c r="F5" t="s">
        <v>139</v>
      </c>
      <c r="G5">
        <v>18</v>
      </c>
      <c r="H5">
        <v>7</v>
      </c>
      <c r="I5">
        <v>4</v>
      </c>
      <c r="J5">
        <v>0.75</v>
      </c>
    </row>
    <row r="6" spans="1:10" x14ac:dyDescent="0.25">
      <c r="A6" t="s">
        <v>136</v>
      </c>
      <c r="B6">
        <v>2</v>
      </c>
      <c r="C6" t="s">
        <v>137</v>
      </c>
      <c r="D6" t="s">
        <v>143</v>
      </c>
      <c r="E6">
        <v>9990</v>
      </c>
      <c r="F6" t="s">
        <v>139</v>
      </c>
      <c r="G6">
        <v>18</v>
      </c>
      <c r="H6">
        <v>7</v>
      </c>
      <c r="I6">
        <v>4</v>
      </c>
      <c r="J6">
        <v>0.75</v>
      </c>
    </row>
    <row r="7" spans="1:10" x14ac:dyDescent="0.25">
      <c r="A7" t="s">
        <v>136</v>
      </c>
      <c r="B7">
        <v>3</v>
      </c>
      <c r="C7" t="s">
        <v>137</v>
      </c>
      <c r="D7" t="s">
        <v>144</v>
      </c>
      <c r="E7">
        <v>9990</v>
      </c>
      <c r="F7" t="s">
        <v>139</v>
      </c>
      <c r="G7">
        <v>20</v>
      </c>
      <c r="H7">
        <v>7</v>
      </c>
      <c r="I7">
        <v>4</v>
      </c>
      <c r="J7">
        <v>0.75</v>
      </c>
    </row>
    <row r="8" spans="1:10" x14ac:dyDescent="0.25">
      <c r="A8" t="s">
        <v>136</v>
      </c>
      <c r="B8">
        <v>3</v>
      </c>
      <c r="C8" t="s">
        <v>137</v>
      </c>
      <c r="D8" t="s">
        <v>145</v>
      </c>
      <c r="E8">
        <v>9990</v>
      </c>
      <c r="F8" t="s">
        <v>139</v>
      </c>
      <c r="G8">
        <v>20</v>
      </c>
      <c r="H8">
        <v>7</v>
      </c>
      <c r="I8">
        <v>4</v>
      </c>
      <c r="J8">
        <v>0.75</v>
      </c>
    </row>
    <row r="9" spans="1:10" x14ac:dyDescent="0.25">
      <c r="A9" t="s">
        <v>136</v>
      </c>
      <c r="B9">
        <v>2</v>
      </c>
      <c r="C9" t="s">
        <v>137</v>
      </c>
      <c r="D9" t="s">
        <v>146</v>
      </c>
      <c r="E9">
        <v>9990</v>
      </c>
      <c r="F9" t="s">
        <v>139</v>
      </c>
      <c r="G9">
        <v>20</v>
      </c>
      <c r="H9">
        <v>7</v>
      </c>
      <c r="I9">
        <v>4</v>
      </c>
      <c r="J9">
        <v>0.75</v>
      </c>
    </row>
    <row r="10" spans="1:10" x14ac:dyDescent="0.25">
      <c r="A10" t="s">
        <v>136</v>
      </c>
      <c r="B10">
        <v>4</v>
      </c>
      <c r="C10" t="s">
        <v>137</v>
      </c>
      <c r="D10" t="s">
        <v>147</v>
      </c>
      <c r="E10">
        <v>9990</v>
      </c>
      <c r="F10" t="s">
        <v>139</v>
      </c>
      <c r="G10">
        <v>20</v>
      </c>
      <c r="H10">
        <v>7</v>
      </c>
      <c r="I10">
        <v>4</v>
      </c>
      <c r="J10">
        <v>0.75</v>
      </c>
    </row>
    <row r="11" spans="1:10" x14ac:dyDescent="0.25">
      <c r="A11" t="s">
        <v>136</v>
      </c>
      <c r="B11">
        <v>3</v>
      </c>
      <c r="C11" t="s">
        <v>148</v>
      </c>
      <c r="D11" t="s">
        <v>149</v>
      </c>
      <c r="E11">
        <v>9990</v>
      </c>
      <c r="F11" t="s">
        <v>150</v>
      </c>
      <c r="G11">
        <v>18</v>
      </c>
      <c r="H11">
        <v>7</v>
      </c>
      <c r="I11">
        <v>5</v>
      </c>
      <c r="J11">
        <v>0.75</v>
      </c>
    </row>
    <row r="12" spans="1:10" x14ac:dyDescent="0.25">
      <c r="A12" t="s">
        <v>136</v>
      </c>
      <c r="B12">
        <v>3</v>
      </c>
      <c r="C12" t="s">
        <v>148</v>
      </c>
      <c r="D12" t="s">
        <v>151</v>
      </c>
      <c r="E12">
        <v>9990</v>
      </c>
      <c r="F12" t="s">
        <v>150</v>
      </c>
      <c r="G12">
        <v>18</v>
      </c>
      <c r="H12">
        <v>7</v>
      </c>
      <c r="I12">
        <v>5</v>
      </c>
      <c r="J12">
        <v>0.75</v>
      </c>
    </row>
    <row r="13" spans="1:10" x14ac:dyDescent="0.25">
      <c r="A13" t="s">
        <v>136</v>
      </c>
      <c r="B13">
        <v>3</v>
      </c>
      <c r="C13" t="s">
        <v>148</v>
      </c>
      <c r="D13" t="s">
        <v>152</v>
      </c>
      <c r="E13">
        <v>9990</v>
      </c>
      <c r="F13" t="s">
        <v>150</v>
      </c>
      <c r="G13">
        <v>20</v>
      </c>
      <c r="H13">
        <v>7</v>
      </c>
      <c r="I13">
        <v>5</v>
      </c>
      <c r="J13">
        <v>0.75</v>
      </c>
    </row>
    <row r="14" spans="1:10" x14ac:dyDescent="0.25">
      <c r="A14" t="s">
        <v>136</v>
      </c>
      <c r="B14">
        <v>2</v>
      </c>
      <c r="C14" t="s">
        <v>148</v>
      </c>
      <c r="D14" t="s">
        <v>153</v>
      </c>
      <c r="E14">
        <v>9990</v>
      </c>
      <c r="F14" t="s">
        <v>150</v>
      </c>
      <c r="G14">
        <v>20</v>
      </c>
      <c r="H14">
        <v>7</v>
      </c>
      <c r="I14">
        <v>5</v>
      </c>
      <c r="J14">
        <v>0.75</v>
      </c>
    </row>
    <row r="15" spans="1:10" x14ac:dyDescent="0.25">
      <c r="A15" t="s">
        <v>136</v>
      </c>
      <c r="B15">
        <v>4</v>
      </c>
      <c r="C15" t="s">
        <v>148</v>
      </c>
      <c r="D15" t="s">
        <v>154</v>
      </c>
      <c r="E15">
        <v>9990</v>
      </c>
      <c r="F15" t="s">
        <v>150</v>
      </c>
      <c r="G15">
        <v>22</v>
      </c>
      <c r="H15">
        <v>7</v>
      </c>
      <c r="I15">
        <v>5</v>
      </c>
      <c r="J15">
        <v>0.75</v>
      </c>
    </row>
    <row r="16" spans="1:10" x14ac:dyDescent="0.25">
      <c r="A16" t="s">
        <v>136</v>
      </c>
      <c r="B16">
        <v>4</v>
      </c>
      <c r="C16" t="s">
        <v>148</v>
      </c>
      <c r="D16" t="s">
        <v>155</v>
      </c>
      <c r="E16">
        <v>9990</v>
      </c>
      <c r="F16" t="s">
        <v>150</v>
      </c>
      <c r="G16">
        <v>22</v>
      </c>
      <c r="H16">
        <v>7</v>
      </c>
      <c r="I16">
        <v>5</v>
      </c>
      <c r="J16">
        <v>0.75</v>
      </c>
    </row>
    <row r="17" spans="1:10" x14ac:dyDescent="0.25">
      <c r="A17" t="s">
        <v>136</v>
      </c>
      <c r="B17">
        <v>4</v>
      </c>
      <c r="C17" t="s">
        <v>156</v>
      </c>
      <c r="D17" t="s">
        <v>157</v>
      </c>
      <c r="E17">
        <v>6000</v>
      </c>
      <c r="F17" t="s">
        <v>139</v>
      </c>
      <c r="G17">
        <v>14</v>
      </c>
      <c r="H17">
        <v>7</v>
      </c>
      <c r="I17">
        <v>4</v>
      </c>
      <c r="J17">
        <v>0.75</v>
      </c>
    </row>
    <row r="18" spans="1:10" x14ac:dyDescent="0.25">
      <c r="A18" t="s">
        <v>136</v>
      </c>
      <c r="B18">
        <v>4</v>
      </c>
      <c r="C18" t="s">
        <v>156</v>
      </c>
      <c r="D18" t="s">
        <v>158</v>
      </c>
      <c r="E18">
        <v>6000</v>
      </c>
      <c r="F18" t="s">
        <v>139</v>
      </c>
      <c r="G18">
        <v>14</v>
      </c>
      <c r="H18">
        <v>7</v>
      </c>
      <c r="I18">
        <v>4</v>
      </c>
      <c r="J18">
        <v>0.75</v>
      </c>
    </row>
    <row r="19" spans="1:10" x14ac:dyDescent="0.25">
      <c r="A19" t="s">
        <v>136</v>
      </c>
      <c r="B19">
        <v>4</v>
      </c>
      <c r="C19" t="s">
        <v>156</v>
      </c>
      <c r="D19" t="s">
        <v>159</v>
      </c>
      <c r="E19">
        <v>6000</v>
      </c>
      <c r="F19" t="s">
        <v>139</v>
      </c>
      <c r="G19">
        <v>14</v>
      </c>
      <c r="H19">
        <v>7</v>
      </c>
      <c r="I19">
        <v>4</v>
      </c>
      <c r="J19">
        <v>0.75</v>
      </c>
    </row>
    <row r="20" spans="1:10" x14ac:dyDescent="0.25">
      <c r="A20" t="s">
        <v>136</v>
      </c>
      <c r="B20">
        <v>3</v>
      </c>
      <c r="C20" t="s">
        <v>156</v>
      </c>
      <c r="D20" t="s">
        <v>160</v>
      </c>
      <c r="E20">
        <v>6000</v>
      </c>
      <c r="F20" t="s">
        <v>139</v>
      </c>
      <c r="G20">
        <v>16</v>
      </c>
      <c r="H20">
        <v>7</v>
      </c>
      <c r="I20">
        <v>4</v>
      </c>
      <c r="J20">
        <v>0.75</v>
      </c>
    </row>
    <row r="21" spans="1:10" x14ac:dyDescent="0.25">
      <c r="A21" t="s">
        <v>136</v>
      </c>
      <c r="B21">
        <v>1</v>
      </c>
      <c r="C21" t="s">
        <v>156</v>
      </c>
      <c r="D21" t="s">
        <v>161</v>
      </c>
      <c r="E21">
        <v>6000</v>
      </c>
      <c r="F21" t="s">
        <v>139</v>
      </c>
      <c r="G21">
        <v>16</v>
      </c>
      <c r="H21">
        <v>7</v>
      </c>
      <c r="I21">
        <v>4</v>
      </c>
      <c r="J21">
        <v>0.75</v>
      </c>
    </row>
    <row r="22" spans="1:10" x14ac:dyDescent="0.25">
      <c r="A22" t="s">
        <v>136</v>
      </c>
      <c r="B22">
        <v>1</v>
      </c>
      <c r="C22" t="s">
        <v>156</v>
      </c>
      <c r="D22" t="s">
        <v>162</v>
      </c>
      <c r="E22">
        <v>6000</v>
      </c>
      <c r="F22" t="s">
        <v>139</v>
      </c>
      <c r="G22">
        <v>16</v>
      </c>
      <c r="H22">
        <v>7</v>
      </c>
      <c r="I22">
        <v>4</v>
      </c>
      <c r="J22">
        <v>0.75</v>
      </c>
    </row>
    <row r="23" spans="1:10" x14ac:dyDescent="0.25">
      <c r="A23" t="s">
        <v>136</v>
      </c>
      <c r="B23">
        <v>3</v>
      </c>
      <c r="C23" t="s">
        <v>156</v>
      </c>
      <c r="D23" t="s">
        <v>163</v>
      </c>
      <c r="E23">
        <v>6000</v>
      </c>
      <c r="F23" t="s">
        <v>139</v>
      </c>
      <c r="G23">
        <v>18</v>
      </c>
      <c r="H23">
        <v>7</v>
      </c>
      <c r="I23">
        <v>4</v>
      </c>
      <c r="J23">
        <v>0.75</v>
      </c>
    </row>
    <row r="24" spans="1:10" x14ac:dyDescent="0.25">
      <c r="A24" t="s">
        <v>136</v>
      </c>
      <c r="B24">
        <v>2</v>
      </c>
      <c r="C24" t="s">
        <v>156</v>
      </c>
      <c r="D24" t="s">
        <v>164</v>
      </c>
      <c r="E24">
        <v>6000</v>
      </c>
      <c r="F24" t="s">
        <v>139</v>
      </c>
      <c r="G24">
        <v>18</v>
      </c>
      <c r="H24">
        <v>7</v>
      </c>
      <c r="I24">
        <v>4</v>
      </c>
      <c r="J24">
        <v>0.75</v>
      </c>
    </row>
    <row r="25" spans="1:10" x14ac:dyDescent="0.25">
      <c r="A25" t="s">
        <v>136</v>
      </c>
      <c r="B25">
        <v>3</v>
      </c>
      <c r="C25" t="s">
        <v>165</v>
      </c>
      <c r="D25" t="s">
        <v>166</v>
      </c>
      <c r="E25">
        <v>7000</v>
      </c>
      <c r="F25" t="s">
        <v>139</v>
      </c>
      <c r="G25">
        <v>14</v>
      </c>
      <c r="H25">
        <v>7</v>
      </c>
      <c r="I25">
        <v>4</v>
      </c>
      <c r="J25">
        <v>0.75</v>
      </c>
    </row>
    <row r="26" spans="1:10" x14ac:dyDescent="0.25">
      <c r="A26" t="s">
        <v>136</v>
      </c>
      <c r="B26">
        <v>3</v>
      </c>
      <c r="C26" t="s">
        <v>165</v>
      </c>
      <c r="D26" t="s">
        <v>167</v>
      </c>
      <c r="E26">
        <v>7000</v>
      </c>
      <c r="F26" t="s">
        <v>139</v>
      </c>
      <c r="G26">
        <v>14</v>
      </c>
      <c r="H26">
        <v>7</v>
      </c>
      <c r="I26">
        <v>4</v>
      </c>
      <c r="J26">
        <v>0.75</v>
      </c>
    </row>
    <row r="27" spans="1:10" x14ac:dyDescent="0.25">
      <c r="A27" t="s">
        <v>136</v>
      </c>
      <c r="B27">
        <v>3</v>
      </c>
      <c r="C27" t="s">
        <v>165</v>
      </c>
      <c r="D27" t="s">
        <v>168</v>
      </c>
      <c r="E27">
        <v>7000</v>
      </c>
      <c r="F27" t="s">
        <v>139</v>
      </c>
      <c r="G27">
        <v>14</v>
      </c>
      <c r="H27">
        <v>7</v>
      </c>
      <c r="I27">
        <v>4</v>
      </c>
      <c r="J27">
        <v>0.75</v>
      </c>
    </row>
    <row r="28" spans="1:10" x14ac:dyDescent="0.25">
      <c r="A28" t="s">
        <v>136</v>
      </c>
      <c r="B28">
        <v>4</v>
      </c>
      <c r="C28" t="s">
        <v>165</v>
      </c>
      <c r="D28" t="s">
        <v>169</v>
      </c>
      <c r="E28">
        <v>7000</v>
      </c>
      <c r="F28" t="s">
        <v>139</v>
      </c>
      <c r="G28">
        <v>14</v>
      </c>
      <c r="H28">
        <v>7</v>
      </c>
      <c r="I28">
        <v>4</v>
      </c>
      <c r="J28">
        <v>0.75</v>
      </c>
    </row>
    <row r="29" spans="1:10" x14ac:dyDescent="0.25">
      <c r="A29" t="s">
        <v>136</v>
      </c>
      <c r="B29">
        <v>3</v>
      </c>
      <c r="C29" t="s">
        <v>165</v>
      </c>
      <c r="D29" t="s">
        <v>170</v>
      </c>
      <c r="E29">
        <v>7000</v>
      </c>
      <c r="F29" t="s">
        <v>139</v>
      </c>
      <c r="G29">
        <v>16</v>
      </c>
      <c r="H29">
        <v>7</v>
      </c>
      <c r="I29">
        <v>4</v>
      </c>
      <c r="J29">
        <v>0.75</v>
      </c>
    </row>
    <row r="30" spans="1:10" x14ac:dyDescent="0.25">
      <c r="A30" t="s">
        <v>136</v>
      </c>
      <c r="B30">
        <v>3</v>
      </c>
      <c r="C30" t="s">
        <v>165</v>
      </c>
      <c r="D30" t="s">
        <v>171</v>
      </c>
      <c r="E30">
        <v>7000</v>
      </c>
      <c r="F30" t="s">
        <v>139</v>
      </c>
      <c r="G30">
        <v>16</v>
      </c>
      <c r="H30">
        <v>7</v>
      </c>
      <c r="I30">
        <v>4</v>
      </c>
      <c r="J30">
        <v>0.75</v>
      </c>
    </row>
    <row r="31" spans="1:10" x14ac:dyDescent="0.25">
      <c r="A31" t="s">
        <v>136</v>
      </c>
      <c r="B31">
        <v>2</v>
      </c>
      <c r="C31" t="s">
        <v>165</v>
      </c>
      <c r="D31" t="s">
        <v>172</v>
      </c>
      <c r="E31">
        <v>7000</v>
      </c>
      <c r="F31" t="s">
        <v>139</v>
      </c>
      <c r="G31">
        <v>16</v>
      </c>
      <c r="H31">
        <v>7</v>
      </c>
      <c r="I31">
        <v>4</v>
      </c>
      <c r="J31">
        <v>0.75</v>
      </c>
    </row>
    <row r="32" spans="1:10" x14ac:dyDescent="0.25">
      <c r="A32" t="s">
        <v>136</v>
      </c>
      <c r="B32">
        <v>3</v>
      </c>
      <c r="C32" t="s">
        <v>165</v>
      </c>
      <c r="D32" t="s">
        <v>173</v>
      </c>
      <c r="E32">
        <v>7000</v>
      </c>
      <c r="F32" t="s">
        <v>139</v>
      </c>
      <c r="G32">
        <v>16</v>
      </c>
      <c r="H32">
        <v>7</v>
      </c>
      <c r="I32">
        <v>4</v>
      </c>
      <c r="J32">
        <v>0.75</v>
      </c>
    </row>
    <row r="33" spans="1:10" x14ac:dyDescent="0.25">
      <c r="A33" t="s">
        <v>136</v>
      </c>
      <c r="B33">
        <v>3</v>
      </c>
      <c r="C33" t="s">
        <v>165</v>
      </c>
      <c r="D33" t="s">
        <v>174</v>
      </c>
      <c r="E33">
        <v>7000</v>
      </c>
      <c r="F33" t="s">
        <v>139</v>
      </c>
      <c r="G33">
        <v>16</v>
      </c>
      <c r="H33">
        <v>7</v>
      </c>
      <c r="I33">
        <v>4</v>
      </c>
      <c r="J33">
        <v>0.75</v>
      </c>
    </row>
    <row r="34" spans="1:10" x14ac:dyDescent="0.25">
      <c r="A34" t="s">
        <v>136</v>
      </c>
      <c r="B34">
        <v>4</v>
      </c>
      <c r="C34" t="s">
        <v>165</v>
      </c>
      <c r="D34" t="s">
        <v>175</v>
      </c>
      <c r="E34">
        <v>7000</v>
      </c>
      <c r="F34" t="s">
        <v>139</v>
      </c>
      <c r="G34">
        <v>16</v>
      </c>
      <c r="H34">
        <v>7</v>
      </c>
      <c r="I34">
        <v>4</v>
      </c>
      <c r="J34">
        <v>0.75</v>
      </c>
    </row>
    <row r="35" spans="1:10" x14ac:dyDescent="0.25">
      <c r="A35" t="s">
        <v>136</v>
      </c>
      <c r="B35">
        <v>3</v>
      </c>
      <c r="C35" t="s">
        <v>165</v>
      </c>
      <c r="D35" t="s">
        <v>176</v>
      </c>
      <c r="E35">
        <v>7000</v>
      </c>
      <c r="F35" t="s">
        <v>139</v>
      </c>
      <c r="G35">
        <v>18</v>
      </c>
      <c r="H35">
        <v>7</v>
      </c>
      <c r="I35">
        <v>4</v>
      </c>
      <c r="J35">
        <v>0.75</v>
      </c>
    </row>
    <row r="36" spans="1:10" x14ac:dyDescent="0.25">
      <c r="A36" t="s">
        <v>136</v>
      </c>
      <c r="B36">
        <v>2</v>
      </c>
      <c r="C36" t="s">
        <v>165</v>
      </c>
      <c r="D36" t="s">
        <v>177</v>
      </c>
      <c r="E36">
        <v>7000</v>
      </c>
      <c r="F36" t="s">
        <v>139</v>
      </c>
      <c r="G36">
        <v>18</v>
      </c>
      <c r="H36">
        <v>7</v>
      </c>
      <c r="I36">
        <v>4</v>
      </c>
      <c r="J36">
        <v>0.75</v>
      </c>
    </row>
    <row r="37" spans="1:10" x14ac:dyDescent="0.25">
      <c r="A37" t="s">
        <v>136</v>
      </c>
      <c r="B37">
        <v>3</v>
      </c>
      <c r="C37" t="s">
        <v>165</v>
      </c>
      <c r="D37" t="s">
        <v>178</v>
      </c>
      <c r="E37">
        <v>7000</v>
      </c>
      <c r="F37" t="s">
        <v>139</v>
      </c>
      <c r="G37">
        <v>18</v>
      </c>
      <c r="H37">
        <v>7</v>
      </c>
      <c r="I37">
        <v>4</v>
      </c>
      <c r="J37">
        <v>0.75</v>
      </c>
    </row>
    <row r="38" spans="1:10" x14ac:dyDescent="0.25">
      <c r="A38" t="s">
        <v>136</v>
      </c>
      <c r="B38">
        <v>1</v>
      </c>
      <c r="C38" t="s">
        <v>165</v>
      </c>
      <c r="D38" t="s">
        <v>179</v>
      </c>
      <c r="E38">
        <v>7000</v>
      </c>
      <c r="F38" t="s">
        <v>139</v>
      </c>
      <c r="G38">
        <v>18</v>
      </c>
      <c r="H38">
        <v>7</v>
      </c>
      <c r="I38">
        <v>4</v>
      </c>
      <c r="J38">
        <v>0.75</v>
      </c>
    </row>
    <row r="39" spans="1:10" x14ac:dyDescent="0.25">
      <c r="A39" t="s">
        <v>136</v>
      </c>
      <c r="B39">
        <v>1</v>
      </c>
      <c r="C39" t="s">
        <v>165</v>
      </c>
      <c r="D39" t="s">
        <v>180</v>
      </c>
      <c r="E39">
        <v>7000</v>
      </c>
      <c r="F39" t="s">
        <v>139</v>
      </c>
      <c r="G39">
        <v>18</v>
      </c>
      <c r="H39">
        <v>7</v>
      </c>
      <c r="I39">
        <v>4</v>
      </c>
      <c r="J39">
        <v>0.75</v>
      </c>
    </row>
    <row r="40" spans="1:10" x14ac:dyDescent="0.25">
      <c r="A40" t="s">
        <v>136</v>
      </c>
      <c r="B40">
        <v>4</v>
      </c>
      <c r="C40" t="s">
        <v>165</v>
      </c>
      <c r="D40" t="s">
        <v>181</v>
      </c>
      <c r="E40">
        <v>7000</v>
      </c>
      <c r="F40" t="s">
        <v>139</v>
      </c>
      <c r="G40">
        <v>18</v>
      </c>
      <c r="H40">
        <v>7</v>
      </c>
      <c r="I40">
        <v>4</v>
      </c>
      <c r="J40">
        <v>0.75</v>
      </c>
    </row>
    <row r="41" spans="1:10" x14ac:dyDescent="0.25">
      <c r="A41" t="s">
        <v>136</v>
      </c>
      <c r="B41">
        <v>4</v>
      </c>
      <c r="C41" t="s">
        <v>165</v>
      </c>
      <c r="D41" t="s">
        <v>182</v>
      </c>
      <c r="E41">
        <v>7000</v>
      </c>
      <c r="F41" t="s">
        <v>139</v>
      </c>
      <c r="G41">
        <v>18</v>
      </c>
      <c r="H41">
        <v>7</v>
      </c>
      <c r="I41">
        <v>4</v>
      </c>
      <c r="J41">
        <v>0.75</v>
      </c>
    </row>
    <row r="42" spans="1:10" x14ac:dyDescent="0.25">
      <c r="A42" t="s">
        <v>136</v>
      </c>
      <c r="B42">
        <v>3</v>
      </c>
      <c r="C42" t="s">
        <v>165</v>
      </c>
      <c r="D42" t="s">
        <v>183</v>
      </c>
      <c r="E42">
        <v>7000</v>
      </c>
      <c r="F42" t="s">
        <v>139</v>
      </c>
      <c r="G42">
        <v>20</v>
      </c>
      <c r="H42">
        <v>7</v>
      </c>
      <c r="I42">
        <v>4</v>
      </c>
      <c r="J42">
        <v>0.75</v>
      </c>
    </row>
    <row r="43" spans="1:10" x14ac:dyDescent="0.25">
      <c r="A43" t="s">
        <v>136</v>
      </c>
      <c r="B43">
        <v>3</v>
      </c>
      <c r="C43" t="s">
        <v>165</v>
      </c>
      <c r="D43" t="s">
        <v>184</v>
      </c>
      <c r="E43">
        <v>7000</v>
      </c>
      <c r="F43" t="s">
        <v>139</v>
      </c>
      <c r="G43">
        <v>20</v>
      </c>
      <c r="H43">
        <v>7</v>
      </c>
      <c r="I43">
        <v>4</v>
      </c>
      <c r="J43">
        <v>0.75</v>
      </c>
    </row>
    <row r="44" spans="1:10" x14ac:dyDescent="0.25">
      <c r="A44" t="s">
        <v>136</v>
      </c>
      <c r="B44">
        <v>3</v>
      </c>
      <c r="C44" t="s">
        <v>165</v>
      </c>
      <c r="D44" t="s">
        <v>185</v>
      </c>
      <c r="E44">
        <v>7000</v>
      </c>
      <c r="F44" t="s">
        <v>139</v>
      </c>
      <c r="G44">
        <v>20</v>
      </c>
      <c r="H44">
        <v>7</v>
      </c>
      <c r="I44">
        <v>4</v>
      </c>
      <c r="J44">
        <v>0.75</v>
      </c>
    </row>
    <row r="45" spans="1:10" x14ac:dyDescent="0.25">
      <c r="A45" t="s">
        <v>136</v>
      </c>
      <c r="B45">
        <v>1</v>
      </c>
      <c r="C45" t="s">
        <v>165</v>
      </c>
      <c r="D45" t="s">
        <v>186</v>
      </c>
      <c r="E45">
        <v>7000</v>
      </c>
      <c r="F45" t="s">
        <v>139</v>
      </c>
      <c r="G45">
        <v>20</v>
      </c>
      <c r="H45">
        <v>7</v>
      </c>
      <c r="I45">
        <v>4</v>
      </c>
      <c r="J45">
        <v>0.75</v>
      </c>
    </row>
    <row r="46" spans="1:10" x14ac:dyDescent="0.25">
      <c r="A46" t="s">
        <v>136</v>
      </c>
      <c r="B46">
        <v>1</v>
      </c>
      <c r="C46" t="s">
        <v>165</v>
      </c>
      <c r="D46" t="s">
        <v>187</v>
      </c>
      <c r="E46">
        <v>7000</v>
      </c>
      <c r="F46" t="s">
        <v>139</v>
      </c>
      <c r="G46">
        <v>20</v>
      </c>
      <c r="H46">
        <v>7</v>
      </c>
      <c r="I46">
        <v>4</v>
      </c>
      <c r="J46">
        <v>0.75</v>
      </c>
    </row>
    <row r="47" spans="1:10" x14ac:dyDescent="0.25">
      <c r="A47" t="s">
        <v>136</v>
      </c>
      <c r="B47">
        <v>4</v>
      </c>
      <c r="C47" t="s">
        <v>165</v>
      </c>
      <c r="D47" t="s">
        <v>188</v>
      </c>
      <c r="E47">
        <v>7000</v>
      </c>
      <c r="F47" t="s">
        <v>139</v>
      </c>
      <c r="G47">
        <v>20</v>
      </c>
      <c r="H47">
        <v>7</v>
      </c>
      <c r="I47">
        <v>4</v>
      </c>
      <c r="J47">
        <v>0.75</v>
      </c>
    </row>
    <row r="48" spans="1:10" x14ac:dyDescent="0.25">
      <c r="A48" t="s">
        <v>136</v>
      </c>
      <c r="B48">
        <v>4</v>
      </c>
      <c r="C48" t="s">
        <v>165</v>
      </c>
      <c r="D48" t="s">
        <v>189</v>
      </c>
      <c r="E48">
        <v>7000</v>
      </c>
      <c r="F48" t="s">
        <v>139</v>
      </c>
      <c r="G48">
        <v>20</v>
      </c>
      <c r="H48">
        <v>7</v>
      </c>
      <c r="I48">
        <v>4</v>
      </c>
      <c r="J48">
        <v>0.75</v>
      </c>
    </row>
    <row r="49" spans="1:10" x14ac:dyDescent="0.25">
      <c r="A49" t="s">
        <v>136</v>
      </c>
      <c r="B49">
        <v>3</v>
      </c>
      <c r="C49" t="s">
        <v>190</v>
      </c>
      <c r="D49" t="s">
        <v>191</v>
      </c>
      <c r="E49">
        <v>7000</v>
      </c>
      <c r="F49" t="s">
        <v>150</v>
      </c>
      <c r="G49">
        <v>18</v>
      </c>
      <c r="H49">
        <v>7</v>
      </c>
      <c r="I49">
        <v>5</v>
      </c>
      <c r="J49">
        <v>0.75</v>
      </c>
    </row>
    <row r="50" spans="1:10" x14ac:dyDescent="0.25">
      <c r="A50" t="s">
        <v>136</v>
      </c>
      <c r="B50">
        <v>3</v>
      </c>
      <c r="C50" t="s">
        <v>190</v>
      </c>
      <c r="D50" t="s">
        <v>192</v>
      </c>
      <c r="E50">
        <v>7000</v>
      </c>
      <c r="F50" t="s">
        <v>150</v>
      </c>
      <c r="G50">
        <v>18</v>
      </c>
      <c r="H50">
        <v>7</v>
      </c>
      <c r="I50">
        <v>5</v>
      </c>
      <c r="J50">
        <v>0.75</v>
      </c>
    </row>
    <row r="51" spans="1:10" x14ac:dyDescent="0.25">
      <c r="A51" t="s">
        <v>136</v>
      </c>
      <c r="B51">
        <v>3</v>
      </c>
      <c r="C51" t="s">
        <v>190</v>
      </c>
      <c r="D51" t="s">
        <v>193</v>
      </c>
      <c r="E51">
        <v>7000</v>
      </c>
      <c r="F51" t="s">
        <v>150</v>
      </c>
      <c r="G51">
        <v>18</v>
      </c>
      <c r="H51">
        <v>7</v>
      </c>
      <c r="I51">
        <v>5</v>
      </c>
      <c r="J51">
        <v>0.75</v>
      </c>
    </row>
    <row r="52" spans="1:10" x14ac:dyDescent="0.25">
      <c r="A52" t="s">
        <v>136</v>
      </c>
      <c r="B52">
        <v>4</v>
      </c>
      <c r="C52" t="s">
        <v>190</v>
      </c>
      <c r="D52" t="s">
        <v>194</v>
      </c>
      <c r="E52">
        <v>7000</v>
      </c>
      <c r="F52" t="s">
        <v>150</v>
      </c>
      <c r="G52">
        <v>18</v>
      </c>
      <c r="H52">
        <v>7</v>
      </c>
      <c r="I52">
        <v>5</v>
      </c>
      <c r="J52">
        <v>0.75</v>
      </c>
    </row>
    <row r="53" spans="1:10" x14ac:dyDescent="0.25">
      <c r="A53" t="s">
        <v>136</v>
      </c>
      <c r="B53">
        <v>3</v>
      </c>
      <c r="C53" t="s">
        <v>190</v>
      </c>
      <c r="D53" t="s">
        <v>195</v>
      </c>
      <c r="E53">
        <v>7000</v>
      </c>
      <c r="F53" t="s">
        <v>150</v>
      </c>
      <c r="G53">
        <v>20</v>
      </c>
      <c r="H53">
        <v>7</v>
      </c>
      <c r="I53">
        <v>5</v>
      </c>
      <c r="J53">
        <v>0.75</v>
      </c>
    </row>
    <row r="54" spans="1:10" x14ac:dyDescent="0.25">
      <c r="A54" t="s">
        <v>136</v>
      </c>
      <c r="B54">
        <v>2</v>
      </c>
      <c r="C54" t="s">
        <v>190</v>
      </c>
      <c r="D54" t="s">
        <v>196</v>
      </c>
      <c r="E54">
        <v>7000</v>
      </c>
      <c r="F54" t="s">
        <v>150</v>
      </c>
      <c r="G54">
        <v>20</v>
      </c>
      <c r="H54">
        <v>7</v>
      </c>
      <c r="I54">
        <v>5</v>
      </c>
      <c r="J54">
        <v>0.75</v>
      </c>
    </row>
    <row r="55" spans="1:10" x14ac:dyDescent="0.25">
      <c r="A55" t="s">
        <v>136</v>
      </c>
      <c r="B55">
        <v>3</v>
      </c>
      <c r="C55" t="s">
        <v>190</v>
      </c>
      <c r="D55" t="s">
        <v>197</v>
      </c>
      <c r="E55">
        <v>7000</v>
      </c>
      <c r="F55" t="s">
        <v>150</v>
      </c>
      <c r="G55">
        <v>20</v>
      </c>
      <c r="H55">
        <v>7</v>
      </c>
      <c r="I55">
        <v>5</v>
      </c>
      <c r="J55">
        <v>0.75</v>
      </c>
    </row>
    <row r="56" spans="1:10" x14ac:dyDescent="0.25">
      <c r="A56" t="s">
        <v>136</v>
      </c>
      <c r="B56">
        <v>4</v>
      </c>
      <c r="C56" t="s">
        <v>190</v>
      </c>
      <c r="D56" t="s">
        <v>198</v>
      </c>
      <c r="E56">
        <v>7000</v>
      </c>
      <c r="F56" t="s">
        <v>150</v>
      </c>
      <c r="G56">
        <v>20</v>
      </c>
      <c r="H56">
        <v>7</v>
      </c>
      <c r="I56">
        <v>5</v>
      </c>
      <c r="J56">
        <v>0.75</v>
      </c>
    </row>
    <row r="57" spans="1:10" x14ac:dyDescent="0.25">
      <c r="A57" t="s">
        <v>199</v>
      </c>
      <c r="B57">
        <v>3</v>
      </c>
      <c r="C57" t="s">
        <v>102</v>
      </c>
      <c r="D57" t="s">
        <v>200</v>
      </c>
      <c r="E57">
        <v>15900</v>
      </c>
      <c r="F57" t="s">
        <v>139</v>
      </c>
      <c r="G57">
        <v>20</v>
      </c>
      <c r="H57">
        <v>8</v>
      </c>
      <c r="I57">
        <v>6</v>
      </c>
      <c r="J57">
        <v>1.25</v>
      </c>
    </row>
    <row r="58" spans="1:10" x14ac:dyDescent="0.25">
      <c r="A58" t="s">
        <v>199</v>
      </c>
      <c r="B58">
        <v>3</v>
      </c>
      <c r="C58" t="s">
        <v>102</v>
      </c>
      <c r="D58" t="s">
        <v>201</v>
      </c>
      <c r="E58">
        <v>15900</v>
      </c>
      <c r="F58" t="s">
        <v>139</v>
      </c>
      <c r="G58">
        <v>25</v>
      </c>
      <c r="H58">
        <v>8</v>
      </c>
      <c r="I58">
        <v>6</v>
      </c>
      <c r="J58">
        <v>1.25</v>
      </c>
    </row>
    <row r="59" spans="1:10" x14ac:dyDescent="0.25">
      <c r="A59" t="s">
        <v>199</v>
      </c>
      <c r="B59">
        <v>3</v>
      </c>
      <c r="C59" t="s">
        <v>102</v>
      </c>
      <c r="D59" t="s">
        <v>202</v>
      </c>
      <c r="E59">
        <v>15900</v>
      </c>
      <c r="F59" t="s">
        <v>139</v>
      </c>
      <c r="G59">
        <v>25</v>
      </c>
      <c r="H59">
        <v>8</v>
      </c>
      <c r="I59">
        <v>6</v>
      </c>
      <c r="J59">
        <v>1.25</v>
      </c>
    </row>
    <row r="60" spans="1:10" x14ac:dyDescent="0.25">
      <c r="A60" t="s">
        <v>199</v>
      </c>
      <c r="B60">
        <v>2</v>
      </c>
      <c r="C60" t="s">
        <v>102</v>
      </c>
      <c r="D60" t="s">
        <v>203</v>
      </c>
      <c r="E60">
        <v>15900</v>
      </c>
      <c r="F60" t="s">
        <v>139</v>
      </c>
      <c r="G60">
        <v>25</v>
      </c>
      <c r="H60">
        <v>8</v>
      </c>
      <c r="I60">
        <v>6</v>
      </c>
      <c r="J60">
        <v>1.25</v>
      </c>
    </row>
    <row r="61" spans="1:10" x14ac:dyDescent="0.25">
      <c r="A61" t="s">
        <v>199</v>
      </c>
      <c r="B61">
        <v>4</v>
      </c>
      <c r="C61" t="s">
        <v>102</v>
      </c>
      <c r="D61" t="s">
        <v>204</v>
      </c>
      <c r="E61">
        <v>15900</v>
      </c>
      <c r="F61" t="s">
        <v>139</v>
      </c>
      <c r="G61">
        <v>25</v>
      </c>
      <c r="H61">
        <v>8</v>
      </c>
      <c r="I61">
        <v>6</v>
      </c>
      <c r="J61">
        <v>1.25</v>
      </c>
    </row>
    <row r="62" spans="1:10" x14ac:dyDescent="0.25">
      <c r="A62" t="s">
        <v>199</v>
      </c>
      <c r="B62">
        <v>3</v>
      </c>
      <c r="C62" t="s">
        <v>102</v>
      </c>
      <c r="D62" t="s">
        <v>205</v>
      </c>
      <c r="E62">
        <v>15900</v>
      </c>
      <c r="F62" t="s">
        <v>139</v>
      </c>
      <c r="G62">
        <v>30</v>
      </c>
      <c r="H62">
        <v>8</v>
      </c>
      <c r="I62">
        <v>6</v>
      </c>
      <c r="J62">
        <v>1.25</v>
      </c>
    </row>
    <row r="63" spans="1:10" x14ac:dyDescent="0.25">
      <c r="A63" t="s">
        <v>199</v>
      </c>
      <c r="B63">
        <v>3</v>
      </c>
      <c r="C63" t="s">
        <v>102</v>
      </c>
      <c r="D63" t="s">
        <v>206</v>
      </c>
      <c r="E63">
        <v>15900</v>
      </c>
      <c r="F63" t="s">
        <v>139</v>
      </c>
      <c r="G63">
        <v>30</v>
      </c>
      <c r="H63">
        <v>8</v>
      </c>
      <c r="I63">
        <v>6</v>
      </c>
      <c r="J63">
        <v>1.25</v>
      </c>
    </row>
    <row r="64" spans="1:10" x14ac:dyDescent="0.25">
      <c r="A64" t="s">
        <v>199</v>
      </c>
      <c r="B64">
        <v>3</v>
      </c>
      <c r="C64" t="s">
        <v>102</v>
      </c>
      <c r="D64" t="s">
        <v>207</v>
      </c>
      <c r="E64">
        <v>15900</v>
      </c>
      <c r="F64" t="s">
        <v>139</v>
      </c>
      <c r="G64">
        <v>30</v>
      </c>
      <c r="H64">
        <v>8</v>
      </c>
      <c r="I64">
        <v>6</v>
      </c>
      <c r="J64">
        <v>1.25</v>
      </c>
    </row>
    <row r="65" spans="1:10" x14ac:dyDescent="0.25">
      <c r="A65" t="s">
        <v>199</v>
      </c>
      <c r="B65">
        <v>3</v>
      </c>
      <c r="C65" t="s">
        <v>208</v>
      </c>
      <c r="D65" t="s">
        <v>209</v>
      </c>
      <c r="E65">
        <v>17500</v>
      </c>
      <c r="F65" t="s">
        <v>139</v>
      </c>
      <c r="G65">
        <v>25</v>
      </c>
      <c r="H65">
        <v>8</v>
      </c>
      <c r="I65">
        <v>6</v>
      </c>
      <c r="J65">
        <v>1.25</v>
      </c>
    </row>
    <row r="66" spans="1:10" x14ac:dyDescent="0.25">
      <c r="A66" t="s">
        <v>199</v>
      </c>
      <c r="B66">
        <v>3</v>
      </c>
      <c r="C66" t="s">
        <v>109</v>
      </c>
      <c r="D66" t="s">
        <v>210</v>
      </c>
      <c r="E66">
        <v>23900</v>
      </c>
      <c r="F66" t="s">
        <v>139</v>
      </c>
      <c r="G66">
        <v>25</v>
      </c>
      <c r="H66">
        <v>8</v>
      </c>
      <c r="I66">
        <v>6</v>
      </c>
      <c r="J66">
        <v>1.25</v>
      </c>
    </row>
    <row r="67" spans="1:10" x14ac:dyDescent="0.25">
      <c r="A67" t="s">
        <v>199</v>
      </c>
      <c r="B67">
        <v>3</v>
      </c>
      <c r="C67" t="s">
        <v>109</v>
      </c>
      <c r="D67" t="s">
        <v>211</v>
      </c>
      <c r="E67">
        <v>23900</v>
      </c>
      <c r="F67" t="s">
        <v>139</v>
      </c>
      <c r="G67">
        <v>25</v>
      </c>
      <c r="H67">
        <v>8</v>
      </c>
      <c r="I67">
        <v>6</v>
      </c>
      <c r="J67">
        <v>1.25</v>
      </c>
    </row>
    <row r="68" spans="1:10" x14ac:dyDescent="0.25">
      <c r="A68" t="s">
        <v>199</v>
      </c>
      <c r="B68">
        <v>2</v>
      </c>
      <c r="C68" t="s">
        <v>109</v>
      </c>
      <c r="D68" t="s">
        <v>212</v>
      </c>
      <c r="E68">
        <v>23900</v>
      </c>
      <c r="F68" t="s">
        <v>139</v>
      </c>
      <c r="G68">
        <v>25</v>
      </c>
      <c r="H68">
        <v>8</v>
      </c>
      <c r="I68">
        <v>6</v>
      </c>
      <c r="J68">
        <v>1.25</v>
      </c>
    </row>
    <row r="69" spans="1:10" x14ac:dyDescent="0.25">
      <c r="A69" t="s">
        <v>199</v>
      </c>
      <c r="B69">
        <v>3</v>
      </c>
      <c r="C69" t="s">
        <v>109</v>
      </c>
      <c r="D69" t="s">
        <v>213</v>
      </c>
      <c r="E69">
        <v>23900</v>
      </c>
      <c r="F69" t="s">
        <v>139</v>
      </c>
      <c r="G69">
        <v>25</v>
      </c>
      <c r="H69">
        <v>8</v>
      </c>
      <c r="I69">
        <v>6</v>
      </c>
      <c r="J69">
        <v>1.25</v>
      </c>
    </row>
    <row r="70" spans="1:10" x14ac:dyDescent="0.25">
      <c r="A70" t="s">
        <v>199</v>
      </c>
      <c r="B70">
        <v>3</v>
      </c>
      <c r="C70" t="s">
        <v>109</v>
      </c>
      <c r="D70" t="s">
        <v>214</v>
      </c>
      <c r="E70">
        <v>23900</v>
      </c>
      <c r="F70" t="s">
        <v>139</v>
      </c>
      <c r="G70">
        <v>30</v>
      </c>
      <c r="H70">
        <v>8</v>
      </c>
      <c r="I70">
        <v>6</v>
      </c>
      <c r="J70">
        <v>1.25</v>
      </c>
    </row>
    <row r="71" spans="1:10" x14ac:dyDescent="0.25">
      <c r="A71" t="s">
        <v>199</v>
      </c>
      <c r="B71">
        <v>2</v>
      </c>
      <c r="C71" t="s">
        <v>109</v>
      </c>
      <c r="D71" t="s">
        <v>215</v>
      </c>
      <c r="E71">
        <v>23900</v>
      </c>
      <c r="F71" t="s">
        <v>139</v>
      </c>
      <c r="G71">
        <v>30</v>
      </c>
      <c r="H71">
        <v>8</v>
      </c>
      <c r="I71">
        <v>6</v>
      </c>
      <c r="J71">
        <v>1.25</v>
      </c>
    </row>
    <row r="72" spans="1:10" x14ac:dyDescent="0.25">
      <c r="A72" t="s">
        <v>199</v>
      </c>
      <c r="B72">
        <v>3</v>
      </c>
      <c r="C72" t="s">
        <v>111</v>
      </c>
      <c r="D72" t="s">
        <v>216</v>
      </c>
      <c r="E72">
        <v>25900</v>
      </c>
      <c r="F72" t="s">
        <v>139</v>
      </c>
      <c r="G72">
        <v>25</v>
      </c>
      <c r="H72">
        <v>8</v>
      </c>
      <c r="I72">
        <v>6</v>
      </c>
      <c r="J72">
        <v>1.25</v>
      </c>
    </row>
    <row r="73" spans="1:10" x14ac:dyDescent="0.25">
      <c r="A73" t="s">
        <v>199</v>
      </c>
      <c r="B73">
        <v>3</v>
      </c>
      <c r="C73" t="s">
        <v>111</v>
      </c>
      <c r="D73" t="s">
        <v>217</v>
      </c>
      <c r="E73">
        <v>25900</v>
      </c>
      <c r="F73" t="s">
        <v>139</v>
      </c>
      <c r="G73">
        <v>25</v>
      </c>
      <c r="H73">
        <v>8</v>
      </c>
      <c r="I73">
        <v>6</v>
      </c>
      <c r="J73">
        <v>1.25</v>
      </c>
    </row>
    <row r="74" spans="1:10" x14ac:dyDescent="0.25">
      <c r="A74" t="s">
        <v>199</v>
      </c>
      <c r="B74">
        <v>3</v>
      </c>
      <c r="C74" t="s">
        <v>111</v>
      </c>
      <c r="D74" t="s">
        <v>218</v>
      </c>
      <c r="E74">
        <v>25900</v>
      </c>
      <c r="F74" t="s">
        <v>139</v>
      </c>
      <c r="G74">
        <v>25</v>
      </c>
      <c r="H74">
        <v>8</v>
      </c>
      <c r="I74">
        <v>6</v>
      </c>
      <c r="J74">
        <v>1.25</v>
      </c>
    </row>
    <row r="75" spans="1:10" x14ac:dyDescent="0.25">
      <c r="A75" t="s">
        <v>199</v>
      </c>
      <c r="B75">
        <v>3</v>
      </c>
      <c r="C75" t="s">
        <v>111</v>
      </c>
      <c r="D75" t="s">
        <v>219</v>
      </c>
      <c r="E75">
        <v>25900</v>
      </c>
      <c r="F75" t="s">
        <v>139</v>
      </c>
      <c r="G75">
        <v>25</v>
      </c>
      <c r="H75">
        <v>8</v>
      </c>
      <c r="I75">
        <v>6</v>
      </c>
      <c r="J75">
        <v>1.25</v>
      </c>
    </row>
    <row r="76" spans="1:10" x14ac:dyDescent="0.25">
      <c r="A76" t="s">
        <v>199</v>
      </c>
      <c r="B76">
        <v>3</v>
      </c>
      <c r="C76" t="s">
        <v>111</v>
      </c>
      <c r="D76" t="s">
        <v>220</v>
      </c>
      <c r="E76">
        <v>25900</v>
      </c>
      <c r="F76" t="s">
        <v>139</v>
      </c>
      <c r="G76">
        <v>30</v>
      </c>
      <c r="H76">
        <v>8</v>
      </c>
      <c r="I76">
        <v>6</v>
      </c>
      <c r="J76">
        <v>1.25</v>
      </c>
    </row>
    <row r="77" spans="1:10" x14ac:dyDescent="0.25">
      <c r="A77" t="s">
        <v>199</v>
      </c>
      <c r="B77">
        <v>3</v>
      </c>
      <c r="C77" t="s">
        <v>111</v>
      </c>
      <c r="D77" t="s">
        <v>221</v>
      </c>
      <c r="E77">
        <v>25900</v>
      </c>
      <c r="F77" t="s">
        <v>139</v>
      </c>
      <c r="G77">
        <v>30</v>
      </c>
      <c r="H77">
        <v>8</v>
      </c>
      <c r="I77">
        <v>6</v>
      </c>
      <c r="J77">
        <v>1.25</v>
      </c>
    </row>
    <row r="78" spans="1:10" x14ac:dyDescent="0.25">
      <c r="A78" t="s">
        <v>199</v>
      </c>
      <c r="B78">
        <v>3</v>
      </c>
      <c r="C78" t="s">
        <v>111</v>
      </c>
      <c r="D78" t="s">
        <v>222</v>
      </c>
      <c r="E78">
        <v>25900</v>
      </c>
      <c r="F78" t="s">
        <v>139</v>
      </c>
      <c r="G78">
        <v>30</v>
      </c>
      <c r="H78">
        <v>8</v>
      </c>
      <c r="I78">
        <v>6</v>
      </c>
      <c r="J78">
        <v>1.25</v>
      </c>
    </row>
    <row r="79" spans="1:10" x14ac:dyDescent="0.25">
      <c r="A79" t="s">
        <v>199</v>
      </c>
      <c r="B79">
        <v>3</v>
      </c>
      <c r="C79" t="s">
        <v>223</v>
      </c>
      <c r="D79" t="s">
        <v>224</v>
      </c>
      <c r="E79">
        <v>30000</v>
      </c>
      <c r="F79" t="s">
        <v>139</v>
      </c>
      <c r="G79">
        <v>25</v>
      </c>
      <c r="H79">
        <v>8</v>
      </c>
      <c r="I79">
        <v>6</v>
      </c>
      <c r="J79">
        <v>1.25</v>
      </c>
    </row>
    <row r="80" spans="1:10" x14ac:dyDescent="0.25">
      <c r="A80" t="s">
        <v>199</v>
      </c>
      <c r="B80">
        <v>3</v>
      </c>
      <c r="C80" t="s">
        <v>223</v>
      </c>
      <c r="D80" t="s">
        <v>225</v>
      </c>
      <c r="E80">
        <v>30000</v>
      </c>
      <c r="F80" t="s">
        <v>139</v>
      </c>
      <c r="G80">
        <v>30</v>
      </c>
      <c r="H80">
        <v>8</v>
      </c>
      <c r="I80">
        <v>6</v>
      </c>
      <c r="J80">
        <v>1.25</v>
      </c>
    </row>
    <row r="81" spans="1:10" x14ac:dyDescent="0.25">
      <c r="A81" t="s">
        <v>199</v>
      </c>
      <c r="B81">
        <v>3</v>
      </c>
      <c r="C81" t="s">
        <v>226</v>
      </c>
      <c r="D81" t="s">
        <v>227</v>
      </c>
      <c r="E81">
        <v>48000</v>
      </c>
      <c r="F81" t="s">
        <v>139</v>
      </c>
      <c r="G81">
        <v>20</v>
      </c>
      <c r="H81">
        <v>8</v>
      </c>
      <c r="I81">
        <v>6</v>
      </c>
      <c r="J81">
        <v>1.25</v>
      </c>
    </row>
    <row r="82" spans="1:10" x14ac:dyDescent="0.25">
      <c r="A82" t="s">
        <v>199</v>
      </c>
      <c r="B82">
        <v>3</v>
      </c>
      <c r="C82" t="s">
        <v>226</v>
      </c>
      <c r="D82" t="s">
        <v>228</v>
      </c>
      <c r="E82">
        <v>48000</v>
      </c>
      <c r="F82" t="s">
        <v>139</v>
      </c>
      <c r="G82">
        <v>25</v>
      </c>
      <c r="H82">
        <v>8</v>
      </c>
      <c r="I82">
        <v>6</v>
      </c>
      <c r="J82">
        <v>1.25</v>
      </c>
    </row>
    <row r="83" spans="1:10" x14ac:dyDescent="0.25">
      <c r="A83" t="s">
        <v>199</v>
      </c>
      <c r="B83">
        <v>3</v>
      </c>
      <c r="C83" t="s">
        <v>226</v>
      </c>
      <c r="D83" t="s">
        <v>229</v>
      </c>
      <c r="E83">
        <v>48000</v>
      </c>
      <c r="F83" t="s">
        <v>139</v>
      </c>
      <c r="G83">
        <v>29</v>
      </c>
      <c r="H83">
        <v>8</v>
      </c>
      <c r="I83">
        <v>6</v>
      </c>
      <c r="J83">
        <v>1.25</v>
      </c>
    </row>
    <row r="84" spans="1:10" x14ac:dyDescent="0.25">
      <c r="A84" t="s">
        <v>199</v>
      </c>
      <c r="B84">
        <v>3</v>
      </c>
      <c r="C84" t="s">
        <v>230</v>
      </c>
      <c r="D84" t="s">
        <v>231</v>
      </c>
      <c r="E84">
        <v>58000</v>
      </c>
      <c r="F84" t="s">
        <v>139</v>
      </c>
      <c r="G84">
        <v>33</v>
      </c>
      <c r="H84">
        <v>8</v>
      </c>
      <c r="I84">
        <v>6</v>
      </c>
      <c r="J84">
        <v>1.25</v>
      </c>
    </row>
    <row r="85" spans="1:10" x14ac:dyDescent="0.25">
      <c r="A85" t="s">
        <v>232</v>
      </c>
      <c r="B85">
        <v>4</v>
      </c>
      <c r="C85" t="s">
        <v>48</v>
      </c>
      <c r="D85" t="s">
        <v>233</v>
      </c>
      <c r="E85">
        <v>9990</v>
      </c>
      <c r="F85" t="s">
        <v>150</v>
      </c>
      <c r="G85">
        <v>10</v>
      </c>
      <c r="H85">
        <v>7</v>
      </c>
      <c r="I85">
        <v>5</v>
      </c>
      <c r="J85">
        <v>2.5</v>
      </c>
    </row>
    <row r="86" spans="1:10" x14ac:dyDescent="0.25">
      <c r="A86" t="s">
        <v>232</v>
      </c>
      <c r="B86">
        <v>4</v>
      </c>
      <c r="C86" t="s">
        <v>48</v>
      </c>
      <c r="D86" t="s">
        <v>234</v>
      </c>
      <c r="E86">
        <v>9990</v>
      </c>
      <c r="F86" t="s">
        <v>150</v>
      </c>
      <c r="G86">
        <v>12</v>
      </c>
      <c r="H86">
        <v>7</v>
      </c>
      <c r="I86">
        <v>5</v>
      </c>
      <c r="J86">
        <v>2.5</v>
      </c>
    </row>
    <row r="87" spans="1:10" x14ac:dyDescent="0.25">
      <c r="A87" t="s">
        <v>232</v>
      </c>
      <c r="B87">
        <v>4</v>
      </c>
      <c r="C87" t="s">
        <v>48</v>
      </c>
      <c r="D87" t="s">
        <v>235</v>
      </c>
      <c r="E87">
        <v>9990</v>
      </c>
      <c r="F87" t="s">
        <v>150</v>
      </c>
      <c r="G87">
        <v>12</v>
      </c>
      <c r="H87">
        <v>7</v>
      </c>
      <c r="I87">
        <v>5</v>
      </c>
      <c r="J87">
        <v>2.5</v>
      </c>
    </row>
    <row r="88" spans="1:10" x14ac:dyDescent="0.25">
      <c r="A88" t="s">
        <v>232</v>
      </c>
      <c r="B88">
        <v>4</v>
      </c>
      <c r="C88" t="s">
        <v>236</v>
      </c>
      <c r="D88" t="s">
        <v>237</v>
      </c>
      <c r="E88">
        <v>9990</v>
      </c>
      <c r="F88" t="s">
        <v>150</v>
      </c>
      <c r="G88">
        <v>12</v>
      </c>
      <c r="H88">
        <v>7</v>
      </c>
      <c r="I88">
        <v>5</v>
      </c>
      <c r="J88">
        <v>2.5</v>
      </c>
    </row>
    <row r="89" spans="1:10" x14ac:dyDescent="0.25">
      <c r="A89" t="s">
        <v>232</v>
      </c>
      <c r="B89">
        <v>3</v>
      </c>
      <c r="C89" t="s">
        <v>236</v>
      </c>
      <c r="D89" t="s">
        <v>238</v>
      </c>
      <c r="E89">
        <v>9990</v>
      </c>
      <c r="F89" t="s">
        <v>150</v>
      </c>
      <c r="G89">
        <v>12</v>
      </c>
      <c r="H89">
        <v>7</v>
      </c>
      <c r="I89">
        <v>5</v>
      </c>
      <c r="J89">
        <v>2.5</v>
      </c>
    </row>
    <row r="90" spans="1:10" x14ac:dyDescent="0.25">
      <c r="A90" t="s">
        <v>232</v>
      </c>
      <c r="B90">
        <v>4</v>
      </c>
      <c r="C90" t="s">
        <v>239</v>
      </c>
      <c r="D90" t="s">
        <v>240</v>
      </c>
      <c r="E90">
        <v>12000</v>
      </c>
      <c r="F90" t="s">
        <v>150</v>
      </c>
      <c r="G90">
        <v>12</v>
      </c>
      <c r="H90">
        <v>7</v>
      </c>
      <c r="I90">
        <v>5</v>
      </c>
      <c r="J90">
        <v>2.5</v>
      </c>
    </row>
    <row r="91" spans="1:10" x14ac:dyDescent="0.25">
      <c r="A91" t="s">
        <v>232</v>
      </c>
      <c r="B91">
        <v>3</v>
      </c>
      <c r="C91" t="s">
        <v>239</v>
      </c>
      <c r="D91" t="s">
        <v>241</v>
      </c>
      <c r="E91">
        <v>12000</v>
      </c>
      <c r="F91" t="s">
        <v>150</v>
      </c>
      <c r="G91">
        <v>12</v>
      </c>
      <c r="H91">
        <v>7</v>
      </c>
      <c r="I91">
        <v>5</v>
      </c>
      <c r="J91">
        <v>2.5</v>
      </c>
    </row>
    <row r="92" spans="1:10" x14ac:dyDescent="0.25">
      <c r="A92" t="s">
        <v>232</v>
      </c>
      <c r="B92">
        <v>1</v>
      </c>
      <c r="C92" t="s">
        <v>242</v>
      </c>
      <c r="D92" t="s">
        <v>242</v>
      </c>
      <c r="E92">
        <v>14000</v>
      </c>
      <c r="F92" t="s">
        <v>150</v>
      </c>
      <c r="G92">
        <v>14</v>
      </c>
      <c r="H92">
        <v>7</v>
      </c>
      <c r="I92">
        <v>0</v>
      </c>
      <c r="J92">
        <v>1.75</v>
      </c>
    </row>
    <row r="93" spans="1:10" x14ac:dyDescent="0.25">
      <c r="A93" t="s">
        <v>232</v>
      </c>
      <c r="B93">
        <v>3</v>
      </c>
      <c r="C93" t="s">
        <v>60</v>
      </c>
      <c r="D93" t="s">
        <v>243</v>
      </c>
      <c r="E93">
        <v>15900</v>
      </c>
      <c r="F93" t="s">
        <v>150</v>
      </c>
      <c r="G93">
        <v>14</v>
      </c>
      <c r="H93">
        <v>7</v>
      </c>
      <c r="I93">
        <v>9</v>
      </c>
      <c r="J93">
        <v>2.5</v>
      </c>
    </row>
    <row r="94" spans="1:10" x14ac:dyDescent="0.25">
      <c r="A94" t="s">
        <v>232</v>
      </c>
      <c r="B94">
        <v>3</v>
      </c>
      <c r="C94" t="s">
        <v>60</v>
      </c>
      <c r="D94" t="s">
        <v>244</v>
      </c>
      <c r="E94">
        <v>15900</v>
      </c>
      <c r="F94" t="s">
        <v>150</v>
      </c>
      <c r="G94">
        <v>14</v>
      </c>
      <c r="H94">
        <v>7</v>
      </c>
      <c r="I94">
        <v>9</v>
      </c>
      <c r="J94">
        <v>2.5</v>
      </c>
    </row>
    <row r="95" spans="1:10" x14ac:dyDescent="0.25">
      <c r="A95" t="s">
        <v>232</v>
      </c>
      <c r="B95">
        <v>2</v>
      </c>
      <c r="C95" t="s">
        <v>60</v>
      </c>
      <c r="D95" t="s">
        <v>245</v>
      </c>
      <c r="E95">
        <v>15900</v>
      </c>
      <c r="F95" t="s">
        <v>150</v>
      </c>
      <c r="G95">
        <v>14</v>
      </c>
      <c r="H95">
        <v>7</v>
      </c>
      <c r="I95">
        <v>9</v>
      </c>
      <c r="J95">
        <v>2.5</v>
      </c>
    </row>
    <row r="96" spans="1:10" x14ac:dyDescent="0.25">
      <c r="A96" t="s">
        <v>232</v>
      </c>
      <c r="B96">
        <v>3</v>
      </c>
      <c r="C96" t="s">
        <v>60</v>
      </c>
      <c r="D96" t="s">
        <v>246</v>
      </c>
      <c r="E96">
        <v>15900</v>
      </c>
      <c r="F96" t="s">
        <v>150</v>
      </c>
      <c r="G96">
        <v>16</v>
      </c>
      <c r="H96">
        <v>7</v>
      </c>
      <c r="I96">
        <v>9</v>
      </c>
      <c r="J96">
        <v>2.5</v>
      </c>
    </row>
    <row r="97" spans="1:10" x14ac:dyDescent="0.25">
      <c r="A97" t="s">
        <v>232</v>
      </c>
      <c r="B97">
        <v>3</v>
      </c>
      <c r="C97" t="s">
        <v>60</v>
      </c>
      <c r="D97" t="s">
        <v>247</v>
      </c>
      <c r="E97">
        <v>15900</v>
      </c>
      <c r="F97" t="s">
        <v>150</v>
      </c>
      <c r="G97">
        <v>16</v>
      </c>
      <c r="H97">
        <v>7</v>
      </c>
      <c r="I97">
        <v>9</v>
      </c>
      <c r="J97">
        <v>2.5</v>
      </c>
    </row>
    <row r="98" spans="1:10" x14ac:dyDescent="0.25">
      <c r="A98" t="s">
        <v>232</v>
      </c>
      <c r="B98">
        <v>3</v>
      </c>
      <c r="C98" t="s">
        <v>60</v>
      </c>
      <c r="D98" t="s">
        <v>248</v>
      </c>
      <c r="E98">
        <v>15900</v>
      </c>
      <c r="F98" t="s">
        <v>150</v>
      </c>
      <c r="G98">
        <v>16</v>
      </c>
      <c r="H98">
        <v>7</v>
      </c>
      <c r="I98">
        <v>9</v>
      </c>
      <c r="J98">
        <v>2.5</v>
      </c>
    </row>
    <row r="99" spans="1:10" x14ac:dyDescent="0.25">
      <c r="A99" t="s">
        <v>232</v>
      </c>
      <c r="B99">
        <v>3</v>
      </c>
      <c r="C99" t="s">
        <v>58</v>
      </c>
      <c r="D99" t="s">
        <v>249</v>
      </c>
      <c r="E99">
        <v>15900</v>
      </c>
      <c r="F99" t="s">
        <v>150</v>
      </c>
      <c r="G99">
        <v>14</v>
      </c>
      <c r="H99">
        <v>7</v>
      </c>
      <c r="I99">
        <v>9</v>
      </c>
      <c r="J99">
        <v>2.5</v>
      </c>
    </row>
    <row r="100" spans="1:10" x14ac:dyDescent="0.25">
      <c r="A100" t="s">
        <v>232</v>
      </c>
      <c r="B100">
        <v>4</v>
      </c>
      <c r="C100" t="s">
        <v>58</v>
      </c>
      <c r="D100" t="s">
        <v>250</v>
      </c>
      <c r="E100">
        <v>15900</v>
      </c>
      <c r="F100" t="s">
        <v>150</v>
      </c>
      <c r="G100">
        <v>14</v>
      </c>
      <c r="H100">
        <v>7</v>
      </c>
      <c r="I100">
        <v>9</v>
      </c>
      <c r="J100">
        <v>2.5</v>
      </c>
    </row>
    <row r="101" spans="1:10" x14ac:dyDescent="0.25">
      <c r="A101" t="s">
        <v>232</v>
      </c>
      <c r="B101">
        <v>3</v>
      </c>
      <c r="C101" t="s">
        <v>58</v>
      </c>
      <c r="D101" t="s">
        <v>251</v>
      </c>
      <c r="E101">
        <v>15900</v>
      </c>
      <c r="F101" t="s">
        <v>150</v>
      </c>
      <c r="G101">
        <v>14</v>
      </c>
      <c r="H101">
        <v>7</v>
      </c>
      <c r="I101">
        <v>9</v>
      </c>
      <c r="J101">
        <v>2.5</v>
      </c>
    </row>
    <row r="102" spans="1:10" x14ac:dyDescent="0.25">
      <c r="A102" t="s">
        <v>232</v>
      </c>
      <c r="B102">
        <v>1</v>
      </c>
      <c r="C102" t="s">
        <v>58</v>
      </c>
      <c r="D102" t="s">
        <v>252</v>
      </c>
      <c r="E102">
        <v>15900</v>
      </c>
      <c r="F102" t="s">
        <v>150</v>
      </c>
      <c r="G102">
        <v>14</v>
      </c>
      <c r="H102">
        <v>7</v>
      </c>
      <c r="I102">
        <v>9</v>
      </c>
      <c r="J102">
        <v>2.5</v>
      </c>
    </row>
    <row r="103" spans="1:10" x14ac:dyDescent="0.25">
      <c r="A103" t="s">
        <v>232</v>
      </c>
      <c r="B103">
        <v>3</v>
      </c>
      <c r="C103" t="s">
        <v>58</v>
      </c>
      <c r="D103" t="s">
        <v>253</v>
      </c>
      <c r="E103">
        <v>15900</v>
      </c>
      <c r="F103" t="s">
        <v>150</v>
      </c>
      <c r="G103">
        <v>16</v>
      </c>
      <c r="H103">
        <v>7</v>
      </c>
      <c r="I103">
        <v>9</v>
      </c>
      <c r="J103">
        <v>2.5</v>
      </c>
    </row>
    <row r="104" spans="1:10" x14ac:dyDescent="0.25">
      <c r="A104" t="s">
        <v>232</v>
      </c>
      <c r="B104">
        <v>4</v>
      </c>
      <c r="C104" t="s">
        <v>58</v>
      </c>
      <c r="D104" t="s">
        <v>254</v>
      </c>
      <c r="E104">
        <v>15900</v>
      </c>
      <c r="F104" t="s">
        <v>150</v>
      </c>
      <c r="G104">
        <v>16</v>
      </c>
      <c r="H104">
        <v>7</v>
      </c>
      <c r="I104">
        <v>9</v>
      </c>
      <c r="J104">
        <v>2.5</v>
      </c>
    </row>
    <row r="105" spans="1:10" x14ac:dyDescent="0.25">
      <c r="A105" t="s">
        <v>232</v>
      </c>
      <c r="B105">
        <v>2</v>
      </c>
      <c r="C105" t="s">
        <v>58</v>
      </c>
      <c r="D105" t="s">
        <v>255</v>
      </c>
      <c r="E105">
        <v>15900</v>
      </c>
      <c r="F105" t="s">
        <v>150</v>
      </c>
      <c r="G105">
        <v>16</v>
      </c>
      <c r="H105">
        <v>7</v>
      </c>
      <c r="I105">
        <v>9</v>
      </c>
      <c r="J105">
        <v>2.5</v>
      </c>
    </row>
    <row r="106" spans="1:10" x14ac:dyDescent="0.25">
      <c r="A106" t="s">
        <v>232</v>
      </c>
      <c r="B106">
        <v>1</v>
      </c>
      <c r="C106" t="s">
        <v>58</v>
      </c>
      <c r="D106" t="s">
        <v>256</v>
      </c>
      <c r="E106">
        <v>15900</v>
      </c>
      <c r="F106" t="s">
        <v>150</v>
      </c>
      <c r="G106">
        <v>16</v>
      </c>
      <c r="H106">
        <v>7</v>
      </c>
      <c r="I106">
        <v>9</v>
      </c>
      <c r="J106">
        <v>2.5</v>
      </c>
    </row>
    <row r="107" spans="1:10" x14ac:dyDescent="0.25">
      <c r="A107" t="s">
        <v>232</v>
      </c>
      <c r="B107">
        <v>3</v>
      </c>
      <c r="C107" t="s">
        <v>52</v>
      </c>
      <c r="D107" t="s">
        <v>257</v>
      </c>
      <c r="E107">
        <v>14000</v>
      </c>
      <c r="F107" t="s">
        <v>150</v>
      </c>
      <c r="G107">
        <v>12</v>
      </c>
      <c r="H107">
        <v>7</v>
      </c>
      <c r="I107">
        <v>5</v>
      </c>
      <c r="J107">
        <v>2.5</v>
      </c>
    </row>
    <row r="108" spans="1:10" x14ac:dyDescent="0.25">
      <c r="A108" t="s">
        <v>232</v>
      </c>
      <c r="B108">
        <v>4</v>
      </c>
      <c r="C108" t="s">
        <v>52</v>
      </c>
      <c r="D108" t="s">
        <v>258</v>
      </c>
      <c r="E108">
        <v>14000</v>
      </c>
      <c r="F108" t="s">
        <v>150</v>
      </c>
      <c r="G108">
        <v>12</v>
      </c>
      <c r="H108">
        <v>7</v>
      </c>
      <c r="I108">
        <v>5</v>
      </c>
      <c r="J108">
        <v>2.5</v>
      </c>
    </row>
    <row r="109" spans="1:10" x14ac:dyDescent="0.25">
      <c r="A109" t="s">
        <v>232</v>
      </c>
      <c r="B109">
        <v>3</v>
      </c>
      <c r="C109" t="s">
        <v>52</v>
      </c>
      <c r="D109" t="s">
        <v>259</v>
      </c>
      <c r="E109">
        <v>14000</v>
      </c>
      <c r="F109" t="s">
        <v>150</v>
      </c>
      <c r="G109">
        <v>12</v>
      </c>
      <c r="H109">
        <v>7</v>
      </c>
      <c r="I109">
        <v>5</v>
      </c>
      <c r="J109">
        <v>2.5</v>
      </c>
    </row>
    <row r="110" spans="1:10" x14ac:dyDescent="0.25">
      <c r="A110" t="s">
        <v>232</v>
      </c>
      <c r="B110">
        <v>1</v>
      </c>
      <c r="C110" t="s">
        <v>52</v>
      </c>
      <c r="D110" t="s">
        <v>260</v>
      </c>
      <c r="E110">
        <v>14000</v>
      </c>
      <c r="F110" t="s">
        <v>150</v>
      </c>
      <c r="G110">
        <v>12</v>
      </c>
      <c r="H110">
        <v>7</v>
      </c>
      <c r="I110">
        <v>5</v>
      </c>
      <c r="J110">
        <v>2.5</v>
      </c>
    </row>
    <row r="111" spans="1:10" x14ac:dyDescent="0.25">
      <c r="A111" t="s">
        <v>232</v>
      </c>
      <c r="B111">
        <v>3</v>
      </c>
      <c r="C111" t="s">
        <v>52</v>
      </c>
      <c r="D111" t="s">
        <v>261</v>
      </c>
      <c r="E111">
        <v>14000</v>
      </c>
      <c r="F111" t="s">
        <v>150</v>
      </c>
      <c r="G111">
        <v>14</v>
      </c>
      <c r="H111">
        <v>7</v>
      </c>
      <c r="I111">
        <v>5</v>
      </c>
      <c r="J111">
        <v>2.5</v>
      </c>
    </row>
    <row r="112" spans="1:10" x14ac:dyDescent="0.25">
      <c r="A112" t="s">
        <v>232</v>
      </c>
      <c r="B112">
        <v>3</v>
      </c>
      <c r="C112" t="s">
        <v>52</v>
      </c>
      <c r="D112" t="s">
        <v>262</v>
      </c>
      <c r="E112">
        <v>14000</v>
      </c>
      <c r="F112" t="s">
        <v>150</v>
      </c>
      <c r="G112">
        <v>14</v>
      </c>
      <c r="H112">
        <v>7</v>
      </c>
      <c r="I112">
        <v>5</v>
      </c>
      <c r="J112">
        <v>2.5</v>
      </c>
    </row>
    <row r="113" spans="1:10" x14ac:dyDescent="0.25">
      <c r="A113" t="s">
        <v>232</v>
      </c>
      <c r="B113">
        <v>4</v>
      </c>
      <c r="C113" t="s">
        <v>52</v>
      </c>
      <c r="D113" t="s">
        <v>263</v>
      </c>
      <c r="E113">
        <v>14000</v>
      </c>
      <c r="F113" t="s">
        <v>150</v>
      </c>
      <c r="G113">
        <v>14</v>
      </c>
      <c r="H113">
        <v>7</v>
      </c>
      <c r="I113">
        <v>5</v>
      </c>
      <c r="J113">
        <v>2.5</v>
      </c>
    </row>
    <row r="114" spans="1:10" x14ac:dyDescent="0.25">
      <c r="A114" t="s">
        <v>232</v>
      </c>
      <c r="B114">
        <v>4</v>
      </c>
      <c r="C114" t="s">
        <v>52</v>
      </c>
      <c r="D114" t="s">
        <v>264</v>
      </c>
      <c r="E114">
        <v>14000</v>
      </c>
      <c r="F114" t="s">
        <v>150</v>
      </c>
      <c r="G114">
        <v>14</v>
      </c>
      <c r="H114">
        <v>7</v>
      </c>
      <c r="I114">
        <v>5</v>
      </c>
      <c r="J114">
        <v>2.5</v>
      </c>
    </row>
    <row r="115" spans="1:10" x14ac:dyDescent="0.25">
      <c r="A115" t="s">
        <v>232</v>
      </c>
      <c r="B115">
        <v>1</v>
      </c>
      <c r="C115" t="s">
        <v>52</v>
      </c>
      <c r="D115" t="s">
        <v>265</v>
      </c>
      <c r="E115">
        <v>14000</v>
      </c>
      <c r="F115" t="s">
        <v>150</v>
      </c>
      <c r="G115">
        <v>14</v>
      </c>
      <c r="H115">
        <v>7</v>
      </c>
      <c r="I115">
        <v>5</v>
      </c>
      <c r="J115">
        <v>2.5</v>
      </c>
    </row>
    <row r="116" spans="1:10" x14ac:dyDescent="0.25">
      <c r="A116" t="s">
        <v>232</v>
      </c>
      <c r="B116">
        <v>1</v>
      </c>
      <c r="C116" t="s">
        <v>52</v>
      </c>
      <c r="D116" t="s">
        <v>266</v>
      </c>
      <c r="E116">
        <v>14000</v>
      </c>
      <c r="F116" t="s">
        <v>150</v>
      </c>
      <c r="G116">
        <v>14</v>
      </c>
      <c r="H116">
        <v>7</v>
      </c>
      <c r="I116">
        <v>5</v>
      </c>
      <c r="J116">
        <v>2.5</v>
      </c>
    </row>
    <row r="117" spans="1:10" x14ac:dyDescent="0.25">
      <c r="A117" t="s">
        <v>232</v>
      </c>
      <c r="B117">
        <v>3</v>
      </c>
      <c r="C117" t="s">
        <v>52</v>
      </c>
      <c r="D117" t="s">
        <v>267</v>
      </c>
      <c r="E117">
        <v>14000</v>
      </c>
      <c r="F117" t="s">
        <v>150</v>
      </c>
      <c r="G117">
        <v>14</v>
      </c>
      <c r="H117">
        <v>7</v>
      </c>
      <c r="I117">
        <v>5</v>
      </c>
      <c r="J117">
        <v>2.5</v>
      </c>
    </row>
    <row r="118" spans="1:10" x14ac:dyDescent="0.25">
      <c r="A118" t="s">
        <v>232</v>
      </c>
      <c r="B118">
        <v>3</v>
      </c>
      <c r="C118" t="s">
        <v>52</v>
      </c>
      <c r="D118" t="s">
        <v>268</v>
      </c>
      <c r="E118">
        <v>14000</v>
      </c>
      <c r="F118" t="s">
        <v>150</v>
      </c>
      <c r="G118">
        <v>14</v>
      </c>
      <c r="H118">
        <v>7</v>
      </c>
      <c r="I118">
        <v>5</v>
      </c>
      <c r="J118">
        <v>2.5</v>
      </c>
    </row>
    <row r="119" spans="1:10" x14ac:dyDescent="0.25">
      <c r="A119" t="s">
        <v>232</v>
      </c>
      <c r="B119">
        <v>3</v>
      </c>
      <c r="C119" t="s">
        <v>52</v>
      </c>
      <c r="D119" t="s">
        <v>269</v>
      </c>
      <c r="E119">
        <v>14000</v>
      </c>
      <c r="F119" t="s">
        <v>150</v>
      </c>
      <c r="G119">
        <v>14</v>
      </c>
      <c r="H119">
        <v>7</v>
      </c>
      <c r="I119">
        <v>5</v>
      </c>
      <c r="J119">
        <v>2.5</v>
      </c>
    </row>
    <row r="120" spans="1:10" x14ac:dyDescent="0.25">
      <c r="A120" t="s">
        <v>232</v>
      </c>
      <c r="B120">
        <v>3</v>
      </c>
      <c r="C120" t="s">
        <v>52</v>
      </c>
      <c r="D120" t="s">
        <v>270</v>
      </c>
      <c r="E120">
        <v>14000</v>
      </c>
      <c r="F120" t="s">
        <v>150</v>
      </c>
      <c r="G120">
        <v>14</v>
      </c>
      <c r="H120">
        <v>7</v>
      </c>
      <c r="I120">
        <v>5</v>
      </c>
      <c r="J120">
        <v>2.5</v>
      </c>
    </row>
    <row r="121" spans="1:10" x14ac:dyDescent="0.25">
      <c r="A121" t="s">
        <v>232</v>
      </c>
      <c r="B121">
        <v>3</v>
      </c>
      <c r="C121" t="s">
        <v>52</v>
      </c>
      <c r="D121" t="s">
        <v>271</v>
      </c>
      <c r="E121">
        <v>14000</v>
      </c>
      <c r="F121" t="s">
        <v>150</v>
      </c>
      <c r="G121">
        <v>14</v>
      </c>
      <c r="H121">
        <v>7</v>
      </c>
      <c r="I121">
        <v>5</v>
      </c>
      <c r="J121">
        <v>2.5</v>
      </c>
    </row>
    <row r="122" spans="1:10" x14ac:dyDescent="0.25">
      <c r="A122" t="s">
        <v>232</v>
      </c>
      <c r="B122">
        <v>3</v>
      </c>
      <c r="C122" t="s">
        <v>52</v>
      </c>
      <c r="D122" t="s">
        <v>272</v>
      </c>
      <c r="E122">
        <v>14000</v>
      </c>
      <c r="F122" t="s">
        <v>150</v>
      </c>
      <c r="G122">
        <v>14</v>
      </c>
      <c r="H122">
        <v>7</v>
      </c>
      <c r="I122">
        <v>5</v>
      </c>
      <c r="J122">
        <v>2.5</v>
      </c>
    </row>
    <row r="123" spans="1:10" x14ac:dyDescent="0.25">
      <c r="A123" t="s">
        <v>232</v>
      </c>
      <c r="B123">
        <v>3</v>
      </c>
      <c r="C123" t="s">
        <v>52</v>
      </c>
      <c r="D123" t="s">
        <v>273</v>
      </c>
      <c r="E123">
        <v>14000</v>
      </c>
      <c r="F123" t="s">
        <v>150</v>
      </c>
      <c r="G123">
        <v>14</v>
      </c>
      <c r="H123">
        <v>7</v>
      </c>
      <c r="I123">
        <v>5</v>
      </c>
      <c r="J123">
        <v>2.5</v>
      </c>
    </row>
    <row r="124" spans="1:10" x14ac:dyDescent="0.25">
      <c r="A124" t="s">
        <v>232</v>
      </c>
      <c r="B124">
        <v>3</v>
      </c>
      <c r="C124" t="s">
        <v>52</v>
      </c>
      <c r="D124" t="s">
        <v>274</v>
      </c>
      <c r="E124">
        <v>14000</v>
      </c>
      <c r="F124" t="s">
        <v>150</v>
      </c>
      <c r="G124">
        <v>14</v>
      </c>
      <c r="H124">
        <v>7</v>
      </c>
      <c r="I124">
        <v>5</v>
      </c>
      <c r="J124">
        <v>2.5</v>
      </c>
    </row>
    <row r="125" spans="1:10" x14ac:dyDescent="0.25">
      <c r="A125" t="s">
        <v>232</v>
      </c>
      <c r="B125">
        <v>3</v>
      </c>
      <c r="C125" t="s">
        <v>52</v>
      </c>
      <c r="D125" t="s">
        <v>275</v>
      </c>
      <c r="E125">
        <v>14000</v>
      </c>
      <c r="F125" t="s">
        <v>150</v>
      </c>
      <c r="G125">
        <v>14</v>
      </c>
      <c r="H125">
        <v>7</v>
      </c>
      <c r="I125">
        <v>5</v>
      </c>
      <c r="J125">
        <v>2.5</v>
      </c>
    </row>
    <row r="126" spans="1:10" x14ac:dyDescent="0.25">
      <c r="A126" t="s">
        <v>232</v>
      </c>
      <c r="B126">
        <v>3</v>
      </c>
      <c r="C126" t="s">
        <v>52</v>
      </c>
      <c r="D126" t="s">
        <v>276</v>
      </c>
      <c r="E126">
        <v>14000</v>
      </c>
      <c r="F126" t="s">
        <v>150</v>
      </c>
      <c r="G126">
        <v>14</v>
      </c>
      <c r="H126">
        <v>7</v>
      </c>
      <c r="I126">
        <v>5</v>
      </c>
      <c r="J126">
        <v>2.5</v>
      </c>
    </row>
    <row r="127" spans="1:10" x14ac:dyDescent="0.25">
      <c r="A127" t="s">
        <v>232</v>
      </c>
      <c r="B127">
        <v>3</v>
      </c>
      <c r="C127" t="s">
        <v>52</v>
      </c>
      <c r="D127" t="s">
        <v>277</v>
      </c>
      <c r="E127">
        <v>14000</v>
      </c>
      <c r="F127" t="s">
        <v>150</v>
      </c>
      <c r="G127">
        <v>16</v>
      </c>
      <c r="H127">
        <v>7</v>
      </c>
      <c r="I127">
        <v>5</v>
      </c>
      <c r="J127">
        <v>2.5</v>
      </c>
    </row>
    <row r="128" spans="1:10" x14ac:dyDescent="0.25">
      <c r="A128" t="s">
        <v>232</v>
      </c>
      <c r="B128">
        <v>3</v>
      </c>
      <c r="C128" t="s">
        <v>52</v>
      </c>
      <c r="D128" t="s">
        <v>278</v>
      </c>
      <c r="E128">
        <v>14000</v>
      </c>
      <c r="F128" t="s">
        <v>150</v>
      </c>
      <c r="G128">
        <v>16</v>
      </c>
      <c r="H128">
        <v>7</v>
      </c>
      <c r="I128">
        <v>5</v>
      </c>
      <c r="J128">
        <v>2.5</v>
      </c>
    </row>
    <row r="129" spans="1:10" x14ac:dyDescent="0.25">
      <c r="A129" t="s">
        <v>232</v>
      </c>
      <c r="B129">
        <v>4</v>
      </c>
      <c r="C129" t="s">
        <v>52</v>
      </c>
      <c r="D129" t="s">
        <v>279</v>
      </c>
      <c r="E129">
        <v>14000</v>
      </c>
      <c r="F129" t="s">
        <v>150</v>
      </c>
      <c r="G129">
        <v>16</v>
      </c>
      <c r="H129">
        <v>7</v>
      </c>
      <c r="I129">
        <v>5</v>
      </c>
      <c r="J129">
        <v>2.5</v>
      </c>
    </row>
    <row r="130" spans="1:10" x14ac:dyDescent="0.25">
      <c r="A130" t="s">
        <v>232</v>
      </c>
      <c r="B130">
        <v>4</v>
      </c>
      <c r="C130" t="s">
        <v>52</v>
      </c>
      <c r="D130" t="s">
        <v>280</v>
      </c>
      <c r="E130">
        <v>14000</v>
      </c>
      <c r="F130" t="s">
        <v>150</v>
      </c>
      <c r="G130">
        <v>16</v>
      </c>
      <c r="H130">
        <v>7</v>
      </c>
      <c r="I130">
        <v>5</v>
      </c>
      <c r="J130">
        <v>2.5</v>
      </c>
    </row>
    <row r="131" spans="1:10" x14ac:dyDescent="0.25">
      <c r="A131" t="s">
        <v>232</v>
      </c>
      <c r="B131">
        <v>1</v>
      </c>
      <c r="C131" t="s">
        <v>52</v>
      </c>
      <c r="D131" t="s">
        <v>281</v>
      </c>
      <c r="E131">
        <v>14000</v>
      </c>
      <c r="F131" t="s">
        <v>150</v>
      </c>
      <c r="G131">
        <v>16</v>
      </c>
      <c r="H131">
        <v>7</v>
      </c>
      <c r="I131">
        <v>5</v>
      </c>
      <c r="J131">
        <v>2.5</v>
      </c>
    </row>
    <row r="132" spans="1:10" x14ac:dyDescent="0.25">
      <c r="A132" t="s">
        <v>232</v>
      </c>
      <c r="B132">
        <v>1</v>
      </c>
      <c r="C132" t="s">
        <v>52</v>
      </c>
      <c r="D132" t="s">
        <v>282</v>
      </c>
      <c r="E132">
        <v>14000</v>
      </c>
      <c r="F132" t="s">
        <v>150</v>
      </c>
      <c r="G132">
        <v>16</v>
      </c>
      <c r="H132">
        <v>7</v>
      </c>
      <c r="I132">
        <v>5</v>
      </c>
      <c r="J132">
        <v>2.5</v>
      </c>
    </row>
    <row r="133" spans="1:10" x14ac:dyDescent="0.25">
      <c r="A133" t="s">
        <v>232</v>
      </c>
      <c r="B133">
        <v>3</v>
      </c>
      <c r="C133" t="s">
        <v>52</v>
      </c>
      <c r="D133" t="s">
        <v>283</v>
      </c>
      <c r="E133">
        <v>14000</v>
      </c>
      <c r="F133" t="s">
        <v>150</v>
      </c>
      <c r="G133">
        <v>16</v>
      </c>
      <c r="H133">
        <v>7</v>
      </c>
      <c r="I133">
        <v>5</v>
      </c>
      <c r="J133">
        <v>2.5</v>
      </c>
    </row>
    <row r="134" spans="1:10" x14ac:dyDescent="0.25">
      <c r="A134" t="s">
        <v>232</v>
      </c>
      <c r="B134">
        <v>3</v>
      </c>
      <c r="C134" t="s">
        <v>52</v>
      </c>
      <c r="D134" t="s">
        <v>284</v>
      </c>
      <c r="E134">
        <v>14000</v>
      </c>
      <c r="F134" t="s">
        <v>150</v>
      </c>
      <c r="G134">
        <v>16</v>
      </c>
      <c r="H134">
        <v>7</v>
      </c>
      <c r="I134">
        <v>5</v>
      </c>
      <c r="J134">
        <v>2.5</v>
      </c>
    </row>
    <row r="135" spans="1:10" x14ac:dyDescent="0.25">
      <c r="A135" t="s">
        <v>232</v>
      </c>
      <c r="B135">
        <v>3</v>
      </c>
      <c r="C135" t="s">
        <v>52</v>
      </c>
      <c r="D135" t="s">
        <v>285</v>
      </c>
      <c r="E135">
        <v>14000</v>
      </c>
      <c r="F135" t="s">
        <v>150</v>
      </c>
      <c r="G135">
        <v>16</v>
      </c>
      <c r="H135">
        <v>7</v>
      </c>
      <c r="I135">
        <v>5</v>
      </c>
      <c r="J135">
        <v>2.5</v>
      </c>
    </row>
    <row r="136" spans="1:10" x14ac:dyDescent="0.25">
      <c r="A136" t="s">
        <v>232</v>
      </c>
      <c r="B136">
        <v>3</v>
      </c>
      <c r="C136" t="s">
        <v>52</v>
      </c>
      <c r="D136" t="s">
        <v>286</v>
      </c>
      <c r="E136">
        <v>14000</v>
      </c>
      <c r="F136" t="s">
        <v>150</v>
      </c>
      <c r="G136">
        <v>16</v>
      </c>
      <c r="H136">
        <v>7</v>
      </c>
      <c r="I136">
        <v>5</v>
      </c>
      <c r="J136">
        <v>2.5</v>
      </c>
    </row>
    <row r="137" spans="1:10" x14ac:dyDescent="0.25">
      <c r="A137" t="s">
        <v>232</v>
      </c>
      <c r="B137">
        <v>3</v>
      </c>
      <c r="C137" t="s">
        <v>52</v>
      </c>
      <c r="D137" t="s">
        <v>287</v>
      </c>
      <c r="E137">
        <v>14000</v>
      </c>
      <c r="F137" t="s">
        <v>150</v>
      </c>
      <c r="G137">
        <v>16</v>
      </c>
      <c r="H137">
        <v>7</v>
      </c>
      <c r="I137">
        <v>5</v>
      </c>
      <c r="J137">
        <v>2.5</v>
      </c>
    </row>
    <row r="138" spans="1:10" x14ac:dyDescent="0.25">
      <c r="A138" t="s">
        <v>232</v>
      </c>
      <c r="B138">
        <v>4</v>
      </c>
      <c r="C138" t="s">
        <v>51</v>
      </c>
      <c r="D138" t="s">
        <v>288</v>
      </c>
      <c r="E138">
        <v>14000</v>
      </c>
      <c r="F138" t="s">
        <v>150</v>
      </c>
      <c r="G138">
        <v>14</v>
      </c>
      <c r="H138">
        <v>7</v>
      </c>
      <c r="I138">
        <v>5</v>
      </c>
      <c r="J138">
        <v>2.5</v>
      </c>
    </row>
    <row r="139" spans="1:10" x14ac:dyDescent="0.25">
      <c r="A139" t="s">
        <v>232</v>
      </c>
      <c r="B139">
        <v>4</v>
      </c>
      <c r="C139" t="s">
        <v>51</v>
      </c>
      <c r="D139" t="s">
        <v>289</v>
      </c>
      <c r="E139">
        <v>14000</v>
      </c>
      <c r="F139" t="s">
        <v>150</v>
      </c>
      <c r="G139">
        <v>14</v>
      </c>
      <c r="H139">
        <v>7</v>
      </c>
      <c r="I139">
        <v>5</v>
      </c>
      <c r="J139">
        <v>2.5</v>
      </c>
    </row>
    <row r="140" spans="1:10" x14ac:dyDescent="0.25">
      <c r="A140" t="s">
        <v>232</v>
      </c>
      <c r="B140">
        <v>1</v>
      </c>
      <c r="C140" t="s">
        <v>51</v>
      </c>
      <c r="D140" t="s">
        <v>290</v>
      </c>
      <c r="E140">
        <v>14000</v>
      </c>
      <c r="F140" t="s">
        <v>150</v>
      </c>
      <c r="G140">
        <v>14</v>
      </c>
      <c r="H140">
        <v>7</v>
      </c>
      <c r="I140">
        <v>5</v>
      </c>
      <c r="J140">
        <v>2.5</v>
      </c>
    </row>
    <row r="141" spans="1:10" x14ac:dyDescent="0.25">
      <c r="A141" t="s">
        <v>232</v>
      </c>
      <c r="B141">
        <v>1</v>
      </c>
      <c r="C141" t="s">
        <v>51</v>
      </c>
      <c r="D141" t="s">
        <v>291</v>
      </c>
      <c r="E141">
        <v>14000</v>
      </c>
      <c r="F141" t="s">
        <v>150</v>
      </c>
      <c r="G141">
        <v>14</v>
      </c>
      <c r="H141">
        <v>7</v>
      </c>
      <c r="I141">
        <v>5</v>
      </c>
      <c r="J141">
        <v>2.5</v>
      </c>
    </row>
    <row r="142" spans="1:10" x14ac:dyDescent="0.25">
      <c r="A142" t="s">
        <v>232</v>
      </c>
      <c r="B142">
        <v>4</v>
      </c>
      <c r="C142" t="s">
        <v>51</v>
      </c>
      <c r="D142" t="s">
        <v>292</v>
      </c>
      <c r="E142">
        <v>14000</v>
      </c>
      <c r="F142" t="s">
        <v>150</v>
      </c>
      <c r="G142">
        <v>16</v>
      </c>
      <c r="H142">
        <v>7</v>
      </c>
      <c r="I142">
        <v>5</v>
      </c>
      <c r="J142">
        <v>2.5</v>
      </c>
    </row>
    <row r="143" spans="1:10" x14ac:dyDescent="0.25">
      <c r="A143" t="s">
        <v>232</v>
      </c>
      <c r="B143">
        <v>3</v>
      </c>
      <c r="C143" t="s">
        <v>293</v>
      </c>
      <c r="D143" t="s">
        <v>294</v>
      </c>
      <c r="E143">
        <v>14000</v>
      </c>
      <c r="F143" t="s">
        <v>150</v>
      </c>
      <c r="G143">
        <v>14</v>
      </c>
      <c r="H143">
        <v>7</v>
      </c>
      <c r="I143">
        <v>5</v>
      </c>
      <c r="J143">
        <v>1.75</v>
      </c>
    </row>
    <row r="144" spans="1:10" x14ac:dyDescent="0.25">
      <c r="A144" t="s">
        <v>232</v>
      </c>
      <c r="B144">
        <v>2</v>
      </c>
      <c r="C144" t="s">
        <v>293</v>
      </c>
      <c r="D144" t="s">
        <v>295</v>
      </c>
      <c r="E144">
        <v>14000</v>
      </c>
      <c r="F144" t="s">
        <v>150</v>
      </c>
      <c r="G144">
        <v>14</v>
      </c>
      <c r="H144">
        <v>7</v>
      </c>
      <c r="I144">
        <v>5</v>
      </c>
      <c r="J144">
        <v>1.75</v>
      </c>
    </row>
    <row r="145" spans="1:10" x14ac:dyDescent="0.25">
      <c r="A145" t="s">
        <v>232</v>
      </c>
      <c r="B145">
        <v>3</v>
      </c>
      <c r="C145" t="s">
        <v>296</v>
      </c>
      <c r="D145" t="s">
        <v>297</v>
      </c>
      <c r="E145">
        <v>14000</v>
      </c>
      <c r="F145" t="s">
        <v>150</v>
      </c>
      <c r="G145">
        <v>14</v>
      </c>
      <c r="H145">
        <v>7</v>
      </c>
      <c r="I145">
        <v>9</v>
      </c>
      <c r="J145">
        <v>1.75</v>
      </c>
    </row>
    <row r="146" spans="1:10" x14ac:dyDescent="0.25">
      <c r="A146" t="s">
        <v>232</v>
      </c>
      <c r="B146">
        <v>2</v>
      </c>
      <c r="C146" t="s">
        <v>296</v>
      </c>
      <c r="D146" t="s">
        <v>298</v>
      </c>
      <c r="E146">
        <v>14000</v>
      </c>
      <c r="F146" t="s">
        <v>150</v>
      </c>
      <c r="G146">
        <v>14</v>
      </c>
      <c r="H146">
        <v>7</v>
      </c>
      <c r="I146">
        <v>9</v>
      </c>
      <c r="J146">
        <v>1.75</v>
      </c>
    </row>
    <row r="147" spans="1:10" x14ac:dyDescent="0.25">
      <c r="A147" t="s">
        <v>232</v>
      </c>
      <c r="B147">
        <v>3</v>
      </c>
      <c r="C147" t="s">
        <v>53</v>
      </c>
      <c r="D147" t="s">
        <v>299</v>
      </c>
      <c r="E147">
        <v>14000</v>
      </c>
      <c r="F147" t="s">
        <v>150</v>
      </c>
      <c r="G147">
        <v>14</v>
      </c>
      <c r="H147">
        <v>7</v>
      </c>
      <c r="I147">
        <v>5</v>
      </c>
      <c r="J147">
        <v>2.5</v>
      </c>
    </row>
    <row r="148" spans="1:10" x14ac:dyDescent="0.25">
      <c r="A148" t="s">
        <v>232</v>
      </c>
      <c r="B148">
        <v>4</v>
      </c>
      <c r="C148" t="s">
        <v>53</v>
      </c>
      <c r="D148" t="s">
        <v>300</v>
      </c>
      <c r="E148">
        <v>14000</v>
      </c>
      <c r="F148" t="s">
        <v>150</v>
      </c>
      <c r="G148">
        <v>14</v>
      </c>
      <c r="H148">
        <v>7</v>
      </c>
      <c r="I148">
        <v>5</v>
      </c>
      <c r="J148">
        <v>2.5</v>
      </c>
    </row>
    <row r="149" spans="1:10" x14ac:dyDescent="0.25">
      <c r="A149" t="s">
        <v>232</v>
      </c>
      <c r="B149">
        <v>3</v>
      </c>
      <c r="C149" t="s">
        <v>53</v>
      </c>
      <c r="D149" t="s">
        <v>301</v>
      </c>
      <c r="E149">
        <v>14000</v>
      </c>
      <c r="F149" t="s">
        <v>150</v>
      </c>
      <c r="G149">
        <v>14</v>
      </c>
      <c r="H149">
        <v>7</v>
      </c>
      <c r="I149">
        <v>5</v>
      </c>
      <c r="J149">
        <v>2.5</v>
      </c>
    </row>
    <row r="150" spans="1:10" x14ac:dyDescent="0.25">
      <c r="A150" t="s">
        <v>232</v>
      </c>
      <c r="B150">
        <v>1</v>
      </c>
      <c r="C150" t="s">
        <v>53</v>
      </c>
      <c r="D150" t="s">
        <v>302</v>
      </c>
      <c r="E150">
        <v>14000</v>
      </c>
      <c r="F150" t="s">
        <v>150</v>
      </c>
      <c r="G150">
        <v>14</v>
      </c>
      <c r="H150">
        <v>7</v>
      </c>
      <c r="I150">
        <v>5</v>
      </c>
      <c r="J150">
        <v>2.5</v>
      </c>
    </row>
    <row r="151" spans="1:10" x14ac:dyDescent="0.25">
      <c r="A151" t="s">
        <v>232</v>
      </c>
      <c r="B151">
        <v>3</v>
      </c>
      <c r="C151" t="s">
        <v>53</v>
      </c>
      <c r="D151" t="s">
        <v>303</v>
      </c>
      <c r="E151">
        <v>14000</v>
      </c>
      <c r="F151" t="s">
        <v>150</v>
      </c>
      <c r="G151">
        <v>16</v>
      </c>
      <c r="H151">
        <v>7</v>
      </c>
      <c r="I151">
        <v>5</v>
      </c>
      <c r="J151">
        <v>2.5</v>
      </c>
    </row>
    <row r="152" spans="1:10" x14ac:dyDescent="0.25">
      <c r="A152" t="s">
        <v>232</v>
      </c>
      <c r="B152">
        <v>4</v>
      </c>
      <c r="C152" t="s">
        <v>53</v>
      </c>
      <c r="D152" t="s">
        <v>304</v>
      </c>
      <c r="E152">
        <v>14000</v>
      </c>
      <c r="F152" t="s">
        <v>150</v>
      </c>
      <c r="G152">
        <v>16</v>
      </c>
      <c r="H152">
        <v>7</v>
      </c>
      <c r="I152">
        <v>5</v>
      </c>
      <c r="J152">
        <v>2.5</v>
      </c>
    </row>
    <row r="153" spans="1:10" x14ac:dyDescent="0.25">
      <c r="A153" t="s">
        <v>232</v>
      </c>
      <c r="B153">
        <v>3</v>
      </c>
      <c r="C153" t="s">
        <v>53</v>
      </c>
      <c r="D153" t="s">
        <v>305</v>
      </c>
      <c r="E153">
        <v>14000</v>
      </c>
      <c r="F153" t="s">
        <v>150</v>
      </c>
      <c r="G153">
        <v>16</v>
      </c>
      <c r="H153">
        <v>7</v>
      </c>
      <c r="I153">
        <v>5</v>
      </c>
      <c r="J153">
        <v>2.5</v>
      </c>
    </row>
    <row r="154" spans="1:10" x14ac:dyDescent="0.25">
      <c r="A154" t="s">
        <v>232</v>
      </c>
      <c r="B154">
        <v>2</v>
      </c>
      <c r="C154" t="s">
        <v>53</v>
      </c>
      <c r="D154" t="s">
        <v>306</v>
      </c>
      <c r="E154">
        <v>14000</v>
      </c>
      <c r="F154" t="s">
        <v>150</v>
      </c>
      <c r="G154">
        <v>16</v>
      </c>
      <c r="H154">
        <v>7</v>
      </c>
      <c r="I154">
        <v>5</v>
      </c>
      <c r="J154">
        <v>2.5</v>
      </c>
    </row>
    <row r="155" spans="1:10" x14ac:dyDescent="0.25">
      <c r="A155" t="s">
        <v>232</v>
      </c>
      <c r="B155">
        <v>3</v>
      </c>
      <c r="C155" t="s">
        <v>56</v>
      </c>
      <c r="D155" t="s">
        <v>307</v>
      </c>
      <c r="E155">
        <v>15400</v>
      </c>
      <c r="F155" t="s">
        <v>150</v>
      </c>
      <c r="G155">
        <v>14</v>
      </c>
      <c r="H155">
        <v>7</v>
      </c>
      <c r="I155">
        <v>5</v>
      </c>
      <c r="J155">
        <v>2.5</v>
      </c>
    </row>
    <row r="156" spans="1:10" x14ac:dyDescent="0.25">
      <c r="A156" t="s">
        <v>232</v>
      </c>
      <c r="B156">
        <v>1</v>
      </c>
      <c r="C156" t="s">
        <v>56</v>
      </c>
      <c r="D156" t="s">
        <v>308</v>
      </c>
      <c r="E156">
        <v>15400</v>
      </c>
      <c r="F156" t="s">
        <v>150</v>
      </c>
      <c r="G156">
        <v>14</v>
      </c>
      <c r="H156">
        <v>7</v>
      </c>
      <c r="I156">
        <v>5</v>
      </c>
      <c r="J156">
        <v>2.5</v>
      </c>
    </row>
    <row r="157" spans="1:10" x14ac:dyDescent="0.25">
      <c r="A157" t="s">
        <v>232</v>
      </c>
      <c r="B157">
        <v>3</v>
      </c>
      <c r="C157" t="s">
        <v>56</v>
      </c>
      <c r="D157" t="s">
        <v>309</v>
      </c>
      <c r="E157">
        <v>15400</v>
      </c>
      <c r="F157" t="s">
        <v>150</v>
      </c>
      <c r="G157">
        <v>14</v>
      </c>
      <c r="H157">
        <v>7</v>
      </c>
      <c r="I157">
        <v>5</v>
      </c>
      <c r="J157">
        <v>2.5</v>
      </c>
    </row>
    <row r="158" spans="1:10" x14ac:dyDescent="0.25">
      <c r="A158" t="s">
        <v>232</v>
      </c>
      <c r="B158">
        <v>3</v>
      </c>
      <c r="C158" t="s">
        <v>56</v>
      </c>
      <c r="D158" t="s">
        <v>310</v>
      </c>
      <c r="E158">
        <v>15400</v>
      </c>
      <c r="F158" t="s">
        <v>150</v>
      </c>
      <c r="G158">
        <v>14</v>
      </c>
      <c r="H158">
        <v>7</v>
      </c>
      <c r="I158">
        <v>5</v>
      </c>
      <c r="J158">
        <v>2.5</v>
      </c>
    </row>
    <row r="159" spans="1:10" x14ac:dyDescent="0.25">
      <c r="A159" t="s">
        <v>232</v>
      </c>
      <c r="B159">
        <v>2</v>
      </c>
      <c r="C159" t="s">
        <v>56</v>
      </c>
      <c r="D159" t="s">
        <v>311</v>
      </c>
      <c r="E159">
        <v>15400</v>
      </c>
      <c r="F159" t="s">
        <v>150</v>
      </c>
      <c r="G159">
        <v>14</v>
      </c>
      <c r="H159">
        <v>7</v>
      </c>
      <c r="I159">
        <v>5</v>
      </c>
      <c r="J159">
        <v>2.5</v>
      </c>
    </row>
    <row r="160" spans="1:10" x14ac:dyDescent="0.25">
      <c r="A160" t="s">
        <v>232</v>
      </c>
      <c r="B160">
        <v>3</v>
      </c>
      <c r="C160" t="s">
        <v>56</v>
      </c>
      <c r="D160" t="s">
        <v>312</v>
      </c>
      <c r="E160">
        <v>15400</v>
      </c>
      <c r="F160" t="s">
        <v>150</v>
      </c>
      <c r="G160">
        <v>16</v>
      </c>
      <c r="H160">
        <v>7</v>
      </c>
      <c r="I160">
        <v>5</v>
      </c>
      <c r="J160">
        <v>2.5</v>
      </c>
    </row>
    <row r="161" spans="1:10" x14ac:dyDescent="0.25">
      <c r="A161" t="s">
        <v>232</v>
      </c>
      <c r="B161">
        <v>3</v>
      </c>
      <c r="C161" t="s">
        <v>56</v>
      </c>
      <c r="D161" t="s">
        <v>313</v>
      </c>
      <c r="E161">
        <v>15400</v>
      </c>
      <c r="F161" t="s">
        <v>150</v>
      </c>
      <c r="G161">
        <v>16</v>
      </c>
      <c r="H161">
        <v>7</v>
      </c>
      <c r="I161">
        <v>5</v>
      </c>
      <c r="J161">
        <v>2.5</v>
      </c>
    </row>
    <row r="162" spans="1:10" x14ac:dyDescent="0.25">
      <c r="A162" t="s">
        <v>232</v>
      </c>
      <c r="B162">
        <v>3</v>
      </c>
      <c r="C162" t="s">
        <v>56</v>
      </c>
      <c r="D162" t="s">
        <v>314</v>
      </c>
      <c r="E162">
        <v>15400</v>
      </c>
      <c r="F162" t="s">
        <v>150</v>
      </c>
      <c r="G162">
        <v>16</v>
      </c>
      <c r="H162">
        <v>7</v>
      </c>
      <c r="I162">
        <v>5</v>
      </c>
      <c r="J162">
        <v>2.5</v>
      </c>
    </row>
    <row r="163" spans="1:10" x14ac:dyDescent="0.25">
      <c r="A163" t="s">
        <v>232</v>
      </c>
      <c r="B163">
        <v>3</v>
      </c>
      <c r="C163" t="s">
        <v>56</v>
      </c>
      <c r="D163" t="s">
        <v>315</v>
      </c>
      <c r="E163">
        <v>15400</v>
      </c>
      <c r="F163" t="s">
        <v>150</v>
      </c>
      <c r="G163">
        <v>16</v>
      </c>
      <c r="H163">
        <v>7</v>
      </c>
      <c r="I163">
        <v>5</v>
      </c>
      <c r="J163">
        <v>2.5</v>
      </c>
    </row>
    <row r="164" spans="1:10" x14ac:dyDescent="0.25">
      <c r="A164" t="s">
        <v>232</v>
      </c>
      <c r="B164">
        <v>3</v>
      </c>
      <c r="C164" t="s">
        <v>64</v>
      </c>
      <c r="D164" t="s">
        <v>316</v>
      </c>
      <c r="E164">
        <v>17500</v>
      </c>
      <c r="F164" t="s">
        <v>150</v>
      </c>
      <c r="G164">
        <v>14</v>
      </c>
      <c r="H164">
        <v>7</v>
      </c>
      <c r="I164">
        <v>5</v>
      </c>
      <c r="J164">
        <v>2.5</v>
      </c>
    </row>
    <row r="165" spans="1:10" x14ac:dyDescent="0.25">
      <c r="A165" t="s">
        <v>232</v>
      </c>
      <c r="B165">
        <v>3</v>
      </c>
      <c r="C165" t="s">
        <v>64</v>
      </c>
      <c r="D165" t="s">
        <v>317</v>
      </c>
      <c r="E165">
        <v>17500</v>
      </c>
      <c r="F165" t="s">
        <v>150</v>
      </c>
      <c r="G165">
        <v>14</v>
      </c>
      <c r="H165">
        <v>7</v>
      </c>
      <c r="I165">
        <v>5</v>
      </c>
      <c r="J165">
        <v>2.5</v>
      </c>
    </row>
    <row r="166" spans="1:10" x14ac:dyDescent="0.25">
      <c r="A166" t="s">
        <v>232</v>
      </c>
      <c r="B166">
        <v>3</v>
      </c>
      <c r="C166" t="s">
        <v>64</v>
      </c>
      <c r="D166" t="s">
        <v>318</v>
      </c>
      <c r="E166">
        <v>17500</v>
      </c>
      <c r="F166" t="s">
        <v>150</v>
      </c>
      <c r="G166">
        <v>14</v>
      </c>
      <c r="H166">
        <v>7</v>
      </c>
      <c r="I166">
        <v>5</v>
      </c>
      <c r="J166">
        <v>2.5</v>
      </c>
    </row>
    <row r="167" spans="1:10" x14ac:dyDescent="0.25">
      <c r="A167" t="s">
        <v>232</v>
      </c>
      <c r="B167">
        <v>3</v>
      </c>
      <c r="C167" t="s">
        <v>64</v>
      </c>
      <c r="D167" t="s">
        <v>319</v>
      </c>
      <c r="E167">
        <v>17500</v>
      </c>
      <c r="F167" t="s">
        <v>150</v>
      </c>
      <c r="G167">
        <v>16</v>
      </c>
      <c r="H167">
        <v>7</v>
      </c>
      <c r="I167">
        <v>5</v>
      </c>
      <c r="J167">
        <v>2.5</v>
      </c>
    </row>
    <row r="168" spans="1:10" x14ac:dyDescent="0.25">
      <c r="A168" t="s">
        <v>232</v>
      </c>
      <c r="B168">
        <v>4</v>
      </c>
      <c r="C168" t="s">
        <v>64</v>
      </c>
      <c r="D168" t="s">
        <v>320</v>
      </c>
      <c r="E168">
        <v>17500</v>
      </c>
      <c r="F168" t="s">
        <v>150</v>
      </c>
      <c r="G168">
        <v>16</v>
      </c>
      <c r="H168">
        <v>7</v>
      </c>
      <c r="I168">
        <v>5</v>
      </c>
      <c r="J168">
        <v>2.5</v>
      </c>
    </row>
    <row r="169" spans="1:10" x14ac:dyDescent="0.25">
      <c r="A169" t="s">
        <v>232</v>
      </c>
      <c r="B169">
        <v>3</v>
      </c>
      <c r="C169" t="s">
        <v>64</v>
      </c>
      <c r="D169" t="s">
        <v>321</v>
      </c>
      <c r="E169">
        <v>17500</v>
      </c>
      <c r="F169" t="s">
        <v>150</v>
      </c>
      <c r="G169">
        <v>16</v>
      </c>
      <c r="H169">
        <v>7</v>
      </c>
      <c r="I169">
        <v>5</v>
      </c>
      <c r="J169">
        <v>2.5</v>
      </c>
    </row>
    <row r="170" spans="1:10" x14ac:dyDescent="0.25">
      <c r="A170" t="s">
        <v>232</v>
      </c>
      <c r="B170">
        <v>3</v>
      </c>
      <c r="C170" t="s">
        <v>64</v>
      </c>
      <c r="D170" t="s">
        <v>322</v>
      </c>
      <c r="E170">
        <v>17500</v>
      </c>
      <c r="F170" t="s">
        <v>150</v>
      </c>
      <c r="G170">
        <v>16</v>
      </c>
      <c r="H170">
        <v>7</v>
      </c>
      <c r="I170">
        <v>5</v>
      </c>
      <c r="J170">
        <v>2.5</v>
      </c>
    </row>
    <row r="171" spans="1:10" x14ac:dyDescent="0.25">
      <c r="A171" t="s">
        <v>232</v>
      </c>
      <c r="B171">
        <v>3</v>
      </c>
      <c r="C171" t="s">
        <v>62</v>
      </c>
      <c r="D171" t="s">
        <v>323</v>
      </c>
      <c r="E171">
        <v>17500</v>
      </c>
      <c r="F171" t="s">
        <v>150</v>
      </c>
      <c r="G171">
        <v>14</v>
      </c>
      <c r="H171">
        <v>7</v>
      </c>
      <c r="I171">
        <v>5</v>
      </c>
      <c r="J171">
        <v>2.5</v>
      </c>
    </row>
    <row r="172" spans="1:10" x14ac:dyDescent="0.25">
      <c r="A172" t="s">
        <v>232</v>
      </c>
      <c r="B172">
        <v>4</v>
      </c>
      <c r="C172" t="s">
        <v>62</v>
      </c>
      <c r="D172" t="s">
        <v>324</v>
      </c>
      <c r="E172">
        <v>17500</v>
      </c>
      <c r="F172" t="s">
        <v>150</v>
      </c>
      <c r="G172">
        <v>14</v>
      </c>
      <c r="H172">
        <v>7</v>
      </c>
      <c r="I172">
        <v>5</v>
      </c>
      <c r="J172">
        <v>2.5</v>
      </c>
    </row>
    <row r="173" spans="1:10" x14ac:dyDescent="0.25">
      <c r="A173" t="s">
        <v>232</v>
      </c>
      <c r="B173">
        <v>4</v>
      </c>
      <c r="C173" t="s">
        <v>62</v>
      </c>
      <c r="D173" t="s">
        <v>325</v>
      </c>
      <c r="E173">
        <v>17500</v>
      </c>
      <c r="F173" t="s">
        <v>150</v>
      </c>
      <c r="G173">
        <v>14</v>
      </c>
      <c r="H173">
        <v>7</v>
      </c>
      <c r="I173">
        <v>5</v>
      </c>
      <c r="J173">
        <v>2.5</v>
      </c>
    </row>
    <row r="174" spans="1:10" x14ac:dyDescent="0.25">
      <c r="A174" t="s">
        <v>232</v>
      </c>
      <c r="B174">
        <v>4</v>
      </c>
      <c r="C174" t="s">
        <v>62</v>
      </c>
      <c r="D174" t="s">
        <v>326</v>
      </c>
      <c r="E174">
        <v>17500</v>
      </c>
      <c r="F174" t="s">
        <v>150</v>
      </c>
      <c r="G174">
        <v>14</v>
      </c>
      <c r="H174">
        <v>7</v>
      </c>
      <c r="I174">
        <v>5</v>
      </c>
      <c r="J174">
        <v>2.5</v>
      </c>
    </row>
    <row r="175" spans="1:10" x14ac:dyDescent="0.25">
      <c r="A175" t="s">
        <v>232</v>
      </c>
      <c r="B175">
        <v>3</v>
      </c>
      <c r="C175" t="s">
        <v>62</v>
      </c>
      <c r="D175" t="s">
        <v>327</v>
      </c>
      <c r="E175">
        <v>17500</v>
      </c>
      <c r="F175" t="s">
        <v>150</v>
      </c>
      <c r="G175">
        <v>14</v>
      </c>
      <c r="H175">
        <v>7</v>
      </c>
      <c r="I175">
        <v>5</v>
      </c>
      <c r="J175">
        <v>2.5</v>
      </c>
    </row>
    <row r="176" spans="1:10" x14ac:dyDescent="0.25">
      <c r="A176" t="s">
        <v>232</v>
      </c>
      <c r="B176">
        <v>2</v>
      </c>
      <c r="C176" t="s">
        <v>62</v>
      </c>
      <c r="D176" t="s">
        <v>328</v>
      </c>
      <c r="E176">
        <v>17500</v>
      </c>
      <c r="F176" t="s">
        <v>150</v>
      </c>
      <c r="G176">
        <v>14</v>
      </c>
      <c r="H176">
        <v>7</v>
      </c>
      <c r="I176">
        <v>5</v>
      </c>
      <c r="J176">
        <v>2.5</v>
      </c>
    </row>
    <row r="177" spans="1:10" x14ac:dyDescent="0.25">
      <c r="A177" t="s">
        <v>232</v>
      </c>
      <c r="B177">
        <v>3</v>
      </c>
      <c r="C177" t="s">
        <v>62</v>
      </c>
      <c r="D177" t="s">
        <v>329</v>
      </c>
      <c r="E177">
        <v>17500</v>
      </c>
      <c r="F177" t="s">
        <v>150</v>
      </c>
      <c r="G177">
        <v>16</v>
      </c>
      <c r="H177">
        <v>7</v>
      </c>
      <c r="I177">
        <v>5</v>
      </c>
      <c r="J177">
        <v>2.5</v>
      </c>
    </row>
    <row r="178" spans="1:10" x14ac:dyDescent="0.25">
      <c r="A178" t="s">
        <v>232</v>
      </c>
      <c r="B178">
        <v>4</v>
      </c>
      <c r="C178" t="s">
        <v>62</v>
      </c>
      <c r="D178" t="s">
        <v>330</v>
      </c>
      <c r="E178">
        <v>17500</v>
      </c>
      <c r="F178" t="s">
        <v>150</v>
      </c>
      <c r="G178">
        <v>16</v>
      </c>
      <c r="H178">
        <v>7</v>
      </c>
      <c r="I178">
        <v>5</v>
      </c>
      <c r="J178">
        <v>2.5</v>
      </c>
    </row>
    <row r="179" spans="1:10" x14ac:dyDescent="0.25">
      <c r="A179" t="s">
        <v>232</v>
      </c>
      <c r="B179">
        <v>4</v>
      </c>
      <c r="C179" t="s">
        <v>62</v>
      </c>
      <c r="D179" t="s">
        <v>331</v>
      </c>
      <c r="E179">
        <v>17500</v>
      </c>
      <c r="F179" t="s">
        <v>150</v>
      </c>
      <c r="G179">
        <v>16</v>
      </c>
      <c r="H179">
        <v>7</v>
      </c>
      <c r="I179">
        <v>5</v>
      </c>
      <c r="J179">
        <v>2.5</v>
      </c>
    </row>
    <row r="180" spans="1:10" x14ac:dyDescent="0.25">
      <c r="A180" t="s">
        <v>232</v>
      </c>
      <c r="B180">
        <v>4</v>
      </c>
      <c r="C180" t="s">
        <v>62</v>
      </c>
      <c r="D180" t="s">
        <v>332</v>
      </c>
      <c r="E180">
        <v>17500</v>
      </c>
      <c r="F180" t="s">
        <v>150</v>
      </c>
      <c r="G180">
        <v>16</v>
      </c>
      <c r="H180">
        <v>7</v>
      </c>
      <c r="I180">
        <v>5</v>
      </c>
      <c r="J180">
        <v>2.5</v>
      </c>
    </row>
    <row r="181" spans="1:10" x14ac:dyDescent="0.25">
      <c r="A181" t="s">
        <v>232</v>
      </c>
      <c r="B181">
        <v>2</v>
      </c>
      <c r="C181" t="s">
        <v>62</v>
      </c>
      <c r="D181" t="s">
        <v>333</v>
      </c>
      <c r="E181">
        <v>17500</v>
      </c>
      <c r="F181" t="s">
        <v>150</v>
      </c>
      <c r="G181">
        <v>16</v>
      </c>
      <c r="H181">
        <v>7</v>
      </c>
      <c r="I181">
        <v>5</v>
      </c>
      <c r="J181">
        <v>2.5</v>
      </c>
    </row>
    <row r="182" spans="1:10" x14ac:dyDescent="0.25">
      <c r="A182" t="s">
        <v>232</v>
      </c>
      <c r="B182">
        <v>1</v>
      </c>
      <c r="C182" t="s">
        <v>62</v>
      </c>
      <c r="D182" t="s">
        <v>334</v>
      </c>
      <c r="E182">
        <v>17500</v>
      </c>
      <c r="F182" t="s">
        <v>150</v>
      </c>
      <c r="G182">
        <v>16</v>
      </c>
      <c r="H182">
        <v>7</v>
      </c>
      <c r="I182">
        <v>5</v>
      </c>
      <c r="J182">
        <v>2.5</v>
      </c>
    </row>
    <row r="183" spans="1:10" x14ac:dyDescent="0.25">
      <c r="A183" t="s">
        <v>232</v>
      </c>
      <c r="B183">
        <v>3</v>
      </c>
      <c r="C183" t="s">
        <v>335</v>
      </c>
      <c r="D183" t="s">
        <v>336</v>
      </c>
      <c r="E183">
        <v>17500</v>
      </c>
      <c r="F183" t="s">
        <v>150</v>
      </c>
      <c r="G183">
        <v>14</v>
      </c>
      <c r="H183">
        <v>7</v>
      </c>
      <c r="I183">
        <v>5</v>
      </c>
      <c r="J183">
        <v>1.75</v>
      </c>
    </row>
    <row r="184" spans="1:10" x14ac:dyDescent="0.25">
      <c r="A184" t="s">
        <v>232</v>
      </c>
      <c r="B184">
        <v>3</v>
      </c>
      <c r="C184" t="s">
        <v>337</v>
      </c>
      <c r="D184" t="s">
        <v>338</v>
      </c>
      <c r="E184">
        <v>17500</v>
      </c>
      <c r="F184" t="s">
        <v>150</v>
      </c>
      <c r="G184">
        <v>14</v>
      </c>
      <c r="H184">
        <v>7</v>
      </c>
      <c r="I184">
        <v>9</v>
      </c>
      <c r="J184">
        <v>1.75</v>
      </c>
    </row>
    <row r="185" spans="1:10" x14ac:dyDescent="0.25">
      <c r="A185" t="s">
        <v>232</v>
      </c>
      <c r="B185">
        <v>3</v>
      </c>
      <c r="C185" t="s">
        <v>337</v>
      </c>
      <c r="D185" t="s">
        <v>339</v>
      </c>
      <c r="E185">
        <v>17500</v>
      </c>
      <c r="F185" t="s">
        <v>150</v>
      </c>
      <c r="G185">
        <v>14</v>
      </c>
      <c r="H185">
        <v>7</v>
      </c>
      <c r="I185">
        <v>9</v>
      </c>
      <c r="J185">
        <v>1.75</v>
      </c>
    </row>
    <row r="186" spans="1:10" x14ac:dyDescent="0.25">
      <c r="A186" t="s">
        <v>232</v>
      </c>
      <c r="B186">
        <v>3</v>
      </c>
      <c r="C186" t="s">
        <v>63</v>
      </c>
      <c r="D186" t="s">
        <v>340</v>
      </c>
      <c r="E186">
        <v>17500</v>
      </c>
      <c r="F186" t="s">
        <v>150</v>
      </c>
      <c r="G186">
        <v>16</v>
      </c>
      <c r="H186">
        <v>7</v>
      </c>
      <c r="I186">
        <v>5</v>
      </c>
      <c r="J186">
        <v>2.5</v>
      </c>
    </row>
    <row r="187" spans="1:10" x14ac:dyDescent="0.25">
      <c r="A187" t="s">
        <v>232</v>
      </c>
      <c r="B187">
        <v>3</v>
      </c>
      <c r="C187" t="s">
        <v>67</v>
      </c>
      <c r="D187" t="s">
        <v>341</v>
      </c>
      <c r="E187">
        <v>22000</v>
      </c>
      <c r="F187" t="s">
        <v>150</v>
      </c>
      <c r="G187">
        <v>16</v>
      </c>
      <c r="H187">
        <v>7</v>
      </c>
      <c r="I187">
        <v>9</v>
      </c>
      <c r="J187">
        <v>2.5</v>
      </c>
    </row>
    <row r="188" spans="1:10" x14ac:dyDescent="0.25">
      <c r="A188" t="s">
        <v>232</v>
      </c>
      <c r="B188">
        <v>3</v>
      </c>
      <c r="C188" t="s">
        <v>67</v>
      </c>
      <c r="D188" t="s">
        <v>342</v>
      </c>
      <c r="E188">
        <v>22000</v>
      </c>
      <c r="F188" t="s">
        <v>150</v>
      </c>
      <c r="G188">
        <v>16</v>
      </c>
      <c r="H188">
        <v>7</v>
      </c>
      <c r="I188">
        <v>9</v>
      </c>
      <c r="J188">
        <v>2.5</v>
      </c>
    </row>
    <row r="189" spans="1:10" x14ac:dyDescent="0.25">
      <c r="A189" t="s">
        <v>232</v>
      </c>
      <c r="B189">
        <v>2</v>
      </c>
      <c r="C189" t="s">
        <v>67</v>
      </c>
      <c r="D189" t="s">
        <v>343</v>
      </c>
      <c r="E189">
        <v>22000</v>
      </c>
      <c r="F189" t="s">
        <v>150</v>
      </c>
      <c r="G189">
        <v>16</v>
      </c>
      <c r="H189">
        <v>7</v>
      </c>
      <c r="I189">
        <v>9</v>
      </c>
      <c r="J189">
        <v>2.5</v>
      </c>
    </row>
    <row r="190" spans="1:10" x14ac:dyDescent="0.25">
      <c r="A190" t="s">
        <v>232</v>
      </c>
      <c r="B190">
        <v>3</v>
      </c>
      <c r="C190" t="s">
        <v>66</v>
      </c>
      <c r="D190" t="s">
        <v>344</v>
      </c>
      <c r="E190">
        <v>20000</v>
      </c>
      <c r="F190" t="s">
        <v>150</v>
      </c>
      <c r="G190">
        <v>16</v>
      </c>
      <c r="H190">
        <v>7</v>
      </c>
      <c r="I190">
        <v>5</v>
      </c>
      <c r="J190">
        <v>2.5</v>
      </c>
    </row>
    <row r="191" spans="1:10" x14ac:dyDescent="0.25">
      <c r="A191" t="s">
        <v>232</v>
      </c>
      <c r="B191">
        <v>3</v>
      </c>
      <c r="C191" t="s">
        <v>66</v>
      </c>
      <c r="D191" t="s">
        <v>345</v>
      </c>
      <c r="E191">
        <v>20000</v>
      </c>
      <c r="F191" t="s">
        <v>150</v>
      </c>
      <c r="G191">
        <v>16</v>
      </c>
      <c r="H191">
        <v>7</v>
      </c>
      <c r="I191">
        <v>5</v>
      </c>
      <c r="J191">
        <v>2.5</v>
      </c>
    </row>
    <row r="192" spans="1:10" x14ac:dyDescent="0.25">
      <c r="A192" t="s">
        <v>232</v>
      </c>
      <c r="B192">
        <v>2</v>
      </c>
      <c r="C192" t="s">
        <v>66</v>
      </c>
      <c r="D192" t="s">
        <v>346</v>
      </c>
      <c r="E192">
        <v>20000</v>
      </c>
      <c r="F192" t="s">
        <v>150</v>
      </c>
      <c r="G192">
        <v>16</v>
      </c>
      <c r="H192">
        <v>7</v>
      </c>
      <c r="I192">
        <v>5</v>
      </c>
      <c r="J192">
        <v>2.5</v>
      </c>
    </row>
    <row r="193" spans="1:10" x14ac:dyDescent="0.25">
      <c r="A193" t="s">
        <v>232</v>
      </c>
      <c r="B193">
        <v>4</v>
      </c>
      <c r="C193" t="s">
        <v>71</v>
      </c>
      <c r="D193" t="s">
        <v>347</v>
      </c>
      <c r="E193">
        <v>25000</v>
      </c>
      <c r="F193" t="s">
        <v>150</v>
      </c>
      <c r="G193">
        <v>18</v>
      </c>
      <c r="H193">
        <v>8</v>
      </c>
      <c r="I193">
        <v>9</v>
      </c>
      <c r="J193">
        <v>4</v>
      </c>
    </row>
    <row r="194" spans="1:10" x14ac:dyDescent="0.25">
      <c r="A194" t="s">
        <v>232</v>
      </c>
      <c r="B194">
        <v>3</v>
      </c>
      <c r="C194" t="s">
        <v>71</v>
      </c>
      <c r="D194" t="s">
        <v>89</v>
      </c>
      <c r="E194">
        <v>25000</v>
      </c>
      <c r="F194" t="s">
        <v>150</v>
      </c>
      <c r="G194">
        <v>20</v>
      </c>
      <c r="H194">
        <v>7</v>
      </c>
      <c r="I194">
        <v>9</v>
      </c>
      <c r="J194">
        <v>4</v>
      </c>
    </row>
    <row r="195" spans="1:10" x14ac:dyDescent="0.25">
      <c r="A195" t="s">
        <v>232</v>
      </c>
      <c r="B195">
        <v>1</v>
      </c>
      <c r="C195" t="s">
        <v>71</v>
      </c>
      <c r="D195" t="s">
        <v>348</v>
      </c>
      <c r="E195">
        <v>25000</v>
      </c>
      <c r="F195" t="s">
        <v>150</v>
      </c>
      <c r="G195">
        <v>20</v>
      </c>
      <c r="H195">
        <v>7</v>
      </c>
      <c r="I195">
        <v>9</v>
      </c>
      <c r="J195">
        <v>4</v>
      </c>
    </row>
    <row r="196" spans="1:10" x14ac:dyDescent="0.25">
      <c r="A196" t="s">
        <v>232</v>
      </c>
      <c r="B196">
        <v>4</v>
      </c>
      <c r="C196" t="s">
        <v>71</v>
      </c>
      <c r="D196" t="s">
        <v>349</v>
      </c>
      <c r="E196">
        <v>25000</v>
      </c>
      <c r="F196" t="s">
        <v>150</v>
      </c>
      <c r="G196">
        <v>20</v>
      </c>
      <c r="H196">
        <v>8</v>
      </c>
      <c r="I196">
        <v>9</v>
      </c>
      <c r="J196">
        <v>4</v>
      </c>
    </row>
    <row r="197" spans="1:10" x14ac:dyDescent="0.25">
      <c r="A197" t="s">
        <v>232</v>
      </c>
      <c r="B197">
        <v>1</v>
      </c>
      <c r="C197" t="s">
        <v>42</v>
      </c>
      <c r="D197" t="s">
        <v>350</v>
      </c>
      <c r="E197">
        <v>7000</v>
      </c>
      <c r="F197" t="s">
        <v>150</v>
      </c>
      <c r="G197">
        <v>10</v>
      </c>
      <c r="H197">
        <v>5</v>
      </c>
      <c r="I197">
        <v>5</v>
      </c>
      <c r="J197">
        <v>1.75</v>
      </c>
    </row>
    <row r="198" spans="1:10" x14ac:dyDescent="0.25">
      <c r="A198" t="s">
        <v>232</v>
      </c>
      <c r="B198">
        <v>3</v>
      </c>
      <c r="C198" t="s">
        <v>45</v>
      </c>
      <c r="D198" t="s">
        <v>351</v>
      </c>
      <c r="E198">
        <v>9990</v>
      </c>
      <c r="F198" t="s">
        <v>150</v>
      </c>
      <c r="G198">
        <v>10</v>
      </c>
      <c r="H198">
        <v>7</v>
      </c>
      <c r="I198">
        <v>3</v>
      </c>
      <c r="J198">
        <v>2.5</v>
      </c>
    </row>
    <row r="199" spans="1:10" x14ac:dyDescent="0.25">
      <c r="A199" t="s">
        <v>232</v>
      </c>
      <c r="B199">
        <v>1</v>
      </c>
      <c r="C199" t="s">
        <v>45</v>
      </c>
      <c r="D199" t="s">
        <v>352</v>
      </c>
      <c r="E199">
        <v>9990</v>
      </c>
      <c r="F199" t="s">
        <v>150</v>
      </c>
      <c r="G199">
        <v>10</v>
      </c>
      <c r="H199">
        <v>6</v>
      </c>
      <c r="I199">
        <v>3</v>
      </c>
      <c r="J199">
        <v>2.5</v>
      </c>
    </row>
    <row r="200" spans="1:10" x14ac:dyDescent="0.25">
      <c r="A200" t="s">
        <v>232</v>
      </c>
      <c r="B200">
        <v>4</v>
      </c>
      <c r="C200" t="s">
        <v>45</v>
      </c>
      <c r="D200" t="s">
        <v>353</v>
      </c>
      <c r="E200">
        <v>9990</v>
      </c>
      <c r="F200" t="s">
        <v>150</v>
      </c>
      <c r="G200">
        <v>10</v>
      </c>
      <c r="H200">
        <v>6</v>
      </c>
      <c r="I200">
        <v>3</v>
      </c>
      <c r="J200">
        <v>2.5</v>
      </c>
    </row>
    <row r="201" spans="1:10" x14ac:dyDescent="0.25">
      <c r="A201" t="s">
        <v>232</v>
      </c>
      <c r="B201">
        <v>3</v>
      </c>
      <c r="C201" t="s">
        <v>45</v>
      </c>
      <c r="D201" t="s">
        <v>354</v>
      </c>
      <c r="E201">
        <v>9990</v>
      </c>
      <c r="F201" t="s">
        <v>150</v>
      </c>
      <c r="G201">
        <v>12</v>
      </c>
      <c r="H201">
        <v>7</v>
      </c>
      <c r="I201">
        <v>3</v>
      </c>
      <c r="J201">
        <v>2.5</v>
      </c>
    </row>
    <row r="202" spans="1:10" x14ac:dyDescent="0.25">
      <c r="A202" t="s">
        <v>232</v>
      </c>
      <c r="B202">
        <v>1</v>
      </c>
      <c r="C202" t="s">
        <v>45</v>
      </c>
      <c r="D202" t="s">
        <v>355</v>
      </c>
      <c r="E202">
        <v>9990</v>
      </c>
      <c r="F202" t="s">
        <v>150</v>
      </c>
      <c r="G202">
        <v>12</v>
      </c>
      <c r="H202">
        <v>6</v>
      </c>
      <c r="I202">
        <v>3</v>
      </c>
      <c r="J202">
        <v>2.5</v>
      </c>
    </row>
    <row r="203" spans="1:10" x14ac:dyDescent="0.25">
      <c r="A203" t="s">
        <v>356</v>
      </c>
      <c r="B203">
        <v>2</v>
      </c>
      <c r="C203" t="s">
        <v>357</v>
      </c>
      <c r="D203" t="s">
        <v>358</v>
      </c>
      <c r="E203">
        <v>14000</v>
      </c>
      <c r="F203" t="s">
        <v>139</v>
      </c>
      <c r="G203">
        <v>18</v>
      </c>
      <c r="H203">
        <v>7</v>
      </c>
      <c r="I203">
        <v>4</v>
      </c>
      <c r="J203">
        <v>0.75</v>
      </c>
    </row>
    <row r="204" spans="1:10" x14ac:dyDescent="0.25">
      <c r="A204" t="s">
        <v>356</v>
      </c>
      <c r="B204">
        <v>1</v>
      </c>
      <c r="C204" t="s">
        <v>357</v>
      </c>
      <c r="D204" t="s">
        <v>359</v>
      </c>
      <c r="E204">
        <v>14000</v>
      </c>
      <c r="F204" t="s">
        <v>139</v>
      </c>
      <c r="G204">
        <v>20</v>
      </c>
      <c r="H204">
        <v>7</v>
      </c>
      <c r="I204">
        <v>4</v>
      </c>
      <c r="J204">
        <v>0.75</v>
      </c>
    </row>
    <row r="205" spans="1:10" x14ac:dyDescent="0.25">
      <c r="A205" t="s">
        <v>356</v>
      </c>
      <c r="B205">
        <v>1</v>
      </c>
      <c r="C205" t="s">
        <v>357</v>
      </c>
      <c r="D205" t="s">
        <v>360</v>
      </c>
      <c r="E205">
        <v>14000</v>
      </c>
      <c r="F205" t="s">
        <v>139</v>
      </c>
      <c r="G205">
        <v>22</v>
      </c>
      <c r="H205">
        <v>7</v>
      </c>
      <c r="I205">
        <v>4</v>
      </c>
      <c r="J205">
        <v>0.75</v>
      </c>
    </row>
    <row r="206" spans="1:10" x14ac:dyDescent="0.25">
      <c r="A206" t="s">
        <v>356</v>
      </c>
      <c r="B206">
        <v>3</v>
      </c>
      <c r="C206" t="s">
        <v>361</v>
      </c>
      <c r="D206" t="s">
        <v>362</v>
      </c>
      <c r="E206">
        <v>15400</v>
      </c>
      <c r="F206" t="s">
        <v>139</v>
      </c>
      <c r="G206">
        <v>16</v>
      </c>
      <c r="H206">
        <v>7</v>
      </c>
      <c r="I206">
        <v>7</v>
      </c>
      <c r="J206">
        <v>1</v>
      </c>
    </row>
    <row r="207" spans="1:10" x14ac:dyDescent="0.25">
      <c r="A207" t="s">
        <v>356</v>
      </c>
      <c r="B207">
        <v>3</v>
      </c>
      <c r="C207" t="s">
        <v>361</v>
      </c>
      <c r="D207" t="s">
        <v>363</v>
      </c>
      <c r="E207">
        <v>15400</v>
      </c>
      <c r="F207" t="s">
        <v>139</v>
      </c>
      <c r="G207">
        <v>16</v>
      </c>
      <c r="H207">
        <v>7</v>
      </c>
      <c r="I207">
        <v>7</v>
      </c>
      <c r="J207">
        <v>1</v>
      </c>
    </row>
    <row r="208" spans="1:10" x14ac:dyDescent="0.25">
      <c r="A208" t="s">
        <v>356</v>
      </c>
      <c r="B208">
        <v>3</v>
      </c>
      <c r="C208" t="s">
        <v>361</v>
      </c>
      <c r="D208" t="s">
        <v>364</v>
      </c>
      <c r="E208">
        <v>15400</v>
      </c>
      <c r="F208" t="s">
        <v>139</v>
      </c>
      <c r="G208">
        <v>16</v>
      </c>
      <c r="H208">
        <v>7</v>
      </c>
      <c r="I208">
        <v>7</v>
      </c>
      <c r="J208">
        <v>1</v>
      </c>
    </row>
    <row r="209" spans="1:10" x14ac:dyDescent="0.25">
      <c r="A209" t="s">
        <v>356</v>
      </c>
      <c r="B209">
        <v>3</v>
      </c>
      <c r="C209" t="s">
        <v>361</v>
      </c>
      <c r="D209" t="s">
        <v>365</v>
      </c>
      <c r="E209">
        <v>15400</v>
      </c>
      <c r="F209" t="s">
        <v>139</v>
      </c>
      <c r="G209">
        <v>18</v>
      </c>
      <c r="H209">
        <v>7</v>
      </c>
      <c r="I209">
        <v>7</v>
      </c>
      <c r="J209">
        <v>1</v>
      </c>
    </row>
    <row r="210" spans="1:10" x14ac:dyDescent="0.25">
      <c r="A210" t="s">
        <v>356</v>
      </c>
      <c r="B210">
        <v>3</v>
      </c>
      <c r="C210" t="s">
        <v>361</v>
      </c>
      <c r="D210" t="s">
        <v>366</v>
      </c>
      <c r="E210">
        <v>15400</v>
      </c>
      <c r="F210" t="s">
        <v>139</v>
      </c>
      <c r="G210">
        <v>18</v>
      </c>
      <c r="H210">
        <v>7</v>
      </c>
      <c r="I210">
        <v>7</v>
      </c>
      <c r="J210">
        <v>1</v>
      </c>
    </row>
    <row r="211" spans="1:10" x14ac:dyDescent="0.25">
      <c r="A211" t="s">
        <v>356</v>
      </c>
      <c r="B211">
        <v>1</v>
      </c>
      <c r="C211" t="s">
        <v>361</v>
      </c>
      <c r="D211" t="s">
        <v>367</v>
      </c>
      <c r="E211">
        <v>15400</v>
      </c>
      <c r="F211" t="s">
        <v>139</v>
      </c>
      <c r="G211">
        <v>18</v>
      </c>
      <c r="H211">
        <v>7</v>
      </c>
      <c r="I211">
        <v>7</v>
      </c>
      <c r="J211">
        <v>1</v>
      </c>
    </row>
    <row r="212" spans="1:10" x14ac:dyDescent="0.25">
      <c r="A212" t="s">
        <v>356</v>
      </c>
      <c r="B212">
        <v>3</v>
      </c>
      <c r="C212" t="s">
        <v>361</v>
      </c>
      <c r="D212" t="s">
        <v>368</v>
      </c>
      <c r="E212">
        <v>15400</v>
      </c>
      <c r="F212" t="s">
        <v>139</v>
      </c>
      <c r="G212">
        <v>20</v>
      </c>
      <c r="H212">
        <v>7</v>
      </c>
      <c r="I212">
        <v>7</v>
      </c>
      <c r="J212">
        <v>1</v>
      </c>
    </row>
    <row r="213" spans="1:10" x14ac:dyDescent="0.25">
      <c r="A213" t="s">
        <v>356</v>
      </c>
      <c r="B213">
        <v>3</v>
      </c>
      <c r="C213" t="s">
        <v>361</v>
      </c>
      <c r="D213" t="s">
        <v>369</v>
      </c>
      <c r="E213">
        <v>15400</v>
      </c>
      <c r="F213" t="s">
        <v>139</v>
      </c>
      <c r="G213">
        <v>20</v>
      </c>
      <c r="H213">
        <v>7</v>
      </c>
      <c r="I213">
        <v>7</v>
      </c>
      <c r="J213">
        <v>1</v>
      </c>
    </row>
    <row r="214" spans="1:10" x14ac:dyDescent="0.25">
      <c r="A214" t="s">
        <v>356</v>
      </c>
      <c r="B214">
        <v>1</v>
      </c>
      <c r="C214" t="s">
        <v>361</v>
      </c>
      <c r="D214" t="s">
        <v>370</v>
      </c>
      <c r="E214">
        <v>15400</v>
      </c>
      <c r="F214" t="s">
        <v>139</v>
      </c>
      <c r="G214">
        <v>20</v>
      </c>
      <c r="H214">
        <v>7</v>
      </c>
      <c r="I214">
        <v>7</v>
      </c>
      <c r="J214">
        <v>1</v>
      </c>
    </row>
    <row r="215" spans="1:10" x14ac:dyDescent="0.25">
      <c r="A215" t="s">
        <v>356</v>
      </c>
      <c r="B215">
        <v>3</v>
      </c>
      <c r="C215" t="s">
        <v>361</v>
      </c>
      <c r="D215" t="s">
        <v>371</v>
      </c>
      <c r="E215">
        <v>15400</v>
      </c>
      <c r="F215" t="s">
        <v>139</v>
      </c>
      <c r="G215">
        <v>22</v>
      </c>
      <c r="H215">
        <v>7</v>
      </c>
      <c r="I215">
        <v>7</v>
      </c>
      <c r="J215">
        <v>1</v>
      </c>
    </row>
    <row r="216" spans="1:10" x14ac:dyDescent="0.25">
      <c r="A216" t="s">
        <v>356</v>
      </c>
      <c r="B216">
        <v>3</v>
      </c>
      <c r="C216" t="s">
        <v>361</v>
      </c>
      <c r="D216" t="s">
        <v>372</v>
      </c>
      <c r="E216">
        <v>15400</v>
      </c>
      <c r="F216" t="s">
        <v>139</v>
      </c>
      <c r="G216">
        <v>22</v>
      </c>
      <c r="H216">
        <v>7</v>
      </c>
      <c r="I216">
        <v>7</v>
      </c>
      <c r="J216">
        <v>1</v>
      </c>
    </row>
    <row r="217" spans="1:10" x14ac:dyDescent="0.25">
      <c r="A217" t="s">
        <v>356</v>
      </c>
      <c r="B217">
        <v>1</v>
      </c>
      <c r="C217" t="s">
        <v>361</v>
      </c>
      <c r="D217" t="s">
        <v>373</v>
      </c>
      <c r="E217">
        <v>15400</v>
      </c>
      <c r="F217" t="s">
        <v>139</v>
      </c>
      <c r="G217">
        <v>22</v>
      </c>
      <c r="H217">
        <v>7</v>
      </c>
      <c r="I217">
        <v>7</v>
      </c>
      <c r="J217">
        <v>1</v>
      </c>
    </row>
    <row r="218" spans="1:10" x14ac:dyDescent="0.25">
      <c r="A218" t="s">
        <v>356</v>
      </c>
      <c r="B218">
        <v>3</v>
      </c>
      <c r="C218" t="s">
        <v>361</v>
      </c>
      <c r="D218" t="s">
        <v>374</v>
      </c>
      <c r="E218">
        <v>15400</v>
      </c>
      <c r="F218" t="s">
        <v>139</v>
      </c>
      <c r="G218">
        <v>24</v>
      </c>
      <c r="H218">
        <v>7</v>
      </c>
      <c r="I218">
        <v>7</v>
      </c>
      <c r="J218">
        <v>1</v>
      </c>
    </row>
    <row r="219" spans="1:10" x14ac:dyDescent="0.25">
      <c r="A219" t="s">
        <v>356</v>
      </c>
      <c r="B219">
        <v>3</v>
      </c>
      <c r="C219" t="s">
        <v>361</v>
      </c>
      <c r="D219" t="s">
        <v>375</v>
      </c>
      <c r="E219">
        <v>15400</v>
      </c>
      <c r="F219" t="s">
        <v>139</v>
      </c>
      <c r="G219">
        <v>24</v>
      </c>
      <c r="H219">
        <v>7</v>
      </c>
      <c r="I219">
        <v>7</v>
      </c>
      <c r="J219">
        <v>1</v>
      </c>
    </row>
    <row r="220" spans="1:10" x14ac:dyDescent="0.25">
      <c r="A220" t="s">
        <v>356</v>
      </c>
      <c r="B220">
        <v>2</v>
      </c>
      <c r="C220" t="s">
        <v>361</v>
      </c>
      <c r="D220" t="s">
        <v>376</v>
      </c>
      <c r="E220">
        <v>15400</v>
      </c>
      <c r="F220" t="s">
        <v>139</v>
      </c>
      <c r="G220">
        <v>24</v>
      </c>
      <c r="H220">
        <v>7</v>
      </c>
      <c r="I220">
        <v>7</v>
      </c>
      <c r="J220">
        <v>1</v>
      </c>
    </row>
    <row r="221" spans="1:10" x14ac:dyDescent="0.25">
      <c r="A221" t="s">
        <v>356</v>
      </c>
      <c r="B221">
        <v>3</v>
      </c>
      <c r="C221" t="s">
        <v>377</v>
      </c>
      <c r="D221" t="s">
        <v>378</v>
      </c>
      <c r="E221">
        <v>15900</v>
      </c>
      <c r="F221" t="s">
        <v>139</v>
      </c>
      <c r="G221">
        <v>20</v>
      </c>
      <c r="H221">
        <v>7</v>
      </c>
      <c r="I221">
        <v>9</v>
      </c>
      <c r="J221">
        <v>1.25</v>
      </c>
    </row>
    <row r="222" spans="1:10" x14ac:dyDescent="0.25">
      <c r="A222" t="s">
        <v>356</v>
      </c>
      <c r="B222">
        <v>3</v>
      </c>
      <c r="C222" t="s">
        <v>377</v>
      </c>
      <c r="D222" t="s">
        <v>379</v>
      </c>
      <c r="E222">
        <v>15900</v>
      </c>
      <c r="F222" t="s">
        <v>139</v>
      </c>
      <c r="G222">
        <v>22</v>
      </c>
      <c r="H222">
        <v>7</v>
      </c>
      <c r="I222">
        <v>9</v>
      </c>
      <c r="J222">
        <v>1.25</v>
      </c>
    </row>
    <row r="223" spans="1:10" x14ac:dyDescent="0.25">
      <c r="A223" t="s">
        <v>356</v>
      </c>
      <c r="B223">
        <v>3</v>
      </c>
      <c r="C223" t="s">
        <v>377</v>
      </c>
      <c r="D223" t="s">
        <v>380</v>
      </c>
      <c r="E223">
        <v>15900</v>
      </c>
      <c r="F223" t="s">
        <v>139</v>
      </c>
      <c r="G223">
        <v>24</v>
      </c>
      <c r="H223">
        <v>7</v>
      </c>
      <c r="I223">
        <v>9</v>
      </c>
      <c r="J223">
        <v>1.25</v>
      </c>
    </row>
    <row r="224" spans="1:10" x14ac:dyDescent="0.25">
      <c r="A224" t="s">
        <v>356</v>
      </c>
      <c r="B224">
        <v>4</v>
      </c>
      <c r="C224" t="s">
        <v>381</v>
      </c>
      <c r="D224" t="s">
        <v>382</v>
      </c>
      <c r="E224">
        <v>14000</v>
      </c>
      <c r="F224" t="s">
        <v>139</v>
      </c>
      <c r="G224">
        <v>16</v>
      </c>
      <c r="H224">
        <v>7</v>
      </c>
      <c r="I224">
        <v>4</v>
      </c>
      <c r="J224">
        <v>0.75</v>
      </c>
    </row>
    <row r="225" spans="1:10" x14ac:dyDescent="0.25">
      <c r="A225" t="s">
        <v>356</v>
      </c>
      <c r="B225">
        <v>4</v>
      </c>
      <c r="C225" t="s">
        <v>381</v>
      </c>
      <c r="D225" t="s">
        <v>383</v>
      </c>
      <c r="E225">
        <v>14000</v>
      </c>
      <c r="F225" t="s">
        <v>139</v>
      </c>
      <c r="G225">
        <v>16</v>
      </c>
      <c r="H225">
        <v>7</v>
      </c>
      <c r="I225">
        <v>4</v>
      </c>
      <c r="J225">
        <v>0.75</v>
      </c>
    </row>
    <row r="226" spans="1:10" x14ac:dyDescent="0.25">
      <c r="A226" t="s">
        <v>356</v>
      </c>
      <c r="B226">
        <v>4</v>
      </c>
      <c r="C226" t="s">
        <v>381</v>
      </c>
      <c r="D226" t="s">
        <v>384</v>
      </c>
      <c r="E226">
        <v>14000</v>
      </c>
      <c r="F226" t="s">
        <v>139</v>
      </c>
      <c r="G226">
        <v>16</v>
      </c>
      <c r="H226">
        <v>7</v>
      </c>
      <c r="I226">
        <v>4</v>
      </c>
      <c r="J226">
        <v>0.75</v>
      </c>
    </row>
    <row r="227" spans="1:10" x14ac:dyDescent="0.25">
      <c r="A227" t="s">
        <v>356</v>
      </c>
      <c r="B227">
        <v>4</v>
      </c>
      <c r="C227" t="s">
        <v>381</v>
      </c>
      <c r="D227" t="s">
        <v>385</v>
      </c>
      <c r="E227">
        <v>14000</v>
      </c>
      <c r="F227" t="s">
        <v>139</v>
      </c>
      <c r="G227">
        <v>16</v>
      </c>
      <c r="H227">
        <v>7</v>
      </c>
      <c r="I227">
        <v>4</v>
      </c>
      <c r="J227">
        <v>0.75</v>
      </c>
    </row>
    <row r="228" spans="1:10" x14ac:dyDescent="0.25">
      <c r="A228" t="s">
        <v>356</v>
      </c>
      <c r="B228">
        <v>4</v>
      </c>
      <c r="C228" t="s">
        <v>381</v>
      </c>
      <c r="D228" t="s">
        <v>386</v>
      </c>
      <c r="E228">
        <v>14000</v>
      </c>
      <c r="F228" t="s">
        <v>139</v>
      </c>
      <c r="G228">
        <v>16</v>
      </c>
      <c r="H228">
        <v>7</v>
      </c>
      <c r="I228">
        <v>4</v>
      </c>
      <c r="J228">
        <v>0.75</v>
      </c>
    </row>
    <row r="229" spans="1:10" x14ac:dyDescent="0.25">
      <c r="A229" t="s">
        <v>356</v>
      </c>
      <c r="B229">
        <v>4</v>
      </c>
      <c r="C229" t="s">
        <v>381</v>
      </c>
      <c r="D229" t="s">
        <v>387</v>
      </c>
      <c r="E229">
        <v>14000</v>
      </c>
      <c r="F229" t="s">
        <v>139</v>
      </c>
      <c r="G229">
        <v>18</v>
      </c>
      <c r="H229">
        <v>7</v>
      </c>
      <c r="I229">
        <v>4</v>
      </c>
      <c r="J229">
        <v>0.75</v>
      </c>
    </row>
    <row r="230" spans="1:10" x14ac:dyDescent="0.25">
      <c r="A230" t="s">
        <v>356</v>
      </c>
      <c r="B230">
        <v>4</v>
      </c>
      <c r="C230" t="s">
        <v>381</v>
      </c>
      <c r="D230" t="s">
        <v>388</v>
      </c>
      <c r="E230">
        <v>14000</v>
      </c>
      <c r="F230" t="s">
        <v>139</v>
      </c>
      <c r="G230">
        <v>18</v>
      </c>
      <c r="H230">
        <v>7</v>
      </c>
      <c r="I230">
        <v>4</v>
      </c>
      <c r="J230">
        <v>0.75</v>
      </c>
    </row>
    <row r="231" spans="1:10" x14ac:dyDescent="0.25">
      <c r="A231" t="s">
        <v>356</v>
      </c>
      <c r="B231">
        <v>4</v>
      </c>
      <c r="C231" t="s">
        <v>381</v>
      </c>
      <c r="D231" t="s">
        <v>389</v>
      </c>
      <c r="E231">
        <v>14000</v>
      </c>
      <c r="F231" t="s">
        <v>139</v>
      </c>
      <c r="G231">
        <v>18</v>
      </c>
      <c r="H231">
        <v>7</v>
      </c>
      <c r="I231">
        <v>4</v>
      </c>
      <c r="J231">
        <v>0.75</v>
      </c>
    </row>
    <row r="232" spans="1:10" x14ac:dyDescent="0.25">
      <c r="A232" t="s">
        <v>356</v>
      </c>
      <c r="B232">
        <v>4</v>
      </c>
      <c r="C232" t="s">
        <v>381</v>
      </c>
      <c r="D232" t="s">
        <v>390</v>
      </c>
      <c r="E232">
        <v>14000</v>
      </c>
      <c r="F232" t="s">
        <v>139</v>
      </c>
      <c r="G232">
        <v>18</v>
      </c>
      <c r="H232">
        <v>7</v>
      </c>
      <c r="I232">
        <v>4</v>
      </c>
      <c r="J232">
        <v>0.75</v>
      </c>
    </row>
    <row r="233" spans="1:10" x14ac:dyDescent="0.25">
      <c r="A233" t="s">
        <v>356</v>
      </c>
      <c r="B233">
        <v>4</v>
      </c>
      <c r="C233" t="s">
        <v>381</v>
      </c>
      <c r="D233" t="s">
        <v>391</v>
      </c>
      <c r="E233">
        <v>14000</v>
      </c>
      <c r="F233" t="s">
        <v>139</v>
      </c>
      <c r="G233">
        <v>18</v>
      </c>
      <c r="H233">
        <v>7</v>
      </c>
      <c r="I233">
        <v>4</v>
      </c>
      <c r="J233">
        <v>0.75</v>
      </c>
    </row>
    <row r="234" spans="1:10" x14ac:dyDescent="0.25">
      <c r="A234" t="s">
        <v>356</v>
      </c>
      <c r="B234">
        <v>4</v>
      </c>
      <c r="C234" t="s">
        <v>381</v>
      </c>
      <c r="D234" t="s">
        <v>392</v>
      </c>
      <c r="E234">
        <v>14000</v>
      </c>
      <c r="F234" t="s">
        <v>139</v>
      </c>
      <c r="G234">
        <v>20</v>
      </c>
      <c r="H234">
        <v>7</v>
      </c>
      <c r="I234">
        <v>4</v>
      </c>
      <c r="J234">
        <v>0.75</v>
      </c>
    </row>
    <row r="235" spans="1:10" x14ac:dyDescent="0.25">
      <c r="A235" t="s">
        <v>356</v>
      </c>
      <c r="B235">
        <v>4</v>
      </c>
      <c r="C235" t="s">
        <v>381</v>
      </c>
      <c r="D235" t="s">
        <v>393</v>
      </c>
      <c r="E235">
        <v>14000</v>
      </c>
      <c r="F235" t="s">
        <v>139</v>
      </c>
      <c r="G235">
        <v>20</v>
      </c>
      <c r="H235">
        <v>7</v>
      </c>
      <c r="I235">
        <v>4</v>
      </c>
      <c r="J235">
        <v>0.75</v>
      </c>
    </row>
    <row r="236" spans="1:10" x14ac:dyDescent="0.25">
      <c r="A236" t="s">
        <v>356</v>
      </c>
      <c r="B236">
        <v>4</v>
      </c>
      <c r="C236" t="s">
        <v>381</v>
      </c>
      <c r="D236" t="s">
        <v>394</v>
      </c>
      <c r="E236">
        <v>14000</v>
      </c>
      <c r="F236" t="s">
        <v>139</v>
      </c>
      <c r="G236">
        <v>20</v>
      </c>
      <c r="H236">
        <v>7</v>
      </c>
      <c r="I236">
        <v>4</v>
      </c>
      <c r="J236">
        <v>0.75</v>
      </c>
    </row>
    <row r="237" spans="1:10" x14ac:dyDescent="0.25">
      <c r="A237" t="s">
        <v>356</v>
      </c>
      <c r="B237">
        <v>4</v>
      </c>
      <c r="C237" t="s">
        <v>381</v>
      </c>
      <c r="D237" t="s">
        <v>395</v>
      </c>
      <c r="E237">
        <v>14000</v>
      </c>
      <c r="F237" t="s">
        <v>139</v>
      </c>
      <c r="G237">
        <v>20</v>
      </c>
      <c r="H237">
        <v>7</v>
      </c>
      <c r="I237">
        <v>4</v>
      </c>
      <c r="J237">
        <v>0.75</v>
      </c>
    </row>
    <row r="238" spans="1:10" x14ac:dyDescent="0.25">
      <c r="A238" t="s">
        <v>356</v>
      </c>
      <c r="B238">
        <v>4</v>
      </c>
      <c r="C238" t="s">
        <v>381</v>
      </c>
      <c r="D238" t="s">
        <v>396</v>
      </c>
      <c r="E238">
        <v>14000</v>
      </c>
      <c r="F238" t="s">
        <v>139</v>
      </c>
      <c r="G238">
        <v>20</v>
      </c>
      <c r="H238">
        <v>7</v>
      </c>
      <c r="I238">
        <v>4</v>
      </c>
      <c r="J238">
        <v>0.75</v>
      </c>
    </row>
    <row r="239" spans="1:10" x14ac:dyDescent="0.25">
      <c r="A239" t="s">
        <v>356</v>
      </c>
      <c r="B239">
        <v>4</v>
      </c>
      <c r="C239" t="s">
        <v>381</v>
      </c>
      <c r="D239" t="s">
        <v>397</v>
      </c>
      <c r="E239">
        <v>14000</v>
      </c>
      <c r="F239" t="s">
        <v>139</v>
      </c>
      <c r="G239">
        <v>20</v>
      </c>
      <c r="H239">
        <v>7</v>
      </c>
      <c r="I239">
        <v>4</v>
      </c>
      <c r="J239">
        <v>0.75</v>
      </c>
    </row>
    <row r="240" spans="1:10" x14ac:dyDescent="0.25">
      <c r="A240" t="s">
        <v>356</v>
      </c>
      <c r="B240">
        <v>4</v>
      </c>
      <c r="C240" t="s">
        <v>381</v>
      </c>
      <c r="D240" t="s">
        <v>398</v>
      </c>
      <c r="E240">
        <v>14000</v>
      </c>
      <c r="F240" t="s">
        <v>139</v>
      </c>
      <c r="G240">
        <v>22</v>
      </c>
      <c r="H240">
        <v>7</v>
      </c>
      <c r="I240">
        <v>4</v>
      </c>
      <c r="J240">
        <v>0.75</v>
      </c>
    </row>
    <row r="241" spans="1:10" x14ac:dyDescent="0.25">
      <c r="A241" t="s">
        <v>356</v>
      </c>
      <c r="B241">
        <v>4</v>
      </c>
      <c r="C241" t="s">
        <v>381</v>
      </c>
      <c r="D241" t="s">
        <v>399</v>
      </c>
      <c r="E241">
        <v>14000</v>
      </c>
      <c r="F241" t="s">
        <v>139</v>
      </c>
      <c r="G241">
        <v>22</v>
      </c>
      <c r="H241">
        <v>7</v>
      </c>
      <c r="I241">
        <v>4</v>
      </c>
      <c r="J241">
        <v>0.75</v>
      </c>
    </row>
    <row r="242" spans="1:10" x14ac:dyDescent="0.25">
      <c r="A242" t="s">
        <v>356</v>
      </c>
      <c r="B242">
        <v>4</v>
      </c>
      <c r="C242" t="s">
        <v>381</v>
      </c>
      <c r="D242" t="s">
        <v>400</v>
      </c>
      <c r="E242">
        <v>14000</v>
      </c>
      <c r="F242" t="s">
        <v>139</v>
      </c>
      <c r="G242">
        <v>22</v>
      </c>
      <c r="H242">
        <v>7</v>
      </c>
      <c r="I242">
        <v>4</v>
      </c>
      <c r="J242">
        <v>0.75</v>
      </c>
    </row>
    <row r="243" spans="1:10" x14ac:dyDescent="0.25">
      <c r="A243" t="s">
        <v>356</v>
      </c>
      <c r="B243">
        <v>4</v>
      </c>
      <c r="C243" t="s">
        <v>381</v>
      </c>
      <c r="D243" t="s">
        <v>401</v>
      </c>
      <c r="E243">
        <v>14000</v>
      </c>
      <c r="F243" t="s">
        <v>139</v>
      </c>
      <c r="G243">
        <v>22</v>
      </c>
      <c r="H243">
        <v>7</v>
      </c>
      <c r="I243">
        <v>4</v>
      </c>
      <c r="J243">
        <v>0.75</v>
      </c>
    </row>
    <row r="244" spans="1:10" x14ac:dyDescent="0.25">
      <c r="A244" t="s">
        <v>356</v>
      </c>
      <c r="B244">
        <v>4</v>
      </c>
      <c r="C244" t="s">
        <v>381</v>
      </c>
      <c r="D244" t="s">
        <v>402</v>
      </c>
      <c r="E244">
        <v>14000</v>
      </c>
      <c r="F244" t="s">
        <v>139</v>
      </c>
      <c r="G244">
        <v>22</v>
      </c>
      <c r="H244">
        <v>7</v>
      </c>
      <c r="I244">
        <v>4</v>
      </c>
      <c r="J244">
        <v>0.75</v>
      </c>
    </row>
    <row r="245" spans="1:10" x14ac:dyDescent="0.25">
      <c r="A245" t="s">
        <v>356</v>
      </c>
      <c r="B245">
        <v>4</v>
      </c>
      <c r="C245" t="s">
        <v>381</v>
      </c>
      <c r="D245" t="s">
        <v>403</v>
      </c>
      <c r="E245">
        <v>14000</v>
      </c>
      <c r="F245" t="s">
        <v>139</v>
      </c>
      <c r="G245">
        <v>22</v>
      </c>
      <c r="H245">
        <v>7</v>
      </c>
      <c r="I245">
        <v>4</v>
      </c>
      <c r="J245">
        <v>0.75</v>
      </c>
    </row>
    <row r="246" spans="1:10" x14ac:dyDescent="0.25">
      <c r="A246" t="s">
        <v>356</v>
      </c>
      <c r="B246">
        <v>4</v>
      </c>
      <c r="C246" t="s">
        <v>381</v>
      </c>
      <c r="D246" t="s">
        <v>404</v>
      </c>
      <c r="E246">
        <v>14000</v>
      </c>
      <c r="F246" t="s">
        <v>139</v>
      </c>
      <c r="G246">
        <v>24</v>
      </c>
      <c r="H246">
        <v>7</v>
      </c>
      <c r="I246">
        <v>4</v>
      </c>
      <c r="J246">
        <v>0.75</v>
      </c>
    </row>
    <row r="247" spans="1:10" x14ac:dyDescent="0.25">
      <c r="A247" t="s">
        <v>356</v>
      </c>
      <c r="B247">
        <v>4</v>
      </c>
      <c r="C247" t="s">
        <v>381</v>
      </c>
      <c r="D247" t="s">
        <v>405</v>
      </c>
      <c r="E247">
        <v>14000</v>
      </c>
      <c r="F247" t="s">
        <v>139</v>
      </c>
      <c r="G247">
        <v>24</v>
      </c>
      <c r="H247">
        <v>7</v>
      </c>
      <c r="I247">
        <v>4</v>
      </c>
      <c r="J247">
        <v>0.75</v>
      </c>
    </row>
    <row r="248" spans="1:10" x14ac:dyDescent="0.25">
      <c r="A248" t="s">
        <v>356</v>
      </c>
      <c r="B248">
        <v>4</v>
      </c>
      <c r="C248" t="s">
        <v>381</v>
      </c>
      <c r="D248" t="s">
        <v>406</v>
      </c>
      <c r="E248">
        <v>14000</v>
      </c>
      <c r="F248" t="s">
        <v>139</v>
      </c>
      <c r="G248">
        <v>24</v>
      </c>
      <c r="H248">
        <v>7</v>
      </c>
      <c r="I248">
        <v>4</v>
      </c>
      <c r="J248">
        <v>0.75</v>
      </c>
    </row>
    <row r="249" spans="1:10" x14ac:dyDescent="0.25">
      <c r="A249" t="s">
        <v>356</v>
      </c>
      <c r="B249">
        <v>4</v>
      </c>
      <c r="C249" t="s">
        <v>381</v>
      </c>
      <c r="D249" t="s">
        <v>407</v>
      </c>
      <c r="E249">
        <v>14000</v>
      </c>
      <c r="F249" t="s">
        <v>139</v>
      </c>
      <c r="G249">
        <v>24</v>
      </c>
      <c r="H249">
        <v>7</v>
      </c>
      <c r="I249">
        <v>4</v>
      </c>
      <c r="J249">
        <v>0.75</v>
      </c>
    </row>
    <row r="250" spans="1:10" x14ac:dyDescent="0.25">
      <c r="A250" t="s">
        <v>356</v>
      </c>
      <c r="B250">
        <v>4</v>
      </c>
      <c r="C250" t="s">
        <v>408</v>
      </c>
      <c r="D250" t="s">
        <v>409</v>
      </c>
      <c r="E250">
        <v>15400</v>
      </c>
      <c r="F250" t="s">
        <v>139</v>
      </c>
      <c r="G250">
        <v>16</v>
      </c>
      <c r="H250">
        <v>8</v>
      </c>
      <c r="I250">
        <v>6</v>
      </c>
      <c r="J250">
        <v>1.25</v>
      </c>
    </row>
    <row r="251" spans="1:10" x14ac:dyDescent="0.25">
      <c r="A251" t="s">
        <v>356</v>
      </c>
      <c r="B251">
        <v>4</v>
      </c>
      <c r="C251" t="s">
        <v>408</v>
      </c>
      <c r="D251" t="s">
        <v>410</v>
      </c>
      <c r="E251">
        <v>15400</v>
      </c>
      <c r="F251" t="s">
        <v>139</v>
      </c>
      <c r="G251">
        <v>16</v>
      </c>
      <c r="H251">
        <v>8</v>
      </c>
      <c r="I251">
        <v>6</v>
      </c>
      <c r="J251">
        <v>1.25</v>
      </c>
    </row>
    <row r="252" spans="1:10" x14ac:dyDescent="0.25">
      <c r="A252" t="s">
        <v>356</v>
      </c>
      <c r="B252">
        <v>3</v>
      </c>
      <c r="C252" t="s">
        <v>408</v>
      </c>
      <c r="D252" t="s">
        <v>411</v>
      </c>
      <c r="E252">
        <v>15400</v>
      </c>
      <c r="F252" t="s">
        <v>139</v>
      </c>
      <c r="G252">
        <v>16</v>
      </c>
      <c r="H252">
        <v>8</v>
      </c>
      <c r="I252">
        <v>6</v>
      </c>
      <c r="J252">
        <v>1.25</v>
      </c>
    </row>
    <row r="253" spans="1:10" x14ac:dyDescent="0.25">
      <c r="A253" t="s">
        <v>356</v>
      </c>
      <c r="B253">
        <v>3</v>
      </c>
      <c r="C253" t="s">
        <v>408</v>
      </c>
      <c r="D253" t="s">
        <v>412</v>
      </c>
      <c r="E253">
        <v>15400</v>
      </c>
      <c r="F253" t="s">
        <v>139</v>
      </c>
      <c r="G253">
        <v>16</v>
      </c>
      <c r="H253">
        <v>8</v>
      </c>
      <c r="I253">
        <v>6</v>
      </c>
      <c r="J253">
        <v>1.25</v>
      </c>
    </row>
    <row r="254" spans="1:10" x14ac:dyDescent="0.25">
      <c r="A254" t="s">
        <v>356</v>
      </c>
      <c r="B254">
        <v>4</v>
      </c>
      <c r="C254" t="s">
        <v>408</v>
      </c>
      <c r="D254" t="s">
        <v>413</v>
      </c>
      <c r="E254">
        <v>15400</v>
      </c>
      <c r="F254" t="s">
        <v>139</v>
      </c>
      <c r="G254">
        <v>20</v>
      </c>
      <c r="H254">
        <v>8</v>
      </c>
      <c r="I254">
        <v>6</v>
      </c>
      <c r="J254">
        <v>1.25</v>
      </c>
    </row>
    <row r="255" spans="1:10" x14ac:dyDescent="0.25">
      <c r="A255" t="s">
        <v>356</v>
      </c>
      <c r="B255">
        <v>4</v>
      </c>
      <c r="C255" t="s">
        <v>408</v>
      </c>
      <c r="D255" t="s">
        <v>414</v>
      </c>
      <c r="E255">
        <v>15400</v>
      </c>
      <c r="F255" t="s">
        <v>139</v>
      </c>
      <c r="G255">
        <v>20</v>
      </c>
      <c r="H255">
        <v>8</v>
      </c>
      <c r="I255">
        <v>6</v>
      </c>
      <c r="J255">
        <v>1.25</v>
      </c>
    </row>
    <row r="256" spans="1:10" x14ac:dyDescent="0.25">
      <c r="A256" t="s">
        <v>356</v>
      </c>
      <c r="B256">
        <v>4</v>
      </c>
      <c r="C256" t="s">
        <v>408</v>
      </c>
      <c r="D256" t="s">
        <v>415</v>
      </c>
      <c r="E256">
        <v>15400</v>
      </c>
      <c r="F256" t="s">
        <v>139</v>
      </c>
      <c r="G256">
        <v>18</v>
      </c>
      <c r="H256">
        <v>8</v>
      </c>
      <c r="I256">
        <v>6</v>
      </c>
      <c r="J256">
        <v>1.25</v>
      </c>
    </row>
    <row r="257" spans="1:10" x14ac:dyDescent="0.25">
      <c r="A257" t="s">
        <v>356</v>
      </c>
      <c r="B257">
        <v>3</v>
      </c>
      <c r="C257" t="s">
        <v>408</v>
      </c>
      <c r="D257" t="s">
        <v>416</v>
      </c>
      <c r="E257">
        <v>15400</v>
      </c>
      <c r="F257" t="s">
        <v>139</v>
      </c>
      <c r="G257">
        <v>18</v>
      </c>
      <c r="H257">
        <v>8</v>
      </c>
      <c r="I257">
        <v>6</v>
      </c>
      <c r="J257">
        <v>1.25</v>
      </c>
    </row>
    <row r="258" spans="1:10" x14ac:dyDescent="0.25">
      <c r="A258" t="s">
        <v>356</v>
      </c>
      <c r="B258">
        <v>3</v>
      </c>
      <c r="C258" t="s">
        <v>408</v>
      </c>
      <c r="D258" t="s">
        <v>417</v>
      </c>
      <c r="E258">
        <v>15400</v>
      </c>
      <c r="F258" t="s">
        <v>139</v>
      </c>
      <c r="G258">
        <v>22</v>
      </c>
      <c r="H258">
        <v>8</v>
      </c>
      <c r="I258">
        <v>6</v>
      </c>
      <c r="J258">
        <v>1.25</v>
      </c>
    </row>
    <row r="259" spans="1:10" x14ac:dyDescent="0.25">
      <c r="A259" t="s">
        <v>356</v>
      </c>
      <c r="B259">
        <v>4</v>
      </c>
      <c r="C259" t="s">
        <v>408</v>
      </c>
      <c r="D259" t="s">
        <v>418</v>
      </c>
      <c r="E259">
        <v>15400</v>
      </c>
      <c r="F259" t="s">
        <v>139</v>
      </c>
      <c r="G259">
        <v>22</v>
      </c>
      <c r="H259">
        <v>8</v>
      </c>
      <c r="I259">
        <v>6</v>
      </c>
      <c r="J259">
        <v>1.25</v>
      </c>
    </row>
    <row r="260" spans="1:10" x14ac:dyDescent="0.25">
      <c r="A260" t="s">
        <v>356</v>
      </c>
      <c r="B260">
        <v>4</v>
      </c>
      <c r="C260" t="s">
        <v>408</v>
      </c>
      <c r="D260" t="s">
        <v>419</v>
      </c>
      <c r="E260">
        <v>15400</v>
      </c>
      <c r="F260" t="s">
        <v>139</v>
      </c>
      <c r="G260">
        <v>20</v>
      </c>
      <c r="H260">
        <v>8</v>
      </c>
      <c r="I260">
        <v>6</v>
      </c>
      <c r="J260">
        <v>1.25</v>
      </c>
    </row>
    <row r="261" spans="1:10" x14ac:dyDescent="0.25">
      <c r="A261" t="s">
        <v>356</v>
      </c>
      <c r="B261">
        <v>4</v>
      </c>
      <c r="C261" t="s">
        <v>408</v>
      </c>
      <c r="D261" t="s">
        <v>420</v>
      </c>
      <c r="E261">
        <v>15400</v>
      </c>
      <c r="F261" t="s">
        <v>139</v>
      </c>
      <c r="G261">
        <v>20</v>
      </c>
      <c r="H261">
        <v>8</v>
      </c>
      <c r="I261">
        <v>6</v>
      </c>
      <c r="J261">
        <v>1.25</v>
      </c>
    </row>
    <row r="262" spans="1:10" x14ac:dyDescent="0.25">
      <c r="A262" t="s">
        <v>356</v>
      </c>
      <c r="B262">
        <v>3</v>
      </c>
      <c r="C262" t="s">
        <v>408</v>
      </c>
      <c r="D262" t="s">
        <v>421</v>
      </c>
      <c r="E262">
        <v>15400</v>
      </c>
      <c r="F262" t="s">
        <v>139</v>
      </c>
      <c r="G262">
        <v>20</v>
      </c>
      <c r="H262">
        <v>8</v>
      </c>
      <c r="I262">
        <v>6</v>
      </c>
      <c r="J262">
        <v>1.25</v>
      </c>
    </row>
    <row r="263" spans="1:10" x14ac:dyDescent="0.25">
      <c r="A263" t="s">
        <v>356</v>
      </c>
      <c r="B263">
        <v>3</v>
      </c>
      <c r="C263" t="s">
        <v>408</v>
      </c>
      <c r="D263" t="s">
        <v>422</v>
      </c>
      <c r="E263">
        <v>15400</v>
      </c>
      <c r="F263" t="s">
        <v>139</v>
      </c>
      <c r="G263">
        <v>20</v>
      </c>
      <c r="H263">
        <v>8</v>
      </c>
      <c r="I263">
        <v>6</v>
      </c>
      <c r="J263">
        <v>1.25</v>
      </c>
    </row>
    <row r="264" spans="1:10" x14ac:dyDescent="0.25">
      <c r="A264" t="s">
        <v>356</v>
      </c>
      <c r="B264">
        <v>1</v>
      </c>
      <c r="C264" t="s">
        <v>408</v>
      </c>
      <c r="D264" t="s">
        <v>423</v>
      </c>
      <c r="E264">
        <v>15400</v>
      </c>
      <c r="F264" t="s">
        <v>139</v>
      </c>
      <c r="G264">
        <v>20</v>
      </c>
      <c r="H264">
        <v>8</v>
      </c>
      <c r="I264">
        <v>6</v>
      </c>
      <c r="J264">
        <v>1.25</v>
      </c>
    </row>
    <row r="265" spans="1:10" x14ac:dyDescent="0.25">
      <c r="A265" t="s">
        <v>356</v>
      </c>
      <c r="B265">
        <v>4</v>
      </c>
      <c r="C265" t="s">
        <v>408</v>
      </c>
      <c r="D265" t="s">
        <v>424</v>
      </c>
      <c r="E265">
        <v>15400</v>
      </c>
      <c r="F265" t="s">
        <v>139</v>
      </c>
      <c r="G265">
        <v>24</v>
      </c>
      <c r="H265">
        <v>8</v>
      </c>
      <c r="I265">
        <v>6</v>
      </c>
      <c r="J265">
        <v>1.25</v>
      </c>
    </row>
    <row r="266" spans="1:10" x14ac:dyDescent="0.25">
      <c r="A266" t="s">
        <v>356</v>
      </c>
      <c r="B266">
        <v>4</v>
      </c>
      <c r="C266" t="s">
        <v>408</v>
      </c>
      <c r="D266" t="s">
        <v>425</v>
      </c>
      <c r="E266">
        <v>15400</v>
      </c>
      <c r="F266" t="s">
        <v>139</v>
      </c>
      <c r="G266">
        <v>24</v>
      </c>
      <c r="H266">
        <v>8</v>
      </c>
      <c r="I266">
        <v>6</v>
      </c>
      <c r="J266">
        <v>1.25</v>
      </c>
    </row>
    <row r="267" spans="1:10" x14ac:dyDescent="0.25">
      <c r="A267" t="s">
        <v>356</v>
      </c>
      <c r="B267">
        <v>4</v>
      </c>
      <c r="C267" t="s">
        <v>408</v>
      </c>
      <c r="D267" t="s">
        <v>426</v>
      </c>
      <c r="E267">
        <v>15400</v>
      </c>
      <c r="F267" t="s">
        <v>139</v>
      </c>
      <c r="G267">
        <v>22</v>
      </c>
      <c r="H267">
        <v>8</v>
      </c>
      <c r="I267">
        <v>6</v>
      </c>
      <c r="J267">
        <v>1.25</v>
      </c>
    </row>
    <row r="268" spans="1:10" x14ac:dyDescent="0.25">
      <c r="A268" t="s">
        <v>356</v>
      </c>
      <c r="B268">
        <v>4</v>
      </c>
      <c r="C268" t="s">
        <v>408</v>
      </c>
      <c r="D268" t="s">
        <v>427</v>
      </c>
      <c r="E268">
        <v>15400</v>
      </c>
      <c r="F268" t="s">
        <v>139</v>
      </c>
      <c r="G268">
        <v>22</v>
      </c>
      <c r="H268">
        <v>8</v>
      </c>
      <c r="I268">
        <v>6</v>
      </c>
      <c r="J268">
        <v>1.25</v>
      </c>
    </row>
    <row r="269" spans="1:10" x14ac:dyDescent="0.25">
      <c r="A269" t="s">
        <v>356</v>
      </c>
      <c r="B269">
        <v>3</v>
      </c>
      <c r="C269" t="s">
        <v>408</v>
      </c>
      <c r="D269" t="s">
        <v>428</v>
      </c>
      <c r="E269">
        <v>15400</v>
      </c>
      <c r="F269" t="s">
        <v>139</v>
      </c>
      <c r="G269">
        <v>22</v>
      </c>
      <c r="H269">
        <v>8</v>
      </c>
      <c r="I269">
        <v>6</v>
      </c>
      <c r="J269">
        <v>1.25</v>
      </c>
    </row>
    <row r="270" spans="1:10" x14ac:dyDescent="0.25">
      <c r="A270" t="s">
        <v>356</v>
      </c>
      <c r="B270">
        <v>3</v>
      </c>
      <c r="C270" t="s">
        <v>408</v>
      </c>
      <c r="D270" t="s">
        <v>429</v>
      </c>
      <c r="E270">
        <v>15400</v>
      </c>
      <c r="F270" t="s">
        <v>139</v>
      </c>
      <c r="G270">
        <v>22</v>
      </c>
      <c r="H270">
        <v>8</v>
      </c>
      <c r="I270">
        <v>6</v>
      </c>
      <c r="J270">
        <v>1.25</v>
      </c>
    </row>
    <row r="271" spans="1:10" x14ac:dyDescent="0.25">
      <c r="A271" t="s">
        <v>356</v>
      </c>
      <c r="B271">
        <v>3</v>
      </c>
      <c r="C271" t="s">
        <v>408</v>
      </c>
      <c r="D271" t="s">
        <v>430</v>
      </c>
      <c r="E271">
        <v>15400</v>
      </c>
      <c r="F271" t="s">
        <v>139</v>
      </c>
      <c r="G271">
        <v>22</v>
      </c>
      <c r="H271">
        <v>8</v>
      </c>
      <c r="I271">
        <v>6</v>
      </c>
      <c r="J271">
        <v>1.25</v>
      </c>
    </row>
    <row r="272" spans="1:10" x14ac:dyDescent="0.25">
      <c r="A272" t="s">
        <v>356</v>
      </c>
      <c r="B272">
        <v>4</v>
      </c>
      <c r="C272" t="s">
        <v>408</v>
      </c>
      <c r="D272" t="s">
        <v>431</v>
      </c>
      <c r="E272">
        <v>15400</v>
      </c>
      <c r="F272" t="s">
        <v>139</v>
      </c>
      <c r="G272">
        <v>24</v>
      </c>
      <c r="H272">
        <v>8</v>
      </c>
      <c r="I272">
        <v>6</v>
      </c>
      <c r="J272">
        <v>1.25</v>
      </c>
    </row>
    <row r="273" spans="1:10" x14ac:dyDescent="0.25">
      <c r="A273" t="s">
        <v>356</v>
      </c>
      <c r="B273">
        <v>4</v>
      </c>
      <c r="C273" t="s">
        <v>408</v>
      </c>
      <c r="D273" t="s">
        <v>432</v>
      </c>
      <c r="E273">
        <v>15400</v>
      </c>
      <c r="F273" t="s">
        <v>139</v>
      </c>
      <c r="G273">
        <v>24</v>
      </c>
      <c r="H273">
        <v>8</v>
      </c>
      <c r="I273">
        <v>6</v>
      </c>
      <c r="J273">
        <v>1.25</v>
      </c>
    </row>
    <row r="274" spans="1:10" x14ac:dyDescent="0.25">
      <c r="A274" t="s">
        <v>356</v>
      </c>
      <c r="B274">
        <v>3</v>
      </c>
      <c r="C274" t="s">
        <v>408</v>
      </c>
      <c r="D274" t="s">
        <v>433</v>
      </c>
      <c r="E274">
        <v>15400</v>
      </c>
      <c r="F274" t="s">
        <v>139</v>
      </c>
      <c r="G274">
        <v>24</v>
      </c>
      <c r="H274">
        <v>8</v>
      </c>
      <c r="I274">
        <v>6</v>
      </c>
      <c r="J274">
        <v>1.25</v>
      </c>
    </row>
    <row r="275" spans="1:10" x14ac:dyDescent="0.25">
      <c r="A275" t="s">
        <v>356</v>
      </c>
      <c r="B275">
        <v>3</v>
      </c>
      <c r="C275" t="s">
        <v>408</v>
      </c>
      <c r="D275" t="s">
        <v>434</v>
      </c>
      <c r="E275">
        <v>15400</v>
      </c>
      <c r="F275" t="s">
        <v>139</v>
      </c>
      <c r="G275">
        <v>24</v>
      </c>
      <c r="H275">
        <v>8</v>
      </c>
      <c r="I275">
        <v>6</v>
      </c>
      <c r="J275">
        <v>1.25</v>
      </c>
    </row>
    <row r="276" spans="1:10" x14ac:dyDescent="0.25">
      <c r="A276" t="s">
        <v>356</v>
      </c>
      <c r="B276">
        <v>3</v>
      </c>
      <c r="C276" t="s">
        <v>408</v>
      </c>
      <c r="D276" t="s">
        <v>435</v>
      </c>
      <c r="E276">
        <v>15400</v>
      </c>
      <c r="F276" t="s">
        <v>139</v>
      </c>
      <c r="G276">
        <v>24</v>
      </c>
      <c r="H276">
        <v>8</v>
      </c>
      <c r="I276">
        <v>6</v>
      </c>
      <c r="J276">
        <v>1.25</v>
      </c>
    </row>
    <row r="277" spans="1:10" x14ac:dyDescent="0.25">
      <c r="A277" t="s">
        <v>356</v>
      </c>
      <c r="B277">
        <v>3</v>
      </c>
      <c r="C277" t="s">
        <v>436</v>
      </c>
      <c r="D277" t="s">
        <v>437</v>
      </c>
      <c r="E277">
        <v>14000</v>
      </c>
      <c r="F277" t="s">
        <v>139</v>
      </c>
      <c r="G277">
        <v>18</v>
      </c>
      <c r="H277">
        <v>8</v>
      </c>
      <c r="I277">
        <v>6</v>
      </c>
      <c r="J277">
        <v>1.25</v>
      </c>
    </row>
    <row r="278" spans="1:10" x14ac:dyDescent="0.25">
      <c r="A278" t="s">
        <v>356</v>
      </c>
      <c r="B278">
        <v>1</v>
      </c>
      <c r="C278" t="s">
        <v>436</v>
      </c>
      <c r="D278" t="s">
        <v>438</v>
      </c>
      <c r="E278">
        <v>14000</v>
      </c>
      <c r="F278" t="s">
        <v>139</v>
      </c>
      <c r="G278">
        <v>20</v>
      </c>
      <c r="H278">
        <v>8</v>
      </c>
      <c r="I278">
        <v>6</v>
      </c>
      <c r="J278">
        <v>1.25</v>
      </c>
    </row>
    <row r="279" spans="1:10" x14ac:dyDescent="0.25">
      <c r="A279" t="s">
        <v>356</v>
      </c>
      <c r="B279">
        <v>3</v>
      </c>
      <c r="C279" t="s">
        <v>436</v>
      </c>
      <c r="D279" t="s">
        <v>439</v>
      </c>
      <c r="E279">
        <v>14000</v>
      </c>
      <c r="F279" t="s">
        <v>139</v>
      </c>
      <c r="G279">
        <v>22</v>
      </c>
      <c r="H279">
        <v>8</v>
      </c>
      <c r="I279">
        <v>6</v>
      </c>
      <c r="J279">
        <v>1.25</v>
      </c>
    </row>
    <row r="280" spans="1:10" x14ac:dyDescent="0.25">
      <c r="A280" t="s">
        <v>356</v>
      </c>
      <c r="B280">
        <v>3</v>
      </c>
      <c r="C280" t="s">
        <v>440</v>
      </c>
      <c r="D280" t="s">
        <v>441</v>
      </c>
      <c r="E280">
        <v>17600</v>
      </c>
      <c r="F280" t="s">
        <v>139</v>
      </c>
      <c r="G280">
        <v>18</v>
      </c>
      <c r="H280">
        <v>7</v>
      </c>
      <c r="I280">
        <v>7</v>
      </c>
      <c r="J280">
        <v>1</v>
      </c>
    </row>
    <row r="281" spans="1:10" x14ac:dyDescent="0.25">
      <c r="A281" t="s">
        <v>356</v>
      </c>
      <c r="B281">
        <v>3</v>
      </c>
      <c r="C281" t="s">
        <v>440</v>
      </c>
      <c r="D281" t="s">
        <v>442</v>
      </c>
      <c r="E281">
        <v>17600</v>
      </c>
      <c r="F281" t="s">
        <v>139</v>
      </c>
      <c r="G281">
        <v>18</v>
      </c>
      <c r="H281">
        <v>7</v>
      </c>
      <c r="I281">
        <v>7</v>
      </c>
      <c r="J281">
        <v>1</v>
      </c>
    </row>
    <row r="282" spans="1:10" x14ac:dyDescent="0.25">
      <c r="A282" t="s">
        <v>356</v>
      </c>
      <c r="B282">
        <v>3</v>
      </c>
      <c r="C282" t="s">
        <v>440</v>
      </c>
      <c r="D282" t="s">
        <v>443</v>
      </c>
      <c r="E282">
        <v>17600</v>
      </c>
      <c r="F282" t="s">
        <v>139</v>
      </c>
      <c r="G282">
        <v>18</v>
      </c>
      <c r="H282">
        <v>7</v>
      </c>
      <c r="I282">
        <v>7</v>
      </c>
      <c r="J282">
        <v>1</v>
      </c>
    </row>
    <row r="283" spans="1:10" x14ac:dyDescent="0.25">
      <c r="A283" t="s">
        <v>356</v>
      </c>
      <c r="B283">
        <v>3</v>
      </c>
      <c r="C283" t="s">
        <v>440</v>
      </c>
      <c r="D283" t="s">
        <v>444</v>
      </c>
      <c r="E283">
        <v>17600</v>
      </c>
      <c r="F283" t="s">
        <v>139</v>
      </c>
      <c r="G283">
        <v>20</v>
      </c>
      <c r="H283">
        <v>7</v>
      </c>
      <c r="I283">
        <v>7</v>
      </c>
      <c r="J283">
        <v>1</v>
      </c>
    </row>
    <row r="284" spans="1:10" x14ac:dyDescent="0.25">
      <c r="A284" t="s">
        <v>356</v>
      </c>
      <c r="B284">
        <v>3</v>
      </c>
      <c r="C284" t="s">
        <v>440</v>
      </c>
      <c r="D284" t="s">
        <v>445</v>
      </c>
      <c r="E284">
        <v>17600</v>
      </c>
      <c r="F284" t="s">
        <v>139</v>
      </c>
      <c r="G284">
        <v>20</v>
      </c>
      <c r="H284">
        <v>7</v>
      </c>
      <c r="I284">
        <v>7</v>
      </c>
      <c r="J284">
        <v>1</v>
      </c>
    </row>
    <row r="285" spans="1:10" x14ac:dyDescent="0.25">
      <c r="A285" t="s">
        <v>356</v>
      </c>
      <c r="B285">
        <v>2</v>
      </c>
      <c r="C285" t="s">
        <v>440</v>
      </c>
      <c r="D285" t="s">
        <v>446</v>
      </c>
      <c r="E285">
        <v>17600</v>
      </c>
      <c r="F285" t="s">
        <v>139</v>
      </c>
      <c r="G285">
        <v>20</v>
      </c>
      <c r="H285">
        <v>7</v>
      </c>
      <c r="I285">
        <v>7</v>
      </c>
      <c r="J285">
        <v>1</v>
      </c>
    </row>
    <row r="286" spans="1:10" x14ac:dyDescent="0.25">
      <c r="A286" t="s">
        <v>356</v>
      </c>
      <c r="B286">
        <v>3</v>
      </c>
      <c r="C286" t="s">
        <v>440</v>
      </c>
      <c r="D286" t="s">
        <v>447</v>
      </c>
      <c r="E286">
        <v>17600</v>
      </c>
      <c r="F286" t="s">
        <v>139</v>
      </c>
      <c r="G286">
        <v>22</v>
      </c>
      <c r="H286">
        <v>7</v>
      </c>
      <c r="I286">
        <v>7</v>
      </c>
      <c r="J286">
        <v>1</v>
      </c>
    </row>
    <row r="287" spans="1:10" x14ac:dyDescent="0.25">
      <c r="A287" t="s">
        <v>356</v>
      </c>
      <c r="B287">
        <v>3</v>
      </c>
      <c r="C287" t="s">
        <v>440</v>
      </c>
      <c r="D287" t="s">
        <v>448</v>
      </c>
      <c r="E287">
        <v>17600</v>
      </c>
      <c r="F287" t="s">
        <v>139</v>
      </c>
      <c r="G287">
        <v>22</v>
      </c>
      <c r="H287">
        <v>7</v>
      </c>
      <c r="I287">
        <v>7</v>
      </c>
      <c r="J287">
        <v>1</v>
      </c>
    </row>
    <row r="288" spans="1:10" x14ac:dyDescent="0.25">
      <c r="A288" t="s">
        <v>356</v>
      </c>
      <c r="B288">
        <v>1</v>
      </c>
      <c r="C288" t="s">
        <v>440</v>
      </c>
      <c r="D288" t="s">
        <v>449</v>
      </c>
      <c r="E288">
        <v>17600</v>
      </c>
      <c r="F288" t="s">
        <v>139</v>
      </c>
      <c r="G288">
        <v>22</v>
      </c>
      <c r="H288">
        <v>7</v>
      </c>
      <c r="I288">
        <v>7</v>
      </c>
      <c r="J288">
        <v>1</v>
      </c>
    </row>
    <row r="289" spans="1:10" x14ac:dyDescent="0.25">
      <c r="A289" t="s">
        <v>356</v>
      </c>
      <c r="B289">
        <v>3</v>
      </c>
      <c r="C289" t="s">
        <v>440</v>
      </c>
      <c r="D289" t="s">
        <v>450</v>
      </c>
      <c r="E289">
        <v>17600</v>
      </c>
      <c r="F289" t="s">
        <v>139</v>
      </c>
      <c r="G289">
        <v>24</v>
      </c>
      <c r="H289">
        <v>7</v>
      </c>
      <c r="I289">
        <v>7</v>
      </c>
      <c r="J289">
        <v>1</v>
      </c>
    </row>
    <row r="290" spans="1:10" x14ac:dyDescent="0.25">
      <c r="A290" t="s">
        <v>356</v>
      </c>
      <c r="B290">
        <v>3</v>
      </c>
      <c r="C290" t="s">
        <v>440</v>
      </c>
      <c r="D290" t="s">
        <v>451</v>
      </c>
      <c r="E290">
        <v>17600</v>
      </c>
      <c r="F290" t="s">
        <v>139</v>
      </c>
      <c r="G290">
        <v>24</v>
      </c>
      <c r="H290">
        <v>7</v>
      </c>
      <c r="I290">
        <v>7</v>
      </c>
      <c r="J290">
        <v>1</v>
      </c>
    </row>
    <row r="291" spans="1:10" x14ac:dyDescent="0.25">
      <c r="A291" t="s">
        <v>356</v>
      </c>
      <c r="B291">
        <v>3</v>
      </c>
      <c r="C291" t="s">
        <v>440</v>
      </c>
      <c r="D291" t="s">
        <v>452</v>
      </c>
      <c r="E291">
        <v>17600</v>
      </c>
      <c r="F291" t="s">
        <v>139</v>
      </c>
      <c r="G291">
        <v>24</v>
      </c>
      <c r="H291">
        <v>7</v>
      </c>
      <c r="I291">
        <v>7</v>
      </c>
      <c r="J291">
        <v>1</v>
      </c>
    </row>
    <row r="292" spans="1:10" x14ac:dyDescent="0.25">
      <c r="A292" t="s">
        <v>356</v>
      </c>
      <c r="B292">
        <v>3</v>
      </c>
      <c r="C292" t="s">
        <v>453</v>
      </c>
      <c r="D292" t="s">
        <v>454</v>
      </c>
      <c r="E292">
        <v>19200</v>
      </c>
      <c r="F292" t="s">
        <v>139</v>
      </c>
      <c r="G292">
        <v>20</v>
      </c>
      <c r="H292">
        <v>7</v>
      </c>
      <c r="I292">
        <v>9</v>
      </c>
      <c r="J292">
        <v>1.25</v>
      </c>
    </row>
    <row r="293" spans="1:10" x14ac:dyDescent="0.25">
      <c r="A293" t="s">
        <v>356</v>
      </c>
      <c r="B293">
        <v>3</v>
      </c>
      <c r="C293" t="s">
        <v>453</v>
      </c>
      <c r="D293" t="s">
        <v>455</v>
      </c>
      <c r="E293">
        <v>19200</v>
      </c>
      <c r="F293" t="s">
        <v>139</v>
      </c>
      <c r="G293">
        <v>22</v>
      </c>
      <c r="H293">
        <v>7</v>
      </c>
      <c r="I293">
        <v>9</v>
      </c>
      <c r="J293">
        <v>1.25</v>
      </c>
    </row>
    <row r="294" spans="1:10" x14ac:dyDescent="0.25">
      <c r="A294" t="s">
        <v>356</v>
      </c>
      <c r="B294">
        <v>3</v>
      </c>
      <c r="C294" t="s">
        <v>453</v>
      </c>
      <c r="D294" t="s">
        <v>456</v>
      </c>
      <c r="E294">
        <v>19200</v>
      </c>
      <c r="F294" t="s">
        <v>139</v>
      </c>
      <c r="G294">
        <v>24</v>
      </c>
      <c r="H294">
        <v>7</v>
      </c>
      <c r="I294">
        <v>9</v>
      </c>
      <c r="J294">
        <v>1.25</v>
      </c>
    </row>
    <row r="295" spans="1:10" x14ac:dyDescent="0.25">
      <c r="A295" t="s">
        <v>356</v>
      </c>
      <c r="B295">
        <v>3</v>
      </c>
      <c r="C295" t="s">
        <v>457</v>
      </c>
      <c r="D295" t="s">
        <v>458</v>
      </c>
      <c r="E295">
        <v>17500</v>
      </c>
      <c r="F295" t="s">
        <v>139</v>
      </c>
      <c r="G295">
        <v>16</v>
      </c>
      <c r="H295">
        <v>8</v>
      </c>
      <c r="I295">
        <v>6</v>
      </c>
      <c r="J295">
        <v>1.25</v>
      </c>
    </row>
    <row r="296" spans="1:10" x14ac:dyDescent="0.25">
      <c r="A296" t="s">
        <v>356</v>
      </c>
      <c r="B296">
        <v>3</v>
      </c>
      <c r="C296" t="s">
        <v>457</v>
      </c>
      <c r="D296" t="s">
        <v>459</v>
      </c>
      <c r="E296">
        <v>17500</v>
      </c>
      <c r="F296" t="s">
        <v>139</v>
      </c>
      <c r="G296">
        <v>20</v>
      </c>
      <c r="H296">
        <v>8</v>
      </c>
      <c r="I296">
        <v>6</v>
      </c>
      <c r="J296">
        <v>1.25</v>
      </c>
    </row>
    <row r="297" spans="1:10" x14ac:dyDescent="0.25">
      <c r="A297" t="s">
        <v>356</v>
      </c>
      <c r="B297">
        <v>2</v>
      </c>
      <c r="C297" t="s">
        <v>457</v>
      </c>
      <c r="D297" t="s">
        <v>460</v>
      </c>
      <c r="E297">
        <v>17500</v>
      </c>
      <c r="F297" t="s">
        <v>139</v>
      </c>
      <c r="G297">
        <v>20</v>
      </c>
      <c r="H297">
        <v>8</v>
      </c>
      <c r="I297">
        <v>6</v>
      </c>
      <c r="J297">
        <v>1.25</v>
      </c>
    </row>
    <row r="298" spans="1:10" x14ac:dyDescent="0.25">
      <c r="A298" t="s">
        <v>356</v>
      </c>
      <c r="B298">
        <v>3</v>
      </c>
      <c r="C298" t="s">
        <v>457</v>
      </c>
      <c r="D298" t="s">
        <v>461</v>
      </c>
      <c r="E298">
        <v>17500</v>
      </c>
      <c r="F298" t="s">
        <v>139</v>
      </c>
      <c r="G298">
        <v>22</v>
      </c>
      <c r="H298">
        <v>8</v>
      </c>
      <c r="I298">
        <v>6</v>
      </c>
      <c r="J298">
        <v>1.25</v>
      </c>
    </row>
    <row r="299" spans="1:10" x14ac:dyDescent="0.25">
      <c r="A299" t="s">
        <v>356</v>
      </c>
      <c r="B299">
        <v>3</v>
      </c>
      <c r="C299" t="s">
        <v>457</v>
      </c>
      <c r="D299" t="s">
        <v>462</v>
      </c>
      <c r="E299">
        <v>17500</v>
      </c>
      <c r="F299" t="s">
        <v>139</v>
      </c>
      <c r="G299">
        <v>24</v>
      </c>
      <c r="H299">
        <v>8</v>
      </c>
      <c r="I299">
        <v>6</v>
      </c>
      <c r="J299">
        <v>1.25</v>
      </c>
    </row>
    <row r="300" spans="1:10" x14ac:dyDescent="0.25">
      <c r="A300" t="s">
        <v>356</v>
      </c>
      <c r="B300">
        <v>3</v>
      </c>
      <c r="C300" t="s">
        <v>457</v>
      </c>
      <c r="D300" t="s">
        <v>463</v>
      </c>
      <c r="E300">
        <v>17500</v>
      </c>
      <c r="F300" t="s">
        <v>139</v>
      </c>
      <c r="G300">
        <v>24</v>
      </c>
      <c r="H300">
        <v>8</v>
      </c>
      <c r="I300">
        <v>6</v>
      </c>
      <c r="J300">
        <v>1.25</v>
      </c>
    </row>
    <row r="301" spans="1:10" x14ac:dyDescent="0.25">
      <c r="A301" t="s">
        <v>464</v>
      </c>
      <c r="B301">
        <v>4</v>
      </c>
      <c r="C301" t="s">
        <v>97</v>
      </c>
      <c r="D301" t="s">
        <v>465</v>
      </c>
      <c r="E301">
        <v>15900</v>
      </c>
      <c r="F301" t="s">
        <v>139</v>
      </c>
      <c r="G301">
        <v>20</v>
      </c>
      <c r="H301">
        <v>8</v>
      </c>
      <c r="I301">
        <v>9</v>
      </c>
      <c r="J301">
        <v>1.25</v>
      </c>
    </row>
    <row r="302" spans="1:10" x14ac:dyDescent="0.25">
      <c r="A302" t="s">
        <v>464</v>
      </c>
      <c r="B302">
        <v>4</v>
      </c>
      <c r="C302" t="s">
        <v>97</v>
      </c>
      <c r="D302" t="s">
        <v>466</v>
      </c>
      <c r="E302">
        <v>15900</v>
      </c>
      <c r="F302" t="s">
        <v>139</v>
      </c>
      <c r="G302">
        <v>25</v>
      </c>
      <c r="H302">
        <v>8</v>
      </c>
      <c r="I302">
        <v>9</v>
      </c>
      <c r="J302">
        <v>1.25</v>
      </c>
    </row>
    <row r="303" spans="1:10" x14ac:dyDescent="0.25">
      <c r="A303" t="s">
        <v>464</v>
      </c>
      <c r="B303">
        <v>4</v>
      </c>
      <c r="C303" t="s">
        <v>97</v>
      </c>
      <c r="D303" t="s">
        <v>467</v>
      </c>
      <c r="E303">
        <v>15900</v>
      </c>
      <c r="F303" t="s">
        <v>139</v>
      </c>
      <c r="G303">
        <v>25</v>
      </c>
      <c r="H303">
        <v>8</v>
      </c>
      <c r="I303">
        <v>9</v>
      </c>
      <c r="J303">
        <v>1.25</v>
      </c>
    </row>
    <row r="304" spans="1:10" x14ac:dyDescent="0.25">
      <c r="A304" t="s">
        <v>464</v>
      </c>
      <c r="B304">
        <v>4</v>
      </c>
      <c r="C304" t="s">
        <v>97</v>
      </c>
      <c r="D304" t="s">
        <v>468</v>
      </c>
      <c r="E304">
        <v>15900</v>
      </c>
      <c r="F304" t="s">
        <v>139</v>
      </c>
      <c r="G304">
        <v>25</v>
      </c>
      <c r="H304">
        <v>8</v>
      </c>
      <c r="I304">
        <v>9</v>
      </c>
      <c r="J304">
        <v>1.25</v>
      </c>
    </row>
    <row r="305" spans="1:10" x14ac:dyDescent="0.25">
      <c r="A305" t="s">
        <v>464</v>
      </c>
      <c r="B305">
        <v>4</v>
      </c>
      <c r="C305" t="s">
        <v>97</v>
      </c>
      <c r="D305" t="s">
        <v>469</v>
      </c>
      <c r="E305">
        <v>15900</v>
      </c>
      <c r="F305" t="s">
        <v>139</v>
      </c>
      <c r="G305">
        <v>25</v>
      </c>
      <c r="H305">
        <v>8</v>
      </c>
      <c r="I305">
        <v>9</v>
      </c>
      <c r="J305">
        <v>1.25</v>
      </c>
    </row>
    <row r="306" spans="1:10" x14ac:dyDescent="0.25">
      <c r="A306" t="s">
        <v>464</v>
      </c>
      <c r="B306">
        <v>3</v>
      </c>
      <c r="C306" t="s">
        <v>97</v>
      </c>
      <c r="D306" t="s">
        <v>470</v>
      </c>
      <c r="E306">
        <v>15900</v>
      </c>
      <c r="F306" t="s">
        <v>139</v>
      </c>
      <c r="G306">
        <v>20</v>
      </c>
      <c r="H306">
        <v>8</v>
      </c>
      <c r="I306">
        <v>9</v>
      </c>
      <c r="J306">
        <v>1.25</v>
      </c>
    </row>
    <row r="307" spans="1:10" x14ac:dyDescent="0.25">
      <c r="A307" t="s">
        <v>464</v>
      </c>
      <c r="B307">
        <v>4</v>
      </c>
      <c r="C307" t="s">
        <v>97</v>
      </c>
      <c r="D307" t="s">
        <v>471</v>
      </c>
      <c r="E307">
        <v>15900</v>
      </c>
      <c r="F307" t="s">
        <v>139</v>
      </c>
      <c r="G307">
        <v>27</v>
      </c>
      <c r="H307">
        <v>8</v>
      </c>
      <c r="I307">
        <v>9</v>
      </c>
      <c r="J307">
        <v>1.25</v>
      </c>
    </row>
    <row r="308" spans="1:10" x14ac:dyDescent="0.25">
      <c r="A308" t="s">
        <v>464</v>
      </c>
      <c r="B308">
        <v>3</v>
      </c>
      <c r="C308" t="s">
        <v>97</v>
      </c>
      <c r="D308" t="s">
        <v>472</v>
      </c>
      <c r="E308">
        <v>15900</v>
      </c>
      <c r="F308" t="s">
        <v>139</v>
      </c>
      <c r="G308">
        <v>22</v>
      </c>
      <c r="H308">
        <v>8</v>
      </c>
      <c r="I308">
        <v>9</v>
      </c>
      <c r="J308">
        <v>1.25</v>
      </c>
    </row>
    <row r="309" spans="1:10" x14ac:dyDescent="0.25">
      <c r="A309" t="s">
        <v>464</v>
      </c>
      <c r="B309">
        <v>4</v>
      </c>
      <c r="C309" t="s">
        <v>97</v>
      </c>
      <c r="D309" t="s">
        <v>473</v>
      </c>
      <c r="E309">
        <v>15900</v>
      </c>
      <c r="F309" t="s">
        <v>139</v>
      </c>
      <c r="G309">
        <v>25</v>
      </c>
      <c r="H309">
        <v>8</v>
      </c>
      <c r="I309">
        <v>9</v>
      </c>
      <c r="J309">
        <v>1.25</v>
      </c>
    </row>
    <row r="310" spans="1:10" x14ac:dyDescent="0.25">
      <c r="A310" t="s">
        <v>464</v>
      </c>
      <c r="B310">
        <v>4</v>
      </c>
      <c r="C310" t="s">
        <v>97</v>
      </c>
      <c r="D310" t="s">
        <v>474</v>
      </c>
      <c r="E310">
        <v>15900</v>
      </c>
      <c r="F310" t="s">
        <v>139</v>
      </c>
      <c r="G310">
        <v>30</v>
      </c>
      <c r="H310">
        <v>8</v>
      </c>
      <c r="I310">
        <v>9</v>
      </c>
      <c r="J310">
        <v>1.25</v>
      </c>
    </row>
    <row r="311" spans="1:10" x14ac:dyDescent="0.25">
      <c r="A311" t="s">
        <v>464</v>
      </c>
      <c r="B311">
        <v>4</v>
      </c>
      <c r="C311" t="s">
        <v>97</v>
      </c>
      <c r="D311" t="s">
        <v>475</v>
      </c>
      <c r="E311">
        <v>15900</v>
      </c>
      <c r="F311" t="s">
        <v>139</v>
      </c>
      <c r="G311">
        <v>30</v>
      </c>
      <c r="H311">
        <v>8</v>
      </c>
      <c r="I311">
        <v>9</v>
      </c>
      <c r="J311">
        <v>1.25</v>
      </c>
    </row>
    <row r="312" spans="1:10" x14ac:dyDescent="0.25">
      <c r="A312" t="s">
        <v>464</v>
      </c>
      <c r="B312">
        <v>4</v>
      </c>
      <c r="C312" t="s">
        <v>97</v>
      </c>
      <c r="D312" t="s">
        <v>476</v>
      </c>
      <c r="E312">
        <v>15900</v>
      </c>
      <c r="F312" t="s">
        <v>139</v>
      </c>
      <c r="G312">
        <v>30</v>
      </c>
      <c r="H312">
        <v>8</v>
      </c>
      <c r="I312">
        <v>9</v>
      </c>
      <c r="J312">
        <v>1.25</v>
      </c>
    </row>
    <row r="313" spans="1:10" x14ac:dyDescent="0.25">
      <c r="A313" t="s">
        <v>464</v>
      </c>
      <c r="B313">
        <v>3</v>
      </c>
      <c r="C313" t="s">
        <v>97</v>
      </c>
      <c r="D313" t="s">
        <v>477</v>
      </c>
      <c r="E313">
        <v>15900</v>
      </c>
      <c r="F313" t="s">
        <v>139</v>
      </c>
      <c r="G313">
        <v>25</v>
      </c>
      <c r="H313">
        <v>8</v>
      </c>
      <c r="I313">
        <v>9</v>
      </c>
      <c r="J313">
        <v>1.25</v>
      </c>
    </row>
    <row r="314" spans="1:10" x14ac:dyDescent="0.25">
      <c r="A314" t="s">
        <v>464</v>
      </c>
      <c r="B314">
        <v>3</v>
      </c>
      <c r="C314" t="s">
        <v>97</v>
      </c>
      <c r="D314" t="s">
        <v>478</v>
      </c>
      <c r="E314">
        <v>15900</v>
      </c>
      <c r="F314" t="s">
        <v>139</v>
      </c>
      <c r="G314">
        <v>25</v>
      </c>
      <c r="H314">
        <v>8</v>
      </c>
      <c r="I314">
        <v>9</v>
      </c>
      <c r="J314">
        <v>1.25</v>
      </c>
    </row>
    <row r="315" spans="1:10" x14ac:dyDescent="0.25">
      <c r="A315" t="s">
        <v>464</v>
      </c>
      <c r="B315">
        <v>1</v>
      </c>
      <c r="C315" t="s">
        <v>97</v>
      </c>
      <c r="D315" t="s">
        <v>479</v>
      </c>
      <c r="E315">
        <v>15900</v>
      </c>
      <c r="F315" t="s">
        <v>139</v>
      </c>
      <c r="G315">
        <v>25</v>
      </c>
      <c r="H315">
        <v>8</v>
      </c>
      <c r="I315">
        <v>9</v>
      </c>
      <c r="J315">
        <v>1.25</v>
      </c>
    </row>
    <row r="316" spans="1:10" x14ac:dyDescent="0.25">
      <c r="A316" t="s">
        <v>464</v>
      </c>
      <c r="B316">
        <v>3</v>
      </c>
      <c r="C316" t="s">
        <v>97</v>
      </c>
      <c r="D316" t="s">
        <v>480</v>
      </c>
      <c r="E316">
        <v>15900</v>
      </c>
      <c r="F316" t="s">
        <v>139</v>
      </c>
      <c r="G316">
        <v>25</v>
      </c>
      <c r="H316">
        <v>8</v>
      </c>
      <c r="I316">
        <v>9</v>
      </c>
      <c r="J316">
        <v>1.25</v>
      </c>
    </row>
    <row r="317" spans="1:10" x14ac:dyDescent="0.25">
      <c r="A317" t="s">
        <v>464</v>
      </c>
      <c r="B317">
        <v>3</v>
      </c>
      <c r="C317" t="s">
        <v>97</v>
      </c>
      <c r="D317" t="s">
        <v>481</v>
      </c>
      <c r="E317">
        <v>15900</v>
      </c>
      <c r="F317" t="s">
        <v>139</v>
      </c>
      <c r="G317">
        <v>27</v>
      </c>
      <c r="H317">
        <v>8</v>
      </c>
      <c r="I317">
        <v>9</v>
      </c>
      <c r="J317">
        <v>1.25</v>
      </c>
    </row>
    <row r="318" spans="1:10" x14ac:dyDescent="0.25">
      <c r="A318" t="s">
        <v>464</v>
      </c>
      <c r="B318">
        <v>3</v>
      </c>
      <c r="C318" t="s">
        <v>97</v>
      </c>
      <c r="D318" t="s">
        <v>482</v>
      </c>
      <c r="E318">
        <v>15900</v>
      </c>
      <c r="F318" t="s">
        <v>139</v>
      </c>
      <c r="G318">
        <v>27</v>
      </c>
      <c r="H318">
        <v>8</v>
      </c>
      <c r="I318">
        <v>9</v>
      </c>
      <c r="J318">
        <v>1.25</v>
      </c>
    </row>
    <row r="319" spans="1:10" x14ac:dyDescent="0.25">
      <c r="A319" t="s">
        <v>464</v>
      </c>
      <c r="B319">
        <v>3</v>
      </c>
      <c r="C319" t="s">
        <v>97</v>
      </c>
      <c r="D319" t="s">
        <v>483</v>
      </c>
      <c r="E319">
        <v>15900</v>
      </c>
      <c r="F319" t="s">
        <v>139</v>
      </c>
      <c r="G319">
        <v>27</v>
      </c>
      <c r="H319">
        <v>8</v>
      </c>
      <c r="I319">
        <v>9</v>
      </c>
      <c r="J319">
        <v>1.25</v>
      </c>
    </row>
    <row r="320" spans="1:10" x14ac:dyDescent="0.25">
      <c r="A320" t="s">
        <v>464</v>
      </c>
      <c r="B320">
        <v>4</v>
      </c>
      <c r="C320" t="s">
        <v>97</v>
      </c>
      <c r="D320" t="s">
        <v>484</v>
      </c>
      <c r="E320">
        <v>15900</v>
      </c>
      <c r="F320" t="s">
        <v>139</v>
      </c>
      <c r="G320">
        <v>33</v>
      </c>
      <c r="H320">
        <v>8</v>
      </c>
      <c r="I320">
        <v>9</v>
      </c>
      <c r="J320">
        <v>1.25</v>
      </c>
    </row>
    <row r="321" spans="1:10" x14ac:dyDescent="0.25">
      <c r="A321" t="s">
        <v>464</v>
      </c>
      <c r="B321">
        <v>4</v>
      </c>
      <c r="C321" t="s">
        <v>97</v>
      </c>
      <c r="D321" t="s">
        <v>485</v>
      </c>
      <c r="E321">
        <v>15900</v>
      </c>
      <c r="F321" t="s">
        <v>139</v>
      </c>
      <c r="G321">
        <v>33</v>
      </c>
      <c r="H321">
        <v>8</v>
      </c>
      <c r="I321">
        <v>9</v>
      </c>
      <c r="J321">
        <v>1.25</v>
      </c>
    </row>
    <row r="322" spans="1:10" x14ac:dyDescent="0.25">
      <c r="A322" t="s">
        <v>464</v>
      </c>
      <c r="B322">
        <v>4</v>
      </c>
      <c r="C322" t="s">
        <v>97</v>
      </c>
      <c r="D322" t="s">
        <v>486</v>
      </c>
      <c r="E322">
        <v>15900</v>
      </c>
      <c r="F322" t="s">
        <v>139</v>
      </c>
      <c r="G322">
        <v>33</v>
      </c>
      <c r="H322">
        <v>8</v>
      </c>
      <c r="I322">
        <v>9</v>
      </c>
      <c r="J322">
        <v>1.25</v>
      </c>
    </row>
    <row r="323" spans="1:10" x14ac:dyDescent="0.25">
      <c r="A323" t="s">
        <v>464</v>
      </c>
      <c r="B323">
        <v>3</v>
      </c>
      <c r="C323" t="s">
        <v>97</v>
      </c>
      <c r="D323" t="s">
        <v>487</v>
      </c>
      <c r="E323">
        <v>15900</v>
      </c>
      <c r="F323" t="s">
        <v>139</v>
      </c>
      <c r="G323">
        <v>28</v>
      </c>
      <c r="H323">
        <v>8</v>
      </c>
      <c r="I323">
        <v>9</v>
      </c>
      <c r="J323">
        <v>1.25</v>
      </c>
    </row>
    <row r="324" spans="1:10" x14ac:dyDescent="0.25">
      <c r="A324" t="s">
        <v>464</v>
      </c>
      <c r="B324">
        <v>4</v>
      </c>
      <c r="C324" t="s">
        <v>97</v>
      </c>
      <c r="D324" t="s">
        <v>488</v>
      </c>
      <c r="E324">
        <v>15900</v>
      </c>
      <c r="F324" t="s">
        <v>139</v>
      </c>
      <c r="G324">
        <v>30</v>
      </c>
      <c r="H324">
        <v>8</v>
      </c>
      <c r="I324">
        <v>9</v>
      </c>
      <c r="J324">
        <v>1.25</v>
      </c>
    </row>
    <row r="325" spans="1:10" x14ac:dyDescent="0.25">
      <c r="A325" t="s">
        <v>464</v>
      </c>
      <c r="B325">
        <v>4</v>
      </c>
      <c r="C325" t="s">
        <v>97</v>
      </c>
      <c r="D325" t="s">
        <v>489</v>
      </c>
      <c r="E325">
        <v>15900</v>
      </c>
      <c r="F325" t="s">
        <v>139</v>
      </c>
      <c r="G325">
        <v>35</v>
      </c>
      <c r="H325">
        <v>8</v>
      </c>
      <c r="I325">
        <v>9</v>
      </c>
      <c r="J325">
        <v>1.25</v>
      </c>
    </row>
    <row r="326" spans="1:10" x14ac:dyDescent="0.25">
      <c r="A326" t="s">
        <v>464</v>
      </c>
      <c r="B326">
        <v>4</v>
      </c>
      <c r="C326" t="s">
        <v>97</v>
      </c>
      <c r="D326" t="s">
        <v>490</v>
      </c>
      <c r="E326">
        <v>15900</v>
      </c>
      <c r="F326" t="s">
        <v>139</v>
      </c>
      <c r="G326">
        <v>35</v>
      </c>
      <c r="H326">
        <v>8</v>
      </c>
      <c r="I326">
        <v>9</v>
      </c>
      <c r="J326">
        <v>1.25</v>
      </c>
    </row>
    <row r="327" spans="1:10" x14ac:dyDescent="0.25">
      <c r="A327" t="s">
        <v>464</v>
      </c>
      <c r="B327">
        <v>3</v>
      </c>
      <c r="C327" t="s">
        <v>97</v>
      </c>
      <c r="D327" t="s">
        <v>491</v>
      </c>
      <c r="E327">
        <v>15900</v>
      </c>
      <c r="F327" t="s">
        <v>139</v>
      </c>
      <c r="G327">
        <v>30</v>
      </c>
      <c r="H327">
        <v>8</v>
      </c>
      <c r="I327">
        <v>9</v>
      </c>
      <c r="J327">
        <v>1.25</v>
      </c>
    </row>
    <row r="328" spans="1:10" x14ac:dyDescent="0.25">
      <c r="A328" t="s">
        <v>464</v>
      </c>
      <c r="B328">
        <v>3</v>
      </c>
      <c r="C328" t="s">
        <v>97</v>
      </c>
      <c r="D328" t="s">
        <v>492</v>
      </c>
      <c r="E328">
        <v>15900</v>
      </c>
      <c r="F328" t="s">
        <v>139</v>
      </c>
      <c r="G328">
        <v>30</v>
      </c>
      <c r="H328">
        <v>8</v>
      </c>
      <c r="I328">
        <v>9</v>
      </c>
      <c r="J328">
        <v>1.25</v>
      </c>
    </row>
    <row r="329" spans="1:10" x14ac:dyDescent="0.25">
      <c r="A329" t="s">
        <v>464</v>
      </c>
      <c r="B329">
        <v>1</v>
      </c>
      <c r="C329" t="s">
        <v>97</v>
      </c>
      <c r="D329" t="s">
        <v>493</v>
      </c>
      <c r="E329">
        <v>15900</v>
      </c>
      <c r="F329" t="s">
        <v>139</v>
      </c>
      <c r="G329">
        <v>30</v>
      </c>
      <c r="H329">
        <v>8</v>
      </c>
      <c r="I329">
        <v>9</v>
      </c>
      <c r="J329">
        <v>1.25</v>
      </c>
    </row>
    <row r="330" spans="1:10" x14ac:dyDescent="0.25">
      <c r="A330" t="s">
        <v>464</v>
      </c>
      <c r="B330">
        <v>3</v>
      </c>
      <c r="C330" t="s">
        <v>97</v>
      </c>
      <c r="D330" t="s">
        <v>494</v>
      </c>
      <c r="E330">
        <v>15900</v>
      </c>
      <c r="F330" t="s">
        <v>139</v>
      </c>
      <c r="G330">
        <v>30</v>
      </c>
      <c r="H330">
        <v>8</v>
      </c>
      <c r="I330">
        <v>9</v>
      </c>
      <c r="J330">
        <v>1.25</v>
      </c>
    </row>
    <row r="331" spans="1:10" x14ac:dyDescent="0.25">
      <c r="A331" t="s">
        <v>464</v>
      </c>
      <c r="B331">
        <v>3</v>
      </c>
      <c r="C331" t="s">
        <v>97</v>
      </c>
      <c r="D331" t="s">
        <v>495</v>
      </c>
      <c r="E331">
        <v>15900</v>
      </c>
      <c r="F331" t="s">
        <v>139</v>
      </c>
      <c r="G331">
        <v>33</v>
      </c>
      <c r="H331">
        <v>8</v>
      </c>
      <c r="I331">
        <v>9</v>
      </c>
      <c r="J331">
        <v>1.25</v>
      </c>
    </row>
    <row r="332" spans="1:10" x14ac:dyDescent="0.25">
      <c r="A332" t="s">
        <v>464</v>
      </c>
      <c r="B332">
        <v>3</v>
      </c>
      <c r="C332" t="s">
        <v>97</v>
      </c>
      <c r="D332" t="s">
        <v>496</v>
      </c>
      <c r="E332">
        <v>15900</v>
      </c>
      <c r="F332" t="s">
        <v>139</v>
      </c>
      <c r="G332">
        <v>33</v>
      </c>
      <c r="H332">
        <v>8</v>
      </c>
      <c r="I332">
        <v>9</v>
      </c>
      <c r="J332">
        <v>1.25</v>
      </c>
    </row>
    <row r="333" spans="1:10" x14ac:dyDescent="0.25">
      <c r="A333" t="s">
        <v>464</v>
      </c>
      <c r="B333">
        <v>1</v>
      </c>
      <c r="C333" t="s">
        <v>97</v>
      </c>
      <c r="D333" t="s">
        <v>497</v>
      </c>
      <c r="E333">
        <v>15900</v>
      </c>
      <c r="F333" t="s">
        <v>139</v>
      </c>
      <c r="G333">
        <v>33</v>
      </c>
      <c r="H333">
        <v>8</v>
      </c>
      <c r="I333">
        <v>9</v>
      </c>
      <c r="J333">
        <v>1.25</v>
      </c>
    </row>
    <row r="334" spans="1:10" x14ac:dyDescent="0.25">
      <c r="A334" t="s">
        <v>464</v>
      </c>
      <c r="B334">
        <v>4</v>
      </c>
      <c r="C334" t="s">
        <v>97</v>
      </c>
      <c r="D334" t="s">
        <v>498</v>
      </c>
      <c r="E334">
        <v>15900</v>
      </c>
      <c r="F334" t="s">
        <v>139</v>
      </c>
      <c r="G334">
        <v>40</v>
      </c>
      <c r="H334">
        <v>8</v>
      </c>
      <c r="I334">
        <v>9</v>
      </c>
      <c r="J334">
        <v>1.25</v>
      </c>
    </row>
    <row r="335" spans="1:10" x14ac:dyDescent="0.25">
      <c r="A335" t="s">
        <v>464</v>
      </c>
      <c r="B335">
        <v>4</v>
      </c>
      <c r="C335" t="s">
        <v>97</v>
      </c>
      <c r="D335" t="s">
        <v>499</v>
      </c>
      <c r="E335">
        <v>15900</v>
      </c>
      <c r="F335" t="s">
        <v>139</v>
      </c>
      <c r="G335">
        <v>40</v>
      </c>
      <c r="H335">
        <v>8</v>
      </c>
      <c r="I335">
        <v>9</v>
      </c>
      <c r="J335">
        <v>1.25</v>
      </c>
    </row>
    <row r="336" spans="1:10" x14ac:dyDescent="0.25">
      <c r="A336" t="s">
        <v>464</v>
      </c>
      <c r="B336">
        <v>3</v>
      </c>
      <c r="C336" t="s">
        <v>97</v>
      </c>
      <c r="D336" t="s">
        <v>500</v>
      </c>
      <c r="E336">
        <v>15900</v>
      </c>
      <c r="F336" t="s">
        <v>139</v>
      </c>
      <c r="G336">
        <v>35</v>
      </c>
      <c r="H336">
        <v>8</v>
      </c>
      <c r="I336">
        <v>9</v>
      </c>
      <c r="J336">
        <v>1.25</v>
      </c>
    </row>
    <row r="337" spans="1:10" x14ac:dyDescent="0.25">
      <c r="A337" t="s">
        <v>464</v>
      </c>
      <c r="B337">
        <v>3</v>
      </c>
      <c r="C337" t="s">
        <v>97</v>
      </c>
      <c r="D337" t="s">
        <v>501</v>
      </c>
      <c r="E337">
        <v>15900</v>
      </c>
      <c r="F337" t="s">
        <v>139</v>
      </c>
      <c r="G337">
        <v>35</v>
      </c>
      <c r="H337">
        <v>8</v>
      </c>
      <c r="I337">
        <v>9</v>
      </c>
      <c r="J337">
        <v>1.25</v>
      </c>
    </row>
    <row r="338" spans="1:10" x14ac:dyDescent="0.25">
      <c r="A338" t="s">
        <v>464</v>
      </c>
      <c r="B338">
        <v>3</v>
      </c>
      <c r="C338" t="s">
        <v>97</v>
      </c>
      <c r="D338" t="s">
        <v>502</v>
      </c>
      <c r="E338">
        <v>15900</v>
      </c>
      <c r="F338" t="s">
        <v>139</v>
      </c>
      <c r="G338">
        <v>35</v>
      </c>
      <c r="H338">
        <v>8</v>
      </c>
      <c r="I338">
        <v>9</v>
      </c>
      <c r="J338">
        <v>1.25</v>
      </c>
    </row>
    <row r="339" spans="1:10" x14ac:dyDescent="0.25">
      <c r="A339" t="s">
        <v>464</v>
      </c>
      <c r="B339">
        <v>4</v>
      </c>
      <c r="C339" t="s">
        <v>97</v>
      </c>
      <c r="D339" t="s">
        <v>503</v>
      </c>
      <c r="E339">
        <v>15900</v>
      </c>
      <c r="F339" t="s">
        <v>139</v>
      </c>
      <c r="G339">
        <v>36</v>
      </c>
      <c r="H339">
        <v>8</v>
      </c>
      <c r="I339">
        <v>9</v>
      </c>
      <c r="J339">
        <v>1.25</v>
      </c>
    </row>
    <row r="340" spans="1:10" x14ac:dyDescent="0.25">
      <c r="A340" t="s">
        <v>464</v>
      </c>
      <c r="B340">
        <v>4</v>
      </c>
      <c r="C340" t="s">
        <v>97</v>
      </c>
      <c r="D340" t="s">
        <v>504</v>
      </c>
      <c r="E340">
        <v>15900</v>
      </c>
      <c r="F340" t="s">
        <v>139</v>
      </c>
      <c r="G340">
        <v>40</v>
      </c>
      <c r="H340">
        <v>8</v>
      </c>
      <c r="I340">
        <v>9</v>
      </c>
      <c r="J340">
        <v>1.25</v>
      </c>
    </row>
    <row r="341" spans="1:10" x14ac:dyDescent="0.25">
      <c r="A341" t="s">
        <v>464</v>
      </c>
      <c r="B341">
        <v>4</v>
      </c>
      <c r="C341" t="s">
        <v>97</v>
      </c>
      <c r="D341" t="s">
        <v>505</v>
      </c>
      <c r="E341">
        <v>15900</v>
      </c>
      <c r="F341" t="s">
        <v>139</v>
      </c>
      <c r="G341">
        <v>40</v>
      </c>
      <c r="H341">
        <v>8</v>
      </c>
      <c r="I341">
        <v>9</v>
      </c>
      <c r="J341">
        <v>1.25</v>
      </c>
    </row>
    <row r="342" spans="1:10" x14ac:dyDescent="0.25">
      <c r="A342" t="s">
        <v>464</v>
      </c>
      <c r="B342">
        <v>3</v>
      </c>
      <c r="C342" t="s">
        <v>97</v>
      </c>
      <c r="D342" t="s">
        <v>506</v>
      </c>
      <c r="E342">
        <v>15900</v>
      </c>
      <c r="F342" t="s">
        <v>139</v>
      </c>
      <c r="G342">
        <v>40</v>
      </c>
      <c r="H342">
        <v>8</v>
      </c>
      <c r="I342">
        <v>9</v>
      </c>
      <c r="J342">
        <v>1.25</v>
      </c>
    </row>
    <row r="343" spans="1:10" x14ac:dyDescent="0.25">
      <c r="A343" t="s">
        <v>464</v>
      </c>
      <c r="B343">
        <v>1</v>
      </c>
      <c r="C343" t="s">
        <v>97</v>
      </c>
      <c r="D343" t="s">
        <v>507</v>
      </c>
      <c r="E343">
        <v>15900</v>
      </c>
      <c r="F343" t="s">
        <v>139</v>
      </c>
      <c r="G343">
        <v>40</v>
      </c>
      <c r="H343">
        <v>8</v>
      </c>
      <c r="I343">
        <v>9</v>
      </c>
      <c r="J343">
        <v>1.25</v>
      </c>
    </row>
    <row r="344" spans="1:10" x14ac:dyDescent="0.25">
      <c r="A344" t="s">
        <v>464</v>
      </c>
      <c r="B344">
        <v>3</v>
      </c>
      <c r="C344" t="s">
        <v>97</v>
      </c>
      <c r="D344" t="s">
        <v>508</v>
      </c>
      <c r="E344">
        <v>15900</v>
      </c>
      <c r="F344" t="s">
        <v>139</v>
      </c>
      <c r="G344">
        <v>40</v>
      </c>
      <c r="H344">
        <v>8</v>
      </c>
      <c r="I344">
        <v>9</v>
      </c>
      <c r="J344">
        <v>1.25</v>
      </c>
    </row>
    <row r="345" spans="1:10" x14ac:dyDescent="0.25">
      <c r="A345" t="s">
        <v>464</v>
      </c>
      <c r="B345">
        <v>3</v>
      </c>
      <c r="C345" t="s">
        <v>97</v>
      </c>
      <c r="D345" t="s">
        <v>509</v>
      </c>
      <c r="E345">
        <v>15900</v>
      </c>
      <c r="F345" t="s">
        <v>139</v>
      </c>
      <c r="G345">
        <v>40</v>
      </c>
      <c r="H345">
        <v>8</v>
      </c>
      <c r="I345">
        <v>9</v>
      </c>
      <c r="J345">
        <v>1.25</v>
      </c>
    </row>
    <row r="346" spans="1:10" x14ac:dyDescent="0.25">
      <c r="A346" t="s">
        <v>464</v>
      </c>
      <c r="B346">
        <v>4</v>
      </c>
      <c r="C346" t="s">
        <v>100</v>
      </c>
      <c r="D346" t="s">
        <v>510</v>
      </c>
      <c r="E346">
        <v>17500</v>
      </c>
      <c r="F346" t="s">
        <v>139</v>
      </c>
      <c r="G346">
        <v>20</v>
      </c>
      <c r="H346">
        <v>8</v>
      </c>
      <c r="I346">
        <v>9</v>
      </c>
      <c r="J346">
        <v>1.25</v>
      </c>
    </row>
    <row r="347" spans="1:10" x14ac:dyDescent="0.25">
      <c r="A347" t="s">
        <v>464</v>
      </c>
      <c r="B347">
        <v>4</v>
      </c>
      <c r="C347" t="s">
        <v>100</v>
      </c>
      <c r="D347" t="s">
        <v>511</v>
      </c>
      <c r="E347">
        <v>17500</v>
      </c>
      <c r="F347" t="s">
        <v>139</v>
      </c>
      <c r="G347">
        <v>25</v>
      </c>
      <c r="H347">
        <v>8</v>
      </c>
      <c r="I347">
        <v>9</v>
      </c>
      <c r="J347">
        <v>1.25</v>
      </c>
    </row>
    <row r="348" spans="1:10" x14ac:dyDescent="0.25">
      <c r="A348" t="s">
        <v>464</v>
      </c>
      <c r="B348">
        <v>4</v>
      </c>
      <c r="C348" t="s">
        <v>100</v>
      </c>
      <c r="D348" t="s">
        <v>512</v>
      </c>
      <c r="E348">
        <v>17500</v>
      </c>
      <c r="F348" t="s">
        <v>139</v>
      </c>
      <c r="G348">
        <v>25</v>
      </c>
      <c r="H348">
        <v>8</v>
      </c>
      <c r="I348">
        <v>9</v>
      </c>
      <c r="J348">
        <v>1.25</v>
      </c>
    </row>
    <row r="349" spans="1:10" x14ac:dyDescent="0.25">
      <c r="A349" t="s">
        <v>464</v>
      </c>
      <c r="B349">
        <v>3</v>
      </c>
      <c r="C349" t="s">
        <v>100</v>
      </c>
      <c r="D349" t="s">
        <v>513</v>
      </c>
      <c r="E349">
        <v>17500</v>
      </c>
      <c r="F349" t="s">
        <v>139</v>
      </c>
      <c r="G349">
        <v>20</v>
      </c>
      <c r="H349">
        <v>8</v>
      </c>
      <c r="I349">
        <v>9</v>
      </c>
      <c r="J349">
        <v>1.25</v>
      </c>
    </row>
    <row r="350" spans="1:10" x14ac:dyDescent="0.25">
      <c r="A350" t="s">
        <v>464</v>
      </c>
      <c r="B350">
        <v>4</v>
      </c>
      <c r="C350" t="s">
        <v>100</v>
      </c>
      <c r="D350" t="s">
        <v>514</v>
      </c>
      <c r="E350">
        <v>17500</v>
      </c>
      <c r="F350" t="s">
        <v>139</v>
      </c>
      <c r="G350">
        <v>22</v>
      </c>
      <c r="H350">
        <v>8</v>
      </c>
      <c r="I350">
        <v>9</v>
      </c>
      <c r="J350">
        <v>1.25</v>
      </c>
    </row>
    <row r="351" spans="1:10" x14ac:dyDescent="0.25">
      <c r="A351" t="s">
        <v>464</v>
      </c>
      <c r="B351">
        <v>4</v>
      </c>
      <c r="C351" t="s">
        <v>100</v>
      </c>
      <c r="D351" t="s">
        <v>515</v>
      </c>
      <c r="E351">
        <v>17500</v>
      </c>
      <c r="F351" t="s">
        <v>139</v>
      </c>
      <c r="G351">
        <v>27</v>
      </c>
      <c r="H351">
        <v>8</v>
      </c>
      <c r="I351">
        <v>9</v>
      </c>
      <c r="J351">
        <v>1.25</v>
      </c>
    </row>
    <row r="352" spans="1:10" x14ac:dyDescent="0.25">
      <c r="A352" t="s">
        <v>464</v>
      </c>
      <c r="B352">
        <v>3</v>
      </c>
      <c r="C352" t="s">
        <v>100</v>
      </c>
      <c r="D352" t="s">
        <v>516</v>
      </c>
      <c r="E352">
        <v>17500</v>
      </c>
      <c r="F352" t="s">
        <v>139</v>
      </c>
      <c r="G352">
        <v>22</v>
      </c>
      <c r="H352">
        <v>8</v>
      </c>
      <c r="I352">
        <v>9</v>
      </c>
      <c r="J352">
        <v>1.25</v>
      </c>
    </row>
    <row r="353" spans="1:10" x14ac:dyDescent="0.25">
      <c r="A353" t="s">
        <v>464</v>
      </c>
      <c r="B353">
        <v>4</v>
      </c>
      <c r="C353" t="s">
        <v>100</v>
      </c>
      <c r="D353" t="s">
        <v>517</v>
      </c>
      <c r="E353">
        <v>17500</v>
      </c>
      <c r="F353" t="s">
        <v>139</v>
      </c>
      <c r="G353">
        <v>25</v>
      </c>
      <c r="H353">
        <v>8</v>
      </c>
      <c r="I353">
        <v>9</v>
      </c>
      <c r="J353">
        <v>1.25</v>
      </c>
    </row>
    <row r="354" spans="1:10" x14ac:dyDescent="0.25">
      <c r="A354" t="s">
        <v>464</v>
      </c>
      <c r="B354">
        <v>4</v>
      </c>
      <c r="C354" t="s">
        <v>100</v>
      </c>
      <c r="D354" t="s">
        <v>518</v>
      </c>
      <c r="E354">
        <v>17500</v>
      </c>
      <c r="F354" t="s">
        <v>139</v>
      </c>
      <c r="G354">
        <v>30</v>
      </c>
      <c r="H354">
        <v>8</v>
      </c>
      <c r="I354">
        <v>9</v>
      </c>
      <c r="J354">
        <v>1.25</v>
      </c>
    </row>
    <row r="355" spans="1:10" x14ac:dyDescent="0.25">
      <c r="A355" t="s">
        <v>464</v>
      </c>
      <c r="B355">
        <v>4</v>
      </c>
      <c r="C355" t="s">
        <v>100</v>
      </c>
      <c r="D355" t="s">
        <v>519</v>
      </c>
      <c r="E355">
        <v>17500</v>
      </c>
      <c r="F355" t="s">
        <v>139</v>
      </c>
      <c r="G355">
        <v>30</v>
      </c>
      <c r="H355">
        <v>8</v>
      </c>
      <c r="I355">
        <v>9</v>
      </c>
      <c r="J355">
        <v>1.25</v>
      </c>
    </row>
    <row r="356" spans="1:10" x14ac:dyDescent="0.25">
      <c r="A356" t="s">
        <v>464</v>
      </c>
      <c r="B356">
        <v>3</v>
      </c>
      <c r="C356" t="s">
        <v>100</v>
      </c>
      <c r="D356" t="s">
        <v>520</v>
      </c>
      <c r="E356">
        <v>17500</v>
      </c>
      <c r="F356" t="s">
        <v>139</v>
      </c>
      <c r="G356">
        <v>25</v>
      </c>
      <c r="H356">
        <v>8</v>
      </c>
      <c r="I356">
        <v>9</v>
      </c>
      <c r="J356">
        <v>1.25</v>
      </c>
    </row>
    <row r="357" spans="1:10" x14ac:dyDescent="0.25">
      <c r="A357" t="s">
        <v>464</v>
      </c>
      <c r="B357">
        <v>3</v>
      </c>
      <c r="C357" t="s">
        <v>100</v>
      </c>
      <c r="D357" t="s">
        <v>521</v>
      </c>
      <c r="E357">
        <v>17500</v>
      </c>
      <c r="F357" t="s">
        <v>139</v>
      </c>
      <c r="G357">
        <v>25</v>
      </c>
      <c r="H357">
        <v>8</v>
      </c>
      <c r="I357">
        <v>9</v>
      </c>
      <c r="J357">
        <v>1.25</v>
      </c>
    </row>
    <row r="358" spans="1:10" x14ac:dyDescent="0.25">
      <c r="A358" t="s">
        <v>464</v>
      </c>
      <c r="B358">
        <v>2</v>
      </c>
      <c r="C358" t="s">
        <v>100</v>
      </c>
      <c r="D358" t="s">
        <v>522</v>
      </c>
      <c r="E358">
        <v>17500</v>
      </c>
      <c r="F358" t="s">
        <v>139</v>
      </c>
      <c r="G358">
        <v>25</v>
      </c>
      <c r="H358">
        <v>8</v>
      </c>
      <c r="I358">
        <v>9</v>
      </c>
      <c r="J358">
        <v>1.25</v>
      </c>
    </row>
    <row r="359" spans="1:10" x14ac:dyDescent="0.25">
      <c r="A359" t="s">
        <v>464</v>
      </c>
      <c r="B359">
        <v>3</v>
      </c>
      <c r="C359" t="s">
        <v>100</v>
      </c>
      <c r="D359" t="s">
        <v>523</v>
      </c>
      <c r="E359">
        <v>17500</v>
      </c>
      <c r="F359" t="s">
        <v>139</v>
      </c>
      <c r="G359">
        <v>25</v>
      </c>
      <c r="H359">
        <v>8</v>
      </c>
      <c r="I359">
        <v>9</v>
      </c>
      <c r="J359">
        <v>1.25</v>
      </c>
    </row>
    <row r="360" spans="1:10" x14ac:dyDescent="0.25">
      <c r="A360" t="s">
        <v>464</v>
      </c>
      <c r="B360">
        <v>3</v>
      </c>
      <c r="C360" t="s">
        <v>100</v>
      </c>
      <c r="D360" t="s">
        <v>524</v>
      </c>
      <c r="E360">
        <v>17500</v>
      </c>
      <c r="F360" t="s">
        <v>139</v>
      </c>
      <c r="G360">
        <v>27</v>
      </c>
      <c r="H360">
        <v>8</v>
      </c>
      <c r="I360">
        <v>9</v>
      </c>
      <c r="J360">
        <v>1.25</v>
      </c>
    </row>
    <row r="361" spans="1:10" x14ac:dyDescent="0.25">
      <c r="A361" t="s">
        <v>464</v>
      </c>
      <c r="B361">
        <v>4</v>
      </c>
      <c r="C361" t="s">
        <v>100</v>
      </c>
      <c r="D361" t="s">
        <v>525</v>
      </c>
      <c r="E361">
        <v>17500</v>
      </c>
      <c r="F361" t="s">
        <v>139</v>
      </c>
      <c r="G361">
        <v>33</v>
      </c>
      <c r="H361">
        <v>8</v>
      </c>
      <c r="I361">
        <v>9</v>
      </c>
      <c r="J361">
        <v>1.25</v>
      </c>
    </row>
    <row r="362" spans="1:10" x14ac:dyDescent="0.25">
      <c r="A362" t="s">
        <v>464</v>
      </c>
      <c r="B362">
        <v>4</v>
      </c>
      <c r="C362" t="s">
        <v>100</v>
      </c>
      <c r="D362" t="s">
        <v>526</v>
      </c>
      <c r="E362">
        <v>17500</v>
      </c>
      <c r="F362" t="s">
        <v>139</v>
      </c>
      <c r="G362">
        <v>33</v>
      </c>
      <c r="H362">
        <v>8</v>
      </c>
      <c r="I362">
        <v>9</v>
      </c>
      <c r="J362">
        <v>1.25</v>
      </c>
    </row>
    <row r="363" spans="1:10" x14ac:dyDescent="0.25">
      <c r="A363" t="s">
        <v>464</v>
      </c>
      <c r="B363">
        <v>3</v>
      </c>
      <c r="C363" t="s">
        <v>100</v>
      </c>
      <c r="D363" t="s">
        <v>527</v>
      </c>
      <c r="E363">
        <v>17500</v>
      </c>
      <c r="F363" t="s">
        <v>139</v>
      </c>
      <c r="G363">
        <v>28</v>
      </c>
      <c r="H363">
        <v>8</v>
      </c>
      <c r="I363">
        <v>9</v>
      </c>
      <c r="J363">
        <v>1.25</v>
      </c>
    </row>
    <row r="364" spans="1:10" x14ac:dyDescent="0.25">
      <c r="A364" t="s">
        <v>464</v>
      </c>
      <c r="B364">
        <v>4</v>
      </c>
      <c r="C364" t="s">
        <v>100</v>
      </c>
      <c r="D364" t="s">
        <v>528</v>
      </c>
      <c r="E364">
        <v>17500</v>
      </c>
      <c r="F364" t="s">
        <v>139</v>
      </c>
      <c r="G364">
        <v>30</v>
      </c>
      <c r="H364">
        <v>8</v>
      </c>
      <c r="I364">
        <v>9</v>
      </c>
      <c r="J364">
        <v>1.25</v>
      </c>
    </row>
    <row r="365" spans="1:10" x14ac:dyDescent="0.25">
      <c r="A365" t="s">
        <v>464</v>
      </c>
      <c r="B365">
        <v>4</v>
      </c>
      <c r="C365" t="s">
        <v>100</v>
      </c>
      <c r="D365" t="s">
        <v>529</v>
      </c>
      <c r="E365">
        <v>17500</v>
      </c>
      <c r="F365" t="s">
        <v>139</v>
      </c>
      <c r="G365">
        <v>35</v>
      </c>
      <c r="H365">
        <v>8</v>
      </c>
      <c r="I365">
        <v>9</v>
      </c>
      <c r="J365">
        <v>1.25</v>
      </c>
    </row>
    <row r="366" spans="1:10" x14ac:dyDescent="0.25">
      <c r="A366" t="s">
        <v>464</v>
      </c>
      <c r="B366">
        <v>4</v>
      </c>
      <c r="C366" t="s">
        <v>100</v>
      </c>
      <c r="D366" t="s">
        <v>530</v>
      </c>
      <c r="E366">
        <v>17500</v>
      </c>
      <c r="F366" t="s">
        <v>139</v>
      </c>
      <c r="G366">
        <v>35</v>
      </c>
      <c r="H366">
        <v>8</v>
      </c>
      <c r="I366">
        <v>9</v>
      </c>
      <c r="J366">
        <v>1.25</v>
      </c>
    </row>
    <row r="367" spans="1:10" x14ac:dyDescent="0.25">
      <c r="A367" t="s">
        <v>464</v>
      </c>
      <c r="B367">
        <v>3</v>
      </c>
      <c r="C367" t="s">
        <v>100</v>
      </c>
      <c r="D367" t="s">
        <v>531</v>
      </c>
      <c r="E367">
        <v>17500</v>
      </c>
      <c r="F367" t="s">
        <v>139</v>
      </c>
      <c r="G367">
        <v>30</v>
      </c>
      <c r="H367">
        <v>8</v>
      </c>
      <c r="I367">
        <v>9</v>
      </c>
      <c r="J367">
        <v>1.25</v>
      </c>
    </row>
    <row r="368" spans="1:10" x14ac:dyDescent="0.25">
      <c r="A368" t="s">
        <v>464</v>
      </c>
      <c r="B368">
        <v>3</v>
      </c>
      <c r="C368" t="s">
        <v>100</v>
      </c>
      <c r="D368" t="s">
        <v>532</v>
      </c>
      <c r="E368">
        <v>17500</v>
      </c>
      <c r="F368" t="s">
        <v>139</v>
      </c>
      <c r="G368">
        <v>30</v>
      </c>
      <c r="H368">
        <v>8</v>
      </c>
      <c r="I368">
        <v>9</v>
      </c>
      <c r="J368">
        <v>1.25</v>
      </c>
    </row>
    <row r="369" spans="1:10" x14ac:dyDescent="0.25">
      <c r="A369" t="s">
        <v>464</v>
      </c>
      <c r="B369">
        <v>2</v>
      </c>
      <c r="C369" t="s">
        <v>100</v>
      </c>
      <c r="D369" t="s">
        <v>533</v>
      </c>
      <c r="E369">
        <v>17500</v>
      </c>
      <c r="F369" t="s">
        <v>139</v>
      </c>
      <c r="G369">
        <v>30</v>
      </c>
      <c r="H369">
        <v>8</v>
      </c>
      <c r="I369">
        <v>9</v>
      </c>
      <c r="J369">
        <v>1.25</v>
      </c>
    </row>
    <row r="370" spans="1:10" x14ac:dyDescent="0.25">
      <c r="A370" t="s">
        <v>464</v>
      </c>
      <c r="B370">
        <v>3</v>
      </c>
      <c r="C370" t="s">
        <v>100</v>
      </c>
      <c r="D370" t="s">
        <v>534</v>
      </c>
      <c r="E370">
        <v>17500</v>
      </c>
      <c r="F370" t="s">
        <v>139</v>
      </c>
      <c r="G370">
        <v>30</v>
      </c>
      <c r="H370">
        <v>8</v>
      </c>
      <c r="I370">
        <v>9</v>
      </c>
      <c r="J370">
        <v>1.25</v>
      </c>
    </row>
    <row r="371" spans="1:10" x14ac:dyDescent="0.25">
      <c r="A371" t="s">
        <v>464</v>
      </c>
      <c r="B371">
        <v>3</v>
      </c>
      <c r="C371" t="s">
        <v>100</v>
      </c>
      <c r="D371" t="s">
        <v>535</v>
      </c>
      <c r="E371">
        <v>17500</v>
      </c>
      <c r="F371" t="s">
        <v>139</v>
      </c>
      <c r="G371">
        <v>33</v>
      </c>
      <c r="H371">
        <v>8</v>
      </c>
      <c r="I371">
        <v>9</v>
      </c>
      <c r="J371">
        <v>1.25</v>
      </c>
    </row>
    <row r="372" spans="1:10" x14ac:dyDescent="0.25">
      <c r="A372" t="s">
        <v>464</v>
      </c>
      <c r="B372">
        <v>3</v>
      </c>
      <c r="C372" t="s">
        <v>100</v>
      </c>
      <c r="D372" t="s">
        <v>536</v>
      </c>
      <c r="E372">
        <v>17500</v>
      </c>
      <c r="F372" t="s">
        <v>139</v>
      </c>
      <c r="G372">
        <v>33</v>
      </c>
      <c r="H372">
        <v>8</v>
      </c>
      <c r="I372">
        <v>9</v>
      </c>
      <c r="J372">
        <v>1.25</v>
      </c>
    </row>
    <row r="373" spans="1:10" x14ac:dyDescent="0.25">
      <c r="A373" t="s">
        <v>464</v>
      </c>
      <c r="B373">
        <v>3</v>
      </c>
      <c r="C373" t="s">
        <v>100</v>
      </c>
      <c r="D373" t="s">
        <v>537</v>
      </c>
      <c r="E373">
        <v>17500</v>
      </c>
      <c r="F373" t="s">
        <v>139</v>
      </c>
      <c r="G373">
        <v>33</v>
      </c>
      <c r="H373">
        <v>8</v>
      </c>
      <c r="I373">
        <v>9</v>
      </c>
      <c r="J373">
        <v>1.25</v>
      </c>
    </row>
    <row r="374" spans="1:10" x14ac:dyDescent="0.25">
      <c r="A374" t="s">
        <v>464</v>
      </c>
      <c r="B374">
        <v>4</v>
      </c>
      <c r="C374" t="s">
        <v>100</v>
      </c>
      <c r="D374" t="s">
        <v>538</v>
      </c>
      <c r="E374">
        <v>17500</v>
      </c>
      <c r="F374" t="s">
        <v>139</v>
      </c>
      <c r="G374">
        <v>35</v>
      </c>
      <c r="H374">
        <v>8</v>
      </c>
      <c r="I374">
        <v>9</v>
      </c>
      <c r="J374">
        <v>1.25</v>
      </c>
    </row>
    <row r="375" spans="1:10" x14ac:dyDescent="0.25">
      <c r="A375" t="s">
        <v>464</v>
      </c>
      <c r="B375">
        <v>4</v>
      </c>
      <c r="C375" t="s">
        <v>100</v>
      </c>
      <c r="D375" t="s">
        <v>539</v>
      </c>
      <c r="E375">
        <v>17500</v>
      </c>
      <c r="F375" t="s">
        <v>139</v>
      </c>
      <c r="G375">
        <v>40</v>
      </c>
      <c r="H375">
        <v>8</v>
      </c>
      <c r="I375">
        <v>9</v>
      </c>
      <c r="J375">
        <v>1.25</v>
      </c>
    </row>
    <row r="376" spans="1:10" x14ac:dyDescent="0.25">
      <c r="A376" t="s">
        <v>464</v>
      </c>
      <c r="B376">
        <v>4</v>
      </c>
      <c r="C376" t="s">
        <v>100</v>
      </c>
      <c r="D376" t="s">
        <v>540</v>
      </c>
      <c r="E376">
        <v>17500</v>
      </c>
      <c r="F376" t="s">
        <v>139</v>
      </c>
      <c r="G376">
        <v>40</v>
      </c>
      <c r="H376">
        <v>8</v>
      </c>
      <c r="I376">
        <v>9</v>
      </c>
      <c r="J376">
        <v>1.25</v>
      </c>
    </row>
    <row r="377" spans="1:10" x14ac:dyDescent="0.25">
      <c r="A377" t="s">
        <v>464</v>
      </c>
      <c r="B377">
        <v>4</v>
      </c>
      <c r="C377" t="s">
        <v>100</v>
      </c>
      <c r="D377" t="s">
        <v>541</v>
      </c>
      <c r="E377">
        <v>17500</v>
      </c>
      <c r="F377" t="s">
        <v>139</v>
      </c>
      <c r="G377">
        <v>40</v>
      </c>
      <c r="H377">
        <v>8</v>
      </c>
      <c r="I377">
        <v>9</v>
      </c>
      <c r="J377">
        <v>1.25</v>
      </c>
    </row>
    <row r="378" spans="1:10" x14ac:dyDescent="0.25">
      <c r="A378" t="s">
        <v>464</v>
      </c>
      <c r="B378">
        <v>3</v>
      </c>
      <c r="C378" t="s">
        <v>100</v>
      </c>
      <c r="D378" t="s">
        <v>542</v>
      </c>
      <c r="E378">
        <v>17500</v>
      </c>
      <c r="F378" t="s">
        <v>139</v>
      </c>
      <c r="G378">
        <v>35</v>
      </c>
      <c r="H378">
        <v>8</v>
      </c>
      <c r="I378">
        <v>9</v>
      </c>
      <c r="J378">
        <v>1.25</v>
      </c>
    </row>
    <row r="379" spans="1:10" x14ac:dyDescent="0.25">
      <c r="A379" t="s">
        <v>464</v>
      </c>
      <c r="B379">
        <v>3</v>
      </c>
      <c r="C379" t="s">
        <v>100</v>
      </c>
      <c r="D379" t="s">
        <v>543</v>
      </c>
      <c r="E379">
        <v>17500</v>
      </c>
      <c r="F379" t="s">
        <v>139</v>
      </c>
      <c r="G379">
        <v>35</v>
      </c>
      <c r="H379">
        <v>8</v>
      </c>
      <c r="I379">
        <v>9</v>
      </c>
      <c r="J379">
        <v>1.25</v>
      </c>
    </row>
    <row r="380" spans="1:10" x14ac:dyDescent="0.25">
      <c r="A380" t="s">
        <v>464</v>
      </c>
      <c r="B380">
        <v>3</v>
      </c>
      <c r="C380" t="s">
        <v>100</v>
      </c>
      <c r="D380" t="s">
        <v>544</v>
      </c>
      <c r="E380">
        <v>17500</v>
      </c>
      <c r="F380" t="s">
        <v>139</v>
      </c>
      <c r="G380">
        <v>35</v>
      </c>
      <c r="H380">
        <v>8</v>
      </c>
      <c r="I380">
        <v>9</v>
      </c>
      <c r="J380">
        <v>1.25</v>
      </c>
    </row>
    <row r="381" spans="1:10" x14ac:dyDescent="0.25">
      <c r="A381" t="s">
        <v>464</v>
      </c>
      <c r="B381">
        <v>3</v>
      </c>
      <c r="C381" t="s">
        <v>100</v>
      </c>
      <c r="D381" t="s">
        <v>545</v>
      </c>
      <c r="E381">
        <v>17500</v>
      </c>
      <c r="F381" t="s">
        <v>139</v>
      </c>
      <c r="G381">
        <v>35</v>
      </c>
      <c r="H381">
        <v>8</v>
      </c>
      <c r="I381">
        <v>9</v>
      </c>
      <c r="J381">
        <v>1.25</v>
      </c>
    </row>
    <row r="382" spans="1:10" x14ac:dyDescent="0.25">
      <c r="A382" t="s">
        <v>464</v>
      </c>
      <c r="B382">
        <v>4</v>
      </c>
      <c r="C382" t="s">
        <v>100</v>
      </c>
      <c r="D382" t="s">
        <v>546</v>
      </c>
      <c r="E382">
        <v>17500</v>
      </c>
      <c r="F382" t="s">
        <v>139</v>
      </c>
      <c r="G382">
        <v>36</v>
      </c>
      <c r="H382">
        <v>8</v>
      </c>
      <c r="I382">
        <v>9</v>
      </c>
      <c r="J382">
        <v>1.25</v>
      </c>
    </row>
    <row r="383" spans="1:10" x14ac:dyDescent="0.25">
      <c r="A383" t="s">
        <v>464</v>
      </c>
      <c r="B383">
        <v>4</v>
      </c>
      <c r="C383" t="s">
        <v>100</v>
      </c>
      <c r="D383" t="s">
        <v>547</v>
      </c>
      <c r="E383">
        <v>17500</v>
      </c>
      <c r="F383" t="s">
        <v>139</v>
      </c>
      <c r="G383">
        <v>40</v>
      </c>
      <c r="H383">
        <v>8</v>
      </c>
      <c r="I383">
        <v>9</v>
      </c>
      <c r="J383">
        <v>1.25</v>
      </c>
    </row>
    <row r="384" spans="1:10" x14ac:dyDescent="0.25">
      <c r="A384" t="s">
        <v>464</v>
      </c>
      <c r="B384">
        <v>4</v>
      </c>
      <c r="C384" t="s">
        <v>100</v>
      </c>
      <c r="D384" t="s">
        <v>548</v>
      </c>
      <c r="E384">
        <v>17500</v>
      </c>
      <c r="F384" t="s">
        <v>139</v>
      </c>
      <c r="G384">
        <v>40</v>
      </c>
      <c r="H384">
        <v>8</v>
      </c>
      <c r="I384">
        <v>9</v>
      </c>
      <c r="J384">
        <v>1.25</v>
      </c>
    </row>
    <row r="385" spans="1:10" x14ac:dyDescent="0.25">
      <c r="A385" t="s">
        <v>464</v>
      </c>
      <c r="B385">
        <v>3</v>
      </c>
      <c r="C385" t="s">
        <v>100</v>
      </c>
      <c r="D385" t="s">
        <v>549</v>
      </c>
      <c r="E385">
        <v>17500</v>
      </c>
      <c r="F385" t="s">
        <v>139</v>
      </c>
      <c r="G385">
        <v>40</v>
      </c>
      <c r="H385">
        <v>8</v>
      </c>
      <c r="I385">
        <v>9</v>
      </c>
      <c r="J385">
        <v>1.25</v>
      </c>
    </row>
    <row r="386" spans="1:10" x14ac:dyDescent="0.25">
      <c r="A386" t="s">
        <v>464</v>
      </c>
      <c r="B386">
        <v>3</v>
      </c>
      <c r="C386" t="s">
        <v>100</v>
      </c>
      <c r="D386" t="s">
        <v>550</v>
      </c>
      <c r="E386">
        <v>17500</v>
      </c>
      <c r="F386" t="s">
        <v>139</v>
      </c>
      <c r="G386">
        <v>40</v>
      </c>
      <c r="H386">
        <v>8</v>
      </c>
      <c r="I386">
        <v>9</v>
      </c>
      <c r="J386">
        <v>1.25</v>
      </c>
    </row>
    <row r="387" spans="1:10" x14ac:dyDescent="0.25">
      <c r="A387" t="s">
        <v>464</v>
      </c>
      <c r="B387">
        <v>1</v>
      </c>
      <c r="C387" t="s">
        <v>100</v>
      </c>
      <c r="D387" t="s">
        <v>551</v>
      </c>
      <c r="E387">
        <v>17500</v>
      </c>
      <c r="F387" t="s">
        <v>139</v>
      </c>
      <c r="G387">
        <v>40</v>
      </c>
      <c r="H387">
        <v>8</v>
      </c>
      <c r="I387">
        <v>9</v>
      </c>
      <c r="J387">
        <v>1.25</v>
      </c>
    </row>
    <row r="388" spans="1:10" x14ac:dyDescent="0.25">
      <c r="A388" t="s">
        <v>464</v>
      </c>
      <c r="B388">
        <v>3</v>
      </c>
      <c r="C388" t="s">
        <v>100</v>
      </c>
      <c r="D388" t="s">
        <v>552</v>
      </c>
      <c r="E388">
        <v>17500</v>
      </c>
      <c r="F388" t="s">
        <v>139</v>
      </c>
      <c r="G388">
        <v>40</v>
      </c>
      <c r="H388">
        <v>8</v>
      </c>
      <c r="I388">
        <v>9</v>
      </c>
      <c r="J388">
        <v>1.25</v>
      </c>
    </row>
    <row r="389" spans="1:10" x14ac:dyDescent="0.25">
      <c r="A389" t="s">
        <v>464</v>
      </c>
      <c r="B389">
        <v>3</v>
      </c>
      <c r="C389" t="s">
        <v>100</v>
      </c>
      <c r="D389" t="s">
        <v>553</v>
      </c>
      <c r="E389">
        <v>17500</v>
      </c>
      <c r="F389" t="s">
        <v>139</v>
      </c>
      <c r="G389">
        <v>40</v>
      </c>
      <c r="H389">
        <v>8</v>
      </c>
      <c r="I389">
        <v>9</v>
      </c>
      <c r="J389">
        <v>1.25</v>
      </c>
    </row>
    <row r="390" spans="1:10" x14ac:dyDescent="0.25">
      <c r="A390" t="s">
        <v>464</v>
      </c>
      <c r="B390">
        <v>4</v>
      </c>
      <c r="C390" t="s">
        <v>554</v>
      </c>
      <c r="D390" t="s">
        <v>555</v>
      </c>
      <c r="E390">
        <v>20000</v>
      </c>
      <c r="F390" t="s">
        <v>139</v>
      </c>
      <c r="G390">
        <v>25</v>
      </c>
      <c r="H390">
        <v>8</v>
      </c>
      <c r="I390">
        <v>9</v>
      </c>
      <c r="J390">
        <v>1.25</v>
      </c>
    </row>
    <row r="391" spans="1:10" x14ac:dyDescent="0.25">
      <c r="A391" t="s">
        <v>464</v>
      </c>
      <c r="B391">
        <v>4</v>
      </c>
      <c r="C391" t="s">
        <v>554</v>
      </c>
      <c r="D391" t="s">
        <v>556</v>
      </c>
      <c r="E391">
        <v>20000</v>
      </c>
      <c r="F391" t="s">
        <v>139</v>
      </c>
      <c r="G391">
        <v>25</v>
      </c>
      <c r="H391">
        <v>8</v>
      </c>
      <c r="I391">
        <v>9</v>
      </c>
      <c r="J391">
        <v>1.25</v>
      </c>
    </row>
    <row r="392" spans="1:10" x14ac:dyDescent="0.25">
      <c r="A392" t="s">
        <v>464</v>
      </c>
      <c r="B392">
        <v>4</v>
      </c>
      <c r="C392" t="s">
        <v>104</v>
      </c>
      <c r="D392" t="s">
        <v>557</v>
      </c>
      <c r="E392">
        <v>23900</v>
      </c>
      <c r="F392" t="s">
        <v>139</v>
      </c>
      <c r="G392">
        <v>20</v>
      </c>
      <c r="H392">
        <v>8</v>
      </c>
      <c r="I392">
        <v>9</v>
      </c>
      <c r="J392">
        <v>1.25</v>
      </c>
    </row>
    <row r="393" spans="1:10" x14ac:dyDescent="0.25">
      <c r="A393" t="s">
        <v>464</v>
      </c>
      <c r="B393">
        <v>4</v>
      </c>
      <c r="C393" t="s">
        <v>104</v>
      </c>
      <c r="D393" t="s">
        <v>558</v>
      </c>
      <c r="E393">
        <v>23900</v>
      </c>
      <c r="F393" t="s">
        <v>139</v>
      </c>
      <c r="G393">
        <v>25</v>
      </c>
      <c r="H393">
        <v>8</v>
      </c>
      <c r="I393">
        <v>9</v>
      </c>
      <c r="J393">
        <v>1.25</v>
      </c>
    </row>
    <row r="394" spans="1:10" x14ac:dyDescent="0.25">
      <c r="A394" t="s">
        <v>464</v>
      </c>
      <c r="B394">
        <v>4</v>
      </c>
      <c r="C394" t="s">
        <v>104</v>
      </c>
      <c r="D394" t="s">
        <v>559</v>
      </c>
      <c r="E394">
        <v>23900</v>
      </c>
      <c r="F394" t="s">
        <v>139</v>
      </c>
      <c r="G394">
        <v>25</v>
      </c>
      <c r="H394">
        <v>8</v>
      </c>
      <c r="I394">
        <v>9</v>
      </c>
      <c r="J394">
        <v>1.25</v>
      </c>
    </row>
    <row r="395" spans="1:10" x14ac:dyDescent="0.25">
      <c r="A395" t="s">
        <v>464</v>
      </c>
      <c r="B395">
        <v>3</v>
      </c>
      <c r="C395" t="s">
        <v>104</v>
      </c>
      <c r="D395" t="s">
        <v>560</v>
      </c>
      <c r="E395">
        <v>23900</v>
      </c>
      <c r="F395" t="s">
        <v>139</v>
      </c>
      <c r="G395">
        <v>20</v>
      </c>
      <c r="H395">
        <v>8</v>
      </c>
      <c r="I395">
        <v>9</v>
      </c>
      <c r="J395">
        <v>1.25</v>
      </c>
    </row>
    <row r="396" spans="1:10" x14ac:dyDescent="0.25">
      <c r="A396" t="s">
        <v>464</v>
      </c>
      <c r="B396">
        <v>4</v>
      </c>
      <c r="C396" t="s">
        <v>104</v>
      </c>
      <c r="D396" t="s">
        <v>561</v>
      </c>
      <c r="E396">
        <v>23900</v>
      </c>
      <c r="F396" t="s">
        <v>139</v>
      </c>
      <c r="G396">
        <v>30</v>
      </c>
      <c r="H396">
        <v>8</v>
      </c>
      <c r="I396">
        <v>9</v>
      </c>
      <c r="J396">
        <v>1.25</v>
      </c>
    </row>
    <row r="397" spans="1:10" x14ac:dyDescent="0.25">
      <c r="A397" t="s">
        <v>464</v>
      </c>
      <c r="B397">
        <v>4</v>
      </c>
      <c r="C397" t="s">
        <v>104</v>
      </c>
      <c r="D397" t="s">
        <v>562</v>
      </c>
      <c r="E397">
        <v>23900</v>
      </c>
      <c r="F397" t="s">
        <v>139</v>
      </c>
      <c r="G397">
        <v>30</v>
      </c>
      <c r="H397">
        <v>8</v>
      </c>
      <c r="I397">
        <v>9</v>
      </c>
      <c r="J397">
        <v>1.25</v>
      </c>
    </row>
    <row r="398" spans="1:10" x14ac:dyDescent="0.25">
      <c r="A398" t="s">
        <v>464</v>
      </c>
      <c r="B398">
        <v>4</v>
      </c>
      <c r="C398" t="s">
        <v>104</v>
      </c>
      <c r="D398" t="s">
        <v>563</v>
      </c>
      <c r="E398">
        <v>23900</v>
      </c>
      <c r="F398" t="s">
        <v>139</v>
      </c>
      <c r="G398">
        <v>30</v>
      </c>
      <c r="H398">
        <v>8</v>
      </c>
      <c r="I398">
        <v>9</v>
      </c>
      <c r="J398">
        <v>1.25</v>
      </c>
    </row>
    <row r="399" spans="1:10" x14ac:dyDescent="0.25">
      <c r="A399" t="s">
        <v>464</v>
      </c>
      <c r="B399">
        <v>3</v>
      </c>
      <c r="C399" t="s">
        <v>104</v>
      </c>
      <c r="D399" t="s">
        <v>564</v>
      </c>
      <c r="E399">
        <v>23900</v>
      </c>
      <c r="F399" t="s">
        <v>139</v>
      </c>
      <c r="G399">
        <v>25</v>
      </c>
      <c r="H399">
        <v>8</v>
      </c>
      <c r="I399">
        <v>9</v>
      </c>
      <c r="J399">
        <v>1.25</v>
      </c>
    </row>
    <row r="400" spans="1:10" x14ac:dyDescent="0.25">
      <c r="A400" t="s">
        <v>464</v>
      </c>
      <c r="B400">
        <v>3</v>
      </c>
      <c r="C400" t="s">
        <v>104</v>
      </c>
      <c r="D400" t="s">
        <v>565</v>
      </c>
      <c r="E400">
        <v>23900</v>
      </c>
      <c r="F400" t="s">
        <v>139</v>
      </c>
      <c r="G400">
        <v>25</v>
      </c>
      <c r="H400">
        <v>8</v>
      </c>
      <c r="I400">
        <v>9</v>
      </c>
      <c r="J400">
        <v>1.25</v>
      </c>
    </row>
    <row r="401" spans="1:10" x14ac:dyDescent="0.25">
      <c r="A401" t="s">
        <v>464</v>
      </c>
      <c r="B401">
        <v>1</v>
      </c>
      <c r="C401" t="s">
        <v>104</v>
      </c>
      <c r="D401" t="s">
        <v>566</v>
      </c>
      <c r="E401">
        <v>23900</v>
      </c>
      <c r="F401" t="s">
        <v>139</v>
      </c>
      <c r="G401">
        <v>25</v>
      </c>
      <c r="H401">
        <v>8</v>
      </c>
      <c r="I401">
        <v>9</v>
      </c>
      <c r="J401">
        <v>1.25</v>
      </c>
    </row>
    <row r="402" spans="1:10" x14ac:dyDescent="0.25">
      <c r="A402" t="s">
        <v>464</v>
      </c>
      <c r="B402">
        <v>3</v>
      </c>
      <c r="C402" t="s">
        <v>104</v>
      </c>
      <c r="D402" t="s">
        <v>567</v>
      </c>
      <c r="E402">
        <v>23900</v>
      </c>
      <c r="F402" t="s">
        <v>139</v>
      </c>
      <c r="G402">
        <v>25</v>
      </c>
      <c r="H402">
        <v>8</v>
      </c>
      <c r="I402">
        <v>9</v>
      </c>
      <c r="J402">
        <v>1.25</v>
      </c>
    </row>
    <row r="403" spans="1:10" x14ac:dyDescent="0.25">
      <c r="A403" t="s">
        <v>464</v>
      </c>
      <c r="B403">
        <v>4</v>
      </c>
      <c r="C403" t="s">
        <v>104</v>
      </c>
      <c r="D403" t="s">
        <v>568</v>
      </c>
      <c r="E403">
        <v>23900</v>
      </c>
      <c r="F403" t="s">
        <v>139</v>
      </c>
      <c r="G403">
        <v>33</v>
      </c>
      <c r="H403">
        <v>8</v>
      </c>
      <c r="I403">
        <v>9</v>
      </c>
      <c r="J403">
        <v>1.25</v>
      </c>
    </row>
    <row r="404" spans="1:10" x14ac:dyDescent="0.25">
      <c r="A404" t="s">
        <v>464</v>
      </c>
      <c r="B404">
        <v>4</v>
      </c>
      <c r="C404" t="s">
        <v>104</v>
      </c>
      <c r="D404" t="s">
        <v>569</v>
      </c>
      <c r="E404">
        <v>23900</v>
      </c>
      <c r="F404" t="s">
        <v>139</v>
      </c>
      <c r="G404">
        <v>33</v>
      </c>
      <c r="H404">
        <v>8</v>
      </c>
      <c r="I404">
        <v>9</v>
      </c>
      <c r="J404">
        <v>1.25</v>
      </c>
    </row>
    <row r="405" spans="1:10" x14ac:dyDescent="0.25">
      <c r="A405" t="s">
        <v>464</v>
      </c>
      <c r="B405">
        <v>4</v>
      </c>
      <c r="C405" t="s">
        <v>104</v>
      </c>
      <c r="D405" t="s">
        <v>570</v>
      </c>
      <c r="E405">
        <v>23900</v>
      </c>
      <c r="F405" t="s">
        <v>139</v>
      </c>
      <c r="G405">
        <v>33</v>
      </c>
      <c r="H405">
        <v>8</v>
      </c>
      <c r="I405">
        <v>9</v>
      </c>
      <c r="J405">
        <v>1.25</v>
      </c>
    </row>
    <row r="406" spans="1:10" x14ac:dyDescent="0.25">
      <c r="A406" t="s">
        <v>464</v>
      </c>
      <c r="B406">
        <v>3</v>
      </c>
      <c r="C406" t="s">
        <v>104</v>
      </c>
      <c r="D406" t="s">
        <v>571</v>
      </c>
      <c r="E406">
        <v>23900</v>
      </c>
      <c r="F406" t="s">
        <v>139</v>
      </c>
      <c r="G406">
        <v>28</v>
      </c>
      <c r="H406">
        <v>8</v>
      </c>
      <c r="I406">
        <v>9</v>
      </c>
      <c r="J406">
        <v>1.25</v>
      </c>
    </row>
    <row r="407" spans="1:10" x14ac:dyDescent="0.25">
      <c r="A407" t="s">
        <v>464</v>
      </c>
      <c r="B407">
        <v>4</v>
      </c>
      <c r="C407" t="s">
        <v>104</v>
      </c>
      <c r="D407" t="s">
        <v>572</v>
      </c>
      <c r="E407">
        <v>23900</v>
      </c>
      <c r="F407" t="s">
        <v>139</v>
      </c>
      <c r="G407">
        <v>35</v>
      </c>
      <c r="H407">
        <v>8</v>
      </c>
      <c r="I407">
        <v>9</v>
      </c>
      <c r="J407">
        <v>1.25</v>
      </c>
    </row>
    <row r="408" spans="1:10" x14ac:dyDescent="0.25">
      <c r="A408" t="s">
        <v>464</v>
      </c>
      <c r="B408">
        <v>4</v>
      </c>
      <c r="C408" t="s">
        <v>104</v>
      </c>
      <c r="D408" t="s">
        <v>573</v>
      </c>
      <c r="E408">
        <v>23900</v>
      </c>
      <c r="F408" t="s">
        <v>139</v>
      </c>
      <c r="G408">
        <v>35</v>
      </c>
      <c r="H408">
        <v>8</v>
      </c>
      <c r="I408">
        <v>9</v>
      </c>
      <c r="J408">
        <v>1.25</v>
      </c>
    </row>
    <row r="409" spans="1:10" x14ac:dyDescent="0.25">
      <c r="A409" t="s">
        <v>464</v>
      </c>
      <c r="B409">
        <v>4</v>
      </c>
      <c r="C409" t="s">
        <v>104</v>
      </c>
      <c r="D409" t="s">
        <v>574</v>
      </c>
      <c r="E409">
        <v>23900</v>
      </c>
      <c r="F409" t="s">
        <v>139</v>
      </c>
      <c r="G409">
        <v>35</v>
      </c>
      <c r="H409">
        <v>8</v>
      </c>
      <c r="I409">
        <v>9</v>
      </c>
      <c r="J409">
        <v>1.25</v>
      </c>
    </row>
    <row r="410" spans="1:10" x14ac:dyDescent="0.25">
      <c r="A410" t="s">
        <v>464</v>
      </c>
      <c r="B410">
        <v>3</v>
      </c>
      <c r="C410" t="s">
        <v>104</v>
      </c>
      <c r="D410" t="s">
        <v>575</v>
      </c>
      <c r="E410">
        <v>23900</v>
      </c>
      <c r="F410" t="s">
        <v>139</v>
      </c>
      <c r="G410">
        <v>30</v>
      </c>
      <c r="H410">
        <v>8</v>
      </c>
      <c r="I410">
        <v>9</v>
      </c>
      <c r="J410">
        <v>1.25</v>
      </c>
    </row>
    <row r="411" spans="1:10" x14ac:dyDescent="0.25">
      <c r="A411" t="s">
        <v>464</v>
      </c>
      <c r="B411">
        <v>3</v>
      </c>
      <c r="C411" t="s">
        <v>104</v>
      </c>
      <c r="D411" t="s">
        <v>576</v>
      </c>
      <c r="E411">
        <v>23900</v>
      </c>
      <c r="F411" t="s">
        <v>139</v>
      </c>
      <c r="G411">
        <v>30</v>
      </c>
      <c r="H411">
        <v>8</v>
      </c>
      <c r="I411">
        <v>9</v>
      </c>
      <c r="J411">
        <v>1.25</v>
      </c>
    </row>
    <row r="412" spans="1:10" x14ac:dyDescent="0.25">
      <c r="A412" t="s">
        <v>464</v>
      </c>
      <c r="B412">
        <v>1</v>
      </c>
      <c r="C412" t="s">
        <v>104</v>
      </c>
      <c r="D412" t="s">
        <v>577</v>
      </c>
      <c r="E412">
        <v>23900</v>
      </c>
      <c r="F412" t="s">
        <v>139</v>
      </c>
      <c r="G412">
        <v>30</v>
      </c>
      <c r="H412">
        <v>8</v>
      </c>
      <c r="I412">
        <v>9</v>
      </c>
      <c r="J412">
        <v>1.25</v>
      </c>
    </row>
    <row r="413" spans="1:10" x14ac:dyDescent="0.25">
      <c r="A413" t="s">
        <v>464</v>
      </c>
      <c r="B413">
        <v>3</v>
      </c>
      <c r="C413" t="s">
        <v>104</v>
      </c>
      <c r="D413" t="s">
        <v>578</v>
      </c>
      <c r="E413">
        <v>23900</v>
      </c>
      <c r="F413" t="s">
        <v>139</v>
      </c>
      <c r="G413">
        <v>30</v>
      </c>
      <c r="H413">
        <v>8</v>
      </c>
      <c r="I413">
        <v>9</v>
      </c>
      <c r="J413">
        <v>1.25</v>
      </c>
    </row>
    <row r="414" spans="1:10" x14ac:dyDescent="0.25">
      <c r="A414" t="s">
        <v>464</v>
      </c>
      <c r="B414">
        <v>3</v>
      </c>
      <c r="C414" t="s">
        <v>104</v>
      </c>
      <c r="D414" t="s">
        <v>579</v>
      </c>
      <c r="E414">
        <v>23900</v>
      </c>
      <c r="F414" t="s">
        <v>139</v>
      </c>
      <c r="G414">
        <v>33</v>
      </c>
      <c r="H414">
        <v>8</v>
      </c>
      <c r="I414">
        <v>9</v>
      </c>
      <c r="J414">
        <v>1.25</v>
      </c>
    </row>
    <row r="415" spans="1:10" x14ac:dyDescent="0.25">
      <c r="A415" t="s">
        <v>464</v>
      </c>
      <c r="B415">
        <v>3</v>
      </c>
      <c r="C415" t="s">
        <v>104</v>
      </c>
      <c r="D415" t="s">
        <v>580</v>
      </c>
      <c r="E415">
        <v>23900</v>
      </c>
      <c r="F415" t="s">
        <v>139</v>
      </c>
      <c r="G415">
        <v>33</v>
      </c>
      <c r="H415">
        <v>8</v>
      </c>
      <c r="I415">
        <v>9</v>
      </c>
      <c r="J415">
        <v>1.25</v>
      </c>
    </row>
    <row r="416" spans="1:10" x14ac:dyDescent="0.25">
      <c r="A416" t="s">
        <v>464</v>
      </c>
      <c r="B416">
        <v>1</v>
      </c>
      <c r="C416" t="s">
        <v>104</v>
      </c>
      <c r="D416" t="s">
        <v>581</v>
      </c>
      <c r="E416">
        <v>23900</v>
      </c>
      <c r="F416" t="s">
        <v>139</v>
      </c>
      <c r="G416">
        <v>33</v>
      </c>
      <c r="H416">
        <v>8</v>
      </c>
      <c r="I416">
        <v>9</v>
      </c>
      <c r="J416">
        <v>1.25</v>
      </c>
    </row>
    <row r="417" spans="1:10" x14ac:dyDescent="0.25">
      <c r="A417" t="s">
        <v>464</v>
      </c>
      <c r="B417">
        <v>3</v>
      </c>
      <c r="C417" t="s">
        <v>104</v>
      </c>
      <c r="D417" t="s">
        <v>582</v>
      </c>
      <c r="E417">
        <v>23900</v>
      </c>
      <c r="F417" t="s">
        <v>139</v>
      </c>
      <c r="G417">
        <v>33</v>
      </c>
      <c r="H417">
        <v>8</v>
      </c>
      <c r="I417">
        <v>9</v>
      </c>
      <c r="J417">
        <v>1.25</v>
      </c>
    </row>
    <row r="418" spans="1:10" x14ac:dyDescent="0.25">
      <c r="A418" t="s">
        <v>464</v>
      </c>
      <c r="B418">
        <v>4</v>
      </c>
      <c r="C418" t="s">
        <v>104</v>
      </c>
      <c r="D418" t="s">
        <v>583</v>
      </c>
      <c r="E418">
        <v>23900</v>
      </c>
      <c r="F418" t="s">
        <v>139</v>
      </c>
      <c r="G418">
        <v>40</v>
      </c>
      <c r="H418">
        <v>8</v>
      </c>
      <c r="I418">
        <v>9</v>
      </c>
      <c r="J418">
        <v>1.25</v>
      </c>
    </row>
    <row r="419" spans="1:10" x14ac:dyDescent="0.25">
      <c r="A419" t="s">
        <v>464</v>
      </c>
      <c r="B419">
        <v>4</v>
      </c>
      <c r="C419" t="s">
        <v>104</v>
      </c>
      <c r="D419" t="s">
        <v>584</v>
      </c>
      <c r="E419">
        <v>23900</v>
      </c>
      <c r="F419" t="s">
        <v>139</v>
      </c>
      <c r="G419">
        <v>40</v>
      </c>
      <c r="H419">
        <v>8</v>
      </c>
      <c r="I419">
        <v>9</v>
      </c>
      <c r="J419">
        <v>1.25</v>
      </c>
    </row>
    <row r="420" spans="1:10" x14ac:dyDescent="0.25">
      <c r="A420" t="s">
        <v>464</v>
      </c>
      <c r="B420">
        <v>4</v>
      </c>
      <c r="C420" t="s">
        <v>104</v>
      </c>
      <c r="D420" t="s">
        <v>585</v>
      </c>
      <c r="E420">
        <v>23900</v>
      </c>
      <c r="F420" t="s">
        <v>139</v>
      </c>
      <c r="G420">
        <v>35</v>
      </c>
      <c r="H420">
        <v>8</v>
      </c>
      <c r="I420">
        <v>9</v>
      </c>
      <c r="J420">
        <v>1.25</v>
      </c>
    </row>
    <row r="421" spans="1:10" x14ac:dyDescent="0.25">
      <c r="A421" t="s">
        <v>464</v>
      </c>
      <c r="B421">
        <v>3</v>
      </c>
      <c r="C421" t="s">
        <v>104</v>
      </c>
      <c r="D421" t="s">
        <v>586</v>
      </c>
      <c r="E421">
        <v>23900</v>
      </c>
      <c r="F421" t="s">
        <v>139</v>
      </c>
      <c r="G421">
        <v>35</v>
      </c>
      <c r="H421">
        <v>8</v>
      </c>
      <c r="I421">
        <v>9</v>
      </c>
      <c r="J421">
        <v>1.25</v>
      </c>
    </row>
    <row r="422" spans="1:10" x14ac:dyDescent="0.25">
      <c r="A422" t="s">
        <v>464</v>
      </c>
      <c r="B422">
        <v>3</v>
      </c>
      <c r="C422" t="s">
        <v>104</v>
      </c>
      <c r="D422" t="s">
        <v>587</v>
      </c>
      <c r="E422">
        <v>23900</v>
      </c>
      <c r="F422" t="s">
        <v>139</v>
      </c>
      <c r="G422">
        <v>35</v>
      </c>
      <c r="H422">
        <v>8</v>
      </c>
      <c r="I422">
        <v>9</v>
      </c>
      <c r="J422">
        <v>1.25</v>
      </c>
    </row>
    <row r="423" spans="1:10" x14ac:dyDescent="0.25">
      <c r="A423" t="s">
        <v>464</v>
      </c>
      <c r="B423">
        <v>1</v>
      </c>
      <c r="C423" t="s">
        <v>104</v>
      </c>
      <c r="D423" t="s">
        <v>588</v>
      </c>
      <c r="E423">
        <v>23900</v>
      </c>
      <c r="F423" t="s">
        <v>139</v>
      </c>
      <c r="G423">
        <v>35</v>
      </c>
      <c r="H423">
        <v>8</v>
      </c>
      <c r="I423">
        <v>9</v>
      </c>
      <c r="J423">
        <v>1.25</v>
      </c>
    </row>
    <row r="424" spans="1:10" x14ac:dyDescent="0.25">
      <c r="A424" t="s">
        <v>464</v>
      </c>
      <c r="B424">
        <v>4</v>
      </c>
      <c r="C424" t="s">
        <v>104</v>
      </c>
      <c r="D424" t="s">
        <v>589</v>
      </c>
      <c r="E424">
        <v>23900</v>
      </c>
      <c r="F424" t="s">
        <v>139</v>
      </c>
      <c r="G424">
        <v>35</v>
      </c>
      <c r="H424">
        <v>8</v>
      </c>
      <c r="I424">
        <v>9</v>
      </c>
      <c r="J424">
        <v>1.25</v>
      </c>
    </row>
    <row r="425" spans="1:10" x14ac:dyDescent="0.25">
      <c r="A425" t="s">
        <v>464</v>
      </c>
      <c r="B425">
        <v>3</v>
      </c>
      <c r="C425" t="s">
        <v>104</v>
      </c>
      <c r="D425" t="s">
        <v>590</v>
      </c>
      <c r="E425">
        <v>23900</v>
      </c>
      <c r="F425" t="s">
        <v>139</v>
      </c>
      <c r="G425">
        <v>35</v>
      </c>
      <c r="H425">
        <v>8</v>
      </c>
      <c r="I425">
        <v>9</v>
      </c>
      <c r="J425">
        <v>1.25</v>
      </c>
    </row>
    <row r="426" spans="1:10" x14ac:dyDescent="0.25">
      <c r="A426" t="s">
        <v>464</v>
      </c>
      <c r="B426">
        <v>4</v>
      </c>
      <c r="C426" t="s">
        <v>104</v>
      </c>
      <c r="D426" t="s">
        <v>591</v>
      </c>
      <c r="E426">
        <v>23900</v>
      </c>
      <c r="F426" t="s">
        <v>139</v>
      </c>
      <c r="G426">
        <v>36</v>
      </c>
      <c r="H426">
        <v>8</v>
      </c>
      <c r="I426">
        <v>9</v>
      </c>
      <c r="J426">
        <v>1.25</v>
      </c>
    </row>
    <row r="427" spans="1:10" x14ac:dyDescent="0.25">
      <c r="A427" t="s">
        <v>464</v>
      </c>
      <c r="B427">
        <v>3</v>
      </c>
      <c r="C427" t="s">
        <v>104</v>
      </c>
      <c r="D427" t="s">
        <v>592</v>
      </c>
      <c r="E427">
        <v>23900</v>
      </c>
      <c r="F427" t="s">
        <v>139</v>
      </c>
      <c r="G427">
        <v>36</v>
      </c>
      <c r="H427">
        <v>8</v>
      </c>
      <c r="I427">
        <v>9</v>
      </c>
      <c r="J427">
        <v>1.25</v>
      </c>
    </row>
    <row r="428" spans="1:10" x14ac:dyDescent="0.25">
      <c r="A428" t="s">
        <v>464</v>
      </c>
      <c r="B428">
        <v>4</v>
      </c>
      <c r="C428" t="s">
        <v>104</v>
      </c>
      <c r="D428" t="s">
        <v>593</v>
      </c>
      <c r="E428">
        <v>23900</v>
      </c>
      <c r="F428" t="s">
        <v>139</v>
      </c>
      <c r="G428">
        <v>40</v>
      </c>
      <c r="H428">
        <v>8</v>
      </c>
      <c r="I428">
        <v>9</v>
      </c>
      <c r="J428">
        <v>1.25</v>
      </c>
    </row>
    <row r="429" spans="1:10" x14ac:dyDescent="0.25">
      <c r="A429" t="s">
        <v>464</v>
      </c>
      <c r="B429">
        <v>4</v>
      </c>
      <c r="C429" t="s">
        <v>104</v>
      </c>
      <c r="D429" t="s">
        <v>594</v>
      </c>
      <c r="E429">
        <v>23900</v>
      </c>
      <c r="F429" t="s">
        <v>139</v>
      </c>
      <c r="G429">
        <v>40</v>
      </c>
      <c r="H429">
        <v>8</v>
      </c>
      <c r="I429">
        <v>9</v>
      </c>
      <c r="J429">
        <v>1.25</v>
      </c>
    </row>
    <row r="430" spans="1:10" x14ac:dyDescent="0.25">
      <c r="A430" t="s">
        <v>464</v>
      </c>
      <c r="B430">
        <v>3</v>
      </c>
      <c r="C430" t="s">
        <v>104</v>
      </c>
      <c r="D430" t="s">
        <v>595</v>
      </c>
      <c r="E430">
        <v>23900</v>
      </c>
      <c r="F430" t="s">
        <v>139</v>
      </c>
      <c r="G430">
        <v>40</v>
      </c>
      <c r="H430">
        <v>8</v>
      </c>
      <c r="I430">
        <v>9</v>
      </c>
      <c r="J430">
        <v>1.25</v>
      </c>
    </row>
    <row r="431" spans="1:10" x14ac:dyDescent="0.25">
      <c r="A431" t="s">
        <v>464</v>
      </c>
      <c r="B431">
        <v>3</v>
      </c>
      <c r="C431" t="s">
        <v>104</v>
      </c>
      <c r="D431" t="s">
        <v>596</v>
      </c>
      <c r="E431">
        <v>23900</v>
      </c>
      <c r="F431" t="s">
        <v>139</v>
      </c>
      <c r="G431">
        <v>40</v>
      </c>
      <c r="H431">
        <v>8</v>
      </c>
      <c r="I431">
        <v>9</v>
      </c>
      <c r="J431">
        <v>1.25</v>
      </c>
    </row>
    <row r="432" spans="1:10" x14ac:dyDescent="0.25">
      <c r="A432" t="s">
        <v>464</v>
      </c>
      <c r="B432">
        <v>1</v>
      </c>
      <c r="C432" t="s">
        <v>104</v>
      </c>
      <c r="D432" t="s">
        <v>597</v>
      </c>
      <c r="E432">
        <v>23900</v>
      </c>
      <c r="F432" t="s">
        <v>139</v>
      </c>
      <c r="G432">
        <v>40</v>
      </c>
      <c r="H432">
        <v>8</v>
      </c>
      <c r="I432">
        <v>9</v>
      </c>
      <c r="J432">
        <v>1.25</v>
      </c>
    </row>
    <row r="433" spans="1:10" x14ac:dyDescent="0.25">
      <c r="A433" t="s">
        <v>464</v>
      </c>
      <c r="B433">
        <v>4</v>
      </c>
      <c r="C433" t="s">
        <v>104</v>
      </c>
      <c r="D433" t="s">
        <v>598</v>
      </c>
      <c r="E433">
        <v>23900</v>
      </c>
      <c r="F433" t="s">
        <v>139</v>
      </c>
      <c r="G433">
        <v>40</v>
      </c>
      <c r="H433">
        <v>8</v>
      </c>
      <c r="I433">
        <v>9</v>
      </c>
      <c r="J433">
        <v>1.25</v>
      </c>
    </row>
    <row r="434" spans="1:10" x14ac:dyDescent="0.25">
      <c r="A434" t="s">
        <v>464</v>
      </c>
      <c r="B434">
        <v>3</v>
      </c>
      <c r="C434" t="s">
        <v>104</v>
      </c>
      <c r="D434" t="s">
        <v>599</v>
      </c>
      <c r="E434">
        <v>23900</v>
      </c>
      <c r="F434" t="s">
        <v>139</v>
      </c>
      <c r="G434">
        <v>40</v>
      </c>
      <c r="H434">
        <v>8</v>
      </c>
      <c r="I434">
        <v>9</v>
      </c>
      <c r="J434">
        <v>1.25</v>
      </c>
    </row>
    <row r="435" spans="1:10" x14ac:dyDescent="0.25">
      <c r="A435" t="s">
        <v>464</v>
      </c>
      <c r="B435">
        <v>2</v>
      </c>
      <c r="C435" t="s">
        <v>104</v>
      </c>
      <c r="D435" t="s">
        <v>600</v>
      </c>
      <c r="E435">
        <v>23900</v>
      </c>
      <c r="F435" t="s">
        <v>139</v>
      </c>
      <c r="G435">
        <v>40</v>
      </c>
      <c r="H435">
        <v>8</v>
      </c>
      <c r="I435">
        <v>9</v>
      </c>
      <c r="J435">
        <v>1.25</v>
      </c>
    </row>
    <row r="436" spans="1:10" x14ac:dyDescent="0.25">
      <c r="A436" t="s">
        <v>464</v>
      </c>
      <c r="B436">
        <v>3</v>
      </c>
      <c r="C436" t="s">
        <v>104</v>
      </c>
      <c r="D436" t="s">
        <v>601</v>
      </c>
      <c r="E436">
        <v>23900</v>
      </c>
      <c r="F436" t="s">
        <v>139</v>
      </c>
      <c r="G436">
        <v>40</v>
      </c>
      <c r="H436">
        <v>8</v>
      </c>
      <c r="I436">
        <v>9</v>
      </c>
      <c r="J436">
        <v>1.25</v>
      </c>
    </row>
    <row r="437" spans="1:10" x14ac:dyDescent="0.25">
      <c r="A437" t="s">
        <v>464</v>
      </c>
      <c r="B437">
        <v>4</v>
      </c>
      <c r="C437" t="s">
        <v>107</v>
      </c>
      <c r="D437" t="s">
        <v>602</v>
      </c>
      <c r="E437">
        <v>25900</v>
      </c>
      <c r="F437" t="s">
        <v>139</v>
      </c>
      <c r="G437">
        <v>25</v>
      </c>
      <c r="H437">
        <v>8</v>
      </c>
      <c r="I437">
        <v>9</v>
      </c>
      <c r="J437">
        <v>1.25</v>
      </c>
    </row>
    <row r="438" spans="1:10" x14ac:dyDescent="0.25">
      <c r="A438" t="s">
        <v>464</v>
      </c>
      <c r="B438">
        <v>4</v>
      </c>
      <c r="C438" t="s">
        <v>107</v>
      </c>
      <c r="D438" t="s">
        <v>603</v>
      </c>
      <c r="E438">
        <v>25900</v>
      </c>
      <c r="F438" t="s">
        <v>139</v>
      </c>
      <c r="G438">
        <v>25</v>
      </c>
      <c r="H438">
        <v>8</v>
      </c>
      <c r="I438">
        <v>9</v>
      </c>
      <c r="J438">
        <v>1.25</v>
      </c>
    </row>
    <row r="439" spans="1:10" x14ac:dyDescent="0.25">
      <c r="A439" t="s">
        <v>464</v>
      </c>
      <c r="B439">
        <v>4</v>
      </c>
      <c r="C439" t="s">
        <v>107</v>
      </c>
      <c r="D439" t="s">
        <v>604</v>
      </c>
      <c r="E439">
        <v>25900</v>
      </c>
      <c r="F439" t="s">
        <v>139</v>
      </c>
      <c r="G439">
        <v>25</v>
      </c>
      <c r="H439">
        <v>8</v>
      </c>
      <c r="I439">
        <v>9</v>
      </c>
      <c r="J439">
        <v>1.25</v>
      </c>
    </row>
    <row r="440" spans="1:10" x14ac:dyDescent="0.25">
      <c r="A440" t="s">
        <v>464</v>
      </c>
      <c r="B440">
        <v>3</v>
      </c>
      <c r="C440" t="s">
        <v>107</v>
      </c>
      <c r="D440" t="s">
        <v>605</v>
      </c>
      <c r="E440">
        <v>25900</v>
      </c>
      <c r="F440" t="s">
        <v>139</v>
      </c>
      <c r="G440">
        <v>20</v>
      </c>
      <c r="H440">
        <v>8</v>
      </c>
      <c r="I440">
        <v>9</v>
      </c>
      <c r="J440">
        <v>1.25</v>
      </c>
    </row>
    <row r="441" spans="1:10" x14ac:dyDescent="0.25">
      <c r="A441" t="s">
        <v>464</v>
      </c>
      <c r="B441">
        <v>4</v>
      </c>
      <c r="C441" t="s">
        <v>107</v>
      </c>
      <c r="D441" t="s">
        <v>606</v>
      </c>
      <c r="E441">
        <v>25900</v>
      </c>
      <c r="F441" t="s">
        <v>139</v>
      </c>
      <c r="G441">
        <v>30</v>
      </c>
      <c r="H441">
        <v>8</v>
      </c>
      <c r="I441">
        <v>9</v>
      </c>
      <c r="J441">
        <v>1.25</v>
      </c>
    </row>
    <row r="442" spans="1:10" x14ac:dyDescent="0.25">
      <c r="A442" t="s">
        <v>464</v>
      </c>
      <c r="B442">
        <v>4</v>
      </c>
      <c r="C442" t="s">
        <v>107</v>
      </c>
      <c r="D442" t="s">
        <v>607</v>
      </c>
      <c r="E442">
        <v>25900</v>
      </c>
      <c r="F442" t="s">
        <v>139</v>
      </c>
      <c r="G442">
        <v>30</v>
      </c>
      <c r="H442">
        <v>8</v>
      </c>
      <c r="I442">
        <v>9</v>
      </c>
      <c r="J442">
        <v>1.25</v>
      </c>
    </row>
    <row r="443" spans="1:10" x14ac:dyDescent="0.25">
      <c r="A443" t="s">
        <v>464</v>
      </c>
      <c r="B443">
        <v>3</v>
      </c>
      <c r="C443" t="s">
        <v>107</v>
      </c>
      <c r="D443" t="s">
        <v>608</v>
      </c>
      <c r="E443">
        <v>25900</v>
      </c>
      <c r="F443" t="s">
        <v>139</v>
      </c>
      <c r="G443">
        <v>25</v>
      </c>
      <c r="H443">
        <v>8</v>
      </c>
      <c r="I443">
        <v>9</v>
      </c>
      <c r="J443">
        <v>1.25</v>
      </c>
    </row>
    <row r="444" spans="1:10" x14ac:dyDescent="0.25">
      <c r="A444" t="s">
        <v>464</v>
      </c>
      <c r="B444">
        <v>3</v>
      </c>
      <c r="C444" t="s">
        <v>107</v>
      </c>
      <c r="D444" t="s">
        <v>609</v>
      </c>
      <c r="E444">
        <v>25900</v>
      </c>
      <c r="F444" t="s">
        <v>139</v>
      </c>
      <c r="G444">
        <v>25</v>
      </c>
      <c r="H444">
        <v>8</v>
      </c>
      <c r="I444">
        <v>9</v>
      </c>
      <c r="J444">
        <v>1.25</v>
      </c>
    </row>
    <row r="445" spans="1:10" x14ac:dyDescent="0.25">
      <c r="A445" t="s">
        <v>464</v>
      </c>
      <c r="B445">
        <v>2</v>
      </c>
      <c r="C445" t="s">
        <v>107</v>
      </c>
      <c r="D445" t="s">
        <v>610</v>
      </c>
      <c r="E445">
        <v>25900</v>
      </c>
      <c r="F445" t="s">
        <v>139</v>
      </c>
      <c r="G445">
        <v>25</v>
      </c>
      <c r="H445">
        <v>8</v>
      </c>
      <c r="I445">
        <v>9</v>
      </c>
      <c r="J445">
        <v>1.25</v>
      </c>
    </row>
    <row r="446" spans="1:10" x14ac:dyDescent="0.25">
      <c r="A446" t="s">
        <v>464</v>
      </c>
      <c r="B446">
        <v>3</v>
      </c>
      <c r="C446" t="s">
        <v>107</v>
      </c>
      <c r="D446" t="s">
        <v>611</v>
      </c>
      <c r="E446">
        <v>25900</v>
      </c>
      <c r="F446" t="s">
        <v>139</v>
      </c>
      <c r="G446">
        <v>25</v>
      </c>
      <c r="H446">
        <v>8</v>
      </c>
      <c r="I446">
        <v>9</v>
      </c>
      <c r="J446">
        <v>1.25</v>
      </c>
    </row>
    <row r="447" spans="1:10" x14ac:dyDescent="0.25">
      <c r="A447" t="s">
        <v>464</v>
      </c>
      <c r="B447">
        <v>4</v>
      </c>
      <c r="C447" t="s">
        <v>107</v>
      </c>
      <c r="D447" t="s">
        <v>612</v>
      </c>
      <c r="E447">
        <v>25900</v>
      </c>
      <c r="F447" t="s">
        <v>139</v>
      </c>
      <c r="G447">
        <v>33</v>
      </c>
      <c r="H447">
        <v>8</v>
      </c>
      <c r="I447">
        <v>9</v>
      </c>
      <c r="J447">
        <v>1.25</v>
      </c>
    </row>
    <row r="448" spans="1:10" x14ac:dyDescent="0.25">
      <c r="A448" t="s">
        <v>464</v>
      </c>
      <c r="B448">
        <v>4</v>
      </c>
      <c r="C448" t="s">
        <v>107</v>
      </c>
      <c r="D448" t="s">
        <v>613</v>
      </c>
      <c r="E448">
        <v>25900</v>
      </c>
      <c r="F448" t="s">
        <v>139</v>
      </c>
      <c r="G448">
        <v>33</v>
      </c>
      <c r="H448">
        <v>8</v>
      </c>
      <c r="I448">
        <v>9</v>
      </c>
      <c r="J448">
        <v>1.25</v>
      </c>
    </row>
    <row r="449" spans="1:10" x14ac:dyDescent="0.25">
      <c r="A449" t="s">
        <v>464</v>
      </c>
      <c r="B449">
        <v>3</v>
      </c>
      <c r="C449" t="s">
        <v>107</v>
      </c>
      <c r="D449" t="s">
        <v>614</v>
      </c>
      <c r="E449">
        <v>25900</v>
      </c>
      <c r="F449" t="s">
        <v>139</v>
      </c>
      <c r="G449">
        <v>28</v>
      </c>
      <c r="H449">
        <v>8</v>
      </c>
      <c r="I449">
        <v>9</v>
      </c>
      <c r="J449">
        <v>1.25</v>
      </c>
    </row>
    <row r="450" spans="1:10" x14ac:dyDescent="0.25">
      <c r="A450" t="s">
        <v>464</v>
      </c>
      <c r="B450">
        <v>4</v>
      </c>
      <c r="C450" t="s">
        <v>107</v>
      </c>
      <c r="D450" t="s">
        <v>615</v>
      </c>
      <c r="E450">
        <v>25900</v>
      </c>
      <c r="F450" t="s">
        <v>139</v>
      </c>
      <c r="G450">
        <v>30</v>
      </c>
      <c r="H450">
        <v>8</v>
      </c>
      <c r="I450">
        <v>9</v>
      </c>
      <c r="J450">
        <v>1.25</v>
      </c>
    </row>
    <row r="451" spans="1:10" x14ac:dyDescent="0.25">
      <c r="A451" t="s">
        <v>464</v>
      </c>
      <c r="B451">
        <v>4</v>
      </c>
      <c r="C451" t="s">
        <v>107</v>
      </c>
      <c r="D451" t="s">
        <v>616</v>
      </c>
      <c r="E451">
        <v>25900</v>
      </c>
      <c r="F451" t="s">
        <v>139</v>
      </c>
      <c r="G451">
        <v>35</v>
      </c>
      <c r="H451">
        <v>8</v>
      </c>
      <c r="I451">
        <v>9</v>
      </c>
      <c r="J451">
        <v>1.25</v>
      </c>
    </row>
    <row r="452" spans="1:10" x14ac:dyDescent="0.25">
      <c r="A452" t="s">
        <v>464</v>
      </c>
      <c r="B452">
        <v>4</v>
      </c>
      <c r="C452" t="s">
        <v>107</v>
      </c>
      <c r="D452" t="s">
        <v>617</v>
      </c>
      <c r="E452">
        <v>25900</v>
      </c>
      <c r="F452" t="s">
        <v>139</v>
      </c>
      <c r="G452">
        <v>35</v>
      </c>
      <c r="H452">
        <v>8</v>
      </c>
      <c r="I452">
        <v>9</v>
      </c>
      <c r="J452">
        <v>1.25</v>
      </c>
    </row>
    <row r="453" spans="1:10" x14ac:dyDescent="0.25">
      <c r="A453" t="s">
        <v>464</v>
      </c>
      <c r="B453">
        <v>3</v>
      </c>
      <c r="C453" t="s">
        <v>107</v>
      </c>
      <c r="D453" t="s">
        <v>618</v>
      </c>
      <c r="E453">
        <v>25900</v>
      </c>
      <c r="F453" t="s">
        <v>139</v>
      </c>
      <c r="G453">
        <v>30</v>
      </c>
      <c r="H453">
        <v>8</v>
      </c>
      <c r="I453">
        <v>9</v>
      </c>
      <c r="J453">
        <v>1.25</v>
      </c>
    </row>
    <row r="454" spans="1:10" x14ac:dyDescent="0.25">
      <c r="A454" t="s">
        <v>464</v>
      </c>
      <c r="B454">
        <v>3</v>
      </c>
      <c r="C454" t="s">
        <v>107</v>
      </c>
      <c r="D454" t="s">
        <v>619</v>
      </c>
      <c r="E454">
        <v>25900</v>
      </c>
      <c r="F454" t="s">
        <v>139</v>
      </c>
      <c r="G454">
        <v>30</v>
      </c>
      <c r="H454">
        <v>8</v>
      </c>
      <c r="I454">
        <v>9</v>
      </c>
      <c r="J454">
        <v>1.25</v>
      </c>
    </row>
    <row r="455" spans="1:10" x14ac:dyDescent="0.25">
      <c r="A455" t="s">
        <v>464</v>
      </c>
      <c r="B455">
        <v>1</v>
      </c>
      <c r="C455" t="s">
        <v>107</v>
      </c>
      <c r="D455" t="s">
        <v>620</v>
      </c>
      <c r="E455">
        <v>25900</v>
      </c>
      <c r="F455" t="s">
        <v>139</v>
      </c>
      <c r="G455">
        <v>30</v>
      </c>
      <c r="H455">
        <v>8</v>
      </c>
      <c r="I455">
        <v>9</v>
      </c>
      <c r="J455">
        <v>1.25</v>
      </c>
    </row>
    <row r="456" spans="1:10" x14ac:dyDescent="0.25">
      <c r="A456" t="s">
        <v>464</v>
      </c>
      <c r="B456">
        <v>3</v>
      </c>
      <c r="C456" t="s">
        <v>107</v>
      </c>
      <c r="D456" t="s">
        <v>621</v>
      </c>
      <c r="E456">
        <v>25900</v>
      </c>
      <c r="F456" t="s">
        <v>139</v>
      </c>
      <c r="G456">
        <v>30</v>
      </c>
      <c r="H456">
        <v>8</v>
      </c>
      <c r="I456">
        <v>9</v>
      </c>
      <c r="J456">
        <v>1.25</v>
      </c>
    </row>
    <row r="457" spans="1:10" x14ac:dyDescent="0.25">
      <c r="A457" t="s">
        <v>464</v>
      </c>
      <c r="B457">
        <v>3</v>
      </c>
      <c r="C457" t="s">
        <v>107</v>
      </c>
      <c r="D457" t="s">
        <v>622</v>
      </c>
      <c r="E457">
        <v>25900</v>
      </c>
      <c r="F457" t="s">
        <v>139</v>
      </c>
      <c r="G457">
        <v>33</v>
      </c>
      <c r="H457">
        <v>8</v>
      </c>
      <c r="I457">
        <v>9</v>
      </c>
      <c r="J457">
        <v>1.25</v>
      </c>
    </row>
    <row r="458" spans="1:10" x14ac:dyDescent="0.25">
      <c r="A458" t="s">
        <v>464</v>
      </c>
      <c r="B458">
        <v>3</v>
      </c>
      <c r="C458" t="s">
        <v>107</v>
      </c>
      <c r="D458" t="s">
        <v>623</v>
      </c>
      <c r="E458">
        <v>25900</v>
      </c>
      <c r="F458" t="s">
        <v>139</v>
      </c>
      <c r="G458">
        <v>33</v>
      </c>
      <c r="H458">
        <v>8</v>
      </c>
      <c r="I458">
        <v>9</v>
      </c>
      <c r="J458">
        <v>1.25</v>
      </c>
    </row>
    <row r="459" spans="1:10" x14ac:dyDescent="0.25">
      <c r="A459" t="s">
        <v>464</v>
      </c>
      <c r="B459">
        <v>1</v>
      </c>
      <c r="C459" t="s">
        <v>107</v>
      </c>
      <c r="D459" t="s">
        <v>624</v>
      </c>
      <c r="E459">
        <v>25900</v>
      </c>
      <c r="F459" t="s">
        <v>139</v>
      </c>
      <c r="G459">
        <v>33</v>
      </c>
      <c r="H459">
        <v>8</v>
      </c>
      <c r="I459">
        <v>9</v>
      </c>
      <c r="J459">
        <v>1.25</v>
      </c>
    </row>
    <row r="460" spans="1:10" x14ac:dyDescent="0.25">
      <c r="A460" t="s">
        <v>464</v>
      </c>
      <c r="B460">
        <v>3</v>
      </c>
      <c r="C460" t="s">
        <v>107</v>
      </c>
      <c r="D460" t="s">
        <v>625</v>
      </c>
      <c r="E460">
        <v>25900</v>
      </c>
      <c r="F460" t="s">
        <v>139</v>
      </c>
      <c r="G460">
        <v>33</v>
      </c>
      <c r="H460">
        <v>8</v>
      </c>
      <c r="I460">
        <v>9</v>
      </c>
      <c r="J460">
        <v>1.25</v>
      </c>
    </row>
    <row r="461" spans="1:10" x14ac:dyDescent="0.25">
      <c r="A461" t="s">
        <v>464</v>
      </c>
      <c r="B461">
        <v>4</v>
      </c>
      <c r="C461" t="s">
        <v>107</v>
      </c>
      <c r="D461" t="s">
        <v>626</v>
      </c>
      <c r="E461">
        <v>25900</v>
      </c>
      <c r="F461" t="s">
        <v>139</v>
      </c>
      <c r="G461">
        <v>40</v>
      </c>
      <c r="H461">
        <v>8</v>
      </c>
      <c r="I461">
        <v>9</v>
      </c>
      <c r="J461">
        <v>1.25</v>
      </c>
    </row>
    <row r="462" spans="1:10" x14ac:dyDescent="0.25">
      <c r="A462" t="s">
        <v>464</v>
      </c>
      <c r="B462">
        <v>4</v>
      </c>
      <c r="C462" t="s">
        <v>107</v>
      </c>
      <c r="D462" t="s">
        <v>627</v>
      </c>
      <c r="E462">
        <v>25900</v>
      </c>
      <c r="F462" t="s">
        <v>139</v>
      </c>
      <c r="G462">
        <v>40</v>
      </c>
      <c r="H462">
        <v>8</v>
      </c>
      <c r="I462">
        <v>9</v>
      </c>
      <c r="J462">
        <v>1.25</v>
      </c>
    </row>
    <row r="463" spans="1:10" x14ac:dyDescent="0.25">
      <c r="A463" t="s">
        <v>464</v>
      </c>
      <c r="B463">
        <v>4</v>
      </c>
      <c r="C463" t="s">
        <v>107</v>
      </c>
      <c r="D463" t="s">
        <v>628</v>
      </c>
      <c r="E463">
        <v>25900</v>
      </c>
      <c r="F463" t="s">
        <v>139</v>
      </c>
      <c r="G463">
        <v>40</v>
      </c>
      <c r="H463">
        <v>8</v>
      </c>
      <c r="I463">
        <v>9</v>
      </c>
      <c r="J463">
        <v>1.25</v>
      </c>
    </row>
    <row r="464" spans="1:10" x14ac:dyDescent="0.25">
      <c r="A464" t="s">
        <v>464</v>
      </c>
      <c r="B464">
        <v>4</v>
      </c>
      <c r="C464" t="s">
        <v>107</v>
      </c>
      <c r="D464" t="s">
        <v>629</v>
      </c>
      <c r="E464">
        <v>25900</v>
      </c>
      <c r="F464" t="s">
        <v>139</v>
      </c>
      <c r="G464">
        <v>35</v>
      </c>
      <c r="H464">
        <v>8</v>
      </c>
      <c r="I464">
        <v>9</v>
      </c>
      <c r="J464">
        <v>1.25</v>
      </c>
    </row>
    <row r="465" spans="1:10" x14ac:dyDescent="0.25">
      <c r="A465" t="s">
        <v>464</v>
      </c>
      <c r="B465">
        <v>3</v>
      </c>
      <c r="C465" t="s">
        <v>107</v>
      </c>
      <c r="D465" t="s">
        <v>630</v>
      </c>
      <c r="E465">
        <v>25900</v>
      </c>
      <c r="F465" t="s">
        <v>139</v>
      </c>
      <c r="G465">
        <v>35</v>
      </c>
      <c r="H465">
        <v>8</v>
      </c>
      <c r="I465">
        <v>9</v>
      </c>
      <c r="J465">
        <v>1.25</v>
      </c>
    </row>
    <row r="466" spans="1:10" x14ac:dyDescent="0.25">
      <c r="A466" t="s">
        <v>464</v>
      </c>
      <c r="B466">
        <v>3</v>
      </c>
      <c r="C466" t="s">
        <v>107</v>
      </c>
      <c r="D466" t="s">
        <v>631</v>
      </c>
      <c r="E466">
        <v>25900</v>
      </c>
      <c r="F466" t="s">
        <v>139</v>
      </c>
      <c r="G466">
        <v>35</v>
      </c>
      <c r="H466">
        <v>8</v>
      </c>
      <c r="I466">
        <v>9</v>
      </c>
      <c r="J466">
        <v>1.25</v>
      </c>
    </row>
    <row r="467" spans="1:10" x14ac:dyDescent="0.25">
      <c r="A467" t="s">
        <v>464</v>
      </c>
      <c r="B467">
        <v>2</v>
      </c>
      <c r="C467" t="s">
        <v>107</v>
      </c>
      <c r="D467" t="s">
        <v>632</v>
      </c>
      <c r="E467">
        <v>25900</v>
      </c>
      <c r="F467" t="s">
        <v>139</v>
      </c>
      <c r="G467">
        <v>35</v>
      </c>
      <c r="H467">
        <v>8</v>
      </c>
      <c r="I467">
        <v>9</v>
      </c>
      <c r="J467">
        <v>1.25</v>
      </c>
    </row>
    <row r="468" spans="1:10" x14ac:dyDescent="0.25">
      <c r="A468" t="s">
        <v>464</v>
      </c>
      <c r="B468">
        <v>4</v>
      </c>
      <c r="C468" t="s">
        <v>107</v>
      </c>
      <c r="D468" t="s">
        <v>633</v>
      </c>
      <c r="E468">
        <v>25900</v>
      </c>
      <c r="F468" t="s">
        <v>139</v>
      </c>
      <c r="G468">
        <v>35</v>
      </c>
      <c r="H468">
        <v>8</v>
      </c>
      <c r="I468">
        <v>9</v>
      </c>
      <c r="J468">
        <v>1.25</v>
      </c>
    </row>
    <row r="469" spans="1:10" x14ac:dyDescent="0.25">
      <c r="A469" t="s">
        <v>464</v>
      </c>
      <c r="B469">
        <v>3</v>
      </c>
      <c r="C469" t="s">
        <v>107</v>
      </c>
      <c r="D469" t="s">
        <v>634</v>
      </c>
      <c r="E469">
        <v>25900</v>
      </c>
      <c r="F469" t="s">
        <v>139</v>
      </c>
      <c r="G469">
        <v>35</v>
      </c>
      <c r="H469">
        <v>8</v>
      </c>
      <c r="I469">
        <v>9</v>
      </c>
      <c r="J469">
        <v>1.25</v>
      </c>
    </row>
    <row r="470" spans="1:10" x14ac:dyDescent="0.25">
      <c r="A470" t="s">
        <v>464</v>
      </c>
      <c r="B470">
        <v>4</v>
      </c>
      <c r="C470" t="s">
        <v>107</v>
      </c>
      <c r="D470" t="s">
        <v>635</v>
      </c>
      <c r="E470">
        <v>25900</v>
      </c>
      <c r="F470" t="s">
        <v>139</v>
      </c>
      <c r="G470">
        <v>36</v>
      </c>
      <c r="H470">
        <v>8</v>
      </c>
      <c r="I470">
        <v>9</v>
      </c>
      <c r="J470">
        <v>1.25</v>
      </c>
    </row>
    <row r="471" spans="1:10" x14ac:dyDescent="0.25">
      <c r="A471" t="s">
        <v>464</v>
      </c>
      <c r="B471">
        <v>4</v>
      </c>
      <c r="C471" t="s">
        <v>107</v>
      </c>
      <c r="D471" t="s">
        <v>636</v>
      </c>
      <c r="E471">
        <v>25900</v>
      </c>
      <c r="F471" t="s">
        <v>139</v>
      </c>
      <c r="G471">
        <v>36</v>
      </c>
      <c r="H471">
        <v>8</v>
      </c>
      <c r="I471">
        <v>9</v>
      </c>
      <c r="J471">
        <v>1.25</v>
      </c>
    </row>
    <row r="472" spans="1:10" x14ac:dyDescent="0.25">
      <c r="A472" t="s">
        <v>464</v>
      </c>
      <c r="B472">
        <v>3</v>
      </c>
      <c r="C472" t="s">
        <v>107</v>
      </c>
      <c r="D472" t="s">
        <v>637</v>
      </c>
      <c r="E472">
        <v>25900</v>
      </c>
      <c r="F472" t="s">
        <v>139</v>
      </c>
      <c r="G472">
        <v>36</v>
      </c>
      <c r="H472">
        <v>8</v>
      </c>
      <c r="I472">
        <v>9</v>
      </c>
      <c r="J472">
        <v>1.25</v>
      </c>
    </row>
    <row r="473" spans="1:10" x14ac:dyDescent="0.25">
      <c r="A473" t="s">
        <v>464</v>
      </c>
      <c r="B473">
        <v>4</v>
      </c>
      <c r="C473" t="s">
        <v>107</v>
      </c>
      <c r="D473" t="s">
        <v>638</v>
      </c>
      <c r="E473">
        <v>25900</v>
      </c>
      <c r="F473" t="s">
        <v>139</v>
      </c>
      <c r="G473">
        <v>40</v>
      </c>
      <c r="H473">
        <v>8</v>
      </c>
      <c r="I473">
        <v>9</v>
      </c>
      <c r="J473">
        <v>1.25</v>
      </c>
    </row>
    <row r="474" spans="1:10" x14ac:dyDescent="0.25">
      <c r="A474" t="s">
        <v>464</v>
      </c>
      <c r="B474">
        <v>4</v>
      </c>
      <c r="C474" t="s">
        <v>107</v>
      </c>
      <c r="D474" t="s">
        <v>639</v>
      </c>
      <c r="E474">
        <v>25900</v>
      </c>
      <c r="F474" t="s">
        <v>139</v>
      </c>
      <c r="G474">
        <v>40</v>
      </c>
      <c r="H474">
        <v>8</v>
      </c>
      <c r="I474">
        <v>9</v>
      </c>
      <c r="J474">
        <v>1.25</v>
      </c>
    </row>
    <row r="475" spans="1:10" x14ac:dyDescent="0.25">
      <c r="A475" t="s">
        <v>464</v>
      </c>
      <c r="B475">
        <v>4</v>
      </c>
      <c r="C475" t="s">
        <v>107</v>
      </c>
      <c r="D475" t="s">
        <v>640</v>
      </c>
      <c r="E475">
        <v>25900</v>
      </c>
      <c r="F475" t="s">
        <v>139</v>
      </c>
      <c r="G475">
        <v>40</v>
      </c>
      <c r="H475">
        <v>8</v>
      </c>
      <c r="I475">
        <v>9</v>
      </c>
      <c r="J475">
        <v>1.25</v>
      </c>
    </row>
    <row r="476" spans="1:10" x14ac:dyDescent="0.25">
      <c r="A476" t="s">
        <v>464</v>
      </c>
      <c r="B476">
        <v>4</v>
      </c>
      <c r="C476" t="s">
        <v>107</v>
      </c>
      <c r="D476" t="s">
        <v>641</v>
      </c>
      <c r="E476">
        <v>25900</v>
      </c>
      <c r="F476" t="s">
        <v>139</v>
      </c>
      <c r="G476">
        <v>40</v>
      </c>
      <c r="H476">
        <v>8</v>
      </c>
      <c r="I476">
        <v>9</v>
      </c>
      <c r="J476">
        <v>1.25</v>
      </c>
    </row>
    <row r="477" spans="1:10" x14ac:dyDescent="0.25">
      <c r="A477" t="s">
        <v>464</v>
      </c>
      <c r="B477">
        <v>3</v>
      </c>
      <c r="C477" t="s">
        <v>107</v>
      </c>
      <c r="D477" t="s">
        <v>642</v>
      </c>
      <c r="E477">
        <v>25900</v>
      </c>
      <c r="F477" t="s">
        <v>139</v>
      </c>
      <c r="G477">
        <v>40</v>
      </c>
      <c r="H477">
        <v>8</v>
      </c>
      <c r="I477">
        <v>9</v>
      </c>
      <c r="J477">
        <v>1.25</v>
      </c>
    </row>
    <row r="478" spans="1:10" x14ac:dyDescent="0.25">
      <c r="A478" t="s">
        <v>464</v>
      </c>
      <c r="B478">
        <v>3</v>
      </c>
      <c r="C478" t="s">
        <v>107</v>
      </c>
      <c r="D478" t="s">
        <v>643</v>
      </c>
      <c r="E478">
        <v>25900</v>
      </c>
      <c r="F478" t="s">
        <v>139</v>
      </c>
      <c r="G478">
        <v>40</v>
      </c>
      <c r="H478">
        <v>8</v>
      </c>
      <c r="I478">
        <v>9</v>
      </c>
      <c r="J478">
        <v>1.25</v>
      </c>
    </row>
    <row r="479" spans="1:10" x14ac:dyDescent="0.25">
      <c r="A479" t="s">
        <v>464</v>
      </c>
      <c r="B479">
        <v>1</v>
      </c>
      <c r="C479" t="s">
        <v>107</v>
      </c>
      <c r="D479" t="s">
        <v>644</v>
      </c>
      <c r="E479">
        <v>25900</v>
      </c>
      <c r="F479" t="s">
        <v>139</v>
      </c>
      <c r="G479">
        <v>40</v>
      </c>
      <c r="H479">
        <v>8</v>
      </c>
      <c r="I479">
        <v>9</v>
      </c>
      <c r="J479">
        <v>1.25</v>
      </c>
    </row>
    <row r="480" spans="1:10" x14ac:dyDescent="0.25">
      <c r="A480" t="s">
        <v>464</v>
      </c>
      <c r="B480">
        <v>3</v>
      </c>
      <c r="C480" t="s">
        <v>107</v>
      </c>
      <c r="D480" t="s">
        <v>645</v>
      </c>
      <c r="E480">
        <v>25900</v>
      </c>
      <c r="F480" t="s">
        <v>139</v>
      </c>
      <c r="G480">
        <v>40</v>
      </c>
      <c r="H480">
        <v>8</v>
      </c>
      <c r="I480">
        <v>9</v>
      </c>
      <c r="J480">
        <v>1.25</v>
      </c>
    </row>
    <row r="481" spans="1:10" x14ac:dyDescent="0.25">
      <c r="A481" t="s">
        <v>464</v>
      </c>
      <c r="B481">
        <v>4</v>
      </c>
      <c r="C481" t="s">
        <v>107</v>
      </c>
      <c r="D481" t="s">
        <v>646</v>
      </c>
      <c r="E481">
        <v>25900</v>
      </c>
      <c r="F481" t="s">
        <v>139</v>
      </c>
      <c r="G481">
        <v>40</v>
      </c>
      <c r="H481">
        <v>8</v>
      </c>
      <c r="I481">
        <v>9</v>
      </c>
      <c r="J481">
        <v>1.25</v>
      </c>
    </row>
    <row r="482" spans="1:10" x14ac:dyDescent="0.25">
      <c r="A482" t="s">
        <v>464</v>
      </c>
      <c r="B482">
        <v>3</v>
      </c>
      <c r="C482" t="s">
        <v>107</v>
      </c>
      <c r="D482" t="s">
        <v>647</v>
      </c>
      <c r="E482">
        <v>25900</v>
      </c>
      <c r="F482" t="s">
        <v>139</v>
      </c>
      <c r="G482">
        <v>40</v>
      </c>
      <c r="H482">
        <v>8</v>
      </c>
      <c r="I482">
        <v>9</v>
      </c>
      <c r="J482">
        <v>1.25</v>
      </c>
    </row>
    <row r="483" spans="1:10" x14ac:dyDescent="0.25">
      <c r="A483" t="s">
        <v>464</v>
      </c>
      <c r="B483">
        <v>3</v>
      </c>
      <c r="C483" t="s">
        <v>107</v>
      </c>
      <c r="D483" t="s">
        <v>648</v>
      </c>
      <c r="E483">
        <v>25900</v>
      </c>
      <c r="F483" t="s">
        <v>139</v>
      </c>
      <c r="G483">
        <v>40</v>
      </c>
      <c r="H483">
        <v>8</v>
      </c>
      <c r="I483">
        <v>9</v>
      </c>
      <c r="J483">
        <v>1.25</v>
      </c>
    </row>
    <row r="484" spans="1:10" x14ac:dyDescent="0.25">
      <c r="A484" t="s">
        <v>464</v>
      </c>
      <c r="B484">
        <v>3</v>
      </c>
      <c r="C484" t="s">
        <v>107</v>
      </c>
      <c r="D484" t="s">
        <v>649</v>
      </c>
      <c r="E484">
        <v>25900</v>
      </c>
      <c r="F484" t="s">
        <v>139</v>
      </c>
      <c r="G484">
        <v>40</v>
      </c>
      <c r="H484">
        <v>8</v>
      </c>
      <c r="I484">
        <v>9</v>
      </c>
      <c r="J484">
        <v>1.25</v>
      </c>
    </row>
    <row r="485" spans="1:10" x14ac:dyDescent="0.25">
      <c r="A485" t="s">
        <v>464</v>
      </c>
      <c r="B485">
        <v>3</v>
      </c>
      <c r="C485" t="s">
        <v>650</v>
      </c>
      <c r="D485" t="s">
        <v>651</v>
      </c>
      <c r="E485">
        <v>30000</v>
      </c>
      <c r="F485" t="s">
        <v>139</v>
      </c>
      <c r="G485">
        <v>20</v>
      </c>
      <c r="H485">
        <v>8</v>
      </c>
      <c r="I485">
        <v>9</v>
      </c>
      <c r="J485">
        <v>1.25</v>
      </c>
    </row>
    <row r="486" spans="1:10" x14ac:dyDescent="0.25">
      <c r="A486" t="s">
        <v>464</v>
      </c>
      <c r="B486">
        <v>3</v>
      </c>
      <c r="C486" t="s">
        <v>650</v>
      </c>
      <c r="D486" t="s">
        <v>652</v>
      </c>
      <c r="E486">
        <v>30000</v>
      </c>
      <c r="F486" t="s">
        <v>139</v>
      </c>
      <c r="G486">
        <v>25</v>
      </c>
      <c r="H486">
        <v>8</v>
      </c>
      <c r="I486">
        <v>9</v>
      </c>
      <c r="J486">
        <v>1.25</v>
      </c>
    </row>
    <row r="487" spans="1:10" x14ac:dyDescent="0.25">
      <c r="A487" t="s">
        <v>464</v>
      </c>
      <c r="B487">
        <v>3</v>
      </c>
      <c r="C487" t="s">
        <v>650</v>
      </c>
      <c r="D487" t="s">
        <v>653</v>
      </c>
      <c r="E487">
        <v>30000</v>
      </c>
      <c r="F487" t="s">
        <v>139</v>
      </c>
      <c r="G487">
        <v>25</v>
      </c>
      <c r="H487">
        <v>8</v>
      </c>
      <c r="I487">
        <v>9</v>
      </c>
      <c r="J487">
        <v>1.25</v>
      </c>
    </row>
    <row r="488" spans="1:10" x14ac:dyDescent="0.25">
      <c r="A488" t="s">
        <v>464</v>
      </c>
      <c r="B488">
        <v>3</v>
      </c>
      <c r="C488" t="s">
        <v>650</v>
      </c>
      <c r="D488" t="s">
        <v>654</v>
      </c>
      <c r="E488">
        <v>30000</v>
      </c>
      <c r="F488" t="s">
        <v>139</v>
      </c>
      <c r="G488">
        <v>30</v>
      </c>
      <c r="H488">
        <v>8</v>
      </c>
      <c r="I488">
        <v>9</v>
      </c>
      <c r="J488">
        <v>1.25</v>
      </c>
    </row>
    <row r="489" spans="1:10" x14ac:dyDescent="0.25">
      <c r="A489" t="s">
        <v>464</v>
      </c>
      <c r="B489">
        <v>4</v>
      </c>
      <c r="C489" t="s">
        <v>650</v>
      </c>
      <c r="D489" t="s">
        <v>655</v>
      </c>
      <c r="E489">
        <v>30000</v>
      </c>
      <c r="F489" t="s">
        <v>139</v>
      </c>
      <c r="G489">
        <v>30</v>
      </c>
      <c r="H489">
        <v>8</v>
      </c>
      <c r="I489">
        <v>9</v>
      </c>
      <c r="J489">
        <v>1.25</v>
      </c>
    </row>
    <row r="490" spans="1:10" x14ac:dyDescent="0.25">
      <c r="A490" t="s">
        <v>464</v>
      </c>
      <c r="B490">
        <v>3</v>
      </c>
      <c r="C490" t="s">
        <v>650</v>
      </c>
      <c r="D490" t="s">
        <v>656</v>
      </c>
      <c r="E490">
        <v>30000</v>
      </c>
      <c r="F490" t="s">
        <v>139</v>
      </c>
      <c r="G490">
        <v>33</v>
      </c>
      <c r="H490">
        <v>8</v>
      </c>
      <c r="I490">
        <v>9</v>
      </c>
      <c r="J490">
        <v>1.25</v>
      </c>
    </row>
    <row r="491" spans="1:10" x14ac:dyDescent="0.25">
      <c r="A491" t="s">
        <v>464</v>
      </c>
      <c r="B491">
        <v>3</v>
      </c>
      <c r="C491" t="s">
        <v>650</v>
      </c>
      <c r="D491" t="s">
        <v>657</v>
      </c>
      <c r="E491">
        <v>30000</v>
      </c>
      <c r="F491" t="s">
        <v>139</v>
      </c>
      <c r="G491">
        <v>35</v>
      </c>
      <c r="H491">
        <v>8</v>
      </c>
      <c r="I491">
        <v>9</v>
      </c>
      <c r="J491">
        <v>1.25</v>
      </c>
    </row>
    <row r="492" spans="1:10" x14ac:dyDescent="0.25">
      <c r="A492" t="s">
        <v>464</v>
      </c>
      <c r="B492">
        <v>3</v>
      </c>
      <c r="C492" t="s">
        <v>650</v>
      </c>
      <c r="D492" t="s">
        <v>658</v>
      </c>
      <c r="E492">
        <v>30000</v>
      </c>
      <c r="F492" t="s">
        <v>139</v>
      </c>
      <c r="G492">
        <v>40</v>
      </c>
      <c r="H492">
        <v>8</v>
      </c>
      <c r="I492">
        <v>9</v>
      </c>
      <c r="J492">
        <v>1.25</v>
      </c>
    </row>
    <row r="493" spans="1:10" x14ac:dyDescent="0.25">
      <c r="A493" t="s">
        <v>464</v>
      </c>
      <c r="B493">
        <v>3</v>
      </c>
      <c r="C493" t="s">
        <v>650</v>
      </c>
      <c r="D493" t="s">
        <v>659</v>
      </c>
      <c r="E493">
        <v>30000</v>
      </c>
      <c r="F493" t="s">
        <v>139</v>
      </c>
      <c r="G493">
        <v>36</v>
      </c>
      <c r="H493">
        <v>8</v>
      </c>
      <c r="I493">
        <v>9</v>
      </c>
      <c r="J493">
        <v>1.25</v>
      </c>
    </row>
    <row r="494" spans="1:10" x14ac:dyDescent="0.25">
      <c r="A494" t="s">
        <v>464</v>
      </c>
      <c r="B494">
        <v>3</v>
      </c>
      <c r="C494" t="s">
        <v>650</v>
      </c>
      <c r="D494" t="s">
        <v>660</v>
      </c>
      <c r="E494">
        <v>30000</v>
      </c>
      <c r="F494" t="s">
        <v>139</v>
      </c>
      <c r="G494">
        <v>40</v>
      </c>
      <c r="H494">
        <v>8</v>
      </c>
      <c r="I494">
        <v>9</v>
      </c>
      <c r="J494">
        <v>1.25</v>
      </c>
    </row>
    <row r="495" spans="1:10" x14ac:dyDescent="0.25">
      <c r="A495" t="s">
        <v>464</v>
      </c>
      <c r="B495">
        <v>3</v>
      </c>
      <c r="C495" t="s">
        <v>230</v>
      </c>
      <c r="D495" t="s">
        <v>661</v>
      </c>
      <c r="E495">
        <v>58000</v>
      </c>
      <c r="F495" t="s">
        <v>139</v>
      </c>
      <c r="G495">
        <v>28</v>
      </c>
      <c r="H495">
        <v>8</v>
      </c>
      <c r="I495">
        <v>6</v>
      </c>
      <c r="J495">
        <v>1.25</v>
      </c>
    </row>
    <row r="496" spans="1:10" x14ac:dyDescent="0.25">
      <c r="A496" t="s">
        <v>662</v>
      </c>
      <c r="B496">
        <v>2</v>
      </c>
      <c r="C496" t="s">
        <v>663</v>
      </c>
      <c r="D496" t="s">
        <v>664</v>
      </c>
      <c r="E496">
        <v>9990</v>
      </c>
      <c r="F496" t="s">
        <v>139</v>
      </c>
      <c r="G496">
        <v>20</v>
      </c>
      <c r="H496">
        <v>7</v>
      </c>
      <c r="I496">
        <v>4</v>
      </c>
      <c r="J496">
        <v>0.75</v>
      </c>
    </row>
    <row r="497" spans="1:10" x14ac:dyDescent="0.25">
      <c r="A497" t="s">
        <v>662</v>
      </c>
      <c r="B497">
        <v>2</v>
      </c>
      <c r="C497" t="s">
        <v>665</v>
      </c>
      <c r="D497" t="s">
        <v>666</v>
      </c>
      <c r="E497">
        <v>7000</v>
      </c>
      <c r="F497" t="s">
        <v>139</v>
      </c>
      <c r="G497">
        <v>18</v>
      </c>
      <c r="H497">
        <v>7</v>
      </c>
      <c r="I497">
        <v>4</v>
      </c>
      <c r="J497">
        <v>0.75</v>
      </c>
    </row>
    <row r="498" spans="1:10" x14ac:dyDescent="0.25">
      <c r="A498" t="s">
        <v>662</v>
      </c>
      <c r="B498">
        <v>2</v>
      </c>
      <c r="C498" t="s">
        <v>665</v>
      </c>
      <c r="D498" t="s">
        <v>667</v>
      </c>
      <c r="E498">
        <v>7000</v>
      </c>
      <c r="F498" t="s">
        <v>139</v>
      </c>
      <c r="G498">
        <v>20</v>
      </c>
      <c r="H498">
        <v>7</v>
      </c>
      <c r="I498">
        <v>4</v>
      </c>
      <c r="J498">
        <v>0.75</v>
      </c>
    </row>
    <row r="499" spans="1:10" x14ac:dyDescent="0.25">
      <c r="A499" t="s">
        <v>668</v>
      </c>
      <c r="B499">
        <v>2</v>
      </c>
      <c r="C499" t="s">
        <v>669</v>
      </c>
      <c r="D499" t="s">
        <v>670</v>
      </c>
      <c r="E499">
        <v>14000</v>
      </c>
      <c r="F499" t="s">
        <v>150</v>
      </c>
      <c r="G499">
        <v>14</v>
      </c>
      <c r="H499">
        <v>7</v>
      </c>
      <c r="I499">
        <v>6</v>
      </c>
      <c r="J499">
        <v>2.5</v>
      </c>
    </row>
    <row r="500" spans="1:10" x14ac:dyDescent="0.25">
      <c r="A500" t="s">
        <v>671</v>
      </c>
      <c r="B500">
        <v>2</v>
      </c>
      <c r="C500" t="s">
        <v>672</v>
      </c>
      <c r="D500" t="s">
        <v>673</v>
      </c>
      <c r="E500">
        <v>14000</v>
      </c>
      <c r="F500" t="s">
        <v>139</v>
      </c>
      <c r="G500">
        <v>20</v>
      </c>
      <c r="H500">
        <v>7</v>
      </c>
      <c r="I500">
        <v>4</v>
      </c>
      <c r="J500">
        <v>0.75</v>
      </c>
    </row>
    <row r="501" spans="1:10" x14ac:dyDescent="0.25">
      <c r="A501" t="s">
        <v>671</v>
      </c>
      <c r="B501">
        <v>3</v>
      </c>
      <c r="C501" t="s">
        <v>674</v>
      </c>
      <c r="D501" t="s">
        <v>675</v>
      </c>
      <c r="E501">
        <v>17500</v>
      </c>
      <c r="F501" t="s">
        <v>139</v>
      </c>
      <c r="G501">
        <v>20</v>
      </c>
      <c r="H501">
        <v>7</v>
      </c>
      <c r="I501">
        <v>4</v>
      </c>
      <c r="J501">
        <v>0.75</v>
      </c>
    </row>
    <row r="502" spans="1:10" x14ac:dyDescent="0.25">
      <c r="A502" t="s">
        <v>676</v>
      </c>
      <c r="B502">
        <v>2</v>
      </c>
      <c r="C502" t="s">
        <v>677</v>
      </c>
      <c r="D502" t="s">
        <v>678</v>
      </c>
      <c r="E502">
        <v>2995</v>
      </c>
      <c r="F502" t="s">
        <v>139</v>
      </c>
      <c r="G502">
        <v>12</v>
      </c>
      <c r="H502">
        <v>6.5</v>
      </c>
      <c r="I502">
        <v>3</v>
      </c>
      <c r="J502">
        <v>1</v>
      </c>
    </row>
    <row r="503" spans="1:10" x14ac:dyDescent="0.25">
      <c r="A503" t="s">
        <v>676</v>
      </c>
      <c r="B503">
        <v>2</v>
      </c>
      <c r="C503" t="s">
        <v>677</v>
      </c>
      <c r="D503" t="s">
        <v>679</v>
      </c>
      <c r="E503">
        <v>2995</v>
      </c>
      <c r="F503" t="s">
        <v>139</v>
      </c>
      <c r="G503">
        <v>14</v>
      </c>
      <c r="H503">
        <v>6.5</v>
      </c>
      <c r="I503">
        <v>3</v>
      </c>
      <c r="J503">
        <v>1</v>
      </c>
    </row>
    <row r="504" spans="1:10" x14ac:dyDescent="0.25">
      <c r="A504" t="s">
        <v>680</v>
      </c>
      <c r="B504">
        <v>3</v>
      </c>
      <c r="C504" t="s">
        <v>681</v>
      </c>
      <c r="D504" t="s">
        <v>682</v>
      </c>
      <c r="E504">
        <v>9990</v>
      </c>
      <c r="F504" t="s">
        <v>139</v>
      </c>
      <c r="G504">
        <v>20</v>
      </c>
      <c r="H504">
        <v>7</v>
      </c>
      <c r="I504">
        <v>3</v>
      </c>
      <c r="J504">
        <v>1.25</v>
      </c>
    </row>
    <row r="505" spans="1:10" x14ac:dyDescent="0.25">
      <c r="A505" t="s">
        <v>680</v>
      </c>
      <c r="B505">
        <v>3</v>
      </c>
      <c r="C505" t="s">
        <v>683</v>
      </c>
      <c r="D505" t="s">
        <v>684</v>
      </c>
      <c r="E505">
        <v>14000</v>
      </c>
      <c r="F505" t="s">
        <v>139</v>
      </c>
      <c r="G505">
        <v>20</v>
      </c>
      <c r="H505">
        <v>7</v>
      </c>
      <c r="I505">
        <v>3</v>
      </c>
      <c r="J505">
        <v>1.25</v>
      </c>
    </row>
    <row r="506" spans="1:10" x14ac:dyDescent="0.25">
      <c r="A506" t="s">
        <v>680</v>
      </c>
      <c r="B506">
        <v>2</v>
      </c>
      <c r="C506" t="s">
        <v>685</v>
      </c>
      <c r="D506" t="s">
        <v>686</v>
      </c>
      <c r="E506">
        <v>6000</v>
      </c>
      <c r="F506" t="s">
        <v>139</v>
      </c>
      <c r="G506">
        <v>16</v>
      </c>
      <c r="H506">
        <v>6.5</v>
      </c>
      <c r="I506">
        <v>3</v>
      </c>
      <c r="J506">
        <v>1.25</v>
      </c>
    </row>
    <row r="507" spans="1:10" x14ac:dyDescent="0.25">
      <c r="A507" t="s">
        <v>680</v>
      </c>
      <c r="B507">
        <v>3</v>
      </c>
      <c r="C507" t="s">
        <v>685</v>
      </c>
      <c r="D507" t="s">
        <v>687</v>
      </c>
      <c r="E507">
        <v>6000</v>
      </c>
      <c r="F507" t="s">
        <v>139</v>
      </c>
      <c r="G507">
        <v>16</v>
      </c>
      <c r="H507">
        <v>6.5</v>
      </c>
      <c r="I507">
        <v>3</v>
      </c>
      <c r="J507">
        <v>1.25</v>
      </c>
    </row>
    <row r="508" spans="1:10" x14ac:dyDescent="0.25">
      <c r="A508" t="s">
        <v>680</v>
      </c>
      <c r="B508">
        <v>2</v>
      </c>
      <c r="C508" t="s">
        <v>688</v>
      </c>
      <c r="D508" t="s">
        <v>689</v>
      </c>
      <c r="E508">
        <v>7000</v>
      </c>
      <c r="F508" t="s">
        <v>139</v>
      </c>
      <c r="G508">
        <v>18</v>
      </c>
      <c r="H508">
        <v>7</v>
      </c>
      <c r="I508">
        <v>3</v>
      </c>
      <c r="J508">
        <v>1.25</v>
      </c>
    </row>
    <row r="509" spans="1:10" x14ac:dyDescent="0.25">
      <c r="A509" t="s">
        <v>680</v>
      </c>
      <c r="B509">
        <v>3</v>
      </c>
      <c r="C509" t="s">
        <v>688</v>
      </c>
      <c r="D509" t="s">
        <v>690</v>
      </c>
      <c r="E509">
        <v>7000</v>
      </c>
      <c r="F509" t="s">
        <v>139</v>
      </c>
      <c r="G509">
        <v>18</v>
      </c>
      <c r="H509">
        <v>7</v>
      </c>
      <c r="I509">
        <v>3</v>
      </c>
      <c r="J509">
        <v>1.25</v>
      </c>
    </row>
    <row r="510" spans="1:10" x14ac:dyDescent="0.25">
      <c r="A510" t="s">
        <v>680</v>
      </c>
      <c r="B510">
        <v>2</v>
      </c>
      <c r="C510" t="s">
        <v>688</v>
      </c>
      <c r="D510" t="s">
        <v>691</v>
      </c>
      <c r="E510">
        <v>7000</v>
      </c>
      <c r="F510" t="s">
        <v>139</v>
      </c>
      <c r="G510">
        <v>20</v>
      </c>
      <c r="H510">
        <v>7</v>
      </c>
      <c r="I510">
        <v>3</v>
      </c>
      <c r="J510">
        <v>1.25</v>
      </c>
    </row>
    <row r="511" spans="1:10" x14ac:dyDescent="0.25">
      <c r="A511" t="s">
        <v>680</v>
      </c>
      <c r="B511">
        <v>3</v>
      </c>
      <c r="C511" t="s">
        <v>688</v>
      </c>
      <c r="D511" t="s">
        <v>692</v>
      </c>
      <c r="E511">
        <v>7000</v>
      </c>
      <c r="F511" t="s">
        <v>139</v>
      </c>
      <c r="G511">
        <v>20</v>
      </c>
      <c r="H511">
        <v>7</v>
      </c>
      <c r="I511">
        <v>3</v>
      </c>
      <c r="J511">
        <v>1.25</v>
      </c>
    </row>
    <row r="512" spans="1:10" x14ac:dyDescent="0.25">
      <c r="A512" t="s">
        <v>693</v>
      </c>
      <c r="B512">
        <v>3</v>
      </c>
      <c r="C512" t="s">
        <v>694</v>
      </c>
      <c r="D512" t="s">
        <v>695</v>
      </c>
      <c r="E512">
        <v>14000</v>
      </c>
      <c r="F512" t="s">
        <v>139</v>
      </c>
      <c r="G512">
        <v>20</v>
      </c>
      <c r="H512">
        <v>7</v>
      </c>
      <c r="I512">
        <v>6</v>
      </c>
      <c r="J512">
        <v>0.75</v>
      </c>
    </row>
    <row r="513" spans="1:10" x14ac:dyDescent="0.25">
      <c r="A513" t="s">
        <v>693</v>
      </c>
      <c r="B513">
        <v>3</v>
      </c>
      <c r="C513" t="s">
        <v>694</v>
      </c>
      <c r="D513" t="s">
        <v>696</v>
      </c>
      <c r="E513">
        <v>14000</v>
      </c>
      <c r="F513" t="s">
        <v>139</v>
      </c>
      <c r="G513">
        <v>22</v>
      </c>
      <c r="H513">
        <v>7</v>
      </c>
      <c r="I513">
        <v>6</v>
      </c>
      <c r="J513">
        <v>0.75</v>
      </c>
    </row>
    <row r="514" spans="1:10" x14ac:dyDescent="0.25">
      <c r="A514" t="s">
        <v>693</v>
      </c>
      <c r="B514">
        <v>3</v>
      </c>
      <c r="C514" t="s">
        <v>697</v>
      </c>
      <c r="D514" t="s">
        <v>698</v>
      </c>
      <c r="E514">
        <v>17500</v>
      </c>
      <c r="F514" t="s">
        <v>139</v>
      </c>
      <c r="G514">
        <v>20</v>
      </c>
      <c r="H514">
        <v>7</v>
      </c>
      <c r="I514">
        <v>6</v>
      </c>
      <c r="J514">
        <v>0.75</v>
      </c>
    </row>
    <row r="515" spans="1:10" x14ac:dyDescent="0.25">
      <c r="A515" t="s">
        <v>693</v>
      </c>
      <c r="B515">
        <v>3</v>
      </c>
      <c r="C515" t="s">
        <v>697</v>
      </c>
      <c r="D515" t="s">
        <v>699</v>
      </c>
      <c r="E515">
        <v>17500</v>
      </c>
      <c r="F515" t="s">
        <v>139</v>
      </c>
      <c r="G515">
        <v>22</v>
      </c>
      <c r="H515">
        <v>7</v>
      </c>
      <c r="I515">
        <v>6</v>
      </c>
      <c r="J515">
        <v>0.75</v>
      </c>
    </row>
    <row r="516" spans="1:10" x14ac:dyDescent="0.25">
      <c r="A516" t="s">
        <v>700</v>
      </c>
      <c r="B516">
        <v>3</v>
      </c>
      <c r="C516" t="s">
        <v>701</v>
      </c>
      <c r="D516" t="s">
        <v>702</v>
      </c>
      <c r="E516">
        <v>2995</v>
      </c>
      <c r="F516" t="s">
        <v>139</v>
      </c>
      <c r="G516">
        <v>8</v>
      </c>
      <c r="H516">
        <v>5</v>
      </c>
      <c r="I516">
        <v>3</v>
      </c>
      <c r="J516">
        <v>1</v>
      </c>
    </row>
    <row r="517" spans="1:10" x14ac:dyDescent="0.25">
      <c r="A517" t="s">
        <v>700</v>
      </c>
      <c r="B517">
        <v>4</v>
      </c>
      <c r="C517" t="s">
        <v>701</v>
      </c>
      <c r="D517" t="s">
        <v>703</v>
      </c>
      <c r="E517">
        <v>2995</v>
      </c>
      <c r="F517" t="s">
        <v>139</v>
      </c>
      <c r="G517">
        <v>8</v>
      </c>
      <c r="H517">
        <v>5</v>
      </c>
      <c r="I517">
        <v>3</v>
      </c>
      <c r="J517">
        <v>1</v>
      </c>
    </row>
    <row r="518" spans="1:10" x14ac:dyDescent="0.25">
      <c r="A518" t="s">
        <v>700</v>
      </c>
      <c r="B518">
        <v>4</v>
      </c>
      <c r="C518" t="s">
        <v>701</v>
      </c>
      <c r="D518" t="s">
        <v>704</v>
      </c>
      <c r="E518">
        <v>2995</v>
      </c>
      <c r="F518" t="s">
        <v>139</v>
      </c>
      <c r="G518">
        <v>8</v>
      </c>
      <c r="H518">
        <v>5</v>
      </c>
      <c r="I518">
        <v>3</v>
      </c>
      <c r="J518">
        <v>1</v>
      </c>
    </row>
    <row r="519" spans="1:10" x14ac:dyDescent="0.25">
      <c r="A519" t="s">
        <v>700</v>
      </c>
      <c r="B519">
        <v>1</v>
      </c>
      <c r="C519" t="s">
        <v>701</v>
      </c>
      <c r="D519" t="s">
        <v>705</v>
      </c>
      <c r="E519">
        <v>2995</v>
      </c>
      <c r="F519" t="s">
        <v>139</v>
      </c>
      <c r="G519">
        <v>8</v>
      </c>
      <c r="H519">
        <v>5</v>
      </c>
      <c r="I519">
        <v>3</v>
      </c>
      <c r="J519">
        <v>1</v>
      </c>
    </row>
    <row r="520" spans="1:10" x14ac:dyDescent="0.25">
      <c r="A520" t="s">
        <v>700</v>
      </c>
      <c r="B520">
        <v>3</v>
      </c>
      <c r="C520" t="s">
        <v>701</v>
      </c>
      <c r="D520" t="s">
        <v>706</v>
      </c>
      <c r="E520">
        <v>2995</v>
      </c>
      <c r="F520" t="s">
        <v>139</v>
      </c>
      <c r="G520">
        <v>10</v>
      </c>
      <c r="H520">
        <v>5</v>
      </c>
      <c r="I520">
        <v>3</v>
      </c>
      <c r="J520">
        <v>1</v>
      </c>
    </row>
    <row r="521" spans="1:10" x14ac:dyDescent="0.25">
      <c r="A521" t="s">
        <v>700</v>
      </c>
      <c r="B521">
        <v>4</v>
      </c>
      <c r="C521" t="s">
        <v>701</v>
      </c>
      <c r="D521" t="s">
        <v>707</v>
      </c>
      <c r="E521">
        <v>2995</v>
      </c>
      <c r="F521" t="s">
        <v>139</v>
      </c>
      <c r="G521">
        <v>10</v>
      </c>
      <c r="H521">
        <v>5</v>
      </c>
      <c r="I521">
        <v>3</v>
      </c>
      <c r="J521">
        <v>1</v>
      </c>
    </row>
    <row r="522" spans="1:10" x14ac:dyDescent="0.25">
      <c r="A522" t="s">
        <v>700</v>
      </c>
      <c r="B522">
        <v>4</v>
      </c>
      <c r="C522" t="s">
        <v>701</v>
      </c>
      <c r="D522" t="s">
        <v>708</v>
      </c>
      <c r="E522">
        <v>2995</v>
      </c>
      <c r="F522" t="s">
        <v>139</v>
      </c>
      <c r="G522">
        <v>10</v>
      </c>
      <c r="H522">
        <v>5</v>
      </c>
      <c r="I522">
        <v>3</v>
      </c>
      <c r="J522">
        <v>1</v>
      </c>
    </row>
    <row r="523" spans="1:10" x14ac:dyDescent="0.25">
      <c r="A523" t="s">
        <v>700</v>
      </c>
      <c r="B523">
        <v>1</v>
      </c>
      <c r="C523" t="s">
        <v>701</v>
      </c>
      <c r="D523" t="s">
        <v>709</v>
      </c>
      <c r="E523">
        <v>2995</v>
      </c>
      <c r="F523" t="s">
        <v>139</v>
      </c>
      <c r="G523">
        <v>10</v>
      </c>
      <c r="H523">
        <v>5</v>
      </c>
      <c r="I523">
        <v>3</v>
      </c>
      <c r="J523">
        <v>1</v>
      </c>
    </row>
    <row r="524" spans="1:10" x14ac:dyDescent="0.25">
      <c r="A524" t="s">
        <v>700</v>
      </c>
      <c r="B524">
        <v>4</v>
      </c>
      <c r="C524" t="s">
        <v>701</v>
      </c>
      <c r="D524" t="s">
        <v>710</v>
      </c>
      <c r="E524">
        <v>2995</v>
      </c>
      <c r="F524" t="s">
        <v>139</v>
      </c>
      <c r="G524">
        <v>12</v>
      </c>
      <c r="H524">
        <v>5</v>
      </c>
      <c r="I524">
        <v>3</v>
      </c>
      <c r="J524">
        <v>1</v>
      </c>
    </row>
    <row r="525" spans="1:10" x14ac:dyDescent="0.25">
      <c r="A525" t="s">
        <v>700</v>
      </c>
      <c r="B525">
        <v>4</v>
      </c>
      <c r="C525" t="s">
        <v>701</v>
      </c>
      <c r="D525" t="s">
        <v>711</v>
      </c>
      <c r="E525">
        <v>2995</v>
      </c>
      <c r="F525" t="s">
        <v>139</v>
      </c>
      <c r="G525">
        <v>14</v>
      </c>
      <c r="H525">
        <v>5</v>
      </c>
      <c r="I525">
        <v>3</v>
      </c>
      <c r="J525">
        <v>1</v>
      </c>
    </row>
    <row r="526" spans="1:10" x14ac:dyDescent="0.25">
      <c r="A526" t="s">
        <v>700</v>
      </c>
      <c r="B526">
        <v>3</v>
      </c>
      <c r="C526" t="s">
        <v>712</v>
      </c>
      <c r="D526" t="s">
        <v>713</v>
      </c>
      <c r="E526">
        <v>2995</v>
      </c>
      <c r="F526" t="s">
        <v>139</v>
      </c>
      <c r="G526">
        <v>10</v>
      </c>
      <c r="H526">
        <v>6.5</v>
      </c>
      <c r="I526">
        <v>3</v>
      </c>
      <c r="J526">
        <v>1</v>
      </c>
    </row>
    <row r="527" spans="1:10" x14ac:dyDescent="0.25">
      <c r="A527" t="s">
        <v>700</v>
      </c>
      <c r="B527">
        <v>4</v>
      </c>
      <c r="C527" t="s">
        <v>712</v>
      </c>
      <c r="D527" t="s">
        <v>714</v>
      </c>
      <c r="E527">
        <v>2995</v>
      </c>
      <c r="F527" t="s">
        <v>139</v>
      </c>
      <c r="G527">
        <v>10</v>
      </c>
      <c r="H527">
        <v>6.5</v>
      </c>
      <c r="I527">
        <v>3</v>
      </c>
      <c r="J527">
        <v>1</v>
      </c>
    </row>
    <row r="528" spans="1:10" x14ac:dyDescent="0.25">
      <c r="A528" t="s">
        <v>700</v>
      </c>
      <c r="B528">
        <v>4</v>
      </c>
      <c r="C528" t="s">
        <v>712</v>
      </c>
      <c r="D528" t="s">
        <v>715</v>
      </c>
      <c r="E528">
        <v>2995</v>
      </c>
      <c r="F528" t="s">
        <v>139</v>
      </c>
      <c r="G528">
        <v>10</v>
      </c>
      <c r="H528">
        <v>6.5</v>
      </c>
      <c r="I528">
        <v>3</v>
      </c>
      <c r="J528">
        <v>1</v>
      </c>
    </row>
    <row r="529" spans="1:10" x14ac:dyDescent="0.25">
      <c r="A529" t="s">
        <v>700</v>
      </c>
      <c r="B529">
        <v>1</v>
      </c>
      <c r="C529" t="s">
        <v>712</v>
      </c>
      <c r="D529" t="s">
        <v>716</v>
      </c>
      <c r="E529">
        <v>2995</v>
      </c>
      <c r="F529" t="s">
        <v>139</v>
      </c>
      <c r="G529">
        <v>10</v>
      </c>
      <c r="H529">
        <v>6.5</v>
      </c>
      <c r="I529">
        <v>3</v>
      </c>
      <c r="J529">
        <v>1</v>
      </c>
    </row>
    <row r="530" spans="1:10" x14ac:dyDescent="0.25">
      <c r="A530" t="s">
        <v>700</v>
      </c>
      <c r="B530">
        <v>4</v>
      </c>
      <c r="C530" t="s">
        <v>712</v>
      </c>
      <c r="D530" t="s">
        <v>717</v>
      </c>
      <c r="E530">
        <v>2995</v>
      </c>
      <c r="F530" t="s">
        <v>139</v>
      </c>
      <c r="G530">
        <v>10</v>
      </c>
      <c r="H530">
        <v>6.5</v>
      </c>
      <c r="I530">
        <v>3</v>
      </c>
      <c r="J530">
        <v>1</v>
      </c>
    </row>
    <row r="531" spans="1:10" x14ac:dyDescent="0.25">
      <c r="A531" t="s">
        <v>700</v>
      </c>
      <c r="B531">
        <v>3</v>
      </c>
      <c r="C531" t="s">
        <v>712</v>
      </c>
      <c r="D531" t="s">
        <v>718</v>
      </c>
      <c r="E531">
        <v>2995</v>
      </c>
      <c r="F531" t="s">
        <v>139</v>
      </c>
      <c r="G531">
        <v>12</v>
      </c>
      <c r="H531">
        <v>6.5</v>
      </c>
      <c r="I531">
        <v>3</v>
      </c>
      <c r="J531">
        <v>1</v>
      </c>
    </row>
    <row r="532" spans="1:10" x14ac:dyDescent="0.25">
      <c r="A532" t="s">
        <v>700</v>
      </c>
      <c r="B532">
        <v>4</v>
      </c>
      <c r="C532" t="s">
        <v>712</v>
      </c>
      <c r="D532" t="s">
        <v>719</v>
      </c>
      <c r="E532">
        <v>2995</v>
      </c>
      <c r="F532" t="s">
        <v>139</v>
      </c>
      <c r="G532">
        <v>12</v>
      </c>
      <c r="H532">
        <v>6.5</v>
      </c>
      <c r="I532">
        <v>3</v>
      </c>
      <c r="J532">
        <v>1</v>
      </c>
    </row>
    <row r="533" spans="1:10" x14ac:dyDescent="0.25">
      <c r="A533" t="s">
        <v>700</v>
      </c>
      <c r="B533">
        <v>4</v>
      </c>
      <c r="C533" t="s">
        <v>712</v>
      </c>
      <c r="D533" t="s">
        <v>720</v>
      </c>
      <c r="E533">
        <v>2995</v>
      </c>
      <c r="F533" t="s">
        <v>139</v>
      </c>
      <c r="G533">
        <v>12</v>
      </c>
      <c r="H533">
        <v>6.5</v>
      </c>
      <c r="I533">
        <v>3</v>
      </c>
      <c r="J533">
        <v>1</v>
      </c>
    </row>
    <row r="534" spans="1:10" x14ac:dyDescent="0.25">
      <c r="A534" t="s">
        <v>700</v>
      </c>
      <c r="B534">
        <v>4</v>
      </c>
      <c r="C534" t="s">
        <v>712</v>
      </c>
      <c r="D534" t="s">
        <v>721</v>
      </c>
      <c r="E534">
        <v>2995</v>
      </c>
      <c r="F534" t="s">
        <v>139</v>
      </c>
      <c r="G534">
        <v>12</v>
      </c>
      <c r="H534">
        <v>6.5</v>
      </c>
      <c r="I534">
        <v>3</v>
      </c>
      <c r="J534">
        <v>1</v>
      </c>
    </row>
    <row r="535" spans="1:10" x14ac:dyDescent="0.25">
      <c r="A535" t="s">
        <v>700</v>
      </c>
      <c r="B535">
        <v>1</v>
      </c>
      <c r="C535" t="s">
        <v>712</v>
      </c>
      <c r="D535" t="s">
        <v>722</v>
      </c>
      <c r="E535">
        <v>2995</v>
      </c>
      <c r="F535" t="s">
        <v>139</v>
      </c>
      <c r="G535">
        <v>12</v>
      </c>
      <c r="H535">
        <v>6.5</v>
      </c>
      <c r="I535">
        <v>3</v>
      </c>
      <c r="J535">
        <v>1</v>
      </c>
    </row>
    <row r="536" spans="1:10" x14ac:dyDescent="0.25">
      <c r="A536" t="s">
        <v>700</v>
      </c>
      <c r="B536">
        <v>4</v>
      </c>
      <c r="C536" t="s">
        <v>712</v>
      </c>
      <c r="D536" t="s">
        <v>723</v>
      </c>
      <c r="E536">
        <v>2995</v>
      </c>
      <c r="F536" t="s">
        <v>139</v>
      </c>
      <c r="G536">
        <v>12</v>
      </c>
      <c r="H536">
        <v>7</v>
      </c>
      <c r="I536">
        <v>3</v>
      </c>
      <c r="J536">
        <v>1</v>
      </c>
    </row>
    <row r="537" spans="1:10" x14ac:dyDescent="0.25">
      <c r="A537" t="s">
        <v>700</v>
      </c>
      <c r="B537">
        <v>4</v>
      </c>
      <c r="C537" t="s">
        <v>712</v>
      </c>
      <c r="D537" t="s">
        <v>724</v>
      </c>
      <c r="E537">
        <v>2995</v>
      </c>
      <c r="F537" t="s">
        <v>139</v>
      </c>
      <c r="G537">
        <v>12</v>
      </c>
      <c r="H537">
        <v>7</v>
      </c>
      <c r="I537">
        <v>3</v>
      </c>
      <c r="J537">
        <v>1</v>
      </c>
    </row>
    <row r="538" spans="1:10" x14ac:dyDescent="0.25">
      <c r="A538" t="s">
        <v>700</v>
      </c>
      <c r="B538">
        <v>4</v>
      </c>
      <c r="C538" t="s">
        <v>712</v>
      </c>
      <c r="D538" t="s">
        <v>725</v>
      </c>
      <c r="E538">
        <v>2995</v>
      </c>
      <c r="F538" t="s">
        <v>139</v>
      </c>
      <c r="G538">
        <v>12</v>
      </c>
      <c r="H538">
        <v>7</v>
      </c>
      <c r="I538">
        <v>3</v>
      </c>
      <c r="J538">
        <v>1</v>
      </c>
    </row>
    <row r="539" spans="1:10" x14ac:dyDescent="0.25">
      <c r="A539" t="s">
        <v>700</v>
      </c>
      <c r="B539">
        <v>3</v>
      </c>
      <c r="C539" t="s">
        <v>712</v>
      </c>
      <c r="D539" t="s">
        <v>726</v>
      </c>
      <c r="E539">
        <v>2995</v>
      </c>
      <c r="F539" t="s">
        <v>139</v>
      </c>
      <c r="G539">
        <v>14</v>
      </c>
      <c r="H539">
        <v>6.5</v>
      </c>
      <c r="I539">
        <v>3</v>
      </c>
      <c r="J539">
        <v>1</v>
      </c>
    </row>
    <row r="540" spans="1:10" x14ac:dyDescent="0.25">
      <c r="A540" t="s">
        <v>700</v>
      </c>
      <c r="B540">
        <v>4</v>
      </c>
      <c r="C540" t="s">
        <v>712</v>
      </c>
      <c r="D540" t="s">
        <v>727</v>
      </c>
      <c r="E540">
        <v>2995</v>
      </c>
      <c r="F540" t="s">
        <v>139</v>
      </c>
      <c r="G540">
        <v>14</v>
      </c>
      <c r="H540">
        <v>6.5</v>
      </c>
      <c r="I540">
        <v>3</v>
      </c>
      <c r="J540">
        <v>1</v>
      </c>
    </row>
    <row r="541" spans="1:10" x14ac:dyDescent="0.25">
      <c r="A541" t="s">
        <v>700</v>
      </c>
      <c r="B541">
        <v>4</v>
      </c>
      <c r="C541" t="s">
        <v>712</v>
      </c>
      <c r="D541" t="s">
        <v>728</v>
      </c>
      <c r="E541">
        <v>2995</v>
      </c>
      <c r="F541" t="s">
        <v>139</v>
      </c>
      <c r="G541">
        <v>14</v>
      </c>
      <c r="H541">
        <v>7</v>
      </c>
      <c r="I541">
        <v>3</v>
      </c>
      <c r="J541">
        <v>1</v>
      </c>
    </row>
    <row r="542" spans="1:10" x14ac:dyDescent="0.25">
      <c r="A542" t="s">
        <v>700</v>
      </c>
      <c r="B542">
        <v>1</v>
      </c>
      <c r="C542" t="s">
        <v>712</v>
      </c>
      <c r="D542" t="s">
        <v>729</v>
      </c>
      <c r="E542">
        <v>2995</v>
      </c>
      <c r="F542" t="s">
        <v>139</v>
      </c>
      <c r="G542">
        <v>14</v>
      </c>
      <c r="H542">
        <v>6.5</v>
      </c>
      <c r="I542">
        <v>3</v>
      </c>
      <c r="J542">
        <v>1</v>
      </c>
    </row>
    <row r="543" spans="1:10" x14ac:dyDescent="0.25">
      <c r="A543" t="s">
        <v>700</v>
      </c>
      <c r="B543">
        <v>4</v>
      </c>
      <c r="C543" t="s">
        <v>712</v>
      </c>
      <c r="D543" t="s">
        <v>730</v>
      </c>
      <c r="E543">
        <v>2995</v>
      </c>
      <c r="F543" t="s">
        <v>139</v>
      </c>
      <c r="G543">
        <v>14</v>
      </c>
      <c r="H543">
        <v>7</v>
      </c>
      <c r="I543">
        <v>3</v>
      </c>
      <c r="J543">
        <v>1</v>
      </c>
    </row>
    <row r="544" spans="1:10" x14ac:dyDescent="0.25">
      <c r="A544" t="s">
        <v>700</v>
      </c>
      <c r="B544">
        <v>4</v>
      </c>
      <c r="C544" t="s">
        <v>712</v>
      </c>
      <c r="D544" t="s">
        <v>731</v>
      </c>
      <c r="E544">
        <v>2995</v>
      </c>
      <c r="F544" t="s">
        <v>139</v>
      </c>
      <c r="G544">
        <v>14</v>
      </c>
      <c r="H544">
        <v>7</v>
      </c>
      <c r="I544">
        <v>3</v>
      </c>
      <c r="J544">
        <v>1</v>
      </c>
    </row>
    <row r="545" spans="1:10" x14ac:dyDescent="0.25">
      <c r="A545" t="s">
        <v>700</v>
      </c>
      <c r="B545">
        <v>4</v>
      </c>
      <c r="C545" t="s">
        <v>712</v>
      </c>
      <c r="D545" t="s">
        <v>732</v>
      </c>
      <c r="E545">
        <v>2995</v>
      </c>
      <c r="F545" t="s">
        <v>139</v>
      </c>
      <c r="G545">
        <v>14</v>
      </c>
      <c r="H545">
        <v>7</v>
      </c>
      <c r="I545">
        <v>3</v>
      </c>
      <c r="J545">
        <v>1</v>
      </c>
    </row>
    <row r="546" spans="1:10" x14ac:dyDescent="0.25">
      <c r="A546" t="s">
        <v>700</v>
      </c>
      <c r="B546">
        <v>3</v>
      </c>
      <c r="C546" t="s">
        <v>733</v>
      </c>
      <c r="D546" t="s">
        <v>734</v>
      </c>
      <c r="E546">
        <v>2995</v>
      </c>
      <c r="F546" t="s">
        <v>139</v>
      </c>
      <c r="G546">
        <v>12</v>
      </c>
      <c r="H546">
        <v>7</v>
      </c>
      <c r="I546">
        <v>3</v>
      </c>
      <c r="J546">
        <v>1</v>
      </c>
    </row>
    <row r="547" spans="1:10" x14ac:dyDescent="0.25">
      <c r="A547" t="s">
        <v>700</v>
      </c>
      <c r="B547">
        <v>3</v>
      </c>
      <c r="C547" t="s">
        <v>733</v>
      </c>
      <c r="D547" t="s">
        <v>735</v>
      </c>
      <c r="E547">
        <v>2995</v>
      </c>
      <c r="F547" t="s">
        <v>139</v>
      </c>
      <c r="G547">
        <v>12</v>
      </c>
      <c r="H547">
        <v>7</v>
      </c>
      <c r="I547">
        <v>3</v>
      </c>
      <c r="J547">
        <v>1</v>
      </c>
    </row>
    <row r="548" spans="1:10" x14ac:dyDescent="0.25">
      <c r="A548" t="s">
        <v>700</v>
      </c>
      <c r="B548">
        <v>3</v>
      </c>
      <c r="C548" t="s">
        <v>733</v>
      </c>
      <c r="D548" t="s">
        <v>736</v>
      </c>
      <c r="E548">
        <v>2995</v>
      </c>
      <c r="F548" t="s">
        <v>139</v>
      </c>
      <c r="G548">
        <v>14</v>
      </c>
      <c r="H548">
        <v>7</v>
      </c>
      <c r="I548">
        <v>3</v>
      </c>
      <c r="J548">
        <v>1</v>
      </c>
    </row>
    <row r="549" spans="1:10" x14ac:dyDescent="0.25">
      <c r="A549" t="s">
        <v>700</v>
      </c>
      <c r="B549">
        <v>3</v>
      </c>
      <c r="C549" t="s">
        <v>733</v>
      </c>
      <c r="D549" t="s">
        <v>737</v>
      </c>
      <c r="E549">
        <v>2995</v>
      </c>
      <c r="F549" t="s">
        <v>139</v>
      </c>
      <c r="G549">
        <v>14</v>
      </c>
      <c r="H549">
        <v>7</v>
      </c>
      <c r="I549">
        <v>3</v>
      </c>
      <c r="J549">
        <v>1</v>
      </c>
    </row>
    <row r="550" spans="1:10" x14ac:dyDescent="0.25">
      <c r="A550" t="s">
        <v>700</v>
      </c>
      <c r="B550">
        <v>3</v>
      </c>
      <c r="C550" t="s">
        <v>738</v>
      </c>
      <c r="D550" t="s">
        <v>739</v>
      </c>
      <c r="E550">
        <v>2995</v>
      </c>
      <c r="F550" t="s">
        <v>139</v>
      </c>
      <c r="G550">
        <v>14</v>
      </c>
      <c r="H550">
        <v>7</v>
      </c>
      <c r="I550">
        <v>3</v>
      </c>
      <c r="J550">
        <v>1</v>
      </c>
    </row>
    <row r="551" spans="1:10" x14ac:dyDescent="0.25">
      <c r="A551" t="s">
        <v>700</v>
      </c>
      <c r="B551">
        <v>2</v>
      </c>
      <c r="C551" t="s">
        <v>738</v>
      </c>
      <c r="D551" t="s">
        <v>740</v>
      </c>
      <c r="E551">
        <v>2995</v>
      </c>
      <c r="F551" t="s">
        <v>139</v>
      </c>
      <c r="G551">
        <v>14</v>
      </c>
      <c r="H551">
        <v>7</v>
      </c>
      <c r="I551">
        <v>3</v>
      </c>
      <c r="J551">
        <v>1</v>
      </c>
    </row>
    <row r="552" spans="1:10" x14ac:dyDescent="0.25">
      <c r="A552" t="s">
        <v>741</v>
      </c>
      <c r="B552">
        <v>4</v>
      </c>
      <c r="C552" t="s">
        <v>742</v>
      </c>
      <c r="D552" t="s">
        <v>743</v>
      </c>
      <c r="E552">
        <v>9990</v>
      </c>
      <c r="F552" t="s">
        <v>139</v>
      </c>
      <c r="G552">
        <v>12</v>
      </c>
      <c r="H552">
        <v>7</v>
      </c>
      <c r="I552">
        <v>3</v>
      </c>
      <c r="J552">
        <v>1.25</v>
      </c>
    </row>
    <row r="553" spans="1:10" x14ac:dyDescent="0.25">
      <c r="A553" t="s">
        <v>741</v>
      </c>
      <c r="B553">
        <v>4</v>
      </c>
      <c r="C553" t="s">
        <v>742</v>
      </c>
      <c r="D553" t="s">
        <v>744</v>
      </c>
      <c r="E553">
        <v>9990</v>
      </c>
      <c r="F553" t="s">
        <v>139</v>
      </c>
      <c r="G553">
        <v>14</v>
      </c>
      <c r="H553">
        <v>7</v>
      </c>
      <c r="I553">
        <v>3</v>
      </c>
      <c r="J553">
        <v>1.25</v>
      </c>
    </row>
    <row r="554" spans="1:10" x14ac:dyDescent="0.25">
      <c r="A554" t="s">
        <v>741</v>
      </c>
      <c r="B554">
        <v>3</v>
      </c>
      <c r="C554" t="s">
        <v>742</v>
      </c>
      <c r="D554" t="s">
        <v>745</v>
      </c>
      <c r="E554">
        <v>9990</v>
      </c>
      <c r="F554" t="s">
        <v>139</v>
      </c>
      <c r="G554">
        <v>16</v>
      </c>
      <c r="H554">
        <v>7</v>
      </c>
      <c r="I554">
        <v>3</v>
      </c>
      <c r="J554">
        <v>1.25</v>
      </c>
    </row>
    <row r="555" spans="1:10" x14ac:dyDescent="0.25">
      <c r="A555" t="s">
        <v>741</v>
      </c>
      <c r="B555">
        <v>3</v>
      </c>
      <c r="C555" t="s">
        <v>742</v>
      </c>
      <c r="D555" t="s">
        <v>746</v>
      </c>
      <c r="E555">
        <v>9990</v>
      </c>
      <c r="F555" t="s">
        <v>139</v>
      </c>
      <c r="G555">
        <v>16</v>
      </c>
      <c r="H555">
        <v>7</v>
      </c>
      <c r="I555">
        <v>3</v>
      </c>
      <c r="J555">
        <v>1.25</v>
      </c>
    </row>
    <row r="556" spans="1:10" x14ac:dyDescent="0.25">
      <c r="A556" t="s">
        <v>741</v>
      </c>
      <c r="B556">
        <v>3</v>
      </c>
      <c r="C556" t="s">
        <v>742</v>
      </c>
      <c r="D556" t="s">
        <v>747</v>
      </c>
      <c r="E556">
        <v>9990</v>
      </c>
      <c r="F556" t="s">
        <v>139</v>
      </c>
      <c r="G556">
        <v>16</v>
      </c>
      <c r="H556">
        <v>7</v>
      </c>
      <c r="I556">
        <v>3</v>
      </c>
      <c r="J556">
        <v>1.25</v>
      </c>
    </row>
    <row r="557" spans="1:10" x14ac:dyDescent="0.25">
      <c r="A557" t="s">
        <v>741</v>
      </c>
      <c r="B557">
        <v>3</v>
      </c>
      <c r="C557" t="s">
        <v>742</v>
      </c>
      <c r="D557" t="s">
        <v>748</v>
      </c>
      <c r="E557">
        <v>9990</v>
      </c>
      <c r="F557" t="s">
        <v>139</v>
      </c>
      <c r="G557">
        <v>16</v>
      </c>
      <c r="H557">
        <v>7</v>
      </c>
      <c r="I557">
        <v>3</v>
      </c>
      <c r="J557">
        <v>1.25</v>
      </c>
    </row>
    <row r="558" spans="1:10" x14ac:dyDescent="0.25">
      <c r="A558" t="s">
        <v>741</v>
      </c>
      <c r="B558">
        <v>3</v>
      </c>
      <c r="C558" t="s">
        <v>742</v>
      </c>
      <c r="D558" t="s">
        <v>749</v>
      </c>
      <c r="E558">
        <v>9990</v>
      </c>
      <c r="F558" t="s">
        <v>139</v>
      </c>
      <c r="G558">
        <v>18</v>
      </c>
      <c r="H558">
        <v>7</v>
      </c>
      <c r="I558">
        <v>3</v>
      </c>
      <c r="J558">
        <v>1.25</v>
      </c>
    </row>
    <row r="559" spans="1:10" x14ac:dyDescent="0.25">
      <c r="A559" t="s">
        <v>741</v>
      </c>
      <c r="B559">
        <v>2</v>
      </c>
      <c r="C559" t="s">
        <v>742</v>
      </c>
      <c r="D559" t="s">
        <v>750</v>
      </c>
      <c r="E559">
        <v>9990</v>
      </c>
      <c r="F559" t="s">
        <v>139</v>
      </c>
      <c r="G559">
        <v>18</v>
      </c>
      <c r="H559">
        <v>7</v>
      </c>
      <c r="I559">
        <v>3</v>
      </c>
      <c r="J559">
        <v>1.25</v>
      </c>
    </row>
    <row r="560" spans="1:10" x14ac:dyDescent="0.25">
      <c r="A560" t="s">
        <v>741</v>
      </c>
      <c r="B560">
        <v>3</v>
      </c>
      <c r="C560" t="s">
        <v>742</v>
      </c>
      <c r="D560" t="s">
        <v>751</v>
      </c>
      <c r="E560">
        <v>9990</v>
      </c>
      <c r="F560" t="s">
        <v>139</v>
      </c>
      <c r="G560">
        <v>18</v>
      </c>
      <c r="H560">
        <v>7</v>
      </c>
      <c r="I560">
        <v>3</v>
      </c>
      <c r="J560">
        <v>1.25</v>
      </c>
    </row>
    <row r="561" spans="1:10" x14ac:dyDescent="0.25">
      <c r="A561" t="s">
        <v>741</v>
      </c>
      <c r="B561">
        <v>3</v>
      </c>
      <c r="C561" t="s">
        <v>742</v>
      </c>
      <c r="D561" t="s">
        <v>752</v>
      </c>
      <c r="E561">
        <v>9990</v>
      </c>
      <c r="F561" t="s">
        <v>139</v>
      </c>
      <c r="G561">
        <v>18</v>
      </c>
      <c r="H561">
        <v>7</v>
      </c>
      <c r="I561">
        <v>3</v>
      </c>
      <c r="J561">
        <v>1.25</v>
      </c>
    </row>
    <row r="562" spans="1:10" x14ac:dyDescent="0.25">
      <c r="A562" t="s">
        <v>741</v>
      </c>
      <c r="B562">
        <v>3</v>
      </c>
      <c r="C562" t="s">
        <v>742</v>
      </c>
      <c r="D562" t="s">
        <v>753</v>
      </c>
      <c r="E562">
        <v>9990</v>
      </c>
      <c r="F562" t="s">
        <v>139</v>
      </c>
      <c r="G562">
        <v>20</v>
      </c>
      <c r="H562">
        <v>7</v>
      </c>
      <c r="I562">
        <v>3</v>
      </c>
      <c r="J562">
        <v>1.25</v>
      </c>
    </row>
    <row r="563" spans="1:10" x14ac:dyDescent="0.25">
      <c r="A563" t="s">
        <v>741</v>
      </c>
      <c r="B563">
        <v>2</v>
      </c>
      <c r="C563" t="s">
        <v>742</v>
      </c>
      <c r="D563" t="s">
        <v>754</v>
      </c>
      <c r="E563">
        <v>9990</v>
      </c>
      <c r="F563" t="s">
        <v>139</v>
      </c>
      <c r="G563">
        <v>20</v>
      </c>
      <c r="H563">
        <v>7</v>
      </c>
      <c r="I563">
        <v>3</v>
      </c>
      <c r="J563">
        <v>1.25</v>
      </c>
    </row>
    <row r="564" spans="1:10" x14ac:dyDescent="0.25">
      <c r="A564" t="s">
        <v>741</v>
      </c>
      <c r="B564">
        <v>3</v>
      </c>
      <c r="C564" t="s">
        <v>742</v>
      </c>
      <c r="D564" t="s">
        <v>755</v>
      </c>
      <c r="E564">
        <v>9990</v>
      </c>
      <c r="F564" t="s">
        <v>139</v>
      </c>
      <c r="G564">
        <v>20</v>
      </c>
      <c r="H564">
        <v>7</v>
      </c>
      <c r="I564">
        <v>3</v>
      </c>
      <c r="J564">
        <v>1.25</v>
      </c>
    </row>
    <row r="565" spans="1:10" x14ac:dyDescent="0.25">
      <c r="A565" t="s">
        <v>741</v>
      </c>
      <c r="B565">
        <v>3</v>
      </c>
      <c r="C565" t="s">
        <v>742</v>
      </c>
      <c r="D565" t="s">
        <v>756</v>
      </c>
      <c r="E565">
        <v>9990</v>
      </c>
      <c r="F565" t="s">
        <v>139</v>
      </c>
      <c r="G565">
        <v>20</v>
      </c>
      <c r="H565">
        <v>7</v>
      </c>
      <c r="I565">
        <v>3</v>
      </c>
      <c r="J565">
        <v>1.25</v>
      </c>
    </row>
    <row r="566" spans="1:10" x14ac:dyDescent="0.25">
      <c r="A566" t="s">
        <v>741</v>
      </c>
      <c r="B566">
        <v>4</v>
      </c>
      <c r="C566" t="s">
        <v>742</v>
      </c>
      <c r="D566" t="s">
        <v>757</v>
      </c>
      <c r="E566">
        <v>9990</v>
      </c>
      <c r="F566" t="s">
        <v>139</v>
      </c>
      <c r="G566">
        <v>24</v>
      </c>
      <c r="H566">
        <v>7</v>
      </c>
      <c r="I566">
        <v>3</v>
      </c>
      <c r="J566">
        <v>1.25</v>
      </c>
    </row>
    <row r="567" spans="1:10" x14ac:dyDescent="0.25">
      <c r="A567" t="s">
        <v>741</v>
      </c>
      <c r="B567">
        <v>3</v>
      </c>
      <c r="C567" t="s">
        <v>758</v>
      </c>
      <c r="D567" t="s">
        <v>759</v>
      </c>
      <c r="E567">
        <v>14000</v>
      </c>
      <c r="F567" t="s">
        <v>139</v>
      </c>
      <c r="G567">
        <v>16</v>
      </c>
      <c r="H567">
        <v>7</v>
      </c>
      <c r="I567">
        <v>3</v>
      </c>
      <c r="J567">
        <v>1.25</v>
      </c>
    </row>
    <row r="568" spans="1:10" x14ac:dyDescent="0.25">
      <c r="A568" t="s">
        <v>741</v>
      </c>
      <c r="B568">
        <v>2</v>
      </c>
      <c r="C568" t="s">
        <v>758</v>
      </c>
      <c r="D568" t="s">
        <v>760</v>
      </c>
      <c r="E568">
        <v>14000</v>
      </c>
      <c r="F568" t="s">
        <v>139</v>
      </c>
      <c r="G568">
        <v>16</v>
      </c>
      <c r="H568">
        <v>7</v>
      </c>
      <c r="I568">
        <v>3</v>
      </c>
      <c r="J568">
        <v>1.25</v>
      </c>
    </row>
    <row r="569" spans="1:10" x14ac:dyDescent="0.25">
      <c r="A569" t="s">
        <v>741</v>
      </c>
      <c r="B569">
        <v>3</v>
      </c>
      <c r="C569" t="s">
        <v>758</v>
      </c>
      <c r="D569" t="s">
        <v>761</v>
      </c>
      <c r="E569">
        <v>14000</v>
      </c>
      <c r="F569" t="s">
        <v>139</v>
      </c>
      <c r="G569">
        <v>16</v>
      </c>
      <c r="H569">
        <v>7</v>
      </c>
      <c r="I569">
        <v>3</v>
      </c>
      <c r="J569">
        <v>1.25</v>
      </c>
    </row>
    <row r="570" spans="1:10" x14ac:dyDescent="0.25">
      <c r="A570" t="s">
        <v>741</v>
      </c>
      <c r="B570">
        <v>3</v>
      </c>
      <c r="C570" t="s">
        <v>758</v>
      </c>
      <c r="D570" t="s">
        <v>762</v>
      </c>
      <c r="E570">
        <v>14000</v>
      </c>
      <c r="F570" t="s">
        <v>139</v>
      </c>
      <c r="G570">
        <v>18</v>
      </c>
      <c r="H570">
        <v>7</v>
      </c>
      <c r="I570">
        <v>3</v>
      </c>
      <c r="J570">
        <v>1.25</v>
      </c>
    </row>
    <row r="571" spans="1:10" x14ac:dyDescent="0.25">
      <c r="A571" t="s">
        <v>741</v>
      </c>
      <c r="B571">
        <v>2</v>
      </c>
      <c r="C571" t="s">
        <v>758</v>
      </c>
      <c r="D571" t="s">
        <v>763</v>
      </c>
      <c r="E571">
        <v>14000</v>
      </c>
      <c r="F571" t="s">
        <v>139</v>
      </c>
      <c r="G571">
        <v>18</v>
      </c>
      <c r="H571">
        <v>7</v>
      </c>
      <c r="I571">
        <v>3</v>
      </c>
      <c r="J571">
        <v>1.25</v>
      </c>
    </row>
    <row r="572" spans="1:10" x14ac:dyDescent="0.25">
      <c r="A572" t="s">
        <v>741</v>
      </c>
      <c r="B572">
        <v>3</v>
      </c>
      <c r="C572" t="s">
        <v>758</v>
      </c>
      <c r="D572" t="s">
        <v>764</v>
      </c>
      <c r="E572">
        <v>14000</v>
      </c>
      <c r="F572" t="s">
        <v>139</v>
      </c>
      <c r="G572">
        <v>18</v>
      </c>
      <c r="H572">
        <v>7</v>
      </c>
      <c r="I572">
        <v>3</v>
      </c>
      <c r="J572">
        <v>1.25</v>
      </c>
    </row>
    <row r="573" spans="1:10" x14ac:dyDescent="0.25">
      <c r="A573" t="s">
        <v>741</v>
      </c>
      <c r="B573">
        <v>3</v>
      </c>
      <c r="C573" t="s">
        <v>758</v>
      </c>
      <c r="D573" t="s">
        <v>765</v>
      </c>
      <c r="E573">
        <v>14000</v>
      </c>
      <c r="F573" t="s">
        <v>139</v>
      </c>
      <c r="G573">
        <v>20</v>
      </c>
      <c r="H573">
        <v>7</v>
      </c>
      <c r="I573">
        <v>3</v>
      </c>
      <c r="J573">
        <v>1.25</v>
      </c>
    </row>
    <row r="574" spans="1:10" x14ac:dyDescent="0.25">
      <c r="A574" t="s">
        <v>741</v>
      </c>
      <c r="B574">
        <v>1</v>
      </c>
      <c r="C574" t="s">
        <v>758</v>
      </c>
      <c r="D574" t="s">
        <v>766</v>
      </c>
      <c r="E574">
        <v>14000</v>
      </c>
      <c r="F574" t="s">
        <v>139</v>
      </c>
      <c r="G574">
        <v>20</v>
      </c>
      <c r="H574">
        <v>7</v>
      </c>
      <c r="I574">
        <v>3</v>
      </c>
      <c r="J574">
        <v>1.25</v>
      </c>
    </row>
    <row r="575" spans="1:10" x14ac:dyDescent="0.25">
      <c r="A575" t="s">
        <v>741</v>
      </c>
      <c r="B575">
        <v>3</v>
      </c>
      <c r="C575" t="s">
        <v>758</v>
      </c>
      <c r="D575" t="s">
        <v>767</v>
      </c>
      <c r="E575">
        <v>14000</v>
      </c>
      <c r="F575" t="s">
        <v>139</v>
      </c>
      <c r="G575">
        <v>20</v>
      </c>
      <c r="H575">
        <v>7</v>
      </c>
      <c r="I575">
        <v>3</v>
      </c>
      <c r="J575">
        <v>1.25</v>
      </c>
    </row>
    <row r="576" spans="1:10" x14ac:dyDescent="0.25">
      <c r="A576" t="s">
        <v>741</v>
      </c>
      <c r="B576">
        <v>2</v>
      </c>
      <c r="C576" t="s">
        <v>758</v>
      </c>
      <c r="D576" t="s">
        <v>768</v>
      </c>
      <c r="E576">
        <v>14000</v>
      </c>
      <c r="F576" t="s">
        <v>139</v>
      </c>
      <c r="G576">
        <v>20</v>
      </c>
      <c r="H576">
        <v>7</v>
      </c>
      <c r="I576">
        <v>3</v>
      </c>
      <c r="J576">
        <v>1.25</v>
      </c>
    </row>
    <row r="577" spans="1:10" x14ac:dyDescent="0.25">
      <c r="A577" t="s">
        <v>741</v>
      </c>
      <c r="B577">
        <v>3</v>
      </c>
      <c r="C577" t="s">
        <v>758</v>
      </c>
      <c r="D577" t="s">
        <v>769</v>
      </c>
      <c r="E577">
        <v>14000</v>
      </c>
      <c r="F577" t="s">
        <v>139</v>
      </c>
      <c r="G577">
        <v>24</v>
      </c>
      <c r="H577">
        <v>7</v>
      </c>
      <c r="I577">
        <v>3</v>
      </c>
      <c r="J577">
        <v>1.25</v>
      </c>
    </row>
    <row r="578" spans="1:10" x14ac:dyDescent="0.25">
      <c r="A578" t="s">
        <v>741</v>
      </c>
      <c r="B578">
        <v>3</v>
      </c>
      <c r="C578" t="s">
        <v>770</v>
      </c>
      <c r="D578" t="s">
        <v>771</v>
      </c>
      <c r="E578">
        <v>6000</v>
      </c>
      <c r="F578" t="s">
        <v>139</v>
      </c>
      <c r="G578">
        <v>12</v>
      </c>
      <c r="H578">
        <v>6.5</v>
      </c>
      <c r="I578">
        <v>3</v>
      </c>
      <c r="J578">
        <v>1.25</v>
      </c>
    </row>
    <row r="579" spans="1:10" x14ac:dyDescent="0.25">
      <c r="A579" t="s">
        <v>741</v>
      </c>
      <c r="B579">
        <v>1</v>
      </c>
      <c r="C579" t="s">
        <v>770</v>
      </c>
      <c r="D579" t="s">
        <v>772</v>
      </c>
      <c r="E579">
        <v>6000</v>
      </c>
      <c r="F579" t="s">
        <v>139</v>
      </c>
      <c r="G579">
        <v>12</v>
      </c>
      <c r="H579">
        <v>6.5</v>
      </c>
      <c r="I579">
        <v>3</v>
      </c>
      <c r="J579">
        <v>1.25</v>
      </c>
    </row>
    <row r="580" spans="1:10" x14ac:dyDescent="0.25">
      <c r="A580" t="s">
        <v>741</v>
      </c>
      <c r="B580">
        <v>1</v>
      </c>
      <c r="C580" t="s">
        <v>770</v>
      </c>
      <c r="D580" t="s">
        <v>773</v>
      </c>
      <c r="E580">
        <v>6000</v>
      </c>
      <c r="F580" t="s">
        <v>139</v>
      </c>
      <c r="G580">
        <v>12</v>
      </c>
      <c r="H580">
        <v>6.5</v>
      </c>
      <c r="I580">
        <v>3</v>
      </c>
      <c r="J580">
        <v>1.25</v>
      </c>
    </row>
    <row r="581" spans="1:10" x14ac:dyDescent="0.25">
      <c r="A581" t="s">
        <v>741</v>
      </c>
      <c r="B581">
        <v>3</v>
      </c>
      <c r="C581" t="s">
        <v>770</v>
      </c>
      <c r="D581" t="s">
        <v>774</v>
      </c>
      <c r="E581">
        <v>6000</v>
      </c>
      <c r="F581" t="s">
        <v>139</v>
      </c>
      <c r="G581">
        <v>14</v>
      </c>
      <c r="H581">
        <v>6.5</v>
      </c>
      <c r="I581">
        <v>3</v>
      </c>
      <c r="J581">
        <v>1.25</v>
      </c>
    </row>
    <row r="582" spans="1:10" x14ac:dyDescent="0.25">
      <c r="A582" t="s">
        <v>741</v>
      </c>
      <c r="B582">
        <v>1</v>
      </c>
      <c r="C582" t="s">
        <v>770</v>
      </c>
      <c r="D582" t="s">
        <v>775</v>
      </c>
      <c r="E582">
        <v>6000</v>
      </c>
      <c r="F582" t="s">
        <v>139</v>
      </c>
      <c r="G582">
        <v>14</v>
      </c>
      <c r="H582">
        <v>6.5</v>
      </c>
      <c r="I582">
        <v>3</v>
      </c>
      <c r="J582">
        <v>1.25</v>
      </c>
    </row>
    <row r="583" spans="1:10" x14ac:dyDescent="0.25">
      <c r="A583" t="s">
        <v>741</v>
      </c>
      <c r="B583">
        <v>1</v>
      </c>
      <c r="C583" t="s">
        <v>770</v>
      </c>
      <c r="D583" t="s">
        <v>776</v>
      </c>
      <c r="E583">
        <v>6000</v>
      </c>
      <c r="F583" t="s">
        <v>139</v>
      </c>
      <c r="G583">
        <v>14</v>
      </c>
      <c r="H583">
        <v>6.5</v>
      </c>
      <c r="I583">
        <v>3</v>
      </c>
      <c r="J583">
        <v>1.25</v>
      </c>
    </row>
    <row r="584" spans="1:10" x14ac:dyDescent="0.25">
      <c r="A584" t="s">
        <v>741</v>
      </c>
      <c r="B584">
        <v>4</v>
      </c>
      <c r="C584" t="s">
        <v>770</v>
      </c>
      <c r="D584" t="s">
        <v>777</v>
      </c>
      <c r="E584">
        <v>6000</v>
      </c>
      <c r="F584" t="s">
        <v>139</v>
      </c>
      <c r="G584">
        <v>14</v>
      </c>
      <c r="H584">
        <v>6.5</v>
      </c>
      <c r="I584">
        <v>3</v>
      </c>
      <c r="J584">
        <v>1.25</v>
      </c>
    </row>
    <row r="585" spans="1:10" x14ac:dyDescent="0.25">
      <c r="A585" t="s">
        <v>741</v>
      </c>
      <c r="B585">
        <v>3</v>
      </c>
      <c r="C585" t="s">
        <v>770</v>
      </c>
      <c r="D585" t="s">
        <v>778</v>
      </c>
      <c r="E585">
        <v>6000</v>
      </c>
      <c r="F585" t="s">
        <v>139</v>
      </c>
      <c r="G585">
        <v>16</v>
      </c>
      <c r="H585">
        <v>6.5</v>
      </c>
      <c r="I585">
        <v>3</v>
      </c>
      <c r="J585">
        <v>1.25</v>
      </c>
    </row>
    <row r="586" spans="1:10" x14ac:dyDescent="0.25">
      <c r="A586" t="s">
        <v>741</v>
      </c>
      <c r="B586">
        <v>3</v>
      </c>
      <c r="C586" t="s">
        <v>770</v>
      </c>
      <c r="D586" t="s">
        <v>779</v>
      </c>
      <c r="E586">
        <v>6000</v>
      </c>
      <c r="F586" t="s">
        <v>139</v>
      </c>
      <c r="G586">
        <v>16</v>
      </c>
      <c r="H586">
        <v>6.5</v>
      </c>
      <c r="I586">
        <v>3</v>
      </c>
      <c r="J586">
        <v>1.25</v>
      </c>
    </row>
    <row r="587" spans="1:10" x14ac:dyDescent="0.25">
      <c r="A587" t="s">
        <v>741</v>
      </c>
      <c r="B587">
        <v>3</v>
      </c>
      <c r="C587" t="s">
        <v>770</v>
      </c>
      <c r="D587" t="s">
        <v>780</v>
      </c>
      <c r="E587">
        <v>6000</v>
      </c>
      <c r="F587" t="s">
        <v>139</v>
      </c>
      <c r="G587">
        <v>16</v>
      </c>
      <c r="H587">
        <v>6.5</v>
      </c>
      <c r="I587">
        <v>3</v>
      </c>
      <c r="J587">
        <v>1.25</v>
      </c>
    </row>
    <row r="588" spans="1:10" x14ac:dyDescent="0.25">
      <c r="A588" t="s">
        <v>741</v>
      </c>
      <c r="B588">
        <v>1</v>
      </c>
      <c r="C588" t="s">
        <v>770</v>
      </c>
      <c r="D588" t="s">
        <v>781</v>
      </c>
      <c r="E588">
        <v>6000</v>
      </c>
      <c r="F588" t="s">
        <v>139</v>
      </c>
      <c r="G588">
        <v>16</v>
      </c>
      <c r="H588">
        <v>6.5</v>
      </c>
      <c r="I588">
        <v>3</v>
      </c>
      <c r="J588">
        <v>1.25</v>
      </c>
    </row>
    <row r="589" spans="1:10" x14ac:dyDescent="0.25">
      <c r="A589" t="s">
        <v>741</v>
      </c>
      <c r="B589">
        <v>1</v>
      </c>
      <c r="C589" t="s">
        <v>770</v>
      </c>
      <c r="D589" t="s">
        <v>782</v>
      </c>
      <c r="E589">
        <v>6000</v>
      </c>
      <c r="F589" t="s">
        <v>139</v>
      </c>
      <c r="G589">
        <v>16</v>
      </c>
      <c r="H589">
        <v>6.5</v>
      </c>
      <c r="I589">
        <v>3</v>
      </c>
      <c r="J589">
        <v>1.25</v>
      </c>
    </row>
    <row r="590" spans="1:10" x14ac:dyDescent="0.25">
      <c r="A590" t="s">
        <v>741</v>
      </c>
      <c r="B590">
        <v>4</v>
      </c>
      <c r="C590" t="s">
        <v>770</v>
      </c>
      <c r="D590" t="s">
        <v>783</v>
      </c>
      <c r="E590">
        <v>6000</v>
      </c>
      <c r="F590" t="s">
        <v>139</v>
      </c>
      <c r="G590">
        <v>16</v>
      </c>
      <c r="H590">
        <v>6.5</v>
      </c>
      <c r="I590">
        <v>3</v>
      </c>
      <c r="J590">
        <v>1.25</v>
      </c>
    </row>
    <row r="591" spans="1:10" x14ac:dyDescent="0.25">
      <c r="A591" t="s">
        <v>741</v>
      </c>
      <c r="B591">
        <v>3</v>
      </c>
      <c r="C591" t="s">
        <v>784</v>
      </c>
      <c r="D591" t="s">
        <v>785</v>
      </c>
      <c r="E591">
        <v>7000</v>
      </c>
      <c r="F591" t="s">
        <v>139</v>
      </c>
      <c r="G591">
        <v>14</v>
      </c>
      <c r="H591">
        <v>7</v>
      </c>
      <c r="I591">
        <v>3</v>
      </c>
      <c r="J591">
        <v>1.25</v>
      </c>
    </row>
    <row r="592" spans="1:10" x14ac:dyDescent="0.25">
      <c r="A592" t="s">
        <v>741</v>
      </c>
      <c r="B592">
        <v>2</v>
      </c>
      <c r="C592" t="s">
        <v>784</v>
      </c>
      <c r="D592" t="s">
        <v>786</v>
      </c>
      <c r="E592">
        <v>7000</v>
      </c>
      <c r="F592" t="s">
        <v>139</v>
      </c>
      <c r="G592">
        <v>14</v>
      </c>
      <c r="H592">
        <v>7</v>
      </c>
      <c r="I592">
        <v>3</v>
      </c>
      <c r="J592">
        <v>1.25</v>
      </c>
    </row>
    <row r="593" spans="1:10" x14ac:dyDescent="0.25">
      <c r="A593" t="s">
        <v>741</v>
      </c>
      <c r="B593">
        <v>2</v>
      </c>
      <c r="C593" t="s">
        <v>784</v>
      </c>
      <c r="D593" t="s">
        <v>787</v>
      </c>
      <c r="E593">
        <v>7000</v>
      </c>
      <c r="F593" t="s">
        <v>139</v>
      </c>
      <c r="G593">
        <v>14</v>
      </c>
      <c r="H593">
        <v>7</v>
      </c>
      <c r="I593">
        <v>3</v>
      </c>
      <c r="J593">
        <v>1.25</v>
      </c>
    </row>
    <row r="594" spans="1:10" x14ac:dyDescent="0.25">
      <c r="A594" t="s">
        <v>741</v>
      </c>
      <c r="B594">
        <v>4</v>
      </c>
      <c r="C594" t="s">
        <v>784</v>
      </c>
      <c r="D594" t="s">
        <v>788</v>
      </c>
      <c r="E594">
        <v>7000</v>
      </c>
      <c r="F594" t="s">
        <v>139</v>
      </c>
      <c r="G594">
        <v>14</v>
      </c>
      <c r="H594">
        <v>7</v>
      </c>
      <c r="I594">
        <v>3</v>
      </c>
      <c r="J594">
        <v>1.25</v>
      </c>
    </row>
    <row r="595" spans="1:10" x14ac:dyDescent="0.25">
      <c r="A595" t="s">
        <v>741</v>
      </c>
      <c r="B595">
        <v>3</v>
      </c>
      <c r="C595" t="s">
        <v>784</v>
      </c>
      <c r="D595" t="s">
        <v>789</v>
      </c>
      <c r="E595">
        <v>7000</v>
      </c>
      <c r="F595" t="s">
        <v>139</v>
      </c>
      <c r="G595">
        <v>14</v>
      </c>
      <c r="H595">
        <v>7</v>
      </c>
      <c r="I595">
        <v>3</v>
      </c>
      <c r="J595">
        <v>1.25</v>
      </c>
    </row>
    <row r="596" spans="1:10" x14ac:dyDescent="0.25">
      <c r="A596" t="s">
        <v>741</v>
      </c>
      <c r="B596">
        <v>4</v>
      </c>
      <c r="C596" t="s">
        <v>784</v>
      </c>
      <c r="D596" t="s">
        <v>790</v>
      </c>
      <c r="E596">
        <v>7000</v>
      </c>
      <c r="F596" t="s">
        <v>139</v>
      </c>
      <c r="G596">
        <v>14</v>
      </c>
      <c r="H596">
        <v>7</v>
      </c>
      <c r="I596">
        <v>3</v>
      </c>
      <c r="J596">
        <v>1.25</v>
      </c>
    </row>
    <row r="597" spans="1:10" x14ac:dyDescent="0.25">
      <c r="A597" t="s">
        <v>741</v>
      </c>
      <c r="B597">
        <v>2</v>
      </c>
      <c r="C597" t="s">
        <v>784</v>
      </c>
      <c r="D597" t="s">
        <v>791</v>
      </c>
      <c r="E597">
        <v>7000</v>
      </c>
      <c r="F597" t="s">
        <v>139</v>
      </c>
      <c r="G597">
        <v>14</v>
      </c>
      <c r="H597">
        <v>7</v>
      </c>
      <c r="I597">
        <v>3</v>
      </c>
      <c r="J597">
        <v>1.25</v>
      </c>
    </row>
    <row r="598" spans="1:10" x14ac:dyDescent="0.25">
      <c r="A598" t="s">
        <v>741</v>
      </c>
      <c r="B598">
        <v>4</v>
      </c>
      <c r="C598" t="s">
        <v>784</v>
      </c>
      <c r="D598" t="s">
        <v>792</v>
      </c>
      <c r="E598">
        <v>7000</v>
      </c>
      <c r="F598" t="s">
        <v>139</v>
      </c>
      <c r="G598">
        <v>14</v>
      </c>
      <c r="H598">
        <v>7</v>
      </c>
      <c r="I598">
        <v>3</v>
      </c>
      <c r="J598">
        <v>1.25</v>
      </c>
    </row>
    <row r="599" spans="1:10" x14ac:dyDescent="0.25">
      <c r="A599" t="s">
        <v>741</v>
      </c>
      <c r="B599">
        <v>4</v>
      </c>
      <c r="C599" t="s">
        <v>784</v>
      </c>
      <c r="D599" t="s">
        <v>793</v>
      </c>
      <c r="E599">
        <v>7000</v>
      </c>
      <c r="F599" t="s">
        <v>139</v>
      </c>
      <c r="G599">
        <v>14</v>
      </c>
      <c r="H599">
        <v>7</v>
      </c>
      <c r="I599">
        <v>3</v>
      </c>
      <c r="J599">
        <v>1.25</v>
      </c>
    </row>
    <row r="600" spans="1:10" x14ac:dyDescent="0.25">
      <c r="A600" t="s">
        <v>741</v>
      </c>
      <c r="B600">
        <v>3</v>
      </c>
      <c r="C600" t="s">
        <v>784</v>
      </c>
      <c r="D600" t="s">
        <v>794</v>
      </c>
      <c r="E600">
        <v>7000</v>
      </c>
      <c r="F600" t="s">
        <v>139</v>
      </c>
      <c r="G600">
        <v>16</v>
      </c>
      <c r="H600">
        <v>7</v>
      </c>
      <c r="I600">
        <v>3</v>
      </c>
      <c r="J600">
        <v>1.25</v>
      </c>
    </row>
    <row r="601" spans="1:10" x14ac:dyDescent="0.25">
      <c r="A601" t="s">
        <v>741</v>
      </c>
      <c r="B601">
        <v>1</v>
      </c>
      <c r="C601" t="s">
        <v>784</v>
      </c>
      <c r="D601" t="s">
        <v>795</v>
      </c>
      <c r="E601">
        <v>7000</v>
      </c>
      <c r="F601" t="s">
        <v>139</v>
      </c>
      <c r="G601">
        <v>16</v>
      </c>
      <c r="H601">
        <v>7</v>
      </c>
      <c r="I601">
        <v>3</v>
      </c>
      <c r="J601">
        <v>1.25</v>
      </c>
    </row>
    <row r="602" spans="1:10" x14ac:dyDescent="0.25">
      <c r="A602" t="s">
        <v>741</v>
      </c>
      <c r="B602">
        <v>1</v>
      </c>
      <c r="C602" t="s">
        <v>784</v>
      </c>
      <c r="D602" t="s">
        <v>796</v>
      </c>
      <c r="E602">
        <v>7000</v>
      </c>
      <c r="F602" t="s">
        <v>139</v>
      </c>
      <c r="G602">
        <v>16</v>
      </c>
      <c r="H602">
        <v>7</v>
      </c>
      <c r="I602">
        <v>3</v>
      </c>
      <c r="J602">
        <v>1.25</v>
      </c>
    </row>
    <row r="603" spans="1:10" x14ac:dyDescent="0.25">
      <c r="A603" t="s">
        <v>741</v>
      </c>
      <c r="B603">
        <v>4</v>
      </c>
      <c r="C603" t="s">
        <v>784</v>
      </c>
      <c r="D603" t="s">
        <v>797</v>
      </c>
      <c r="E603">
        <v>7000</v>
      </c>
      <c r="F603" t="s">
        <v>139</v>
      </c>
      <c r="G603">
        <v>16</v>
      </c>
      <c r="H603">
        <v>7</v>
      </c>
      <c r="I603">
        <v>3</v>
      </c>
      <c r="J603">
        <v>1.25</v>
      </c>
    </row>
    <row r="604" spans="1:10" x14ac:dyDescent="0.25">
      <c r="A604" t="s">
        <v>741</v>
      </c>
      <c r="B604">
        <v>2</v>
      </c>
      <c r="C604" t="s">
        <v>784</v>
      </c>
      <c r="D604" t="s">
        <v>798</v>
      </c>
      <c r="E604">
        <v>7000</v>
      </c>
      <c r="F604" t="s">
        <v>139</v>
      </c>
      <c r="G604">
        <v>16</v>
      </c>
      <c r="H604">
        <v>7</v>
      </c>
      <c r="I604">
        <v>3</v>
      </c>
      <c r="J604">
        <v>1.25</v>
      </c>
    </row>
    <row r="605" spans="1:10" x14ac:dyDescent="0.25">
      <c r="A605" t="s">
        <v>741</v>
      </c>
      <c r="B605">
        <v>3</v>
      </c>
      <c r="C605" t="s">
        <v>784</v>
      </c>
      <c r="D605" t="s">
        <v>799</v>
      </c>
      <c r="E605">
        <v>7000</v>
      </c>
      <c r="F605" t="s">
        <v>139</v>
      </c>
      <c r="G605">
        <v>16</v>
      </c>
      <c r="H605">
        <v>7</v>
      </c>
      <c r="I605">
        <v>3</v>
      </c>
      <c r="J605">
        <v>1.25</v>
      </c>
    </row>
    <row r="606" spans="1:10" x14ac:dyDescent="0.25">
      <c r="A606" t="s">
        <v>741</v>
      </c>
      <c r="B606">
        <v>4</v>
      </c>
      <c r="C606" t="s">
        <v>784</v>
      </c>
      <c r="D606" t="s">
        <v>800</v>
      </c>
      <c r="E606">
        <v>7000</v>
      </c>
      <c r="F606" t="s">
        <v>139</v>
      </c>
      <c r="G606">
        <v>16</v>
      </c>
      <c r="H606">
        <v>7</v>
      </c>
      <c r="I606">
        <v>3</v>
      </c>
      <c r="J606">
        <v>1.25</v>
      </c>
    </row>
    <row r="607" spans="1:10" x14ac:dyDescent="0.25">
      <c r="A607" t="s">
        <v>741</v>
      </c>
      <c r="B607">
        <v>4</v>
      </c>
      <c r="C607" t="s">
        <v>784</v>
      </c>
      <c r="D607" t="s">
        <v>801</v>
      </c>
      <c r="E607">
        <v>7000</v>
      </c>
      <c r="F607" t="s">
        <v>139</v>
      </c>
      <c r="G607">
        <v>16</v>
      </c>
      <c r="H607">
        <v>7</v>
      </c>
      <c r="I607">
        <v>3</v>
      </c>
      <c r="J607">
        <v>1.25</v>
      </c>
    </row>
    <row r="608" spans="1:10" x14ac:dyDescent="0.25">
      <c r="A608" t="s">
        <v>741</v>
      </c>
      <c r="B608">
        <v>4</v>
      </c>
      <c r="C608" t="s">
        <v>784</v>
      </c>
      <c r="D608" t="s">
        <v>802</v>
      </c>
      <c r="E608">
        <v>7000</v>
      </c>
      <c r="F608" t="s">
        <v>139</v>
      </c>
      <c r="G608">
        <v>16</v>
      </c>
      <c r="H608">
        <v>7</v>
      </c>
      <c r="I608">
        <v>3</v>
      </c>
      <c r="J608">
        <v>1.25</v>
      </c>
    </row>
    <row r="609" spans="1:10" x14ac:dyDescent="0.25">
      <c r="A609" t="s">
        <v>741</v>
      </c>
      <c r="B609">
        <v>4</v>
      </c>
      <c r="C609" t="s">
        <v>784</v>
      </c>
      <c r="D609" t="s">
        <v>803</v>
      </c>
      <c r="E609">
        <v>7000</v>
      </c>
      <c r="F609" t="s">
        <v>139</v>
      </c>
      <c r="G609">
        <v>16</v>
      </c>
      <c r="H609">
        <v>7</v>
      </c>
      <c r="I609">
        <v>3</v>
      </c>
      <c r="J609">
        <v>1.25</v>
      </c>
    </row>
    <row r="610" spans="1:10" x14ac:dyDescent="0.25">
      <c r="A610" t="s">
        <v>741</v>
      </c>
      <c r="B610">
        <v>3</v>
      </c>
      <c r="C610" t="s">
        <v>784</v>
      </c>
      <c r="D610" t="s">
        <v>804</v>
      </c>
      <c r="E610">
        <v>7000</v>
      </c>
      <c r="F610" t="s">
        <v>139</v>
      </c>
      <c r="G610">
        <v>18</v>
      </c>
      <c r="H610">
        <v>7</v>
      </c>
      <c r="I610">
        <v>3</v>
      </c>
      <c r="J610">
        <v>1.25</v>
      </c>
    </row>
    <row r="611" spans="1:10" x14ac:dyDescent="0.25">
      <c r="A611" t="s">
        <v>741</v>
      </c>
      <c r="B611">
        <v>2</v>
      </c>
      <c r="C611" t="s">
        <v>784</v>
      </c>
      <c r="D611" t="s">
        <v>805</v>
      </c>
      <c r="E611">
        <v>7000</v>
      </c>
      <c r="F611" t="s">
        <v>139</v>
      </c>
      <c r="G611">
        <v>18</v>
      </c>
      <c r="H611">
        <v>7</v>
      </c>
      <c r="I611">
        <v>3</v>
      </c>
      <c r="J611">
        <v>1.25</v>
      </c>
    </row>
    <row r="612" spans="1:10" x14ac:dyDescent="0.25">
      <c r="A612" t="s">
        <v>741</v>
      </c>
      <c r="B612">
        <v>1</v>
      </c>
      <c r="C612" t="s">
        <v>784</v>
      </c>
      <c r="D612" t="s">
        <v>806</v>
      </c>
      <c r="E612">
        <v>7000</v>
      </c>
      <c r="F612" t="s">
        <v>139</v>
      </c>
      <c r="G612">
        <v>18</v>
      </c>
      <c r="H612">
        <v>7</v>
      </c>
      <c r="I612">
        <v>3</v>
      </c>
      <c r="J612">
        <v>1.25</v>
      </c>
    </row>
    <row r="613" spans="1:10" x14ac:dyDescent="0.25">
      <c r="A613" t="s">
        <v>741</v>
      </c>
      <c r="B613">
        <v>4</v>
      </c>
      <c r="C613" t="s">
        <v>784</v>
      </c>
      <c r="D613" t="s">
        <v>807</v>
      </c>
      <c r="E613">
        <v>7000</v>
      </c>
      <c r="F613" t="s">
        <v>139</v>
      </c>
      <c r="G613">
        <v>18</v>
      </c>
      <c r="H613">
        <v>7</v>
      </c>
      <c r="I613">
        <v>3</v>
      </c>
      <c r="J613">
        <v>1.25</v>
      </c>
    </row>
    <row r="614" spans="1:10" x14ac:dyDescent="0.25">
      <c r="A614" t="s">
        <v>741</v>
      </c>
      <c r="B614">
        <v>2</v>
      </c>
      <c r="C614" t="s">
        <v>784</v>
      </c>
      <c r="D614" t="s">
        <v>808</v>
      </c>
      <c r="E614">
        <v>7000</v>
      </c>
      <c r="F614" t="s">
        <v>139</v>
      </c>
      <c r="G614">
        <v>18</v>
      </c>
      <c r="H614">
        <v>7</v>
      </c>
      <c r="I614">
        <v>3</v>
      </c>
      <c r="J614">
        <v>1.25</v>
      </c>
    </row>
    <row r="615" spans="1:10" x14ac:dyDescent="0.25">
      <c r="A615" t="s">
        <v>741</v>
      </c>
      <c r="B615">
        <v>3</v>
      </c>
      <c r="C615" t="s">
        <v>784</v>
      </c>
      <c r="D615" t="s">
        <v>809</v>
      </c>
      <c r="E615">
        <v>7000</v>
      </c>
      <c r="F615" t="s">
        <v>139</v>
      </c>
      <c r="G615">
        <v>18</v>
      </c>
      <c r="H615">
        <v>7</v>
      </c>
      <c r="I615">
        <v>3</v>
      </c>
      <c r="J615">
        <v>1.25</v>
      </c>
    </row>
    <row r="616" spans="1:10" x14ac:dyDescent="0.25">
      <c r="A616" t="s">
        <v>741</v>
      </c>
      <c r="B616">
        <v>4</v>
      </c>
      <c r="C616" t="s">
        <v>784</v>
      </c>
      <c r="D616" t="s">
        <v>810</v>
      </c>
      <c r="E616">
        <v>7000</v>
      </c>
      <c r="F616" t="s">
        <v>139</v>
      </c>
      <c r="G616">
        <v>18</v>
      </c>
      <c r="H616">
        <v>7</v>
      </c>
      <c r="I616">
        <v>3</v>
      </c>
      <c r="J616">
        <v>1.25</v>
      </c>
    </row>
    <row r="617" spans="1:10" x14ac:dyDescent="0.25">
      <c r="A617" t="s">
        <v>741</v>
      </c>
      <c r="B617">
        <v>4</v>
      </c>
      <c r="C617" t="s">
        <v>784</v>
      </c>
      <c r="D617" t="s">
        <v>811</v>
      </c>
      <c r="E617">
        <v>7000</v>
      </c>
      <c r="F617" t="s">
        <v>139</v>
      </c>
      <c r="G617">
        <v>18</v>
      </c>
      <c r="H617">
        <v>7</v>
      </c>
      <c r="I617">
        <v>3</v>
      </c>
      <c r="J617">
        <v>1.25</v>
      </c>
    </row>
    <row r="618" spans="1:10" x14ac:dyDescent="0.25">
      <c r="A618" t="s">
        <v>741</v>
      </c>
      <c r="B618">
        <v>4</v>
      </c>
      <c r="C618" t="s">
        <v>784</v>
      </c>
      <c r="D618" t="s">
        <v>812</v>
      </c>
      <c r="E618">
        <v>7000</v>
      </c>
      <c r="F618" t="s">
        <v>139</v>
      </c>
      <c r="G618">
        <v>18</v>
      </c>
      <c r="H618">
        <v>7</v>
      </c>
      <c r="I618">
        <v>3</v>
      </c>
      <c r="J618">
        <v>1.25</v>
      </c>
    </row>
    <row r="619" spans="1:10" x14ac:dyDescent="0.25">
      <c r="A619" t="s">
        <v>741</v>
      </c>
      <c r="B619">
        <v>4</v>
      </c>
      <c r="C619" t="s">
        <v>784</v>
      </c>
      <c r="D619" t="s">
        <v>813</v>
      </c>
      <c r="E619">
        <v>7000</v>
      </c>
      <c r="F619" t="s">
        <v>139</v>
      </c>
      <c r="G619">
        <v>18</v>
      </c>
      <c r="H619">
        <v>7</v>
      </c>
      <c r="I619">
        <v>3</v>
      </c>
      <c r="J619">
        <v>1.25</v>
      </c>
    </row>
    <row r="620" spans="1:10" x14ac:dyDescent="0.25">
      <c r="A620" t="s">
        <v>741</v>
      </c>
      <c r="B620">
        <v>3</v>
      </c>
      <c r="C620" t="s">
        <v>784</v>
      </c>
      <c r="D620" t="s">
        <v>814</v>
      </c>
      <c r="E620">
        <v>7000</v>
      </c>
      <c r="F620" t="s">
        <v>139</v>
      </c>
      <c r="G620">
        <v>20</v>
      </c>
      <c r="H620">
        <v>7</v>
      </c>
      <c r="I620">
        <v>3</v>
      </c>
      <c r="J620">
        <v>1.25</v>
      </c>
    </row>
    <row r="621" spans="1:10" x14ac:dyDescent="0.25">
      <c r="A621" t="s">
        <v>741</v>
      </c>
      <c r="B621">
        <v>2</v>
      </c>
      <c r="C621" t="s">
        <v>784</v>
      </c>
      <c r="D621" t="s">
        <v>815</v>
      </c>
      <c r="E621">
        <v>7000</v>
      </c>
      <c r="F621" t="s">
        <v>139</v>
      </c>
      <c r="G621">
        <v>20</v>
      </c>
      <c r="H621">
        <v>7</v>
      </c>
      <c r="I621">
        <v>3</v>
      </c>
      <c r="J621">
        <v>1.25</v>
      </c>
    </row>
    <row r="622" spans="1:10" x14ac:dyDescent="0.25">
      <c r="A622" t="s">
        <v>741</v>
      </c>
      <c r="B622">
        <v>1</v>
      </c>
      <c r="C622" t="s">
        <v>784</v>
      </c>
      <c r="D622" t="s">
        <v>816</v>
      </c>
      <c r="E622">
        <v>7000</v>
      </c>
      <c r="F622" t="s">
        <v>139</v>
      </c>
      <c r="G622">
        <v>20</v>
      </c>
      <c r="H622">
        <v>7</v>
      </c>
      <c r="I622">
        <v>3</v>
      </c>
      <c r="J622">
        <v>1.25</v>
      </c>
    </row>
    <row r="623" spans="1:10" x14ac:dyDescent="0.25">
      <c r="A623" t="s">
        <v>741</v>
      </c>
      <c r="B623">
        <v>4</v>
      </c>
      <c r="C623" t="s">
        <v>784</v>
      </c>
      <c r="D623" t="s">
        <v>817</v>
      </c>
      <c r="E623">
        <v>7000</v>
      </c>
      <c r="F623" t="s">
        <v>139</v>
      </c>
      <c r="G623">
        <v>20</v>
      </c>
      <c r="H623">
        <v>7</v>
      </c>
      <c r="I623">
        <v>3</v>
      </c>
      <c r="J623">
        <v>1.25</v>
      </c>
    </row>
    <row r="624" spans="1:10" x14ac:dyDescent="0.25">
      <c r="A624" t="s">
        <v>741</v>
      </c>
      <c r="B624">
        <v>2</v>
      </c>
      <c r="C624" t="s">
        <v>784</v>
      </c>
      <c r="D624" t="s">
        <v>818</v>
      </c>
      <c r="E624">
        <v>7000</v>
      </c>
      <c r="F624" t="s">
        <v>139</v>
      </c>
      <c r="G624">
        <v>20</v>
      </c>
      <c r="H624">
        <v>7</v>
      </c>
      <c r="I624">
        <v>3</v>
      </c>
      <c r="J624">
        <v>1.25</v>
      </c>
    </row>
    <row r="625" spans="1:10" x14ac:dyDescent="0.25">
      <c r="A625" t="s">
        <v>741</v>
      </c>
      <c r="B625">
        <v>3</v>
      </c>
      <c r="C625" t="s">
        <v>784</v>
      </c>
      <c r="D625" t="s">
        <v>819</v>
      </c>
      <c r="E625">
        <v>7000</v>
      </c>
      <c r="F625" t="s">
        <v>139</v>
      </c>
      <c r="G625">
        <v>20</v>
      </c>
      <c r="H625">
        <v>7</v>
      </c>
      <c r="I625">
        <v>3</v>
      </c>
      <c r="J625">
        <v>1.25</v>
      </c>
    </row>
    <row r="626" spans="1:10" x14ac:dyDescent="0.25">
      <c r="A626" t="s">
        <v>741</v>
      </c>
      <c r="B626">
        <v>4</v>
      </c>
      <c r="C626" t="s">
        <v>784</v>
      </c>
      <c r="D626" t="s">
        <v>820</v>
      </c>
      <c r="E626">
        <v>7000</v>
      </c>
      <c r="F626" t="s">
        <v>139</v>
      </c>
      <c r="G626">
        <v>20</v>
      </c>
      <c r="H626">
        <v>7</v>
      </c>
      <c r="I626">
        <v>3</v>
      </c>
      <c r="J626">
        <v>1.25</v>
      </c>
    </row>
    <row r="627" spans="1:10" x14ac:dyDescent="0.25">
      <c r="A627" t="s">
        <v>741</v>
      </c>
      <c r="B627">
        <v>4</v>
      </c>
      <c r="C627" t="s">
        <v>784</v>
      </c>
      <c r="D627" t="s">
        <v>821</v>
      </c>
      <c r="E627">
        <v>7000</v>
      </c>
      <c r="F627" t="s">
        <v>139</v>
      </c>
      <c r="G627">
        <v>20</v>
      </c>
      <c r="H627">
        <v>7</v>
      </c>
      <c r="I627">
        <v>3</v>
      </c>
      <c r="J627">
        <v>1.25</v>
      </c>
    </row>
    <row r="628" spans="1:10" x14ac:dyDescent="0.25">
      <c r="A628" t="s">
        <v>741</v>
      </c>
      <c r="B628">
        <v>4</v>
      </c>
      <c r="C628" t="s">
        <v>784</v>
      </c>
      <c r="D628" t="s">
        <v>822</v>
      </c>
      <c r="E628">
        <v>7000</v>
      </c>
      <c r="F628" t="s">
        <v>139</v>
      </c>
      <c r="G628">
        <v>20</v>
      </c>
      <c r="H628">
        <v>7</v>
      </c>
      <c r="I628">
        <v>3</v>
      </c>
      <c r="J628">
        <v>1.25</v>
      </c>
    </row>
    <row r="629" spans="1:10" x14ac:dyDescent="0.25">
      <c r="A629" t="s">
        <v>741</v>
      </c>
      <c r="B629">
        <v>4</v>
      </c>
      <c r="C629" t="s">
        <v>784</v>
      </c>
      <c r="D629" t="s">
        <v>823</v>
      </c>
      <c r="E629">
        <v>7000</v>
      </c>
      <c r="F629" t="s">
        <v>139</v>
      </c>
      <c r="G629">
        <v>20</v>
      </c>
      <c r="H629">
        <v>7</v>
      </c>
      <c r="I629">
        <v>3</v>
      </c>
      <c r="J629">
        <v>1.25</v>
      </c>
    </row>
    <row r="630" spans="1:10" x14ac:dyDescent="0.25">
      <c r="A630" t="s">
        <v>824</v>
      </c>
      <c r="B630">
        <v>3</v>
      </c>
      <c r="C630" t="s">
        <v>825</v>
      </c>
      <c r="D630" t="s">
        <v>826</v>
      </c>
      <c r="E630">
        <v>14000</v>
      </c>
      <c r="F630" t="s">
        <v>139</v>
      </c>
      <c r="G630">
        <v>16</v>
      </c>
      <c r="H630">
        <v>7</v>
      </c>
      <c r="I630">
        <v>6</v>
      </c>
      <c r="J630">
        <v>0.75</v>
      </c>
    </row>
    <row r="631" spans="1:10" x14ac:dyDescent="0.25">
      <c r="A631" t="s">
        <v>824</v>
      </c>
      <c r="B631">
        <v>1</v>
      </c>
      <c r="C631" t="s">
        <v>825</v>
      </c>
      <c r="D631" t="s">
        <v>827</v>
      </c>
      <c r="E631">
        <v>14000</v>
      </c>
      <c r="F631" t="s">
        <v>139</v>
      </c>
      <c r="G631">
        <v>16</v>
      </c>
      <c r="H631">
        <v>7</v>
      </c>
      <c r="I631">
        <v>6</v>
      </c>
      <c r="J631">
        <v>0.75</v>
      </c>
    </row>
    <row r="632" spans="1:10" x14ac:dyDescent="0.25">
      <c r="A632" t="s">
        <v>824</v>
      </c>
      <c r="B632">
        <v>3</v>
      </c>
      <c r="C632" t="s">
        <v>825</v>
      </c>
      <c r="D632" t="s">
        <v>828</v>
      </c>
      <c r="E632">
        <v>14000</v>
      </c>
      <c r="F632" t="s">
        <v>139</v>
      </c>
      <c r="G632">
        <v>18</v>
      </c>
      <c r="H632">
        <v>7</v>
      </c>
      <c r="I632">
        <v>6</v>
      </c>
      <c r="J632">
        <v>0.75</v>
      </c>
    </row>
    <row r="633" spans="1:10" x14ac:dyDescent="0.25">
      <c r="A633" t="s">
        <v>824</v>
      </c>
      <c r="B633">
        <v>2</v>
      </c>
      <c r="C633" t="s">
        <v>825</v>
      </c>
      <c r="D633" t="s">
        <v>829</v>
      </c>
      <c r="E633">
        <v>14000</v>
      </c>
      <c r="F633" t="s">
        <v>139</v>
      </c>
      <c r="G633">
        <v>18</v>
      </c>
      <c r="H633">
        <v>7</v>
      </c>
      <c r="I633">
        <v>6</v>
      </c>
      <c r="J633">
        <v>0.75</v>
      </c>
    </row>
    <row r="634" spans="1:10" x14ac:dyDescent="0.25">
      <c r="A634" t="s">
        <v>824</v>
      </c>
      <c r="B634">
        <v>3</v>
      </c>
      <c r="C634" t="s">
        <v>825</v>
      </c>
      <c r="D634" t="s">
        <v>830</v>
      </c>
      <c r="E634">
        <v>14000</v>
      </c>
      <c r="F634" t="s">
        <v>139</v>
      </c>
      <c r="G634">
        <v>20</v>
      </c>
      <c r="H634">
        <v>7</v>
      </c>
      <c r="I634">
        <v>6</v>
      </c>
      <c r="J634">
        <v>0.75</v>
      </c>
    </row>
    <row r="635" spans="1:10" x14ac:dyDescent="0.25">
      <c r="A635" t="s">
        <v>824</v>
      </c>
      <c r="B635">
        <v>1</v>
      </c>
      <c r="C635" t="s">
        <v>825</v>
      </c>
      <c r="D635" t="s">
        <v>831</v>
      </c>
      <c r="E635">
        <v>14000</v>
      </c>
      <c r="F635" t="s">
        <v>139</v>
      </c>
      <c r="G635">
        <v>20</v>
      </c>
      <c r="H635">
        <v>7</v>
      </c>
      <c r="I635">
        <v>6</v>
      </c>
      <c r="J635">
        <v>0.75</v>
      </c>
    </row>
    <row r="636" spans="1:10" x14ac:dyDescent="0.25">
      <c r="A636" t="s">
        <v>824</v>
      </c>
      <c r="B636">
        <v>3</v>
      </c>
      <c r="C636" t="s">
        <v>832</v>
      </c>
      <c r="D636" t="s">
        <v>833</v>
      </c>
      <c r="E636">
        <v>14000</v>
      </c>
      <c r="F636" t="s">
        <v>139</v>
      </c>
      <c r="G636">
        <v>22</v>
      </c>
      <c r="H636">
        <v>8</v>
      </c>
      <c r="I636">
        <v>6</v>
      </c>
      <c r="J636">
        <v>1.25</v>
      </c>
    </row>
    <row r="637" spans="1:10" x14ac:dyDescent="0.25">
      <c r="A637" t="s">
        <v>824</v>
      </c>
      <c r="B637">
        <v>1</v>
      </c>
      <c r="C637" t="s">
        <v>832</v>
      </c>
      <c r="D637" t="s">
        <v>834</v>
      </c>
      <c r="E637">
        <v>14000</v>
      </c>
      <c r="F637" t="s">
        <v>139</v>
      </c>
      <c r="G637">
        <v>22</v>
      </c>
      <c r="H637">
        <v>8</v>
      </c>
      <c r="I637">
        <v>6</v>
      </c>
      <c r="J637">
        <v>1.25</v>
      </c>
    </row>
    <row r="638" spans="1:10" x14ac:dyDescent="0.25">
      <c r="A638" t="s">
        <v>824</v>
      </c>
      <c r="B638">
        <v>3</v>
      </c>
      <c r="C638" t="s">
        <v>832</v>
      </c>
      <c r="D638" t="s">
        <v>835</v>
      </c>
      <c r="E638">
        <v>14000</v>
      </c>
      <c r="F638" t="s">
        <v>139</v>
      </c>
      <c r="G638">
        <v>22</v>
      </c>
      <c r="H638">
        <v>8</v>
      </c>
      <c r="I638">
        <v>6</v>
      </c>
      <c r="J638">
        <v>1.25</v>
      </c>
    </row>
    <row r="639" spans="1:10" x14ac:dyDescent="0.25">
      <c r="A639" t="s">
        <v>824</v>
      </c>
      <c r="B639">
        <v>3</v>
      </c>
      <c r="C639" t="s">
        <v>832</v>
      </c>
      <c r="D639" t="s">
        <v>836</v>
      </c>
      <c r="E639">
        <v>14000</v>
      </c>
      <c r="F639" t="s">
        <v>139</v>
      </c>
      <c r="G639">
        <v>24</v>
      </c>
      <c r="H639">
        <v>8</v>
      </c>
      <c r="I639">
        <v>6</v>
      </c>
      <c r="J639">
        <v>1.25</v>
      </c>
    </row>
    <row r="640" spans="1:10" x14ac:dyDescent="0.25">
      <c r="A640" t="s">
        <v>824</v>
      </c>
      <c r="B640">
        <v>2</v>
      </c>
      <c r="C640" t="s">
        <v>832</v>
      </c>
      <c r="D640" t="s">
        <v>837</v>
      </c>
      <c r="E640">
        <v>14000</v>
      </c>
      <c r="F640" t="s">
        <v>139</v>
      </c>
      <c r="G640">
        <v>24</v>
      </c>
      <c r="H640">
        <v>8</v>
      </c>
      <c r="I640">
        <v>6</v>
      </c>
      <c r="J640">
        <v>1.25</v>
      </c>
    </row>
    <row r="641" spans="1:10" x14ac:dyDescent="0.25">
      <c r="A641" t="s">
        <v>824</v>
      </c>
      <c r="B641">
        <v>3</v>
      </c>
      <c r="C641" t="s">
        <v>832</v>
      </c>
      <c r="D641" t="s">
        <v>838</v>
      </c>
      <c r="E641">
        <v>14000</v>
      </c>
      <c r="F641" t="s">
        <v>139</v>
      </c>
      <c r="G641">
        <v>24</v>
      </c>
      <c r="H641">
        <v>8</v>
      </c>
      <c r="I641">
        <v>6</v>
      </c>
      <c r="J641">
        <v>1.25</v>
      </c>
    </row>
    <row r="642" spans="1:10" x14ac:dyDescent="0.25">
      <c r="A642" t="s">
        <v>824</v>
      </c>
      <c r="B642">
        <v>3</v>
      </c>
      <c r="C642" t="s">
        <v>832</v>
      </c>
      <c r="D642" t="s">
        <v>839</v>
      </c>
      <c r="E642">
        <v>14000</v>
      </c>
      <c r="F642" t="s">
        <v>139</v>
      </c>
      <c r="G642">
        <v>26</v>
      </c>
      <c r="H642">
        <v>8</v>
      </c>
      <c r="I642">
        <v>6</v>
      </c>
      <c r="J642">
        <v>1.25</v>
      </c>
    </row>
    <row r="643" spans="1:10" x14ac:dyDescent="0.25">
      <c r="A643" t="s">
        <v>824</v>
      </c>
      <c r="B643">
        <v>2</v>
      </c>
      <c r="C643" t="s">
        <v>832</v>
      </c>
      <c r="D643" t="s">
        <v>840</v>
      </c>
      <c r="E643">
        <v>14000</v>
      </c>
      <c r="F643" t="s">
        <v>139</v>
      </c>
      <c r="G643">
        <v>26</v>
      </c>
      <c r="H643">
        <v>8</v>
      </c>
      <c r="I643">
        <v>6</v>
      </c>
      <c r="J643">
        <v>1.25</v>
      </c>
    </row>
    <row r="644" spans="1:10" x14ac:dyDescent="0.25">
      <c r="A644" t="s">
        <v>824</v>
      </c>
      <c r="B644">
        <v>3</v>
      </c>
      <c r="C644" t="s">
        <v>832</v>
      </c>
      <c r="D644" t="s">
        <v>841</v>
      </c>
      <c r="E644">
        <v>14000</v>
      </c>
      <c r="F644" t="s">
        <v>139</v>
      </c>
      <c r="G644">
        <v>26</v>
      </c>
      <c r="H644">
        <v>8</v>
      </c>
      <c r="I644">
        <v>6</v>
      </c>
      <c r="J644">
        <v>1.25</v>
      </c>
    </row>
    <row r="645" spans="1:10" x14ac:dyDescent="0.25">
      <c r="A645" t="s">
        <v>824</v>
      </c>
      <c r="B645">
        <v>3</v>
      </c>
      <c r="C645" t="s">
        <v>842</v>
      </c>
      <c r="D645" t="s">
        <v>843</v>
      </c>
      <c r="E645">
        <v>14000</v>
      </c>
      <c r="F645" t="s">
        <v>139</v>
      </c>
      <c r="G645">
        <v>20</v>
      </c>
      <c r="H645">
        <v>7</v>
      </c>
      <c r="I645">
        <v>6</v>
      </c>
      <c r="J645">
        <v>0.75</v>
      </c>
    </row>
    <row r="646" spans="1:10" x14ac:dyDescent="0.25">
      <c r="A646" t="s">
        <v>824</v>
      </c>
      <c r="B646">
        <v>1</v>
      </c>
      <c r="C646" t="s">
        <v>842</v>
      </c>
      <c r="D646" t="s">
        <v>844</v>
      </c>
      <c r="E646">
        <v>14000</v>
      </c>
      <c r="F646" t="s">
        <v>139</v>
      </c>
      <c r="G646">
        <v>20</v>
      </c>
      <c r="H646">
        <v>7</v>
      </c>
      <c r="I646">
        <v>6</v>
      </c>
      <c r="J646">
        <v>0.75</v>
      </c>
    </row>
    <row r="647" spans="1:10" x14ac:dyDescent="0.25">
      <c r="A647" t="s">
        <v>824</v>
      </c>
      <c r="B647">
        <v>4</v>
      </c>
      <c r="C647" t="s">
        <v>842</v>
      </c>
      <c r="D647" t="s">
        <v>845</v>
      </c>
      <c r="E647">
        <v>14000</v>
      </c>
      <c r="F647" t="s">
        <v>139</v>
      </c>
      <c r="G647">
        <v>20</v>
      </c>
      <c r="H647">
        <v>7</v>
      </c>
      <c r="I647">
        <v>6</v>
      </c>
      <c r="J647">
        <v>0.75</v>
      </c>
    </row>
    <row r="648" spans="1:10" x14ac:dyDescent="0.25">
      <c r="A648" t="s">
        <v>824</v>
      </c>
      <c r="B648">
        <v>3</v>
      </c>
      <c r="C648" t="s">
        <v>842</v>
      </c>
      <c r="D648" t="s">
        <v>846</v>
      </c>
      <c r="E648">
        <v>14000</v>
      </c>
      <c r="F648" t="s">
        <v>139</v>
      </c>
      <c r="G648">
        <v>22</v>
      </c>
      <c r="H648">
        <v>7</v>
      </c>
      <c r="I648">
        <v>6</v>
      </c>
      <c r="J648">
        <v>0.75</v>
      </c>
    </row>
    <row r="649" spans="1:10" x14ac:dyDescent="0.25">
      <c r="A649" t="s">
        <v>824</v>
      </c>
      <c r="B649">
        <v>1</v>
      </c>
      <c r="C649" t="s">
        <v>842</v>
      </c>
      <c r="D649" t="s">
        <v>847</v>
      </c>
      <c r="E649">
        <v>14000</v>
      </c>
      <c r="F649" t="s">
        <v>139</v>
      </c>
      <c r="G649">
        <v>22</v>
      </c>
      <c r="H649">
        <v>7</v>
      </c>
      <c r="I649">
        <v>6</v>
      </c>
      <c r="J649">
        <v>0.75</v>
      </c>
    </row>
    <row r="650" spans="1:10" x14ac:dyDescent="0.25">
      <c r="A650" t="s">
        <v>824</v>
      </c>
      <c r="B650">
        <v>4</v>
      </c>
      <c r="C650" t="s">
        <v>842</v>
      </c>
      <c r="D650" t="s">
        <v>848</v>
      </c>
      <c r="E650">
        <v>14000</v>
      </c>
      <c r="F650" t="s">
        <v>139</v>
      </c>
      <c r="G650">
        <v>22</v>
      </c>
      <c r="H650">
        <v>7</v>
      </c>
      <c r="I650">
        <v>6</v>
      </c>
      <c r="J650">
        <v>0.75</v>
      </c>
    </row>
    <row r="651" spans="1:10" x14ac:dyDescent="0.25">
      <c r="A651" t="s">
        <v>824</v>
      </c>
      <c r="B651">
        <v>3</v>
      </c>
      <c r="C651" t="s">
        <v>849</v>
      </c>
      <c r="D651" t="s">
        <v>850</v>
      </c>
      <c r="E651">
        <v>17500</v>
      </c>
      <c r="F651" t="s">
        <v>139</v>
      </c>
      <c r="G651">
        <v>22</v>
      </c>
      <c r="H651">
        <v>8</v>
      </c>
      <c r="I651">
        <v>6</v>
      </c>
      <c r="J651">
        <v>1.25</v>
      </c>
    </row>
    <row r="652" spans="1:10" x14ac:dyDescent="0.25">
      <c r="A652" t="s">
        <v>824</v>
      </c>
      <c r="B652">
        <v>3</v>
      </c>
      <c r="C652" t="s">
        <v>849</v>
      </c>
      <c r="D652" t="s">
        <v>851</v>
      </c>
      <c r="E652">
        <v>17500</v>
      </c>
      <c r="F652" t="s">
        <v>139</v>
      </c>
      <c r="G652">
        <v>24</v>
      </c>
      <c r="H652">
        <v>8</v>
      </c>
      <c r="I652">
        <v>6</v>
      </c>
      <c r="J652">
        <v>1.25</v>
      </c>
    </row>
    <row r="653" spans="1:10" x14ac:dyDescent="0.25">
      <c r="A653" t="s">
        <v>824</v>
      </c>
      <c r="B653">
        <v>3</v>
      </c>
      <c r="C653" t="s">
        <v>849</v>
      </c>
      <c r="D653" t="s">
        <v>852</v>
      </c>
      <c r="E653">
        <v>17500</v>
      </c>
      <c r="F653" t="s">
        <v>139</v>
      </c>
      <c r="G653">
        <v>26</v>
      </c>
      <c r="H653">
        <v>8</v>
      </c>
      <c r="I653">
        <v>6</v>
      </c>
      <c r="J653">
        <v>1.25</v>
      </c>
    </row>
    <row r="654" spans="1:10" x14ac:dyDescent="0.25">
      <c r="A654" t="s">
        <v>824</v>
      </c>
      <c r="B654">
        <v>3</v>
      </c>
      <c r="C654" t="s">
        <v>853</v>
      </c>
      <c r="D654" t="s">
        <v>854</v>
      </c>
      <c r="E654">
        <v>17500</v>
      </c>
      <c r="F654" t="s">
        <v>139</v>
      </c>
      <c r="G654">
        <v>20</v>
      </c>
      <c r="H654">
        <v>7</v>
      </c>
      <c r="I654">
        <v>6</v>
      </c>
      <c r="J654">
        <v>1</v>
      </c>
    </row>
    <row r="655" spans="1:10" x14ac:dyDescent="0.25">
      <c r="A655" t="s">
        <v>824</v>
      </c>
      <c r="B655">
        <v>2</v>
      </c>
      <c r="C655" t="s">
        <v>853</v>
      </c>
      <c r="D655" t="s">
        <v>855</v>
      </c>
      <c r="E655">
        <v>17500</v>
      </c>
      <c r="F655" t="s">
        <v>139</v>
      </c>
      <c r="G655">
        <v>20</v>
      </c>
      <c r="H655">
        <v>7</v>
      </c>
      <c r="I655">
        <v>6</v>
      </c>
      <c r="J655">
        <v>1</v>
      </c>
    </row>
    <row r="656" spans="1:10" x14ac:dyDescent="0.25">
      <c r="A656" t="s">
        <v>824</v>
      </c>
      <c r="B656">
        <v>4</v>
      </c>
      <c r="C656" t="s">
        <v>853</v>
      </c>
      <c r="D656" t="s">
        <v>856</v>
      </c>
      <c r="E656">
        <v>17500</v>
      </c>
      <c r="F656" t="s">
        <v>139</v>
      </c>
      <c r="G656">
        <v>20</v>
      </c>
      <c r="H656">
        <v>7</v>
      </c>
      <c r="I656">
        <v>6</v>
      </c>
      <c r="J656">
        <v>1</v>
      </c>
    </row>
    <row r="657" spans="1:10" x14ac:dyDescent="0.25">
      <c r="A657" t="s">
        <v>824</v>
      </c>
      <c r="B657">
        <v>3</v>
      </c>
      <c r="C657" t="s">
        <v>853</v>
      </c>
      <c r="D657" t="s">
        <v>857</v>
      </c>
      <c r="E657">
        <v>17500</v>
      </c>
      <c r="F657" t="s">
        <v>139</v>
      </c>
      <c r="G657">
        <v>22</v>
      </c>
      <c r="H657">
        <v>7</v>
      </c>
      <c r="I657">
        <v>6</v>
      </c>
      <c r="J657">
        <v>1</v>
      </c>
    </row>
    <row r="658" spans="1:10" x14ac:dyDescent="0.25">
      <c r="A658" t="s">
        <v>824</v>
      </c>
      <c r="B658">
        <v>1</v>
      </c>
      <c r="C658" t="s">
        <v>853</v>
      </c>
      <c r="D658" t="s">
        <v>858</v>
      </c>
      <c r="E658">
        <v>17500</v>
      </c>
      <c r="F658" t="s">
        <v>139</v>
      </c>
      <c r="G658">
        <v>22</v>
      </c>
      <c r="H658">
        <v>7</v>
      </c>
      <c r="I658">
        <v>6</v>
      </c>
      <c r="J658">
        <v>1</v>
      </c>
    </row>
    <row r="659" spans="1:10" x14ac:dyDescent="0.25">
      <c r="A659" t="s">
        <v>824</v>
      </c>
      <c r="B659">
        <v>4</v>
      </c>
      <c r="C659" t="s">
        <v>853</v>
      </c>
      <c r="D659" t="s">
        <v>859</v>
      </c>
      <c r="E659">
        <v>17500</v>
      </c>
      <c r="F659" t="s">
        <v>139</v>
      </c>
      <c r="G659">
        <v>22</v>
      </c>
      <c r="H659">
        <v>7</v>
      </c>
      <c r="I659">
        <v>6</v>
      </c>
      <c r="J659">
        <v>1</v>
      </c>
    </row>
    <row r="660" spans="1:10" x14ac:dyDescent="0.25">
      <c r="A660" t="s">
        <v>824</v>
      </c>
      <c r="B660">
        <v>3</v>
      </c>
      <c r="C660" t="s">
        <v>860</v>
      </c>
      <c r="D660" t="s">
        <v>861</v>
      </c>
      <c r="E660">
        <v>7000</v>
      </c>
      <c r="F660" t="s">
        <v>139</v>
      </c>
      <c r="G660">
        <v>13</v>
      </c>
      <c r="H660">
        <v>7</v>
      </c>
      <c r="I660">
        <v>5</v>
      </c>
      <c r="J660">
        <v>0.75</v>
      </c>
    </row>
    <row r="661" spans="1:10" x14ac:dyDescent="0.25">
      <c r="A661" t="s">
        <v>824</v>
      </c>
      <c r="B661">
        <v>2</v>
      </c>
      <c r="C661" t="s">
        <v>860</v>
      </c>
      <c r="D661" t="s">
        <v>862</v>
      </c>
      <c r="E661">
        <v>7000</v>
      </c>
      <c r="F661" t="s">
        <v>139</v>
      </c>
      <c r="G661">
        <v>13</v>
      </c>
      <c r="H661">
        <v>7</v>
      </c>
      <c r="I661">
        <v>5</v>
      </c>
      <c r="J661">
        <v>0.75</v>
      </c>
    </row>
    <row r="662" spans="1:10" x14ac:dyDescent="0.25">
      <c r="A662" t="s">
        <v>824</v>
      </c>
      <c r="B662">
        <v>3</v>
      </c>
      <c r="C662" t="s">
        <v>860</v>
      </c>
      <c r="D662" t="s">
        <v>863</v>
      </c>
      <c r="E662">
        <v>7000</v>
      </c>
      <c r="F662" t="s">
        <v>139</v>
      </c>
      <c r="G662">
        <v>16</v>
      </c>
      <c r="H662">
        <v>7</v>
      </c>
      <c r="I662">
        <v>5</v>
      </c>
      <c r="J662">
        <v>0.75</v>
      </c>
    </row>
    <row r="663" spans="1:10" x14ac:dyDescent="0.25">
      <c r="A663" t="s">
        <v>824</v>
      </c>
      <c r="B663">
        <v>2</v>
      </c>
      <c r="C663" t="s">
        <v>860</v>
      </c>
      <c r="D663" t="s">
        <v>864</v>
      </c>
      <c r="E663">
        <v>7000</v>
      </c>
      <c r="F663" t="s">
        <v>139</v>
      </c>
      <c r="G663">
        <v>16</v>
      </c>
      <c r="H663">
        <v>7</v>
      </c>
      <c r="I663">
        <v>5</v>
      </c>
      <c r="J663">
        <v>0.75</v>
      </c>
    </row>
    <row r="664" spans="1:10" x14ac:dyDescent="0.25">
      <c r="A664" t="s">
        <v>865</v>
      </c>
      <c r="B664">
        <v>4</v>
      </c>
      <c r="C664" t="s">
        <v>866</v>
      </c>
      <c r="D664" t="s">
        <v>867</v>
      </c>
      <c r="E664">
        <v>9990</v>
      </c>
      <c r="F664" t="s">
        <v>139</v>
      </c>
      <c r="G664">
        <v>18</v>
      </c>
      <c r="H664">
        <v>7</v>
      </c>
      <c r="I664">
        <v>3</v>
      </c>
      <c r="J664">
        <v>2</v>
      </c>
    </row>
    <row r="665" spans="1:10" x14ac:dyDescent="0.25">
      <c r="A665" t="s">
        <v>865</v>
      </c>
      <c r="B665">
        <v>4</v>
      </c>
      <c r="C665" t="s">
        <v>866</v>
      </c>
      <c r="D665" t="s">
        <v>868</v>
      </c>
      <c r="E665">
        <v>9990</v>
      </c>
      <c r="F665" t="s">
        <v>139</v>
      </c>
      <c r="G665">
        <v>18</v>
      </c>
      <c r="H665">
        <v>7</v>
      </c>
      <c r="I665">
        <v>3</v>
      </c>
      <c r="J665">
        <v>2</v>
      </c>
    </row>
    <row r="666" spans="1:10" x14ac:dyDescent="0.25">
      <c r="A666" t="s">
        <v>865</v>
      </c>
      <c r="B666">
        <v>4</v>
      </c>
      <c r="C666" t="s">
        <v>866</v>
      </c>
      <c r="D666" t="s">
        <v>869</v>
      </c>
      <c r="E666">
        <v>9990</v>
      </c>
      <c r="F666" t="s">
        <v>139</v>
      </c>
      <c r="G666">
        <v>18</v>
      </c>
      <c r="H666">
        <v>7</v>
      </c>
      <c r="I666">
        <v>3</v>
      </c>
      <c r="J666">
        <v>2</v>
      </c>
    </row>
    <row r="667" spans="1:10" x14ac:dyDescent="0.25">
      <c r="A667" t="s">
        <v>865</v>
      </c>
      <c r="B667">
        <v>4</v>
      </c>
      <c r="C667" t="s">
        <v>866</v>
      </c>
      <c r="D667" t="s">
        <v>870</v>
      </c>
      <c r="E667">
        <v>9990</v>
      </c>
      <c r="F667" t="s">
        <v>139</v>
      </c>
      <c r="G667">
        <v>20</v>
      </c>
      <c r="H667">
        <v>7</v>
      </c>
      <c r="I667">
        <v>3</v>
      </c>
      <c r="J667">
        <v>2</v>
      </c>
    </row>
    <row r="668" spans="1:10" x14ac:dyDescent="0.25">
      <c r="A668" t="s">
        <v>865</v>
      </c>
      <c r="B668">
        <v>4</v>
      </c>
      <c r="C668" t="s">
        <v>866</v>
      </c>
      <c r="D668" t="s">
        <v>871</v>
      </c>
      <c r="E668">
        <v>9990</v>
      </c>
      <c r="F668" t="s">
        <v>139</v>
      </c>
      <c r="G668">
        <v>20</v>
      </c>
      <c r="H668">
        <v>7</v>
      </c>
      <c r="I668">
        <v>3</v>
      </c>
      <c r="J668">
        <v>2</v>
      </c>
    </row>
    <row r="669" spans="1:10" x14ac:dyDescent="0.25">
      <c r="A669" t="s">
        <v>865</v>
      </c>
      <c r="B669">
        <v>4</v>
      </c>
      <c r="C669" t="s">
        <v>866</v>
      </c>
      <c r="D669" t="s">
        <v>872</v>
      </c>
      <c r="E669">
        <v>9990</v>
      </c>
      <c r="F669" t="s">
        <v>139</v>
      </c>
      <c r="G669">
        <v>20</v>
      </c>
      <c r="H669">
        <v>7</v>
      </c>
      <c r="I669">
        <v>3</v>
      </c>
      <c r="J669">
        <v>2</v>
      </c>
    </row>
    <row r="670" spans="1:10" x14ac:dyDescent="0.25">
      <c r="A670" t="s">
        <v>865</v>
      </c>
      <c r="B670">
        <v>4</v>
      </c>
      <c r="C670" t="s">
        <v>873</v>
      </c>
      <c r="D670" t="s">
        <v>874</v>
      </c>
      <c r="E670">
        <v>9990</v>
      </c>
      <c r="F670" t="s">
        <v>139</v>
      </c>
      <c r="G670">
        <v>16</v>
      </c>
      <c r="H670">
        <v>7</v>
      </c>
      <c r="I670">
        <v>3</v>
      </c>
      <c r="J670">
        <v>2</v>
      </c>
    </row>
    <row r="671" spans="1:10" x14ac:dyDescent="0.25">
      <c r="A671" t="s">
        <v>865</v>
      </c>
      <c r="B671">
        <v>4</v>
      </c>
      <c r="C671" t="s">
        <v>873</v>
      </c>
      <c r="D671" t="s">
        <v>875</v>
      </c>
      <c r="E671">
        <v>9990</v>
      </c>
      <c r="F671" t="s">
        <v>139</v>
      </c>
      <c r="G671">
        <v>16</v>
      </c>
      <c r="H671">
        <v>7</v>
      </c>
      <c r="I671">
        <v>3</v>
      </c>
      <c r="J671">
        <v>2</v>
      </c>
    </row>
    <row r="672" spans="1:10" x14ac:dyDescent="0.25">
      <c r="A672" t="s">
        <v>865</v>
      </c>
      <c r="B672">
        <v>3</v>
      </c>
      <c r="C672" t="s">
        <v>873</v>
      </c>
      <c r="D672" t="s">
        <v>876</v>
      </c>
      <c r="E672">
        <v>9990</v>
      </c>
      <c r="F672" t="s">
        <v>139</v>
      </c>
      <c r="G672">
        <v>18</v>
      </c>
      <c r="H672">
        <v>7</v>
      </c>
      <c r="I672">
        <v>3</v>
      </c>
      <c r="J672">
        <v>2</v>
      </c>
    </row>
    <row r="673" spans="1:10" x14ac:dyDescent="0.25">
      <c r="A673" t="s">
        <v>865</v>
      </c>
      <c r="B673">
        <v>3</v>
      </c>
      <c r="C673" t="s">
        <v>873</v>
      </c>
      <c r="D673" t="s">
        <v>877</v>
      </c>
      <c r="E673">
        <v>9990</v>
      </c>
      <c r="F673" t="s">
        <v>139</v>
      </c>
      <c r="G673">
        <v>18</v>
      </c>
      <c r="H673">
        <v>7</v>
      </c>
      <c r="I673">
        <v>3</v>
      </c>
      <c r="J673">
        <v>2</v>
      </c>
    </row>
    <row r="674" spans="1:10" x14ac:dyDescent="0.25">
      <c r="A674" t="s">
        <v>865</v>
      </c>
      <c r="B674">
        <v>3</v>
      </c>
      <c r="C674" t="s">
        <v>873</v>
      </c>
      <c r="D674" t="s">
        <v>878</v>
      </c>
      <c r="E674">
        <v>9990</v>
      </c>
      <c r="F674" t="s">
        <v>139</v>
      </c>
      <c r="G674">
        <v>20</v>
      </c>
      <c r="H674">
        <v>7</v>
      </c>
      <c r="I674">
        <v>3</v>
      </c>
      <c r="J674">
        <v>2</v>
      </c>
    </row>
    <row r="675" spans="1:10" x14ac:dyDescent="0.25">
      <c r="A675" t="s">
        <v>865</v>
      </c>
      <c r="B675">
        <v>3</v>
      </c>
      <c r="C675" t="s">
        <v>873</v>
      </c>
      <c r="D675" t="s">
        <v>879</v>
      </c>
      <c r="E675">
        <v>9990</v>
      </c>
      <c r="F675" t="s">
        <v>139</v>
      </c>
      <c r="G675">
        <v>20</v>
      </c>
      <c r="H675">
        <v>7</v>
      </c>
      <c r="I675">
        <v>3</v>
      </c>
      <c r="J675">
        <v>2</v>
      </c>
    </row>
    <row r="676" spans="1:10" x14ac:dyDescent="0.25">
      <c r="A676" t="s">
        <v>865</v>
      </c>
      <c r="B676">
        <v>3</v>
      </c>
      <c r="C676" t="s">
        <v>880</v>
      </c>
      <c r="D676" t="s">
        <v>881</v>
      </c>
      <c r="E676">
        <v>2995</v>
      </c>
      <c r="F676" t="s">
        <v>139</v>
      </c>
      <c r="G676">
        <v>8</v>
      </c>
      <c r="H676">
        <v>5</v>
      </c>
      <c r="I676">
        <v>3</v>
      </c>
      <c r="J676">
        <v>1.5</v>
      </c>
    </row>
    <row r="677" spans="1:10" x14ac:dyDescent="0.25">
      <c r="A677" t="s">
        <v>865</v>
      </c>
      <c r="B677">
        <v>2</v>
      </c>
      <c r="C677" t="s">
        <v>880</v>
      </c>
      <c r="D677" t="s">
        <v>882</v>
      </c>
      <c r="E677">
        <v>2995</v>
      </c>
      <c r="F677" t="s">
        <v>139</v>
      </c>
      <c r="G677">
        <v>8</v>
      </c>
      <c r="H677">
        <v>5</v>
      </c>
      <c r="I677">
        <v>3</v>
      </c>
      <c r="J677">
        <v>1.5</v>
      </c>
    </row>
    <row r="678" spans="1:10" x14ac:dyDescent="0.25">
      <c r="A678" t="s">
        <v>865</v>
      </c>
      <c r="B678">
        <v>3</v>
      </c>
      <c r="C678" t="s">
        <v>880</v>
      </c>
      <c r="D678" t="s">
        <v>883</v>
      </c>
      <c r="E678">
        <v>2995</v>
      </c>
      <c r="F678" t="s">
        <v>139</v>
      </c>
      <c r="G678">
        <v>10</v>
      </c>
      <c r="H678">
        <v>5</v>
      </c>
      <c r="I678">
        <v>3</v>
      </c>
      <c r="J678">
        <v>1.5</v>
      </c>
    </row>
    <row r="679" spans="1:10" x14ac:dyDescent="0.25">
      <c r="A679" t="s">
        <v>865</v>
      </c>
      <c r="B679">
        <v>1</v>
      </c>
      <c r="C679" t="s">
        <v>880</v>
      </c>
      <c r="D679" t="s">
        <v>884</v>
      </c>
      <c r="E679">
        <v>2995</v>
      </c>
      <c r="F679" t="s">
        <v>139</v>
      </c>
      <c r="G679">
        <v>10</v>
      </c>
      <c r="H679">
        <v>5</v>
      </c>
      <c r="I679">
        <v>3</v>
      </c>
      <c r="J679">
        <v>1.5</v>
      </c>
    </row>
    <row r="680" spans="1:10" x14ac:dyDescent="0.25">
      <c r="A680" t="s">
        <v>865</v>
      </c>
      <c r="B680">
        <v>3</v>
      </c>
      <c r="C680" t="s">
        <v>880</v>
      </c>
      <c r="D680" t="s">
        <v>885</v>
      </c>
      <c r="E680">
        <v>2995</v>
      </c>
      <c r="F680" t="s">
        <v>139</v>
      </c>
      <c r="G680">
        <v>12</v>
      </c>
      <c r="H680">
        <v>5</v>
      </c>
      <c r="I680">
        <v>3</v>
      </c>
      <c r="J680">
        <v>1.5</v>
      </c>
    </row>
    <row r="681" spans="1:10" x14ac:dyDescent="0.25">
      <c r="A681" t="s">
        <v>865</v>
      </c>
      <c r="B681">
        <v>3</v>
      </c>
      <c r="C681" t="s">
        <v>880</v>
      </c>
      <c r="D681" t="s">
        <v>886</v>
      </c>
      <c r="E681">
        <v>2995</v>
      </c>
      <c r="F681" t="s">
        <v>139</v>
      </c>
      <c r="G681">
        <v>12</v>
      </c>
      <c r="H681">
        <v>5</v>
      </c>
      <c r="I681">
        <v>3</v>
      </c>
      <c r="J681">
        <v>1.5</v>
      </c>
    </row>
    <row r="682" spans="1:10" x14ac:dyDescent="0.25">
      <c r="A682" t="s">
        <v>865</v>
      </c>
      <c r="B682">
        <v>4</v>
      </c>
      <c r="C682" t="s">
        <v>887</v>
      </c>
      <c r="D682" t="s">
        <v>888</v>
      </c>
      <c r="E682">
        <v>2995</v>
      </c>
      <c r="F682" t="s">
        <v>139</v>
      </c>
      <c r="G682">
        <v>12</v>
      </c>
      <c r="H682">
        <v>6.5</v>
      </c>
      <c r="I682">
        <v>3</v>
      </c>
      <c r="J682">
        <v>1.5</v>
      </c>
    </row>
    <row r="683" spans="1:10" x14ac:dyDescent="0.25">
      <c r="A683" t="s">
        <v>865</v>
      </c>
      <c r="B683">
        <v>4</v>
      </c>
      <c r="C683" t="s">
        <v>887</v>
      </c>
      <c r="D683" t="s">
        <v>889</v>
      </c>
      <c r="E683">
        <v>2995</v>
      </c>
      <c r="F683" t="s">
        <v>139</v>
      </c>
      <c r="G683">
        <v>12</v>
      </c>
      <c r="H683">
        <v>6.5</v>
      </c>
      <c r="I683">
        <v>3</v>
      </c>
      <c r="J683">
        <v>1.5</v>
      </c>
    </row>
    <row r="684" spans="1:10" x14ac:dyDescent="0.25">
      <c r="A684" t="s">
        <v>865</v>
      </c>
      <c r="B684">
        <v>4</v>
      </c>
      <c r="C684" t="s">
        <v>887</v>
      </c>
      <c r="D684" t="s">
        <v>890</v>
      </c>
      <c r="E684">
        <v>2995</v>
      </c>
      <c r="F684" t="s">
        <v>139</v>
      </c>
      <c r="G684">
        <v>12</v>
      </c>
      <c r="H684">
        <v>6.5</v>
      </c>
      <c r="I684">
        <v>3</v>
      </c>
      <c r="J684">
        <v>1.5</v>
      </c>
    </row>
    <row r="685" spans="1:10" x14ac:dyDescent="0.25">
      <c r="A685" t="s">
        <v>865</v>
      </c>
      <c r="B685">
        <v>4</v>
      </c>
      <c r="C685" t="s">
        <v>887</v>
      </c>
      <c r="D685" t="s">
        <v>891</v>
      </c>
      <c r="E685">
        <v>2995</v>
      </c>
      <c r="F685" t="s">
        <v>139</v>
      </c>
      <c r="G685">
        <v>14</v>
      </c>
      <c r="H685">
        <v>6.5</v>
      </c>
      <c r="I685">
        <v>3</v>
      </c>
      <c r="J685">
        <v>1.5</v>
      </c>
    </row>
    <row r="686" spans="1:10" x14ac:dyDescent="0.25">
      <c r="A686" t="s">
        <v>865</v>
      </c>
      <c r="B686">
        <v>4</v>
      </c>
      <c r="C686" t="s">
        <v>887</v>
      </c>
      <c r="D686" t="s">
        <v>892</v>
      </c>
      <c r="E686">
        <v>2995</v>
      </c>
      <c r="F686" t="s">
        <v>139</v>
      </c>
      <c r="G686">
        <v>14</v>
      </c>
      <c r="H686">
        <v>6.5</v>
      </c>
      <c r="I686">
        <v>3</v>
      </c>
      <c r="J686">
        <v>1.5</v>
      </c>
    </row>
    <row r="687" spans="1:10" x14ac:dyDescent="0.25">
      <c r="A687" t="s">
        <v>865</v>
      </c>
      <c r="B687">
        <v>4</v>
      </c>
      <c r="C687" t="s">
        <v>887</v>
      </c>
      <c r="D687" t="s">
        <v>893</v>
      </c>
      <c r="E687">
        <v>2995</v>
      </c>
      <c r="F687" t="s">
        <v>139</v>
      </c>
      <c r="G687">
        <v>14</v>
      </c>
      <c r="H687">
        <v>6.5</v>
      </c>
      <c r="I687">
        <v>3</v>
      </c>
      <c r="J687">
        <v>1.5</v>
      </c>
    </row>
    <row r="688" spans="1:10" x14ac:dyDescent="0.25">
      <c r="A688" t="s">
        <v>865</v>
      </c>
      <c r="B688">
        <v>3</v>
      </c>
      <c r="C688" t="s">
        <v>894</v>
      </c>
      <c r="D688" t="s">
        <v>895</v>
      </c>
      <c r="E688">
        <v>2995</v>
      </c>
      <c r="F688" t="s">
        <v>139</v>
      </c>
      <c r="G688">
        <v>10</v>
      </c>
      <c r="H688">
        <v>6.5</v>
      </c>
      <c r="I688">
        <v>3</v>
      </c>
      <c r="J688">
        <v>1.5</v>
      </c>
    </row>
    <row r="689" spans="1:10" x14ac:dyDescent="0.25">
      <c r="A689" t="s">
        <v>865</v>
      </c>
      <c r="B689">
        <v>2</v>
      </c>
      <c r="C689" t="s">
        <v>894</v>
      </c>
      <c r="D689" t="s">
        <v>896</v>
      </c>
      <c r="E689">
        <v>2995</v>
      </c>
      <c r="F689" t="s">
        <v>139</v>
      </c>
      <c r="G689">
        <v>10</v>
      </c>
      <c r="H689">
        <v>6.5</v>
      </c>
      <c r="I689">
        <v>3</v>
      </c>
      <c r="J689">
        <v>1.5</v>
      </c>
    </row>
    <row r="690" spans="1:10" x14ac:dyDescent="0.25">
      <c r="A690" t="s">
        <v>865</v>
      </c>
      <c r="B690">
        <v>3</v>
      </c>
      <c r="C690" t="s">
        <v>894</v>
      </c>
      <c r="D690" t="s">
        <v>897</v>
      </c>
      <c r="E690">
        <v>2995</v>
      </c>
      <c r="F690" t="s">
        <v>139</v>
      </c>
      <c r="G690">
        <v>12</v>
      </c>
      <c r="H690">
        <v>6.5</v>
      </c>
      <c r="I690">
        <v>3</v>
      </c>
      <c r="J690">
        <v>1.5</v>
      </c>
    </row>
    <row r="691" spans="1:10" x14ac:dyDescent="0.25">
      <c r="A691" t="s">
        <v>865</v>
      </c>
      <c r="B691">
        <v>1</v>
      </c>
      <c r="C691" t="s">
        <v>894</v>
      </c>
      <c r="D691" t="s">
        <v>898</v>
      </c>
      <c r="E691">
        <v>2995</v>
      </c>
      <c r="F691" t="s">
        <v>139</v>
      </c>
      <c r="G691">
        <v>12</v>
      </c>
      <c r="H691">
        <v>6.5</v>
      </c>
      <c r="I691">
        <v>3</v>
      </c>
      <c r="J691">
        <v>1.5</v>
      </c>
    </row>
    <row r="692" spans="1:10" x14ac:dyDescent="0.25">
      <c r="A692" t="s">
        <v>865</v>
      </c>
      <c r="B692">
        <v>3</v>
      </c>
      <c r="C692" t="s">
        <v>894</v>
      </c>
      <c r="D692" t="s">
        <v>899</v>
      </c>
      <c r="E692">
        <v>2995</v>
      </c>
      <c r="F692" t="s">
        <v>139</v>
      </c>
      <c r="G692">
        <v>14</v>
      </c>
      <c r="H692">
        <v>6.5</v>
      </c>
      <c r="I692">
        <v>3</v>
      </c>
      <c r="J692">
        <v>1.5</v>
      </c>
    </row>
    <row r="693" spans="1:10" x14ac:dyDescent="0.25">
      <c r="A693" t="s">
        <v>865</v>
      </c>
      <c r="B693">
        <v>3</v>
      </c>
      <c r="C693" t="s">
        <v>894</v>
      </c>
      <c r="D693" t="s">
        <v>900</v>
      </c>
      <c r="E693">
        <v>2995</v>
      </c>
      <c r="F693" t="s">
        <v>139</v>
      </c>
      <c r="G693">
        <v>14</v>
      </c>
      <c r="H693">
        <v>6.5</v>
      </c>
      <c r="I693">
        <v>3</v>
      </c>
      <c r="J693">
        <v>1.5</v>
      </c>
    </row>
    <row r="694" spans="1:10" x14ac:dyDescent="0.25">
      <c r="A694" t="s">
        <v>865</v>
      </c>
      <c r="B694">
        <v>4</v>
      </c>
      <c r="C694" t="s">
        <v>901</v>
      </c>
      <c r="D694" t="s">
        <v>902</v>
      </c>
      <c r="E694">
        <v>7000</v>
      </c>
      <c r="F694" t="s">
        <v>139</v>
      </c>
      <c r="G694">
        <v>14</v>
      </c>
      <c r="H694">
        <v>7</v>
      </c>
      <c r="I694">
        <v>3</v>
      </c>
      <c r="J694">
        <v>2</v>
      </c>
    </row>
    <row r="695" spans="1:10" x14ac:dyDescent="0.25">
      <c r="A695" t="s">
        <v>865</v>
      </c>
      <c r="B695">
        <v>4</v>
      </c>
      <c r="C695" t="s">
        <v>901</v>
      </c>
      <c r="D695" t="s">
        <v>903</v>
      </c>
      <c r="E695">
        <v>7000</v>
      </c>
      <c r="F695" t="s">
        <v>139</v>
      </c>
      <c r="G695">
        <v>14</v>
      </c>
      <c r="H695">
        <v>7</v>
      </c>
      <c r="I695">
        <v>3</v>
      </c>
      <c r="J695">
        <v>2</v>
      </c>
    </row>
    <row r="696" spans="1:10" x14ac:dyDescent="0.25">
      <c r="A696" t="s">
        <v>865</v>
      </c>
      <c r="B696">
        <v>4</v>
      </c>
      <c r="C696" t="s">
        <v>901</v>
      </c>
      <c r="D696" t="s">
        <v>904</v>
      </c>
      <c r="E696">
        <v>7000</v>
      </c>
      <c r="F696" t="s">
        <v>139</v>
      </c>
      <c r="G696">
        <v>14</v>
      </c>
      <c r="H696">
        <v>7</v>
      </c>
      <c r="I696">
        <v>3</v>
      </c>
      <c r="J696">
        <v>2</v>
      </c>
    </row>
    <row r="697" spans="1:10" x14ac:dyDescent="0.25">
      <c r="A697" t="s">
        <v>865</v>
      </c>
      <c r="B697">
        <v>4</v>
      </c>
      <c r="C697" t="s">
        <v>901</v>
      </c>
      <c r="D697" t="s">
        <v>905</v>
      </c>
      <c r="E697">
        <v>7000</v>
      </c>
      <c r="F697" t="s">
        <v>139</v>
      </c>
      <c r="G697">
        <v>14</v>
      </c>
      <c r="H697">
        <v>7</v>
      </c>
      <c r="I697">
        <v>3</v>
      </c>
      <c r="J697">
        <v>2</v>
      </c>
    </row>
    <row r="698" spans="1:10" x14ac:dyDescent="0.25">
      <c r="A698" t="s">
        <v>865</v>
      </c>
      <c r="B698">
        <v>4</v>
      </c>
      <c r="C698" t="s">
        <v>901</v>
      </c>
      <c r="D698" t="s">
        <v>906</v>
      </c>
      <c r="E698">
        <v>7000</v>
      </c>
      <c r="F698" t="s">
        <v>139</v>
      </c>
      <c r="G698">
        <v>16</v>
      </c>
      <c r="H698">
        <v>7</v>
      </c>
      <c r="I698">
        <v>3</v>
      </c>
      <c r="J698">
        <v>2</v>
      </c>
    </row>
    <row r="699" spans="1:10" x14ac:dyDescent="0.25">
      <c r="A699" t="s">
        <v>865</v>
      </c>
      <c r="B699">
        <v>4</v>
      </c>
      <c r="C699" t="s">
        <v>901</v>
      </c>
      <c r="D699" t="s">
        <v>907</v>
      </c>
      <c r="E699">
        <v>7000</v>
      </c>
      <c r="F699" t="s">
        <v>139</v>
      </c>
      <c r="G699">
        <v>16</v>
      </c>
      <c r="H699">
        <v>7</v>
      </c>
      <c r="I699">
        <v>3</v>
      </c>
      <c r="J699">
        <v>2</v>
      </c>
    </row>
    <row r="700" spans="1:10" x14ac:dyDescent="0.25">
      <c r="A700" t="s">
        <v>865</v>
      </c>
      <c r="B700">
        <v>4</v>
      </c>
      <c r="C700" t="s">
        <v>901</v>
      </c>
      <c r="D700" t="s">
        <v>908</v>
      </c>
      <c r="E700">
        <v>7000</v>
      </c>
      <c r="F700" t="s">
        <v>139</v>
      </c>
      <c r="G700">
        <v>16</v>
      </c>
      <c r="H700">
        <v>7</v>
      </c>
      <c r="I700">
        <v>3</v>
      </c>
      <c r="J700">
        <v>2</v>
      </c>
    </row>
    <row r="701" spans="1:10" x14ac:dyDescent="0.25">
      <c r="A701" t="s">
        <v>865</v>
      </c>
      <c r="B701">
        <v>4</v>
      </c>
      <c r="C701" t="s">
        <v>901</v>
      </c>
      <c r="D701" t="s">
        <v>909</v>
      </c>
      <c r="E701">
        <v>7000</v>
      </c>
      <c r="F701" t="s">
        <v>139</v>
      </c>
      <c r="G701">
        <v>16</v>
      </c>
      <c r="H701">
        <v>7</v>
      </c>
      <c r="I701">
        <v>3</v>
      </c>
      <c r="J701">
        <v>2</v>
      </c>
    </row>
    <row r="702" spans="1:10" x14ac:dyDescent="0.25">
      <c r="A702" t="s">
        <v>865</v>
      </c>
      <c r="B702">
        <v>4</v>
      </c>
      <c r="C702" t="s">
        <v>901</v>
      </c>
      <c r="D702" t="s">
        <v>910</v>
      </c>
      <c r="E702">
        <v>7000</v>
      </c>
      <c r="F702" t="s">
        <v>139</v>
      </c>
      <c r="G702">
        <v>16</v>
      </c>
      <c r="H702">
        <v>7</v>
      </c>
      <c r="I702">
        <v>3</v>
      </c>
      <c r="J702">
        <v>2</v>
      </c>
    </row>
    <row r="703" spans="1:10" x14ac:dyDescent="0.25">
      <c r="A703" t="s">
        <v>865</v>
      </c>
      <c r="B703">
        <v>3</v>
      </c>
      <c r="C703" t="s">
        <v>911</v>
      </c>
      <c r="D703" t="s">
        <v>912</v>
      </c>
      <c r="E703">
        <v>7000</v>
      </c>
      <c r="F703" t="s">
        <v>139</v>
      </c>
      <c r="G703">
        <v>12</v>
      </c>
      <c r="H703">
        <v>7</v>
      </c>
      <c r="I703">
        <v>3</v>
      </c>
      <c r="J703">
        <v>2</v>
      </c>
    </row>
    <row r="704" spans="1:10" x14ac:dyDescent="0.25">
      <c r="A704" t="s">
        <v>865</v>
      </c>
      <c r="B704">
        <v>3</v>
      </c>
      <c r="C704" t="s">
        <v>911</v>
      </c>
      <c r="D704" t="s">
        <v>913</v>
      </c>
      <c r="E704">
        <v>7000</v>
      </c>
      <c r="F704" t="s">
        <v>139</v>
      </c>
      <c r="G704">
        <v>12</v>
      </c>
      <c r="H704">
        <v>7</v>
      </c>
      <c r="I704">
        <v>3</v>
      </c>
      <c r="J704">
        <v>2</v>
      </c>
    </row>
    <row r="705" spans="1:10" x14ac:dyDescent="0.25">
      <c r="A705" t="s">
        <v>865</v>
      </c>
      <c r="B705">
        <v>3</v>
      </c>
      <c r="C705" t="s">
        <v>911</v>
      </c>
      <c r="D705" t="s">
        <v>914</v>
      </c>
      <c r="E705">
        <v>7000</v>
      </c>
      <c r="F705" t="s">
        <v>139</v>
      </c>
      <c r="G705">
        <v>12</v>
      </c>
      <c r="H705">
        <v>7</v>
      </c>
      <c r="I705">
        <v>3</v>
      </c>
      <c r="J705">
        <v>2</v>
      </c>
    </row>
    <row r="706" spans="1:10" x14ac:dyDescent="0.25">
      <c r="A706" t="s">
        <v>865</v>
      </c>
      <c r="B706">
        <v>4</v>
      </c>
      <c r="C706" t="s">
        <v>911</v>
      </c>
      <c r="D706" t="s">
        <v>915</v>
      </c>
      <c r="E706">
        <v>7000</v>
      </c>
      <c r="F706" t="s">
        <v>139</v>
      </c>
      <c r="G706">
        <v>12</v>
      </c>
      <c r="H706">
        <v>7</v>
      </c>
      <c r="I706">
        <v>3</v>
      </c>
      <c r="J706">
        <v>2</v>
      </c>
    </row>
    <row r="707" spans="1:10" x14ac:dyDescent="0.25">
      <c r="A707" t="s">
        <v>865</v>
      </c>
      <c r="B707">
        <v>3</v>
      </c>
      <c r="C707" t="s">
        <v>911</v>
      </c>
      <c r="D707" t="s">
        <v>916</v>
      </c>
      <c r="E707">
        <v>7000</v>
      </c>
      <c r="F707" t="s">
        <v>139</v>
      </c>
      <c r="G707">
        <v>14</v>
      </c>
      <c r="H707">
        <v>7</v>
      </c>
      <c r="I707">
        <v>3</v>
      </c>
      <c r="J707">
        <v>2</v>
      </c>
    </row>
    <row r="708" spans="1:10" x14ac:dyDescent="0.25">
      <c r="A708" t="s">
        <v>865</v>
      </c>
      <c r="B708">
        <v>2</v>
      </c>
      <c r="C708" t="s">
        <v>911</v>
      </c>
      <c r="D708" t="s">
        <v>917</v>
      </c>
      <c r="E708">
        <v>7000</v>
      </c>
      <c r="F708" t="s">
        <v>139</v>
      </c>
      <c r="G708">
        <v>14</v>
      </c>
      <c r="H708">
        <v>7</v>
      </c>
      <c r="I708">
        <v>3</v>
      </c>
      <c r="J708">
        <v>2</v>
      </c>
    </row>
    <row r="709" spans="1:10" x14ac:dyDescent="0.25">
      <c r="A709" t="s">
        <v>865</v>
      </c>
      <c r="B709">
        <v>2</v>
      </c>
      <c r="C709" t="s">
        <v>911</v>
      </c>
      <c r="D709" t="s">
        <v>918</v>
      </c>
      <c r="E709">
        <v>7000</v>
      </c>
      <c r="F709" t="s">
        <v>139</v>
      </c>
      <c r="G709">
        <v>14</v>
      </c>
      <c r="H709">
        <v>7</v>
      </c>
      <c r="I709">
        <v>3</v>
      </c>
      <c r="J709">
        <v>2</v>
      </c>
    </row>
    <row r="710" spans="1:10" x14ac:dyDescent="0.25">
      <c r="A710" t="s">
        <v>865</v>
      </c>
      <c r="B710">
        <v>4</v>
      </c>
      <c r="C710" t="s">
        <v>911</v>
      </c>
      <c r="D710" t="s">
        <v>919</v>
      </c>
      <c r="E710">
        <v>7000</v>
      </c>
      <c r="F710" t="s">
        <v>139</v>
      </c>
      <c r="G710">
        <v>14</v>
      </c>
      <c r="H710">
        <v>7</v>
      </c>
      <c r="I710">
        <v>3</v>
      </c>
      <c r="J710">
        <v>2</v>
      </c>
    </row>
    <row r="711" spans="1:10" x14ac:dyDescent="0.25">
      <c r="A711" t="s">
        <v>865</v>
      </c>
      <c r="B711">
        <v>3</v>
      </c>
      <c r="C711" t="s">
        <v>911</v>
      </c>
      <c r="D711" t="s">
        <v>920</v>
      </c>
      <c r="E711">
        <v>7000</v>
      </c>
      <c r="F711" t="s">
        <v>139</v>
      </c>
      <c r="G711">
        <v>16</v>
      </c>
      <c r="H711">
        <v>7</v>
      </c>
      <c r="I711">
        <v>3</v>
      </c>
      <c r="J711">
        <v>2</v>
      </c>
    </row>
    <row r="712" spans="1:10" x14ac:dyDescent="0.25">
      <c r="A712" t="s">
        <v>865</v>
      </c>
      <c r="B712">
        <v>2</v>
      </c>
      <c r="C712" t="s">
        <v>911</v>
      </c>
      <c r="D712" t="s">
        <v>921</v>
      </c>
      <c r="E712">
        <v>7000</v>
      </c>
      <c r="F712" t="s">
        <v>139</v>
      </c>
      <c r="G712">
        <v>16</v>
      </c>
      <c r="H712">
        <v>7</v>
      </c>
      <c r="I712">
        <v>3</v>
      </c>
      <c r="J712">
        <v>2</v>
      </c>
    </row>
    <row r="713" spans="1:10" x14ac:dyDescent="0.25">
      <c r="A713" t="s">
        <v>865</v>
      </c>
      <c r="B713">
        <v>2</v>
      </c>
      <c r="C713" t="s">
        <v>911</v>
      </c>
      <c r="D713" t="s">
        <v>922</v>
      </c>
      <c r="E713">
        <v>7000</v>
      </c>
      <c r="F713" t="s">
        <v>139</v>
      </c>
      <c r="G713">
        <v>16</v>
      </c>
      <c r="H713">
        <v>7</v>
      </c>
      <c r="I713">
        <v>3</v>
      </c>
      <c r="J713">
        <v>2</v>
      </c>
    </row>
    <row r="714" spans="1:10" x14ac:dyDescent="0.25">
      <c r="A714" t="s">
        <v>865</v>
      </c>
      <c r="B714">
        <v>4</v>
      </c>
      <c r="C714" t="s">
        <v>911</v>
      </c>
      <c r="D714" t="s">
        <v>923</v>
      </c>
      <c r="E714">
        <v>7000</v>
      </c>
      <c r="F714" t="s">
        <v>139</v>
      </c>
      <c r="G714">
        <v>16</v>
      </c>
      <c r="H714">
        <v>7</v>
      </c>
      <c r="I714">
        <v>3</v>
      </c>
      <c r="J714">
        <v>2</v>
      </c>
    </row>
    <row r="715" spans="1:10" x14ac:dyDescent="0.25">
      <c r="A715" t="s">
        <v>865</v>
      </c>
      <c r="B715">
        <v>3</v>
      </c>
      <c r="C715" t="s">
        <v>911</v>
      </c>
      <c r="D715" t="s">
        <v>924</v>
      </c>
      <c r="E715">
        <v>7000</v>
      </c>
      <c r="F715" t="s">
        <v>139</v>
      </c>
      <c r="G715">
        <v>18</v>
      </c>
      <c r="H715">
        <v>7</v>
      </c>
      <c r="I715">
        <v>3</v>
      </c>
      <c r="J715">
        <v>2</v>
      </c>
    </row>
    <row r="716" spans="1:10" x14ac:dyDescent="0.25">
      <c r="A716" t="s">
        <v>865</v>
      </c>
      <c r="B716">
        <v>3</v>
      </c>
      <c r="C716" t="s">
        <v>911</v>
      </c>
      <c r="D716" t="s">
        <v>925</v>
      </c>
      <c r="E716">
        <v>7000</v>
      </c>
      <c r="F716" t="s">
        <v>139</v>
      </c>
      <c r="G716">
        <v>18</v>
      </c>
      <c r="H716">
        <v>7</v>
      </c>
      <c r="I716">
        <v>3</v>
      </c>
      <c r="J716">
        <v>2</v>
      </c>
    </row>
    <row r="717" spans="1:10" x14ac:dyDescent="0.25">
      <c r="A717" t="s">
        <v>865</v>
      </c>
      <c r="B717">
        <v>3</v>
      </c>
      <c r="C717" t="s">
        <v>911</v>
      </c>
      <c r="D717" t="s">
        <v>926</v>
      </c>
      <c r="E717">
        <v>7000</v>
      </c>
      <c r="F717" t="s">
        <v>139</v>
      </c>
      <c r="G717">
        <v>18</v>
      </c>
      <c r="H717">
        <v>7</v>
      </c>
      <c r="I717">
        <v>3</v>
      </c>
      <c r="J717">
        <v>2</v>
      </c>
    </row>
  </sheetData>
  <sheetProtection algorithmName="SHA-512" hashValue="eI6+MppvUAgt2DzWeLJ8ywOEVvGIf/flL7ntuEtFpvT4jQheB8Ay5Jvrh9DT4QRET8bByJXj4h4dh6z4SKJUPw==" saltValue="hLDqp603g/etoO1OgyklCA==" spinCount="100000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E8F96946B9924C81AC4DE92B4D3EF5" ma:contentTypeVersion="20" ma:contentTypeDescription="Create a new document." ma:contentTypeScope="" ma:versionID="24a6e920d4f9d6817d13cdfa42c09707">
  <xsd:schema xmlns:xsd="http://www.w3.org/2001/XMLSchema" xmlns:xs="http://www.w3.org/2001/XMLSchema" xmlns:p="http://schemas.microsoft.com/office/2006/metadata/properties" xmlns:ns2="2a6be98a-7a60-4d9a-a59e-cdcfc39c69a6" xmlns:ns3="25dfea3c-bff3-4fbb-8bac-2c4d80d526fe" targetNamespace="http://schemas.microsoft.com/office/2006/metadata/properties" ma:root="true" ma:fieldsID="80db4243f58db3abd87acf3b6b96090b" ns2:_="" ns3:_="">
    <xsd:import namespace="2a6be98a-7a60-4d9a-a59e-cdcfc39c69a6"/>
    <xsd:import namespace="25dfea3c-bff3-4fbb-8bac-2c4d80d52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e98a-7a60-4d9a-a59e-cdcfc39c6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77fa498-aaa5-46e3-91a2-4ffb37e3b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ea3c-bff3-4fbb-8bac-2c4d80d52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535c2c6-1ccc-4166-a083-004a8e2deadf}" ma:internalName="TaxCatchAll" ma:showField="CatchAllData" ma:web="25dfea3c-bff3-4fbb-8bac-2c4d80d52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6be98a-7a60-4d9a-a59e-cdcfc39c69a6">
      <Terms xmlns="http://schemas.microsoft.com/office/infopath/2007/PartnerControls"/>
    </lcf76f155ced4ddcb4097134ff3c332f>
    <TaxCatchAll xmlns="25dfea3c-bff3-4fbb-8bac-2c4d80d526fe" xsi:nil="true"/>
  </documentManagement>
</p:properties>
</file>

<file path=customXml/itemProps1.xml><?xml version="1.0" encoding="utf-8"?>
<ds:datastoreItem xmlns:ds="http://schemas.openxmlformats.org/officeDocument/2006/customXml" ds:itemID="{CDB04CA7-D642-4261-97FE-E4BFF716E2BE}"/>
</file>

<file path=customXml/itemProps2.xml><?xml version="1.0" encoding="utf-8"?>
<ds:datastoreItem xmlns:ds="http://schemas.openxmlformats.org/officeDocument/2006/customXml" ds:itemID="{77B32E55-C063-4F80-B703-7CF25C53B1A6}"/>
</file>

<file path=customXml/itemProps3.xml><?xml version="1.0" encoding="utf-8"?>
<ds:datastoreItem xmlns:ds="http://schemas.openxmlformats.org/officeDocument/2006/customXml" ds:itemID="{752041CC-DF1F-47EE-B10B-6AA8E7E07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Sketch Guide</vt:lpstr>
      <vt:lpstr>Dumps</vt:lpstr>
      <vt:lpstr>Goosenecks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McEntee</dc:creator>
  <cp:keywords/>
  <dc:description/>
  <cp:lastModifiedBy>Jake McEntee</cp:lastModifiedBy>
  <cp:revision/>
  <dcterms:created xsi:type="dcterms:W3CDTF">2025-05-06T17:01:59Z</dcterms:created>
  <dcterms:modified xsi:type="dcterms:W3CDTF">2026-01-14T17:45:12Z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0x010100EEE8F96946B9924C81AC4DE92B4D3EF5</vt:lpwstr>
  </property>
</Properties>
</file>